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jeongjin-yeob/Desktop/3단계/"/>
    </mc:Choice>
  </mc:AlternateContent>
  <xr:revisionPtr revIDLastSave="0" documentId="13_ncr:1_{68AB6ABD-2F4D-C848-BBA7-3112A06C54CC}" xr6:coauthVersionLast="47" xr6:coauthVersionMax="47" xr10:uidLastSave="{00000000-0000-0000-0000-000000000000}"/>
  <bookViews>
    <workbookView xWindow="0" yWindow="620" windowWidth="37920" windowHeight="19140" tabRatio="500" firstSheet="9" activeTab="19" xr2:uid="{00000000-000D-0000-FFFF-FFFF00000000}"/>
  </bookViews>
  <sheets>
    <sheet name="0 목차" sheetId="1" r:id="rId1"/>
    <sheet name="0-1 개요" sheetId="2" r:id="rId2"/>
    <sheet name="1-1 점수 기준" sheetId="3" r:id="rId3"/>
    <sheet name="1-2 성공 점수표" sheetId="4" r:id="rId4"/>
    <sheet name="1-3 성적표 카드" sheetId="5" r:id="rId5"/>
    <sheet name="1-4 성공 비결 해부" sheetId="6" r:id="rId6"/>
    <sheet name="1-5 성공 비결 확장" sheetId="7" r:id="rId7"/>
    <sheet name="1-6 공통점 분석" sheetId="8" r:id="rId8"/>
    <sheet name="1-7 성공 공식 TOP5" sheetId="9" r:id="rId9"/>
    <sheet name="2-1 MVP 명세" sheetId="10" r:id="rId10"/>
    <sheet name="2-2 MVP 검증 목표" sheetId="11" r:id="rId11"/>
    <sheet name="2-3 장르 연결(추정)" sheetId="12" r:id="rId12"/>
    <sheet name="2-4 2인 개발 MVP 판단" sheetId="13" r:id="rId13"/>
    <sheet name="3-1 광고 대비 유입" sheetId="14" r:id="rId14"/>
    <sheet name="4-1 지역 벤치마크(참조)" sheetId="15" r:id="rId15"/>
    <sheet name="4-2 장르 차트 판독값(참조)" sheetId="16" r:id="rId16"/>
    <sheet name="4-3 장르 판독 요약(참조)" sheetId="17" r:id="rId17"/>
    <sheet name="4-4 Google Play Top100(참조)" sheetId="18" r:id="rId18"/>
    <sheet name="4-5 매출 Top100(참조)" sheetId="19" r:id="rId19"/>
    <sheet name="4-6 매출-다운로드 비교(참조)" sheetId="20" r:id="rId20"/>
  </sheets>
  <definedNames>
    <definedName name="_xlnm._FilterDatabase" localSheetId="6" hidden="1">'1-5 성공 비결 확장'!$A$1:$J$15</definedName>
    <definedName name="_xlnm._FilterDatabase" localSheetId="12" hidden="1">'2-4 2인 개발 MVP 판단'!$A$78:$K$250</definedName>
    <definedName name="_xlnm._FilterDatabase" localSheetId="14" hidden="1">'4-1 지역 벤치마크(참조)'!$A$1:$G$25</definedName>
    <definedName name="_xlnm._FilterDatabase" localSheetId="17" hidden="1">'4-4 Google Play Top100(참조)'!$A$1:$F$101</definedName>
    <definedName name="_xlnm._FilterDatabase" localSheetId="19" hidden="1">'4-6 매출-다운로드 비교(참조)'!$A$5:$I$177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7" i="20" l="1"/>
  <c r="E177" i="20"/>
  <c r="H176" i="20"/>
  <c r="E176" i="20"/>
  <c r="H175" i="20"/>
  <c r="E175" i="20"/>
  <c r="H174" i="20"/>
  <c r="E174" i="20"/>
  <c r="H173" i="20"/>
  <c r="E173" i="20"/>
  <c r="H172" i="20"/>
  <c r="E172" i="20"/>
  <c r="H171" i="20"/>
  <c r="E171" i="20"/>
  <c r="H170" i="20"/>
  <c r="E170" i="20"/>
  <c r="H169" i="20"/>
  <c r="E169" i="20"/>
  <c r="H168" i="20"/>
  <c r="E168" i="20"/>
  <c r="H167" i="20"/>
  <c r="E167" i="20"/>
  <c r="H166" i="20"/>
  <c r="E166" i="20"/>
  <c r="H165" i="20"/>
  <c r="E165" i="20"/>
  <c r="H164" i="20"/>
  <c r="E164" i="20"/>
  <c r="H163" i="20"/>
  <c r="E163" i="20"/>
  <c r="H162" i="20"/>
  <c r="E162" i="20"/>
  <c r="H161" i="20"/>
  <c r="E161" i="20"/>
  <c r="H160" i="20"/>
  <c r="E160" i="20"/>
  <c r="H159" i="20"/>
  <c r="E159" i="20"/>
  <c r="H158" i="20"/>
  <c r="E158" i="20"/>
  <c r="H157" i="20"/>
  <c r="E157" i="20"/>
  <c r="H156" i="20"/>
  <c r="E156" i="20"/>
  <c r="H155" i="20"/>
  <c r="E155" i="20"/>
  <c r="H154" i="20"/>
  <c r="E154" i="20"/>
  <c r="H153" i="20"/>
  <c r="E153" i="20"/>
  <c r="H152" i="20"/>
  <c r="E152" i="20"/>
  <c r="H151" i="20"/>
  <c r="E151" i="20"/>
  <c r="H150" i="20"/>
  <c r="E150" i="20"/>
  <c r="H149" i="20"/>
  <c r="E149" i="20"/>
  <c r="H148" i="20"/>
  <c r="E148" i="20"/>
  <c r="H147" i="20"/>
  <c r="E147" i="20"/>
  <c r="H146" i="20"/>
  <c r="E146" i="20"/>
  <c r="H145" i="20"/>
  <c r="E145" i="20"/>
  <c r="H144" i="20"/>
  <c r="E144" i="20"/>
  <c r="H143" i="20"/>
  <c r="E143" i="20"/>
  <c r="H142" i="20"/>
  <c r="E142" i="20"/>
  <c r="H141" i="20"/>
  <c r="E141" i="20"/>
  <c r="H140" i="20"/>
  <c r="E140" i="20"/>
  <c r="H139" i="20"/>
  <c r="E139" i="20"/>
  <c r="H138" i="20"/>
  <c r="E138" i="20"/>
  <c r="H137" i="20"/>
  <c r="E137" i="20"/>
  <c r="H136" i="20"/>
  <c r="E136" i="20"/>
  <c r="H135" i="20"/>
  <c r="E135" i="20"/>
  <c r="H134" i="20"/>
  <c r="E134" i="20"/>
  <c r="H133" i="20"/>
  <c r="E133" i="20"/>
  <c r="H132" i="20"/>
  <c r="E132" i="20"/>
  <c r="H131" i="20"/>
  <c r="E131" i="20"/>
  <c r="H130" i="20"/>
  <c r="E130" i="20"/>
  <c r="H129" i="20"/>
  <c r="E129" i="20"/>
  <c r="H128" i="20"/>
  <c r="E128" i="20"/>
  <c r="H127" i="20"/>
  <c r="E127" i="20"/>
  <c r="H126" i="20"/>
  <c r="E126" i="20"/>
  <c r="H125" i="20"/>
  <c r="E125" i="20"/>
  <c r="H124" i="20"/>
  <c r="E124" i="20"/>
  <c r="H123" i="20"/>
  <c r="E123" i="20"/>
  <c r="H122" i="20"/>
  <c r="E122" i="20"/>
  <c r="H121" i="20"/>
  <c r="E121" i="20"/>
  <c r="H120" i="20"/>
  <c r="E120" i="20"/>
  <c r="H119" i="20"/>
  <c r="E119" i="20"/>
  <c r="H118" i="20"/>
  <c r="E118" i="20"/>
  <c r="H117" i="20"/>
  <c r="E117" i="20"/>
  <c r="H116" i="20"/>
  <c r="E116" i="20"/>
  <c r="H115" i="20"/>
  <c r="E115" i="20"/>
  <c r="H114" i="20"/>
  <c r="E114" i="20"/>
  <c r="H113" i="20"/>
  <c r="E113" i="20"/>
  <c r="H112" i="20"/>
  <c r="E112" i="20"/>
  <c r="H111" i="20"/>
  <c r="E111" i="20"/>
  <c r="H110" i="20"/>
  <c r="E110" i="20"/>
  <c r="H109" i="20"/>
  <c r="E109" i="20"/>
  <c r="H108" i="20"/>
  <c r="E108" i="20"/>
  <c r="H107" i="20"/>
  <c r="E107" i="20"/>
  <c r="H106" i="20"/>
  <c r="E106" i="20"/>
  <c r="H105" i="20"/>
  <c r="E105" i="20"/>
  <c r="H104" i="20"/>
  <c r="E104" i="20"/>
  <c r="H103" i="20"/>
  <c r="E103" i="20"/>
  <c r="H102" i="20"/>
  <c r="E102" i="20"/>
  <c r="H101" i="20"/>
  <c r="E101" i="20"/>
  <c r="H100" i="20"/>
  <c r="E100" i="20"/>
  <c r="H99" i="20"/>
  <c r="E99" i="20"/>
  <c r="H98" i="20"/>
  <c r="E98" i="20"/>
  <c r="H97" i="20"/>
  <c r="E97" i="20"/>
  <c r="H96" i="20"/>
  <c r="E96" i="20"/>
  <c r="H95" i="20"/>
  <c r="E95" i="20"/>
  <c r="H94" i="20"/>
  <c r="E94" i="20"/>
  <c r="H93" i="20"/>
  <c r="E93" i="20"/>
  <c r="H92" i="20"/>
  <c r="E92" i="20"/>
  <c r="H91" i="20"/>
  <c r="E91" i="20"/>
  <c r="H90" i="20"/>
  <c r="E90" i="20"/>
  <c r="H89" i="20"/>
  <c r="E89" i="20"/>
  <c r="H88" i="20"/>
  <c r="E88" i="20"/>
  <c r="H87" i="20"/>
  <c r="E87" i="20"/>
  <c r="H86" i="20"/>
  <c r="E86" i="20"/>
  <c r="H85" i="20"/>
  <c r="E85" i="20"/>
  <c r="H84" i="20"/>
  <c r="E84" i="20"/>
  <c r="H83" i="20"/>
  <c r="E83" i="20"/>
  <c r="H82" i="20"/>
  <c r="E82" i="20"/>
  <c r="H81" i="20"/>
  <c r="E81" i="20"/>
  <c r="H80" i="20"/>
  <c r="E80" i="20"/>
  <c r="H79" i="20"/>
  <c r="E79" i="20"/>
  <c r="H78" i="20"/>
  <c r="E78" i="20"/>
  <c r="H77" i="20"/>
  <c r="E77" i="20"/>
  <c r="H76" i="20"/>
  <c r="E76" i="20"/>
  <c r="H75" i="20"/>
  <c r="E75" i="20"/>
  <c r="H74" i="20"/>
  <c r="E74" i="20"/>
  <c r="H73" i="20"/>
  <c r="E73" i="20"/>
  <c r="H72" i="20"/>
  <c r="E72" i="20"/>
  <c r="H71" i="20"/>
  <c r="E71" i="20"/>
  <c r="H70" i="20"/>
  <c r="E70" i="20"/>
  <c r="H69" i="20"/>
  <c r="E69" i="20"/>
  <c r="H68" i="20"/>
  <c r="F141" i="13" s="1"/>
  <c r="F60" i="13" s="1"/>
  <c r="E68" i="20"/>
  <c r="H67" i="20"/>
  <c r="E67" i="20"/>
  <c r="H66" i="20"/>
  <c r="E66" i="20"/>
  <c r="H65" i="20"/>
  <c r="E65" i="20"/>
  <c r="H64" i="20"/>
  <c r="E64" i="20"/>
  <c r="H63" i="20"/>
  <c r="E63" i="20"/>
  <c r="H62" i="20"/>
  <c r="E62" i="20"/>
  <c r="H61" i="20"/>
  <c r="E61" i="20"/>
  <c r="H60" i="20"/>
  <c r="E60" i="20"/>
  <c r="H59" i="20"/>
  <c r="E59" i="20"/>
  <c r="H58" i="20"/>
  <c r="E58" i="20"/>
  <c r="H57" i="20"/>
  <c r="E57" i="20"/>
  <c r="H56" i="20"/>
  <c r="E56" i="20"/>
  <c r="H55" i="20"/>
  <c r="E55" i="20"/>
  <c r="H54" i="20"/>
  <c r="E54" i="20"/>
  <c r="H53" i="20"/>
  <c r="E53" i="20"/>
  <c r="H52" i="20"/>
  <c r="E52" i="20"/>
  <c r="H51" i="20"/>
  <c r="E51" i="20"/>
  <c r="H50" i="20"/>
  <c r="E50" i="20"/>
  <c r="H49" i="20"/>
  <c r="E49" i="20"/>
  <c r="H48" i="20"/>
  <c r="E48" i="20"/>
  <c r="H47" i="20"/>
  <c r="E47" i="20"/>
  <c r="H46" i="20"/>
  <c r="E46" i="20"/>
  <c r="H45" i="20"/>
  <c r="E45" i="20"/>
  <c r="H44" i="20"/>
  <c r="E44" i="20"/>
  <c r="H43" i="20"/>
  <c r="E43" i="20"/>
  <c r="H42" i="20"/>
  <c r="E42" i="20"/>
  <c r="H41" i="20"/>
  <c r="E41" i="20"/>
  <c r="H40" i="20"/>
  <c r="E40" i="20"/>
  <c r="H39" i="20"/>
  <c r="E39" i="20"/>
  <c r="H38" i="20"/>
  <c r="E38" i="20"/>
  <c r="H37" i="20"/>
  <c r="E37" i="20"/>
  <c r="H36" i="20"/>
  <c r="E36" i="20"/>
  <c r="H35" i="20"/>
  <c r="E35" i="20"/>
  <c r="H34" i="20"/>
  <c r="E34" i="20"/>
  <c r="H33" i="20"/>
  <c r="E33" i="20"/>
  <c r="H32" i="20"/>
  <c r="E32" i="20"/>
  <c r="H31" i="20"/>
  <c r="E31" i="20"/>
  <c r="H30" i="20"/>
  <c r="E30" i="20"/>
  <c r="H29" i="20"/>
  <c r="E29" i="20"/>
  <c r="H28" i="20"/>
  <c r="E28" i="20"/>
  <c r="H27" i="20"/>
  <c r="E27" i="20"/>
  <c r="H26" i="20"/>
  <c r="E26" i="20"/>
  <c r="H25" i="20"/>
  <c r="E25" i="20"/>
  <c r="H24" i="20"/>
  <c r="E24" i="20"/>
  <c r="H23" i="20"/>
  <c r="E23" i="20"/>
  <c r="H22" i="20"/>
  <c r="E22" i="20"/>
  <c r="H21" i="20"/>
  <c r="E21" i="20"/>
  <c r="H20" i="20"/>
  <c r="E20" i="20"/>
  <c r="H19" i="20"/>
  <c r="E19" i="20"/>
  <c r="H18" i="20"/>
  <c r="E18" i="20"/>
  <c r="H17" i="20"/>
  <c r="E17" i="20"/>
  <c r="H16" i="20"/>
  <c r="E16" i="20"/>
  <c r="H15" i="20"/>
  <c r="E15" i="20"/>
  <c r="H14" i="20"/>
  <c r="E14" i="20"/>
  <c r="H13" i="20"/>
  <c r="E13" i="20"/>
  <c r="H12" i="20"/>
  <c r="E12" i="20"/>
  <c r="H11" i="20"/>
  <c r="E11" i="20"/>
  <c r="H10" i="20"/>
  <c r="E10" i="20"/>
  <c r="H9" i="20"/>
  <c r="E9" i="20"/>
  <c r="H8" i="20"/>
  <c r="E8" i="20"/>
  <c r="L7" i="20"/>
  <c r="H7" i="20"/>
  <c r="E7" i="20"/>
  <c r="H6" i="20"/>
  <c r="E6" i="20"/>
  <c r="K12" i="19"/>
  <c r="I12" i="19"/>
  <c r="K11" i="19"/>
  <c r="I11" i="19"/>
  <c r="K10" i="19"/>
  <c r="I10" i="19"/>
  <c r="K9" i="19"/>
  <c r="I9" i="19"/>
  <c r="K8" i="19"/>
  <c r="I8" i="19"/>
  <c r="K7" i="19"/>
  <c r="I7" i="19"/>
  <c r="K6" i="19"/>
  <c r="I6" i="19"/>
  <c r="K5" i="19"/>
  <c r="I5" i="19"/>
  <c r="K4" i="19"/>
  <c r="I4" i="19"/>
  <c r="K3" i="19"/>
  <c r="I3" i="19"/>
  <c r="K2" i="19"/>
  <c r="I2" i="19"/>
  <c r="M20" i="17"/>
  <c r="P20" i="17" s="1"/>
  <c r="L20" i="17"/>
  <c r="K20" i="17"/>
  <c r="I20" i="17"/>
  <c r="G20" i="17"/>
  <c r="E20" i="17"/>
  <c r="C20" i="17"/>
  <c r="O20" i="17" s="1"/>
  <c r="M19" i="17"/>
  <c r="P19" i="17" s="1"/>
  <c r="K19" i="17"/>
  <c r="I19" i="17"/>
  <c r="G19" i="17"/>
  <c r="E19" i="17"/>
  <c r="C19" i="17"/>
  <c r="O19" i="17" s="1"/>
  <c r="M18" i="17"/>
  <c r="K18" i="17"/>
  <c r="K8" i="12" s="1"/>
  <c r="I18" i="17"/>
  <c r="J8" i="12" s="1"/>
  <c r="G18" i="17"/>
  <c r="I8" i="12" s="1"/>
  <c r="E18" i="17"/>
  <c r="H8" i="12" s="1"/>
  <c r="C18" i="17"/>
  <c r="M17" i="17"/>
  <c r="P17" i="17" s="1"/>
  <c r="K17" i="17"/>
  <c r="I17" i="17"/>
  <c r="G17" i="17"/>
  <c r="E17" i="17"/>
  <c r="C17" i="17"/>
  <c r="O17" i="17" s="1"/>
  <c r="M16" i="17"/>
  <c r="K16" i="17"/>
  <c r="K10" i="17"/>
  <c r="K9" i="17"/>
  <c r="K8" i="17"/>
  <c r="K7" i="17"/>
  <c r="K6" i="17"/>
  <c r="K5" i="17"/>
  <c r="Q117" i="16"/>
  <c r="R117" i="16" s="1"/>
  <c r="P117" i="16"/>
  <c r="O117" i="16"/>
  <c r="S117" i="16" s="1"/>
  <c r="N20" i="17" s="1"/>
  <c r="Q116" i="16"/>
  <c r="R116" i="16" s="1"/>
  <c r="P116" i="16"/>
  <c r="O116" i="16"/>
  <c r="S116" i="16" s="1"/>
  <c r="N19" i="17" s="1"/>
  <c r="Q115" i="16"/>
  <c r="R115" i="16" s="1"/>
  <c r="P115" i="16"/>
  <c r="O115" i="16"/>
  <c r="S115" i="16" s="1"/>
  <c r="N18" i="17" s="1"/>
  <c r="Q114" i="16"/>
  <c r="R114" i="16" s="1"/>
  <c r="P114" i="16"/>
  <c r="O114" i="16"/>
  <c r="S114" i="16" s="1"/>
  <c r="N17" i="17" s="1"/>
  <c r="Q113" i="16"/>
  <c r="R113" i="16" s="1"/>
  <c r="P113" i="16"/>
  <c r="O113" i="16"/>
  <c r="S113" i="16" s="1"/>
  <c r="N16" i="17" s="1"/>
  <c r="Q112" i="16"/>
  <c r="R112" i="16" s="1"/>
  <c r="P112" i="16"/>
  <c r="O112" i="16"/>
  <c r="Q111" i="16"/>
  <c r="R111" i="16" s="1"/>
  <c r="P111" i="16"/>
  <c r="O111" i="16"/>
  <c r="Q110" i="16"/>
  <c r="R110" i="16" s="1"/>
  <c r="P110" i="16"/>
  <c r="O110" i="16"/>
  <c r="Q109" i="16"/>
  <c r="R109" i="16" s="1"/>
  <c r="P109" i="16"/>
  <c r="O109" i="16"/>
  <c r="Q108" i="16"/>
  <c r="R108" i="16" s="1"/>
  <c r="P108" i="16"/>
  <c r="O108" i="16"/>
  <c r="Q107" i="16"/>
  <c r="R107" i="16" s="1"/>
  <c r="P107" i="16"/>
  <c r="O107" i="16"/>
  <c r="Q106" i="16"/>
  <c r="R106" i="16" s="1"/>
  <c r="P106" i="16"/>
  <c r="O106" i="16"/>
  <c r="Q105" i="16"/>
  <c r="R105" i="16" s="1"/>
  <c r="P105" i="16"/>
  <c r="O105" i="16"/>
  <c r="Q104" i="16"/>
  <c r="R104" i="16" s="1"/>
  <c r="P104" i="16"/>
  <c r="O104" i="16"/>
  <c r="Q103" i="16"/>
  <c r="R103" i="16" s="1"/>
  <c r="P103" i="16"/>
  <c r="O103" i="16"/>
  <c r="Q102" i="16"/>
  <c r="R102" i="16" s="1"/>
  <c r="P102" i="16"/>
  <c r="O102" i="16"/>
  <c r="S98" i="16"/>
  <c r="Q98" i="16"/>
  <c r="R98" i="16" s="1"/>
  <c r="P98" i="16"/>
  <c r="O98" i="16"/>
  <c r="Q97" i="16"/>
  <c r="R97" i="16" s="1"/>
  <c r="P97" i="16"/>
  <c r="O97" i="16"/>
  <c r="S97" i="16" s="1"/>
  <c r="L19" i="17" s="1"/>
  <c r="Q96" i="16"/>
  <c r="R96" i="16" s="1"/>
  <c r="P96" i="16"/>
  <c r="O96" i="16"/>
  <c r="S96" i="16" s="1"/>
  <c r="L18" i="17" s="1"/>
  <c r="Q95" i="16"/>
  <c r="R95" i="16" s="1"/>
  <c r="P95" i="16"/>
  <c r="O95" i="16"/>
  <c r="S95" i="16" s="1"/>
  <c r="L17" i="17" s="1"/>
  <c r="Q94" i="16"/>
  <c r="R94" i="16" s="1"/>
  <c r="P94" i="16"/>
  <c r="O94" i="16"/>
  <c r="S94" i="16" s="1"/>
  <c r="L16" i="17" s="1"/>
  <c r="Q93" i="16"/>
  <c r="R93" i="16" s="1"/>
  <c r="P93" i="16"/>
  <c r="O93" i="16"/>
  <c r="Q92" i="16"/>
  <c r="R92" i="16" s="1"/>
  <c r="P92" i="16"/>
  <c r="O92" i="16"/>
  <c r="Q91" i="16"/>
  <c r="R91" i="16" s="1"/>
  <c r="P91" i="16"/>
  <c r="O91" i="16"/>
  <c r="Q90" i="16"/>
  <c r="R90" i="16" s="1"/>
  <c r="P90" i="16"/>
  <c r="O90" i="16"/>
  <c r="Q89" i="16"/>
  <c r="R89" i="16" s="1"/>
  <c r="P89" i="16"/>
  <c r="O89" i="16"/>
  <c r="Q88" i="16"/>
  <c r="R88" i="16" s="1"/>
  <c r="P88" i="16"/>
  <c r="O88" i="16"/>
  <c r="S88" i="16" s="1"/>
  <c r="L10" i="17" s="1"/>
  <c r="Q87" i="16"/>
  <c r="R87" i="16" s="1"/>
  <c r="P87" i="16"/>
  <c r="O87" i="16"/>
  <c r="S87" i="16" s="1"/>
  <c r="L9" i="17" s="1"/>
  <c r="Q86" i="16"/>
  <c r="R86" i="16" s="1"/>
  <c r="P86" i="16"/>
  <c r="O86" i="16"/>
  <c r="S86" i="16" s="1"/>
  <c r="L8" i="17" s="1"/>
  <c r="Q85" i="16"/>
  <c r="R85" i="16" s="1"/>
  <c r="P85" i="16"/>
  <c r="O85" i="16"/>
  <c r="S85" i="16" s="1"/>
  <c r="L7" i="17" s="1"/>
  <c r="Q84" i="16"/>
  <c r="R84" i="16" s="1"/>
  <c r="P84" i="16"/>
  <c r="O84" i="16"/>
  <c r="S84" i="16" s="1"/>
  <c r="L6" i="17" s="1"/>
  <c r="Q83" i="16"/>
  <c r="R83" i="16" s="1"/>
  <c r="P83" i="16"/>
  <c r="O83" i="16"/>
  <c r="S83" i="16" s="1"/>
  <c r="L5" i="17" s="1"/>
  <c r="Q79" i="16"/>
  <c r="R79" i="16" s="1"/>
  <c r="P79" i="16"/>
  <c r="O79" i="16"/>
  <c r="S79" i="16" s="1"/>
  <c r="J20" i="17" s="1"/>
  <c r="Q78" i="16"/>
  <c r="R78" i="16" s="1"/>
  <c r="P78" i="16"/>
  <c r="O78" i="16"/>
  <c r="S78" i="16" s="1"/>
  <c r="J19" i="17" s="1"/>
  <c r="Q77" i="16"/>
  <c r="R77" i="16" s="1"/>
  <c r="P77" i="16"/>
  <c r="O77" i="16"/>
  <c r="S77" i="16" s="1"/>
  <c r="J18" i="17" s="1"/>
  <c r="Q76" i="16"/>
  <c r="R76" i="16" s="1"/>
  <c r="P76" i="16"/>
  <c r="O76" i="16"/>
  <c r="S76" i="16" s="1"/>
  <c r="J17" i="17" s="1"/>
  <c r="Q75" i="16"/>
  <c r="R75" i="16" s="1"/>
  <c r="P75" i="16"/>
  <c r="O75" i="16"/>
  <c r="Q74" i="16"/>
  <c r="R74" i="16" s="1"/>
  <c r="P74" i="16"/>
  <c r="O74" i="16"/>
  <c r="Q73" i="16"/>
  <c r="R73" i="16" s="1"/>
  <c r="P73" i="16"/>
  <c r="O73" i="16"/>
  <c r="Q72" i="16"/>
  <c r="R72" i="16" s="1"/>
  <c r="P72" i="16"/>
  <c r="O72" i="16"/>
  <c r="Q71" i="16"/>
  <c r="R71" i="16" s="1"/>
  <c r="P71" i="16"/>
  <c r="O71" i="16"/>
  <c r="Q70" i="16"/>
  <c r="R70" i="16" s="1"/>
  <c r="P70" i="16"/>
  <c r="O70" i="16"/>
  <c r="Q69" i="16"/>
  <c r="R69" i="16" s="1"/>
  <c r="P69" i="16"/>
  <c r="O69" i="16"/>
  <c r="Q68" i="16"/>
  <c r="R68" i="16" s="1"/>
  <c r="P68" i="16"/>
  <c r="O68" i="16"/>
  <c r="Q67" i="16"/>
  <c r="R67" i="16" s="1"/>
  <c r="P67" i="16"/>
  <c r="O67" i="16"/>
  <c r="Q66" i="16"/>
  <c r="R66" i="16" s="1"/>
  <c r="P66" i="16"/>
  <c r="O66" i="16"/>
  <c r="Q65" i="16"/>
  <c r="R65" i="16" s="1"/>
  <c r="P65" i="16"/>
  <c r="O65" i="16"/>
  <c r="Q64" i="16"/>
  <c r="R64" i="16" s="1"/>
  <c r="P64" i="16"/>
  <c r="O64" i="16"/>
  <c r="Q60" i="16"/>
  <c r="R60" i="16" s="1"/>
  <c r="P60" i="16"/>
  <c r="O60" i="16"/>
  <c r="S60" i="16" s="1"/>
  <c r="H20" i="17" s="1"/>
  <c r="Q59" i="16"/>
  <c r="R59" i="16" s="1"/>
  <c r="P59" i="16"/>
  <c r="O59" i="16"/>
  <c r="S59" i="16" s="1"/>
  <c r="H19" i="17" s="1"/>
  <c r="Q58" i="16"/>
  <c r="R58" i="16" s="1"/>
  <c r="P58" i="16"/>
  <c r="O58" i="16"/>
  <c r="S58" i="16" s="1"/>
  <c r="H18" i="17" s="1"/>
  <c r="Q57" i="16"/>
  <c r="R57" i="16" s="1"/>
  <c r="P57" i="16"/>
  <c r="O57" i="16"/>
  <c r="S57" i="16" s="1"/>
  <c r="H17" i="17" s="1"/>
  <c r="Q56" i="16"/>
  <c r="R56" i="16" s="1"/>
  <c r="P56" i="16"/>
  <c r="O56" i="16"/>
  <c r="Q55" i="16"/>
  <c r="R55" i="16" s="1"/>
  <c r="P55" i="16"/>
  <c r="O55" i="16"/>
  <c r="Q54" i="16"/>
  <c r="R54" i="16" s="1"/>
  <c r="P54" i="16"/>
  <c r="O54" i="16"/>
  <c r="Q53" i="16"/>
  <c r="R53" i="16" s="1"/>
  <c r="P53" i="16"/>
  <c r="O53" i="16"/>
  <c r="Q52" i="16"/>
  <c r="R52" i="16" s="1"/>
  <c r="P52" i="16"/>
  <c r="O52" i="16"/>
  <c r="Q51" i="16"/>
  <c r="R51" i="16" s="1"/>
  <c r="P51" i="16"/>
  <c r="O51" i="16"/>
  <c r="Q50" i="16"/>
  <c r="R50" i="16" s="1"/>
  <c r="P50" i="16"/>
  <c r="O50" i="16"/>
  <c r="Q49" i="16"/>
  <c r="R49" i="16" s="1"/>
  <c r="P49" i="16"/>
  <c r="O49" i="16"/>
  <c r="Q48" i="16"/>
  <c r="R48" i="16" s="1"/>
  <c r="P48" i="16"/>
  <c r="O48" i="16"/>
  <c r="Q47" i="16"/>
  <c r="R47" i="16" s="1"/>
  <c r="P47" i="16"/>
  <c r="O47" i="16"/>
  <c r="Q46" i="16"/>
  <c r="R46" i="16" s="1"/>
  <c r="P46" i="16"/>
  <c r="O46" i="16"/>
  <c r="Q45" i="16"/>
  <c r="R45" i="16" s="1"/>
  <c r="P45" i="16"/>
  <c r="O45" i="16"/>
  <c r="Q41" i="16"/>
  <c r="R41" i="16" s="1"/>
  <c r="P41" i="16"/>
  <c r="O41" i="16"/>
  <c r="Q40" i="16"/>
  <c r="R40" i="16" s="1"/>
  <c r="P40" i="16"/>
  <c r="O40" i="16"/>
  <c r="S40" i="16" s="1"/>
  <c r="F19" i="17" s="1"/>
  <c r="Q39" i="16"/>
  <c r="R39" i="16" s="1"/>
  <c r="P39" i="16"/>
  <c r="O39" i="16"/>
  <c r="S39" i="16" s="1"/>
  <c r="F18" i="17" s="1"/>
  <c r="Q38" i="16"/>
  <c r="R38" i="16" s="1"/>
  <c r="P38" i="16"/>
  <c r="O38" i="16"/>
  <c r="S38" i="16" s="1"/>
  <c r="F17" i="17" s="1"/>
  <c r="Q37" i="16"/>
  <c r="R37" i="16" s="1"/>
  <c r="P37" i="16"/>
  <c r="O37" i="16"/>
  <c r="Q36" i="16"/>
  <c r="R36" i="16" s="1"/>
  <c r="P36" i="16"/>
  <c r="O36" i="16"/>
  <c r="Q35" i="16"/>
  <c r="R35" i="16" s="1"/>
  <c r="P35" i="16"/>
  <c r="O35" i="16"/>
  <c r="Q34" i="16"/>
  <c r="R34" i="16" s="1"/>
  <c r="P34" i="16"/>
  <c r="O34" i="16"/>
  <c r="Q33" i="16"/>
  <c r="R33" i="16" s="1"/>
  <c r="P33" i="16"/>
  <c r="O33" i="16"/>
  <c r="Q32" i="16"/>
  <c r="R32" i="16" s="1"/>
  <c r="P32" i="16"/>
  <c r="O32" i="16"/>
  <c r="Q31" i="16"/>
  <c r="R31" i="16" s="1"/>
  <c r="P31" i="16"/>
  <c r="O31" i="16"/>
  <c r="Q30" i="16"/>
  <c r="R30" i="16" s="1"/>
  <c r="P30" i="16"/>
  <c r="O30" i="16"/>
  <c r="Q29" i="16"/>
  <c r="R29" i="16" s="1"/>
  <c r="P29" i="16"/>
  <c r="O29" i="16"/>
  <c r="Q28" i="16"/>
  <c r="R28" i="16" s="1"/>
  <c r="P28" i="16"/>
  <c r="O28" i="16"/>
  <c r="Q27" i="16"/>
  <c r="R27" i="16" s="1"/>
  <c r="P27" i="16"/>
  <c r="O27" i="16"/>
  <c r="Q26" i="16"/>
  <c r="R26" i="16" s="1"/>
  <c r="P26" i="16"/>
  <c r="O26" i="16"/>
  <c r="Q22" i="16"/>
  <c r="R22" i="16" s="1"/>
  <c r="P22" i="16"/>
  <c r="O22" i="16"/>
  <c r="S22" i="16" s="1"/>
  <c r="D20" i="17" s="1"/>
  <c r="Q21" i="16"/>
  <c r="R21" i="16" s="1"/>
  <c r="P21" i="16"/>
  <c r="O21" i="16"/>
  <c r="S21" i="16" s="1"/>
  <c r="D19" i="17" s="1"/>
  <c r="Q20" i="16"/>
  <c r="R20" i="16" s="1"/>
  <c r="P20" i="16"/>
  <c r="O20" i="16"/>
  <c r="S20" i="16" s="1"/>
  <c r="D18" i="17" s="1"/>
  <c r="Q19" i="16"/>
  <c r="R19" i="16" s="1"/>
  <c r="P19" i="16"/>
  <c r="O19" i="16"/>
  <c r="S19" i="16" s="1"/>
  <c r="D17" i="17" s="1"/>
  <c r="Q18" i="16"/>
  <c r="R18" i="16" s="1"/>
  <c r="P18" i="16"/>
  <c r="O18" i="16"/>
  <c r="Q17" i="16"/>
  <c r="R17" i="16" s="1"/>
  <c r="P17" i="16"/>
  <c r="O17" i="16"/>
  <c r="Q16" i="16"/>
  <c r="R16" i="16" s="1"/>
  <c r="P16" i="16"/>
  <c r="O16" i="16"/>
  <c r="Q15" i="16"/>
  <c r="R15" i="16" s="1"/>
  <c r="P15" i="16"/>
  <c r="O15" i="16"/>
  <c r="Q14" i="16"/>
  <c r="R14" i="16" s="1"/>
  <c r="P14" i="16"/>
  <c r="O14" i="16"/>
  <c r="Q13" i="16"/>
  <c r="R13" i="16" s="1"/>
  <c r="P13" i="16"/>
  <c r="O13" i="16"/>
  <c r="Q12" i="16"/>
  <c r="R12" i="16" s="1"/>
  <c r="P12" i="16"/>
  <c r="O12" i="16"/>
  <c r="Q11" i="16"/>
  <c r="R11" i="16" s="1"/>
  <c r="P11" i="16"/>
  <c r="O11" i="16"/>
  <c r="Q10" i="16"/>
  <c r="R10" i="16" s="1"/>
  <c r="P10" i="16"/>
  <c r="O10" i="16"/>
  <c r="Q9" i="16"/>
  <c r="R9" i="16" s="1"/>
  <c r="P9" i="16"/>
  <c r="O9" i="16"/>
  <c r="Q8" i="16"/>
  <c r="R8" i="16" s="1"/>
  <c r="P8" i="16"/>
  <c r="O8" i="16"/>
  <c r="Q7" i="16"/>
  <c r="R7" i="16" s="1"/>
  <c r="P7" i="16"/>
  <c r="O7" i="16"/>
  <c r="M38" i="14"/>
  <c r="L38" i="14"/>
  <c r="K38" i="14"/>
  <c r="E38" i="14"/>
  <c r="G38" i="14" s="1"/>
  <c r="H38" i="14" s="1"/>
  <c r="M37" i="14"/>
  <c r="L37" i="14"/>
  <c r="K37" i="14"/>
  <c r="E37" i="14"/>
  <c r="G37" i="14" s="1"/>
  <c r="H37" i="14" s="1"/>
  <c r="M36" i="14"/>
  <c r="L36" i="14"/>
  <c r="K36" i="14"/>
  <c r="E36" i="14"/>
  <c r="G36" i="14" s="1"/>
  <c r="H36" i="14" s="1"/>
  <c r="M35" i="14"/>
  <c r="L35" i="14"/>
  <c r="K35" i="14"/>
  <c r="E35" i="14"/>
  <c r="G35" i="14" s="1"/>
  <c r="H35" i="14" s="1"/>
  <c r="M34" i="14"/>
  <c r="L34" i="14"/>
  <c r="K34" i="14"/>
  <c r="E34" i="14"/>
  <c r="G34" i="14" s="1"/>
  <c r="H34" i="14" s="1"/>
  <c r="M33" i="14"/>
  <c r="L33" i="14"/>
  <c r="K33" i="14"/>
  <c r="E33" i="14"/>
  <c r="G33" i="14" s="1"/>
  <c r="H33" i="14" s="1"/>
  <c r="M32" i="14"/>
  <c r="L32" i="14"/>
  <c r="K32" i="14"/>
  <c r="E32" i="14"/>
  <c r="G32" i="14" s="1"/>
  <c r="H32" i="14" s="1"/>
  <c r="M31" i="14"/>
  <c r="L31" i="14"/>
  <c r="K31" i="14"/>
  <c r="E31" i="14"/>
  <c r="G31" i="14" s="1"/>
  <c r="H31" i="14" s="1"/>
  <c r="K250" i="13"/>
  <c r="F250" i="13"/>
  <c r="E250" i="13"/>
  <c r="D250" i="13"/>
  <c r="G250" i="13" s="1"/>
  <c r="C250" i="13"/>
  <c r="B250" i="13"/>
  <c r="F249" i="13"/>
  <c r="E249" i="13"/>
  <c r="D249" i="13"/>
  <c r="G249" i="13" s="1"/>
  <c r="C249" i="13"/>
  <c r="B249" i="13"/>
  <c r="K249" i="13" s="1"/>
  <c r="F248" i="13"/>
  <c r="E248" i="13"/>
  <c r="D248" i="13"/>
  <c r="G248" i="13" s="1"/>
  <c r="C248" i="13"/>
  <c r="B248" i="13"/>
  <c r="K248" i="13" s="1"/>
  <c r="F247" i="13"/>
  <c r="E247" i="13"/>
  <c r="D247" i="13"/>
  <c r="G247" i="13" s="1"/>
  <c r="C247" i="13"/>
  <c r="B247" i="13"/>
  <c r="K247" i="13" s="1"/>
  <c r="F246" i="13"/>
  <c r="E246" i="13"/>
  <c r="D246" i="13"/>
  <c r="G246" i="13" s="1"/>
  <c r="C246" i="13"/>
  <c r="B246" i="13"/>
  <c r="K246" i="13" s="1"/>
  <c r="F245" i="13"/>
  <c r="E245" i="13"/>
  <c r="D245" i="13"/>
  <c r="G245" i="13" s="1"/>
  <c r="C245" i="13"/>
  <c r="B245" i="13"/>
  <c r="K245" i="13" s="1"/>
  <c r="F244" i="13"/>
  <c r="E244" i="13"/>
  <c r="D244" i="13"/>
  <c r="G244" i="13" s="1"/>
  <c r="C244" i="13"/>
  <c r="B244" i="13"/>
  <c r="K244" i="13" s="1"/>
  <c r="F243" i="13"/>
  <c r="E243" i="13"/>
  <c r="D243" i="13"/>
  <c r="G243" i="13" s="1"/>
  <c r="C243" i="13"/>
  <c r="B243" i="13"/>
  <c r="K243" i="13" s="1"/>
  <c r="F242" i="13"/>
  <c r="E242" i="13"/>
  <c r="D242" i="13"/>
  <c r="G242" i="13" s="1"/>
  <c r="C242" i="13"/>
  <c r="B242" i="13"/>
  <c r="K242" i="13" s="1"/>
  <c r="F241" i="13"/>
  <c r="E241" i="13"/>
  <c r="D241" i="13"/>
  <c r="G241" i="13" s="1"/>
  <c r="C241" i="13"/>
  <c r="B241" i="13"/>
  <c r="K241" i="13" s="1"/>
  <c r="F240" i="13"/>
  <c r="E240" i="13"/>
  <c r="D240" i="13"/>
  <c r="G240" i="13" s="1"/>
  <c r="C240" i="13"/>
  <c r="B240" i="13"/>
  <c r="K240" i="13" s="1"/>
  <c r="F239" i="13"/>
  <c r="E239" i="13"/>
  <c r="D239" i="13"/>
  <c r="G239" i="13" s="1"/>
  <c r="C239" i="13"/>
  <c r="B239" i="13"/>
  <c r="K239" i="13" s="1"/>
  <c r="F238" i="13"/>
  <c r="E238" i="13"/>
  <c r="D238" i="13"/>
  <c r="G238" i="13" s="1"/>
  <c r="C238" i="13"/>
  <c r="B238" i="13"/>
  <c r="K238" i="13" s="1"/>
  <c r="F237" i="13"/>
  <c r="E237" i="13"/>
  <c r="D237" i="13"/>
  <c r="G237" i="13" s="1"/>
  <c r="C237" i="13"/>
  <c r="B237" i="13"/>
  <c r="K237" i="13" s="1"/>
  <c r="F236" i="13"/>
  <c r="E236" i="13"/>
  <c r="D236" i="13"/>
  <c r="G236" i="13" s="1"/>
  <c r="C236" i="13"/>
  <c r="B236" i="13"/>
  <c r="K236" i="13" s="1"/>
  <c r="F235" i="13"/>
  <c r="E235" i="13"/>
  <c r="D235" i="13"/>
  <c r="G235" i="13" s="1"/>
  <c r="C235" i="13"/>
  <c r="B235" i="13"/>
  <c r="K235" i="13" s="1"/>
  <c r="F234" i="13"/>
  <c r="E234" i="13"/>
  <c r="D234" i="13"/>
  <c r="G234" i="13" s="1"/>
  <c r="C234" i="13"/>
  <c r="B234" i="13"/>
  <c r="K234" i="13" s="1"/>
  <c r="F233" i="13"/>
  <c r="E233" i="13"/>
  <c r="D233" i="13"/>
  <c r="G233" i="13" s="1"/>
  <c r="C233" i="13"/>
  <c r="B233" i="13"/>
  <c r="K233" i="13" s="1"/>
  <c r="F232" i="13"/>
  <c r="E232" i="13"/>
  <c r="D232" i="13"/>
  <c r="G232" i="13" s="1"/>
  <c r="C232" i="13"/>
  <c r="B232" i="13"/>
  <c r="K232" i="13" s="1"/>
  <c r="F231" i="13"/>
  <c r="E231" i="13"/>
  <c r="D231" i="13"/>
  <c r="G231" i="13" s="1"/>
  <c r="C231" i="13"/>
  <c r="B231" i="13"/>
  <c r="K231" i="13" s="1"/>
  <c r="F230" i="13"/>
  <c r="E230" i="13"/>
  <c r="D230" i="13"/>
  <c r="G230" i="13" s="1"/>
  <c r="C230" i="13"/>
  <c r="B230" i="13"/>
  <c r="K230" i="13" s="1"/>
  <c r="F229" i="13"/>
  <c r="E229" i="13"/>
  <c r="D229" i="13"/>
  <c r="G229" i="13" s="1"/>
  <c r="C229" i="13"/>
  <c r="B229" i="13"/>
  <c r="K229" i="13" s="1"/>
  <c r="F228" i="13"/>
  <c r="E228" i="13"/>
  <c r="D228" i="13"/>
  <c r="G228" i="13" s="1"/>
  <c r="C228" i="13"/>
  <c r="B228" i="13"/>
  <c r="K228" i="13" s="1"/>
  <c r="F227" i="13"/>
  <c r="E227" i="13"/>
  <c r="D227" i="13"/>
  <c r="G227" i="13" s="1"/>
  <c r="C227" i="13"/>
  <c r="B227" i="13"/>
  <c r="K227" i="13" s="1"/>
  <c r="F226" i="13"/>
  <c r="E226" i="13"/>
  <c r="D226" i="13"/>
  <c r="G226" i="13" s="1"/>
  <c r="C226" i="13"/>
  <c r="B226" i="13"/>
  <c r="K226" i="13" s="1"/>
  <c r="F225" i="13"/>
  <c r="E225" i="13"/>
  <c r="D225" i="13"/>
  <c r="G225" i="13" s="1"/>
  <c r="C225" i="13"/>
  <c r="B225" i="13"/>
  <c r="K225" i="13" s="1"/>
  <c r="F224" i="13"/>
  <c r="E224" i="13"/>
  <c r="D224" i="13"/>
  <c r="G224" i="13" s="1"/>
  <c r="C224" i="13"/>
  <c r="B224" i="13"/>
  <c r="K224" i="13" s="1"/>
  <c r="K223" i="13"/>
  <c r="F223" i="13"/>
  <c r="E223" i="13"/>
  <c r="D223" i="13"/>
  <c r="G223" i="13" s="1"/>
  <c r="C223" i="13"/>
  <c r="B223" i="13"/>
  <c r="F222" i="13"/>
  <c r="E222" i="13"/>
  <c r="D222" i="13"/>
  <c r="G222" i="13" s="1"/>
  <c r="C222" i="13"/>
  <c r="B222" i="13"/>
  <c r="K222" i="13" s="1"/>
  <c r="F221" i="13"/>
  <c r="E221" i="13"/>
  <c r="D221" i="13"/>
  <c r="G221" i="13" s="1"/>
  <c r="C221" i="13"/>
  <c r="B221" i="13"/>
  <c r="K221" i="13" s="1"/>
  <c r="F220" i="13"/>
  <c r="E220" i="13"/>
  <c r="D220" i="13"/>
  <c r="G220" i="13" s="1"/>
  <c r="C220" i="13"/>
  <c r="B220" i="13"/>
  <c r="K220" i="13" s="1"/>
  <c r="F219" i="13"/>
  <c r="E219" i="13"/>
  <c r="D219" i="13"/>
  <c r="G219" i="13" s="1"/>
  <c r="C219" i="13"/>
  <c r="B219" i="13"/>
  <c r="K219" i="13" s="1"/>
  <c r="F218" i="13"/>
  <c r="E218" i="13"/>
  <c r="D218" i="13"/>
  <c r="G218" i="13" s="1"/>
  <c r="C218" i="13"/>
  <c r="B218" i="13"/>
  <c r="K218" i="13" s="1"/>
  <c r="F217" i="13"/>
  <c r="E217" i="13"/>
  <c r="D217" i="13"/>
  <c r="G217" i="13" s="1"/>
  <c r="C217" i="13"/>
  <c r="B217" i="13"/>
  <c r="K217" i="13" s="1"/>
  <c r="F216" i="13"/>
  <c r="E216" i="13"/>
  <c r="D216" i="13"/>
  <c r="G216" i="13" s="1"/>
  <c r="C216" i="13"/>
  <c r="B216" i="13"/>
  <c r="K216" i="13" s="1"/>
  <c r="F215" i="13"/>
  <c r="E215" i="13"/>
  <c r="D215" i="13"/>
  <c r="G215" i="13" s="1"/>
  <c r="C215" i="13"/>
  <c r="B215" i="13"/>
  <c r="K215" i="13" s="1"/>
  <c r="F214" i="13"/>
  <c r="E214" i="13"/>
  <c r="D214" i="13"/>
  <c r="G214" i="13" s="1"/>
  <c r="C214" i="13"/>
  <c r="B214" i="13"/>
  <c r="K214" i="13" s="1"/>
  <c r="F213" i="13"/>
  <c r="E213" i="13"/>
  <c r="D213" i="13"/>
  <c r="G213" i="13" s="1"/>
  <c r="C213" i="13"/>
  <c r="B213" i="13"/>
  <c r="K213" i="13" s="1"/>
  <c r="F212" i="13"/>
  <c r="E212" i="13"/>
  <c r="D212" i="13"/>
  <c r="G212" i="13" s="1"/>
  <c r="C212" i="13"/>
  <c r="B212" i="13"/>
  <c r="K212" i="13" s="1"/>
  <c r="F211" i="13"/>
  <c r="E211" i="13"/>
  <c r="D211" i="13"/>
  <c r="G211" i="13" s="1"/>
  <c r="C211" i="13"/>
  <c r="B211" i="13"/>
  <c r="K211" i="13" s="1"/>
  <c r="F210" i="13"/>
  <c r="E210" i="13"/>
  <c r="D210" i="13"/>
  <c r="G210" i="13" s="1"/>
  <c r="C210" i="13"/>
  <c r="B210" i="13"/>
  <c r="K210" i="13" s="1"/>
  <c r="F209" i="13"/>
  <c r="E209" i="13"/>
  <c r="D209" i="13"/>
  <c r="G209" i="13" s="1"/>
  <c r="C209" i="13"/>
  <c r="B209" i="13"/>
  <c r="K209" i="13" s="1"/>
  <c r="F208" i="13"/>
  <c r="E208" i="13"/>
  <c r="D208" i="13"/>
  <c r="G208" i="13" s="1"/>
  <c r="C208" i="13"/>
  <c r="B208" i="13"/>
  <c r="K208" i="13" s="1"/>
  <c r="F207" i="13"/>
  <c r="E207" i="13"/>
  <c r="D207" i="13"/>
  <c r="G207" i="13" s="1"/>
  <c r="C207" i="13"/>
  <c r="B207" i="13"/>
  <c r="K207" i="13" s="1"/>
  <c r="F206" i="13"/>
  <c r="E206" i="13"/>
  <c r="D206" i="13"/>
  <c r="G206" i="13" s="1"/>
  <c r="C206" i="13"/>
  <c r="B206" i="13"/>
  <c r="K206" i="13" s="1"/>
  <c r="F205" i="13"/>
  <c r="E205" i="13"/>
  <c r="D205" i="13"/>
  <c r="G205" i="13" s="1"/>
  <c r="C205" i="13"/>
  <c r="B205" i="13"/>
  <c r="K205" i="13" s="1"/>
  <c r="F204" i="13"/>
  <c r="E204" i="13"/>
  <c r="D204" i="13"/>
  <c r="G204" i="13" s="1"/>
  <c r="C204" i="13"/>
  <c r="B204" i="13"/>
  <c r="K204" i="13" s="1"/>
  <c r="F203" i="13"/>
  <c r="E203" i="13"/>
  <c r="D203" i="13"/>
  <c r="G203" i="13" s="1"/>
  <c r="C203" i="13"/>
  <c r="B203" i="13"/>
  <c r="K203" i="13" s="1"/>
  <c r="F202" i="13"/>
  <c r="E202" i="13"/>
  <c r="D202" i="13"/>
  <c r="G202" i="13" s="1"/>
  <c r="C202" i="13"/>
  <c r="B202" i="13"/>
  <c r="K202" i="13" s="1"/>
  <c r="F201" i="13"/>
  <c r="E201" i="13"/>
  <c r="D201" i="13"/>
  <c r="G201" i="13" s="1"/>
  <c r="C201" i="13"/>
  <c r="B201" i="13"/>
  <c r="K201" i="13" s="1"/>
  <c r="F200" i="13"/>
  <c r="E200" i="13"/>
  <c r="D200" i="13"/>
  <c r="G200" i="13" s="1"/>
  <c r="C200" i="13"/>
  <c r="B200" i="13"/>
  <c r="K200" i="13" s="1"/>
  <c r="F199" i="13"/>
  <c r="E199" i="13"/>
  <c r="D199" i="13"/>
  <c r="G199" i="13" s="1"/>
  <c r="C199" i="13"/>
  <c r="B199" i="13"/>
  <c r="K199" i="13" s="1"/>
  <c r="F198" i="13"/>
  <c r="E198" i="13"/>
  <c r="D198" i="13"/>
  <c r="G198" i="13" s="1"/>
  <c r="C198" i="13"/>
  <c r="B198" i="13"/>
  <c r="K198" i="13" s="1"/>
  <c r="F197" i="13"/>
  <c r="E197" i="13"/>
  <c r="D197" i="13"/>
  <c r="G197" i="13" s="1"/>
  <c r="C197" i="13"/>
  <c r="B197" i="13"/>
  <c r="K197" i="13" s="1"/>
  <c r="F196" i="13"/>
  <c r="E196" i="13"/>
  <c r="D196" i="13"/>
  <c r="G196" i="13" s="1"/>
  <c r="C196" i="13"/>
  <c r="K196" i="13" s="1"/>
  <c r="B196" i="13"/>
  <c r="F195" i="13"/>
  <c r="E195" i="13"/>
  <c r="D195" i="13"/>
  <c r="G195" i="13" s="1"/>
  <c r="C195" i="13"/>
  <c r="B195" i="13"/>
  <c r="K195" i="13" s="1"/>
  <c r="F194" i="13"/>
  <c r="E194" i="13"/>
  <c r="D194" i="13"/>
  <c r="G194" i="13" s="1"/>
  <c r="C194" i="13"/>
  <c r="B194" i="13"/>
  <c r="K194" i="13" s="1"/>
  <c r="F193" i="13"/>
  <c r="E193" i="13"/>
  <c r="D193" i="13"/>
  <c r="G193" i="13" s="1"/>
  <c r="C193" i="13"/>
  <c r="B193" i="13"/>
  <c r="K193" i="13" s="1"/>
  <c r="F192" i="13"/>
  <c r="F63" i="13" s="1"/>
  <c r="E192" i="13"/>
  <c r="D63" i="13" s="1"/>
  <c r="D192" i="13"/>
  <c r="C192" i="13"/>
  <c r="B63" i="13" s="1"/>
  <c r="B192" i="13"/>
  <c r="K192" i="13" s="1"/>
  <c r="F191" i="13"/>
  <c r="E191" i="13"/>
  <c r="D191" i="13"/>
  <c r="G191" i="13" s="1"/>
  <c r="C191" i="13"/>
  <c r="B191" i="13"/>
  <c r="K191" i="13" s="1"/>
  <c r="F190" i="13"/>
  <c r="E190" i="13"/>
  <c r="D190" i="13"/>
  <c r="G190" i="13" s="1"/>
  <c r="C190" i="13"/>
  <c r="B190" i="13"/>
  <c r="K190" i="13" s="1"/>
  <c r="F189" i="13"/>
  <c r="E189" i="13"/>
  <c r="D189" i="13"/>
  <c r="G189" i="13" s="1"/>
  <c r="C189" i="13"/>
  <c r="B189" i="13"/>
  <c r="K189" i="13" s="1"/>
  <c r="F188" i="13"/>
  <c r="E188" i="13"/>
  <c r="D188" i="13"/>
  <c r="G188" i="13" s="1"/>
  <c r="C188" i="13"/>
  <c r="B188" i="13"/>
  <c r="K188" i="13" s="1"/>
  <c r="F187" i="13"/>
  <c r="E187" i="13"/>
  <c r="D187" i="13"/>
  <c r="G187" i="13" s="1"/>
  <c r="C187" i="13"/>
  <c r="B187" i="13"/>
  <c r="K187" i="13" s="1"/>
  <c r="F186" i="13"/>
  <c r="E186" i="13"/>
  <c r="D186" i="13"/>
  <c r="G186" i="13" s="1"/>
  <c r="C186" i="13"/>
  <c r="B186" i="13"/>
  <c r="K186" i="13" s="1"/>
  <c r="F185" i="13"/>
  <c r="E185" i="13"/>
  <c r="D185" i="13"/>
  <c r="G185" i="13" s="1"/>
  <c r="C185" i="13"/>
  <c r="B185" i="13"/>
  <c r="K185" i="13" s="1"/>
  <c r="F184" i="13"/>
  <c r="E184" i="13"/>
  <c r="D184" i="13"/>
  <c r="G184" i="13" s="1"/>
  <c r="C184" i="13"/>
  <c r="B184" i="13"/>
  <c r="K184" i="13" s="1"/>
  <c r="F183" i="13"/>
  <c r="E183" i="13"/>
  <c r="D183" i="13"/>
  <c r="G183" i="13" s="1"/>
  <c r="C183" i="13"/>
  <c r="B183" i="13"/>
  <c r="K183" i="13" s="1"/>
  <c r="F182" i="13"/>
  <c r="E182" i="13"/>
  <c r="D182" i="13"/>
  <c r="G182" i="13" s="1"/>
  <c r="C182" i="13"/>
  <c r="B182" i="13"/>
  <c r="K182" i="13" s="1"/>
  <c r="F181" i="13"/>
  <c r="E181" i="13"/>
  <c r="D181" i="13"/>
  <c r="G181" i="13" s="1"/>
  <c r="C181" i="13"/>
  <c r="B181" i="13"/>
  <c r="K181" i="13" s="1"/>
  <c r="F180" i="13"/>
  <c r="E180" i="13"/>
  <c r="D180" i="13"/>
  <c r="G180" i="13" s="1"/>
  <c r="C180" i="13"/>
  <c r="B180" i="13"/>
  <c r="K180" i="13" s="1"/>
  <c r="F179" i="13"/>
  <c r="E179" i="13"/>
  <c r="D179" i="13"/>
  <c r="G179" i="13" s="1"/>
  <c r="C179" i="13"/>
  <c r="B179" i="13"/>
  <c r="K179" i="13" s="1"/>
  <c r="F178" i="13"/>
  <c r="E178" i="13"/>
  <c r="D178" i="13"/>
  <c r="G178" i="13" s="1"/>
  <c r="C178" i="13"/>
  <c r="B178" i="13"/>
  <c r="K178" i="13" s="1"/>
  <c r="F177" i="13"/>
  <c r="E177" i="13"/>
  <c r="D177" i="13"/>
  <c r="G177" i="13" s="1"/>
  <c r="C177" i="13"/>
  <c r="B177" i="13"/>
  <c r="K177" i="13" s="1"/>
  <c r="F176" i="13"/>
  <c r="E176" i="13"/>
  <c r="D176" i="13"/>
  <c r="G176" i="13" s="1"/>
  <c r="C176" i="13"/>
  <c r="B176" i="13"/>
  <c r="K176" i="13" s="1"/>
  <c r="F175" i="13"/>
  <c r="E175" i="13"/>
  <c r="D175" i="13"/>
  <c r="G175" i="13" s="1"/>
  <c r="C175" i="13"/>
  <c r="B175" i="13"/>
  <c r="K175" i="13" s="1"/>
  <c r="F174" i="13"/>
  <c r="E174" i="13"/>
  <c r="D174" i="13"/>
  <c r="G174" i="13" s="1"/>
  <c r="C174" i="13"/>
  <c r="B174" i="13"/>
  <c r="K174" i="13" s="1"/>
  <c r="F173" i="13"/>
  <c r="E173" i="13"/>
  <c r="D173" i="13"/>
  <c r="G173" i="13" s="1"/>
  <c r="C173" i="13"/>
  <c r="B173" i="13"/>
  <c r="K173" i="13" s="1"/>
  <c r="F172" i="13"/>
  <c r="E172" i="13"/>
  <c r="D172" i="13"/>
  <c r="G172" i="13" s="1"/>
  <c r="C172" i="13"/>
  <c r="B172" i="13"/>
  <c r="K172" i="13" s="1"/>
  <c r="F171" i="13"/>
  <c r="E171" i="13"/>
  <c r="D171" i="13"/>
  <c r="G171" i="13" s="1"/>
  <c r="C171" i="13"/>
  <c r="B171" i="13"/>
  <c r="K171" i="13" s="1"/>
  <c r="F170" i="13"/>
  <c r="F64" i="13" s="1"/>
  <c r="E170" i="13"/>
  <c r="D64" i="13" s="1"/>
  <c r="D170" i="13"/>
  <c r="C170" i="13"/>
  <c r="B64" i="13" s="1"/>
  <c r="B170" i="13"/>
  <c r="K170" i="13" s="1"/>
  <c r="F169" i="13"/>
  <c r="E169" i="13"/>
  <c r="D169" i="13"/>
  <c r="G169" i="13" s="1"/>
  <c r="C169" i="13"/>
  <c r="K169" i="13" s="1"/>
  <c r="B169" i="13"/>
  <c r="F168" i="13"/>
  <c r="E168" i="13"/>
  <c r="D168" i="13"/>
  <c r="G168" i="13" s="1"/>
  <c r="C168" i="13"/>
  <c r="B168" i="13"/>
  <c r="K168" i="13" s="1"/>
  <c r="F167" i="13"/>
  <c r="E167" i="13"/>
  <c r="D167" i="13"/>
  <c r="G167" i="13" s="1"/>
  <c r="C167" i="13"/>
  <c r="B167" i="13"/>
  <c r="K167" i="13" s="1"/>
  <c r="F166" i="13"/>
  <c r="E166" i="13"/>
  <c r="D166" i="13"/>
  <c r="G166" i="13" s="1"/>
  <c r="C166" i="13"/>
  <c r="B166" i="13"/>
  <c r="K166" i="13" s="1"/>
  <c r="F165" i="13"/>
  <c r="E165" i="13"/>
  <c r="D165" i="13"/>
  <c r="G165" i="13" s="1"/>
  <c r="C165" i="13"/>
  <c r="B165" i="13"/>
  <c r="K165" i="13" s="1"/>
  <c r="F164" i="13"/>
  <c r="E164" i="13"/>
  <c r="D164" i="13"/>
  <c r="G164" i="13" s="1"/>
  <c r="C164" i="13"/>
  <c r="B164" i="13"/>
  <c r="K164" i="13" s="1"/>
  <c r="F163" i="13"/>
  <c r="E163" i="13"/>
  <c r="D163" i="13"/>
  <c r="G163" i="13" s="1"/>
  <c r="C163" i="13"/>
  <c r="B163" i="13"/>
  <c r="K163" i="13" s="1"/>
  <c r="F162" i="13"/>
  <c r="F61" i="13" s="1"/>
  <c r="E162" i="13"/>
  <c r="D61" i="13" s="1"/>
  <c r="D162" i="13"/>
  <c r="C162" i="13"/>
  <c r="B61" i="13" s="1"/>
  <c r="B162" i="13"/>
  <c r="K162" i="13" s="1"/>
  <c r="F161" i="13"/>
  <c r="E161" i="13"/>
  <c r="D161" i="13"/>
  <c r="G161" i="13" s="1"/>
  <c r="C161" i="13"/>
  <c r="B161" i="13"/>
  <c r="K161" i="13" s="1"/>
  <c r="F160" i="13"/>
  <c r="E160" i="13"/>
  <c r="D160" i="13"/>
  <c r="G160" i="13" s="1"/>
  <c r="C160" i="13"/>
  <c r="B160" i="13"/>
  <c r="K160" i="13" s="1"/>
  <c r="F159" i="13"/>
  <c r="E159" i="13"/>
  <c r="D159" i="13"/>
  <c r="G159" i="13" s="1"/>
  <c r="C159" i="13"/>
  <c r="B159" i="13"/>
  <c r="K159" i="13" s="1"/>
  <c r="F158" i="13"/>
  <c r="E158" i="13"/>
  <c r="D158" i="13"/>
  <c r="G158" i="13" s="1"/>
  <c r="C158" i="13"/>
  <c r="B158" i="13"/>
  <c r="K158" i="13" s="1"/>
  <c r="F157" i="13"/>
  <c r="E157" i="13"/>
  <c r="D157" i="13"/>
  <c r="G157" i="13" s="1"/>
  <c r="C157" i="13"/>
  <c r="B157" i="13"/>
  <c r="K157" i="13" s="1"/>
  <c r="F156" i="13"/>
  <c r="E156" i="13"/>
  <c r="D156" i="13"/>
  <c r="G156" i="13" s="1"/>
  <c r="C156" i="13"/>
  <c r="B156" i="13"/>
  <c r="K156" i="13" s="1"/>
  <c r="F155" i="13"/>
  <c r="E155" i="13"/>
  <c r="D155" i="13"/>
  <c r="G155" i="13" s="1"/>
  <c r="C155" i="13"/>
  <c r="B155" i="13"/>
  <c r="K155" i="13" s="1"/>
  <c r="F154" i="13"/>
  <c r="E154" i="13"/>
  <c r="D154" i="13"/>
  <c r="G154" i="13" s="1"/>
  <c r="C154" i="13"/>
  <c r="B154" i="13"/>
  <c r="K154" i="13" s="1"/>
  <c r="F153" i="13"/>
  <c r="E153" i="13"/>
  <c r="D153" i="13"/>
  <c r="G153" i="13" s="1"/>
  <c r="C153" i="13"/>
  <c r="B153" i="13"/>
  <c r="K153" i="13" s="1"/>
  <c r="F152" i="13"/>
  <c r="E152" i="13"/>
  <c r="D152" i="13"/>
  <c r="G152" i="13" s="1"/>
  <c r="C152" i="13"/>
  <c r="B152" i="13"/>
  <c r="K152" i="13" s="1"/>
  <c r="F151" i="13"/>
  <c r="E151" i="13"/>
  <c r="D151" i="13"/>
  <c r="G151" i="13" s="1"/>
  <c r="C151" i="13"/>
  <c r="B151" i="13"/>
  <c r="K151" i="13" s="1"/>
  <c r="F150" i="13"/>
  <c r="E150" i="13"/>
  <c r="D150" i="13"/>
  <c r="G150" i="13" s="1"/>
  <c r="C150" i="13"/>
  <c r="B150" i="13"/>
  <c r="K150" i="13" s="1"/>
  <c r="F149" i="13"/>
  <c r="E149" i="13"/>
  <c r="D149" i="13"/>
  <c r="G149" i="13" s="1"/>
  <c r="C149" i="13"/>
  <c r="B149" i="13"/>
  <c r="K149" i="13" s="1"/>
  <c r="F148" i="13"/>
  <c r="E148" i="13"/>
  <c r="D148" i="13"/>
  <c r="G148" i="13" s="1"/>
  <c r="C148" i="13"/>
  <c r="B148" i="13"/>
  <c r="K148" i="13" s="1"/>
  <c r="F147" i="13"/>
  <c r="E147" i="13"/>
  <c r="D147" i="13"/>
  <c r="G147" i="13" s="1"/>
  <c r="C147" i="13"/>
  <c r="B147" i="13"/>
  <c r="K147" i="13" s="1"/>
  <c r="F146" i="13"/>
  <c r="F62" i="13" s="1"/>
  <c r="E146" i="13"/>
  <c r="D62" i="13" s="1"/>
  <c r="D146" i="13"/>
  <c r="C146" i="13"/>
  <c r="B62" i="13" s="1"/>
  <c r="B146" i="13"/>
  <c r="K146" i="13" s="1"/>
  <c r="F145" i="13"/>
  <c r="E145" i="13"/>
  <c r="D145" i="13"/>
  <c r="G145" i="13" s="1"/>
  <c r="C145" i="13"/>
  <c r="B145" i="13"/>
  <c r="K145" i="13" s="1"/>
  <c r="F144" i="13"/>
  <c r="E144" i="13"/>
  <c r="D144" i="13"/>
  <c r="G144" i="13" s="1"/>
  <c r="C144" i="13"/>
  <c r="B144" i="13"/>
  <c r="K144" i="13" s="1"/>
  <c r="F143" i="13"/>
  <c r="E143" i="13"/>
  <c r="D143" i="13"/>
  <c r="G143" i="13" s="1"/>
  <c r="C143" i="13"/>
  <c r="B143" i="13"/>
  <c r="K143" i="13" s="1"/>
  <c r="F142" i="13"/>
  <c r="E142" i="13"/>
  <c r="D142" i="13"/>
  <c r="G142" i="13" s="1"/>
  <c r="C142" i="13"/>
  <c r="K142" i="13" s="1"/>
  <c r="B142" i="13"/>
  <c r="E141" i="13"/>
  <c r="D141" i="13"/>
  <c r="C141" i="13"/>
  <c r="B141" i="13"/>
  <c r="K141" i="13" s="1"/>
  <c r="F140" i="13"/>
  <c r="E140" i="13"/>
  <c r="D140" i="13"/>
  <c r="G140" i="13" s="1"/>
  <c r="C140" i="13"/>
  <c r="B140" i="13"/>
  <c r="K140" i="13" s="1"/>
  <c r="F139" i="13"/>
  <c r="E139" i="13"/>
  <c r="D139" i="13"/>
  <c r="G139" i="13" s="1"/>
  <c r="C139" i="13"/>
  <c r="B139" i="13"/>
  <c r="K139" i="13" s="1"/>
  <c r="F138" i="13"/>
  <c r="E138" i="13"/>
  <c r="D138" i="13"/>
  <c r="G138" i="13" s="1"/>
  <c r="C138" i="13"/>
  <c r="B138" i="13"/>
  <c r="K138" i="13" s="1"/>
  <c r="F137" i="13"/>
  <c r="E137" i="13"/>
  <c r="D137" i="13"/>
  <c r="G137" i="13" s="1"/>
  <c r="C137" i="13"/>
  <c r="B137" i="13"/>
  <c r="K137" i="13" s="1"/>
  <c r="F136" i="13"/>
  <c r="E136" i="13"/>
  <c r="D136" i="13"/>
  <c r="G136" i="13" s="1"/>
  <c r="C136" i="13"/>
  <c r="B136" i="13"/>
  <c r="K136" i="13" s="1"/>
  <c r="F135" i="13"/>
  <c r="E135" i="13"/>
  <c r="D135" i="13"/>
  <c r="G135" i="13" s="1"/>
  <c r="C135" i="13"/>
  <c r="B135" i="13"/>
  <c r="K135" i="13" s="1"/>
  <c r="F134" i="13"/>
  <c r="F58" i="13" s="1"/>
  <c r="E134" i="13"/>
  <c r="D58" i="13" s="1"/>
  <c r="D134" i="13"/>
  <c r="C134" i="13"/>
  <c r="B58" i="13" s="1"/>
  <c r="B134" i="13"/>
  <c r="K134" i="13" s="1"/>
  <c r="F133" i="13"/>
  <c r="E133" i="13"/>
  <c r="D133" i="13"/>
  <c r="G133" i="13" s="1"/>
  <c r="C133" i="13"/>
  <c r="B133" i="13"/>
  <c r="K133" i="13" s="1"/>
  <c r="F132" i="13"/>
  <c r="E132" i="13"/>
  <c r="D132" i="13"/>
  <c r="G132" i="13" s="1"/>
  <c r="C132" i="13"/>
  <c r="B132" i="13"/>
  <c r="K132" i="13" s="1"/>
  <c r="F131" i="13"/>
  <c r="E131" i="13"/>
  <c r="D131" i="13"/>
  <c r="G131" i="13" s="1"/>
  <c r="C131" i="13"/>
  <c r="B131" i="13"/>
  <c r="K131" i="13" s="1"/>
  <c r="F130" i="13"/>
  <c r="E130" i="13"/>
  <c r="D130" i="13"/>
  <c r="G130" i="13" s="1"/>
  <c r="C130" i="13"/>
  <c r="B130" i="13"/>
  <c r="K130" i="13" s="1"/>
  <c r="F129" i="13"/>
  <c r="E129" i="13"/>
  <c r="D129" i="13"/>
  <c r="G129" i="13" s="1"/>
  <c r="C129" i="13"/>
  <c r="B129" i="13"/>
  <c r="K129" i="13" s="1"/>
  <c r="F128" i="13"/>
  <c r="E128" i="13"/>
  <c r="D128" i="13"/>
  <c r="G128" i="13" s="1"/>
  <c r="C128" i="13"/>
  <c r="B128" i="13"/>
  <c r="K128" i="13" s="1"/>
  <c r="F127" i="13"/>
  <c r="E127" i="13"/>
  <c r="D127" i="13"/>
  <c r="G127" i="13" s="1"/>
  <c r="C127" i="13"/>
  <c r="B127" i="13"/>
  <c r="K127" i="13" s="1"/>
  <c r="F126" i="13"/>
  <c r="E126" i="13"/>
  <c r="D126" i="13"/>
  <c r="G126" i="13" s="1"/>
  <c r="C126" i="13"/>
  <c r="B126" i="13"/>
  <c r="K126" i="13" s="1"/>
  <c r="F125" i="13"/>
  <c r="E125" i="13"/>
  <c r="D125" i="13"/>
  <c r="G125" i="13" s="1"/>
  <c r="C125" i="13"/>
  <c r="B125" i="13"/>
  <c r="K125" i="13" s="1"/>
  <c r="F124" i="13"/>
  <c r="E124" i="13"/>
  <c r="D124" i="13"/>
  <c r="G124" i="13" s="1"/>
  <c r="C124" i="13"/>
  <c r="B124" i="13"/>
  <c r="K124" i="13" s="1"/>
  <c r="F123" i="13"/>
  <c r="E123" i="13"/>
  <c r="D123" i="13"/>
  <c r="G123" i="13" s="1"/>
  <c r="C123" i="13"/>
  <c r="B123" i="13"/>
  <c r="K123" i="13" s="1"/>
  <c r="F122" i="13"/>
  <c r="E122" i="13"/>
  <c r="D122" i="13"/>
  <c r="G122" i="13" s="1"/>
  <c r="C122" i="13"/>
  <c r="B122" i="13"/>
  <c r="K122" i="13" s="1"/>
  <c r="F121" i="13"/>
  <c r="E121" i="13"/>
  <c r="D121" i="13"/>
  <c r="G121" i="13" s="1"/>
  <c r="C121" i="13"/>
  <c r="B121" i="13"/>
  <c r="K121" i="13" s="1"/>
  <c r="F120" i="13"/>
  <c r="E120" i="13"/>
  <c r="D120" i="13"/>
  <c r="G120" i="13" s="1"/>
  <c r="C120" i="13"/>
  <c r="B120" i="13"/>
  <c r="K120" i="13" s="1"/>
  <c r="F119" i="13"/>
  <c r="E119" i="13"/>
  <c r="D119" i="13"/>
  <c r="G119" i="13" s="1"/>
  <c r="C119" i="13"/>
  <c r="B119" i="13"/>
  <c r="K119" i="13" s="1"/>
  <c r="F118" i="13"/>
  <c r="E118" i="13"/>
  <c r="D118" i="13"/>
  <c r="G118" i="13" s="1"/>
  <c r="C118" i="13"/>
  <c r="B118" i="13"/>
  <c r="K118" i="13" s="1"/>
  <c r="F117" i="13"/>
  <c r="E117" i="13"/>
  <c r="D117" i="13"/>
  <c r="G117" i="13" s="1"/>
  <c r="C117" i="13"/>
  <c r="B117" i="13"/>
  <c r="K117" i="13" s="1"/>
  <c r="F116" i="13"/>
  <c r="E116" i="13"/>
  <c r="D116" i="13"/>
  <c r="G116" i="13" s="1"/>
  <c r="C116" i="13"/>
  <c r="B116" i="13"/>
  <c r="K116" i="13" s="1"/>
  <c r="F115" i="13"/>
  <c r="E115" i="13"/>
  <c r="D115" i="13"/>
  <c r="G115" i="13" s="1"/>
  <c r="C115" i="13"/>
  <c r="K115" i="13" s="1"/>
  <c r="B115" i="13"/>
  <c r="F114" i="13"/>
  <c r="E114" i="13"/>
  <c r="D114" i="13"/>
  <c r="G114" i="13" s="1"/>
  <c r="C114" i="13"/>
  <c r="B114" i="13"/>
  <c r="K114" i="13" s="1"/>
  <c r="F113" i="13"/>
  <c r="E113" i="13"/>
  <c r="D113" i="13"/>
  <c r="G113" i="13" s="1"/>
  <c r="C113" i="13"/>
  <c r="B113" i="13"/>
  <c r="K113" i="13" s="1"/>
  <c r="F112" i="13"/>
  <c r="E112" i="13"/>
  <c r="D112" i="13"/>
  <c r="G112" i="13" s="1"/>
  <c r="C112" i="13"/>
  <c r="B112" i="13"/>
  <c r="K112" i="13" s="1"/>
  <c r="F111" i="13"/>
  <c r="E111" i="13"/>
  <c r="D111" i="13"/>
  <c r="G111" i="13" s="1"/>
  <c r="C111" i="13"/>
  <c r="B111" i="13"/>
  <c r="K111" i="13" s="1"/>
  <c r="F110" i="13"/>
  <c r="E110" i="13"/>
  <c r="D110" i="13"/>
  <c r="G110" i="13" s="1"/>
  <c r="C110" i="13"/>
  <c r="B110" i="13"/>
  <c r="K110" i="13" s="1"/>
  <c r="F109" i="13"/>
  <c r="E109" i="13"/>
  <c r="D109" i="13"/>
  <c r="G109" i="13" s="1"/>
  <c r="C109" i="13"/>
  <c r="B109" i="13"/>
  <c r="K109" i="13" s="1"/>
  <c r="F108" i="13"/>
  <c r="E108" i="13"/>
  <c r="D108" i="13"/>
  <c r="G108" i="13" s="1"/>
  <c r="C108" i="13"/>
  <c r="B108" i="13"/>
  <c r="K108" i="13" s="1"/>
  <c r="F107" i="13"/>
  <c r="E107" i="13"/>
  <c r="D107" i="13"/>
  <c r="G107" i="13" s="1"/>
  <c r="C107" i="13"/>
  <c r="B107" i="13"/>
  <c r="K107" i="13" s="1"/>
  <c r="F106" i="13"/>
  <c r="E106" i="13"/>
  <c r="D106" i="13"/>
  <c r="G106" i="13" s="1"/>
  <c r="C106" i="13"/>
  <c r="B106" i="13"/>
  <c r="K106" i="13" s="1"/>
  <c r="F105" i="13"/>
  <c r="E105" i="13"/>
  <c r="D105" i="13"/>
  <c r="G105" i="13" s="1"/>
  <c r="C105" i="13"/>
  <c r="B105" i="13"/>
  <c r="K105" i="13" s="1"/>
  <c r="F104" i="13"/>
  <c r="F59" i="13" s="1"/>
  <c r="E104" i="13"/>
  <c r="D59" i="13" s="1"/>
  <c r="D104" i="13"/>
  <c r="C104" i="13"/>
  <c r="B59" i="13" s="1"/>
  <c r="B104" i="13"/>
  <c r="K104" i="13" s="1"/>
  <c r="F103" i="13"/>
  <c r="E103" i="13"/>
  <c r="D103" i="13"/>
  <c r="G103" i="13" s="1"/>
  <c r="C103" i="13"/>
  <c r="B103" i="13"/>
  <c r="K103" i="13" s="1"/>
  <c r="F102" i="13"/>
  <c r="E102" i="13"/>
  <c r="D102" i="13"/>
  <c r="G102" i="13" s="1"/>
  <c r="C102" i="13"/>
  <c r="B102" i="13"/>
  <c r="K102" i="13" s="1"/>
  <c r="F101" i="13"/>
  <c r="E101" i="13"/>
  <c r="D101" i="13"/>
  <c r="G101" i="13" s="1"/>
  <c r="C101" i="13"/>
  <c r="B101" i="13"/>
  <c r="K101" i="13" s="1"/>
  <c r="F100" i="13"/>
  <c r="E100" i="13"/>
  <c r="D100" i="13"/>
  <c r="G100" i="13" s="1"/>
  <c r="C100" i="13"/>
  <c r="B100" i="13"/>
  <c r="K100" i="13" s="1"/>
  <c r="F99" i="13"/>
  <c r="E99" i="13"/>
  <c r="D99" i="13"/>
  <c r="G99" i="13" s="1"/>
  <c r="C99" i="13"/>
  <c r="B99" i="13"/>
  <c r="K99" i="13" s="1"/>
  <c r="F98" i="13"/>
  <c r="E98" i="13"/>
  <c r="D98" i="13"/>
  <c r="G98" i="13" s="1"/>
  <c r="C98" i="13"/>
  <c r="B98" i="13"/>
  <c r="K98" i="13" s="1"/>
  <c r="F97" i="13"/>
  <c r="E97" i="13"/>
  <c r="D97" i="13"/>
  <c r="G97" i="13" s="1"/>
  <c r="C97" i="13"/>
  <c r="B97" i="13"/>
  <c r="K97" i="13" s="1"/>
  <c r="F96" i="13"/>
  <c r="E96" i="13"/>
  <c r="D96" i="13"/>
  <c r="G96" i="13" s="1"/>
  <c r="C96" i="13"/>
  <c r="B96" i="13"/>
  <c r="K96" i="13" s="1"/>
  <c r="F95" i="13"/>
  <c r="E95" i="13"/>
  <c r="D95" i="13"/>
  <c r="G95" i="13" s="1"/>
  <c r="C95" i="13"/>
  <c r="B95" i="13"/>
  <c r="K95" i="13" s="1"/>
  <c r="F94" i="13"/>
  <c r="E94" i="13"/>
  <c r="D94" i="13"/>
  <c r="G94" i="13" s="1"/>
  <c r="C94" i="13"/>
  <c r="B94" i="13"/>
  <c r="K94" i="13" s="1"/>
  <c r="F93" i="13"/>
  <c r="E93" i="13"/>
  <c r="D93" i="13"/>
  <c r="G93" i="13" s="1"/>
  <c r="C93" i="13"/>
  <c r="B93" i="13"/>
  <c r="K93" i="13" s="1"/>
  <c r="F92" i="13"/>
  <c r="E92" i="13"/>
  <c r="D92" i="13"/>
  <c r="G92" i="13" s="1"/>
  <c r="C92" i="13"/>
  <c r="B92" i="13"/>
  <c r="K92" i="13" s="1"/>
  <c r="F91" i="13"/>
  <c r="E91" i="13"/>
  <c r="D91" i="13"/>
  <c r="G91" i="13" s="1"/>
  <c r="C91" i="13"/>
  <c r="B91" i="13"/>
  <c r="K91" i="13" s="1"/>
  <c r="F90" i="13"/>
  <c r="E90" i="13"/>
  <c r="D90" i="13"/>
  <c r="G90" i="13" s="1"/>
  <c r="C90" i="13"/>
  <c r="B90" i="13"/>
  <c r="K90" i="13" s="1"/>
  <c r="F89" i="13"/>
  <c r="E89" i="13"/>
  <c r="D89" i="13"/>
  <c r="G89" i="13" s="1"/>
  <c r="C89" i="13"/>
  <c r="B89" i="13"/>
  <c r="K89" i="13" s="1"/>
  <c r="F88" i="13"/>
  <c r="E88" i="13"/>
  <c r="D88" i="13"/>
  <c r="G88" i="13" s="1"/>
  <c r="C88" i="13"/>
  <c r="K88" i="13" s="1"/>
  <c r="B88" i="13"/>
  <c r="F87" i="13"/>
  <c r="E87" i="13"/>
  <c r="D87" i="13"/>
  <c r="G87" i="13" s="1"/>
  <c r="C87" i="13"/>
  <c r="B87" i="13"/>
  <c r="K87" i="13" s="1"/>
  <c r="F86" i="13"/>
  <c r="E86" i="13"/>
  <c r="D86" i="13"/>
  <c r="G86" i="13" s="1"/>
  <c r="C86" i="13"/>
  <c r="B86" i="13"/>
  <c r="K86" i="13" s="1"/>
  <c r="F85" i="13"/>
  <c r="E85" i="13"/>
  <c r="D85" i="13"/>
  <c r="G85" i="13" s="1"/>
  <c r="C85" i="13"/>
  <c r="B85" i="13"/>
  <c r="K85" i="13" s="1"/>
  <c r="F84" i="13"/>
  <c r="E84" i="13"/>
  <c r="D84" i="13"/>
  <c r="G84" i="13" s="1"/>
  <c r="C84" i="13"/>
  <c r="B84" i="13"/>
  <c r="K84" i="13" s="1"/>
  <c r="F83" i="13"/>
  <c r="E83" i="13"/>
  <c r="D83" i="13"/>
  <c r="G83" i="13" s="1"/>
  <c r="C83" i="13"/>
  <c r="B83" i="13"/>
  <c r="K83" i="13" s="1"/>
  <c r="F82" i="13"/>
  <c r="E82" i="13"/>
  <c r="D82" i="13"/>
  <c r="G82" i="13" s="1"/>
  <c r="C82" i="13"/>
  <c r="B82" i="13"/>
  <c r="K82" i="13" s="1"/>
  <c r="F81" i="13"/>
  <c r="E81" i="13"/>
  <c r="D81" i="13"/>
  <c r="G81" i="13" s="1"/>
  <c r="C81" i="13"/>
  <c r="B81" i="13"/>
  <c r="K81" i="13" s="1"/>
  <c r="F80" i="13"/>
  <c r="E80" i="13"/>
  <c r="D80" i="13"/>
  <c r="G80" i="13" s="1"/>
  <c r="C80" i="13"/>
  <c r="B80" i="13"/>
  <c r="K80" i="13" s="1"/>
  <c r="F79" i="13"/>
  <c r="E79" i="13"/>
  <c r="D79" i="13"/>
  <c r="G79" i="13" s="1"/>
  <c r="C79" i="13"/>
  <c r="B79" i="13"/>
  <c r="K79" i="13" s="1"/>
  <c r="D60" i="13"/>
  <c r="C60" i="13"/>
  <c r="B60" i="13"/>
  <c r="K54" i="13"/>
  <c r="L54" i="13" s="1"/>
  <c r="H54" i="13"/>
  <c r="I54" i="13" s="1"/>
  <c r="K53" i="13"/>
  <c r="L53" i="13" s="1"/>
  <c r="H53" i="13"/>
  <c r="I53" i="13" s="1"/>
  <c r="K52" i="13"/>
  <c r="L52" i="13" s="1"/>
  <c r="H52" i="13"/>
  <c r="I52" i="13" s="1"/>
  <c r="K51" i="13"/>
  <c r="L51" i="13" s="1"/>
  <c r="H51" i="13"/>
  <c r="I51" i="13" s="1"/>
  <c r="K50" i="13"/>
  <c r="L50" i="13" s="1"/>
  <c r="H50" i="13"/>
  <c r="I50" i="13" s="1"/>
  <c r="K49" i="13"/>
  <c r="L49" i="13" s="1"/>
  <c r="H49" i="13"/>
  <c r="I49" i="13" s="1"/>
  <c r="K48" i="13"/>
  <c r="L48" i="13" s="1"/>
  <c r="H48" i="13"/>
  <c r="I48" i="13" s="1"/>
  <c r="K47" i="13"/>
  <c r="L47" i="13" s="1"/>
  <c r="H47" i="13"/>
  <c r="I47" i="13" s="1"/>
  <c r="K46" i="13"/>
  <c r="L46" i="13" s="1"/>
  <c r="H46" i="13"/>
  <c r="I46" i="13" s="1"/>
  <c r="K45" i="13"/>
  <c r="L45" i="13" s="1"/>
  <c r="H45" i="13"/>
  <c r="I45" i="13" s="1"/>
  <c r="K44" i="13"/>
  <c r="L44" i="13" s="1"/>
  <c r="H44" i="13"/>
  <c r="I44" i="13" s="1"/>
  <c r="K43" i="13"/>
  <c r="L43" i="13" s="1"/>
  <c r="H43" i="13"/>
  <c r="I43" i="13" s="1"/>
  <c r="K42" i="13"/>
  <c r="L42" i="13" s="1"/>
  <c r="H42" i="13"/>
  <c r="I42" i="13" s="1"/>
  <c r="K41" i="13"/>
  <c r="L41" i="13" s="1"/>
  <c r="H41" i="13"/>
  <c r="I41" i="13" s="1"/>
  <c r="K40" i="13"/>
  <c r="L40" i="13" s="1"/>
  <c r="H40" i="13"/>
  <c r="I40" i="13" s="1"/>
  <c r="K39" i="13"/>
  <c r="L39" i="13" s="1"/>
  <c r="H39" i="13"/>
  <c r="I39" i="13" s="1"/>
  <c r="K38" i="13"/>
  <c r="L38" i="13" s="1"/>
  <c r="H38" i="13"/>
  <c r="I38" i="13" s="1"/>
  <c r="K37" i="13"/>
  <c r="H37" i="13"/>
  <c r="I37" i="13" s="1"/>
  <c r="K36" i="13"/>
  <c r="H36" i="13"/>
  <c r="I36" i="13" s="1"/>
  <c r="K35" i="13"/>
  <c r="L35" i="13" s="1"/>
  <c r="H35" i="13"/>
  <c r="I35" i="13" s="1"/>
  <c r="K34" i="13"/>
  <c r="L34" i="13" s="1"/>
  <c r="H34" i="13"/>
  <c r="I34" i="13" s="1"/>
  <c r="K33" i="13"/>
  <c r="L33" i="13" s="1"/>
  <c r="H33" i="13"/>
  <c r="I33" i="13" s="1"/>
  <c r="K32" i="13"/>
  <c r="L32" i="13" s="1"/>
  <c r="H32" i="13"/>
  <c r="I32" i="13" s="1"/>
  <c r="K31" i="13"/>
  <c r="L31" i="13" s="1"/>
  <c r="H31" i="13"/>
  <c r="I31" i="13" s="1"/>
  <c r="K30" i="13"/>
  <c r="H30" i="13"/>
  <c r="I30" i="13" s="1"/>
  <c r="K29" i="13"/>
  <c r="H29" i="13"/>
  <c r="I29" i="13" s="1"/>
  <c r="K28" i="13"/>
  <c r="L28" i="13" s="1"/>
  <c r="H28" i="13"/>
  <c r="I28" i="13" s="1"/>
  <c r="K27" i="13"/>
  <c r="L27" i="13" s="1"/>
  <c r="H27" i="13"/>
  <c r="I27" i="13" s="1"/>
  <c r="K26" i="13"/>
  <c r="H26" i="13"/>
  <c r="I26" i="13" s="1"/>
  <c r="K25" i="13"/>
  <c r="I25" i="13"/>
  <c r="H25" i="13"/>
  <c r="K24" i="13"/>
  <c r="L24" i="13" s="1"/>
  <c r="H24" i="13"/>
  <c r="I24" i="13" s="1"/>
  <c r="K23" i="13"/>
  <c r="L23" i="13" s="1"/>
  <c r="H23" i="13"/>
  <c r="I23" i="13" s="1"/>
  <c r="K22" i="13"/>
  <c r="L22" i="13" s="1"/>
  <c r="H22" i="13"/>
  <c r="I22" i="13" s="1"/>
  <c r="K21" i="13"/>
  <c r="L21" i="13" s="1"/>
  <c r="H21" i="13"/>
  <c r="I21" i="13" s="1"/>
  <c r="K20" i="13"/>
  <c r="H20" i="13"/>
  <c r="I20" i="13" s="1"/>
  <c r="K19" i="13"/>
  <c r="L19" i="13" s="1"/>
  <c r="H19" i="13"/>
  <c r="I19" i="13" s="1"/>
  <c r="K18" i="13"/>
  <c r="L18" i="13" s="1"/>
  <c r="H18" i="13"/>
  <c r="I18" i="13" s="1"/>
  <c r="E10" i="13"/>
  <c r="K11" i="12"/>
  <c r="K10" i="12"/>
  <c r="K9" i="12"/>
  <c r="K7" i="12"/>
  <c r="L14" i="11"/>
  <c r="K14" i="11"/>
  <c r="I14" i="11"/>
  <c r="H14" i="11"/>
  <c r="F14" i="11"/>
  <c r="E14" i="11"/>
  <c r="L13" i="11"/>
  <c r="K13" i="11"/>
  <c r="I13" i="11"/>
  <c r="H13" i="11"/>
  <c r="F13" i="11"/>
  <c r="E13" i="11"/>
  <c r="L12" i="11"/>
  <c r="K12" i="11"/>
  <c r="I12" i="11"/>
  <c r="H12" i="11"/>
  <c r="F12" i="11"/>
  <c r="E12" i="11"/>
  <c r="L11" i="11"/>
  <c r="K11" i="11"/>
  <c r="I11" i="11"/>
  <c r="H11" i="11"/>
  <c r="F11" i="11"/>
  <c r="E11" i="11"/>
  <c r="L10" i="11"/>
  <c r="K10" i="11"/>
  <c r="I10" i="11"/>
  <c r="H10" i="11"/>
  <c r="F10" i="11"/>
  <c r="E10" i="11"/>
  <c r="L9" i="11"/>
  <c r="K9" i="11"/>
  <c r="I9" i="11"/>
  <c r="H9" i="11"/>
  <c r="F9" i="11"/>
  <c r="E9" i="11"/>
  <c r="L8" i="11"/>
  <c r="K8" i="11"/>
  <c r="I8" i="11"/>
  <c r="H8" i="11"/>
  <c r="F8" i="11"/>
  <c r="E8" i="11"/>
  <c r="L7" i="11"/>
  <c r="K7" i="11"/>
  <c r="I7" i="11"/>
  <c r="H7" i="11"/>
  <c r="F7" i="11"/>
  <c r="E7" i="11"/>
  <c r="L6" i="11"/>
  <c r="K6" i="11"/>
  <c r="I6" i="11"/>
  <c r="H6" i="11"/>
  <c r="F6" i="11"/>
  <c r="E6" i="11"/>
  <c r="L5" i="11"/>
  <c r="K5" i="11"/>
  <c r="I5" i="11"/>
  <c r="H5" i="11"/>
  <c r="F5" i="11"/>
  <c r="E5" i="11"/>
  <c r="L4" i="11"/>
  <c r="K4" i="11"/>
  <c r="I4" i="11"/>
  <c r="H4" i="11"/>
  <c r="F4" i="11"/>
  <c r="E4" i="11"/>
  <c r="L3" i="11"/>
  <c r="K3" i="11"/>
  <c r="I3" i="11"/>
  <c r="H3" i="11"/>
  <c r="F3" i="11"/>
  <c r="E3" i="11"/>
  <c r="L50" i="8"/>
  <c r="K50" i="8"/>
  <c r="J50" i="8"/>
  <c r="I50" i="8"/>
  <c r="H50" i="8"/>
  <c r="G50" i="8"/>
  <c r="F50" i="8"/>
  <c r="E50" i="8"/>
  <c r="D50" i="8"/>
  <c r="C50" i="8"/>
  <c r="B50" i="8"/>
  <c r="L49" i="8"/>
  <c r="K49" i="8"/>
  <c r="J49" i="8"/>
  <c r="I49" i="8"/>
  <c r="H49" i="8"/>
  <c r="G49" i="8"/>
  <c r="F49" i="8"/>
  <c r="E49" i="8"/>
  <c r="D49" i="8"/>
  <c r="C49" i="8"/>
  <c r="B49" i="8"/>
  <c r="L48" i="8"/>
  <c r="K48" i="8"/>
  <c r="J48" i="8"/>
  <c r="I48" i="8"/>
  <c r="H48" i="8"/>
  <c r="G48" i="8"/>
  <c r="F48" i="8"/>
  <c r="E48" i="8"/>
  <c r="D48" i="8"/>
  <c r="C48" i="8"/>
  <c r="B48" i="8"/>
  <c r="L47" i="8"/>
  <c r="K47" i="8"/>
  <c r="J47" i="8"/>
  <c r="I47" i="8"/>
  <c r="H47" i="8"/>
  <c r="G47" i="8"/>
  <c r="F47" i="8"/>
  <c r="E47" i="8"/>
  <c r="D47" i="8"/>
  <c r="C47" i="8"/>
  <c r="B47" i="8"/>
  <c r="L46" i="8"/>
  <c r="K46" i="8"/>
  <c r="J46" i="8"/>
  <c r="I46" i="8"/>
  <c r="H46" i="8"/>
  <c r="G46" i="8"/>
  <c r="F46" i="8"/>
  <c r="E46" i="8"/>
  <c r="D46" i="8"/>
  <c r="C46" i="8"/>
  <c r="B46" i="8"/>
  <c r="L45" i="8"/>
  <c r="K45" i="8"/>
  <c r="J45" i="8"/>
  <c r="I45" i="8"/>
  <c r="H45" i="8"/>
  <c r="G45" i="8"/>
  <c r="F45" i="8"/>
  <c r="E45" i="8"/>
  <c r="D45" i="8"/>
  <c r="C45" i="8"/>
  <c r="B45" i="8"/>
  <c r="L44" i="8"/>
  <c r="K44" i="8"/>
  <c r="J44" i="8"/>
  <c r="I44" i="8"/>
  <c r="H44" i="8"/>
  <c r="G44" i="8"/>
  <c r="F44" i="8"/>
  <c r="E44" i="8"/>
  <c r="D44" i="8"/>
  <c r="C44" i="8"/>
  <c r="B44" i="8"/>
  <c r="E40" i="8"/>
  <c r="D40" i="8"/>
  <c r="F40" i="8" s="1"/>
  <c r="C40" i="8"/>
  <c r="B40" i="8"/>
  <c r="E39" i="8"/>
  <c r="D39" i="8"/>
  <c r="F39" i="8" s="1"/>
  <c r="C39" i="8"/>
  <c r="B39" i="8"/>
  <c r="E38" i="8"/>
  <c r="D38" i="8"/>
  <c r="F38" i="8" s="1"/>
  <c r="C38" i="8"/>
  <c r="B38" i="8"/>
  <c r="E37" i="8"/>
  <c r="D37" i="8"/>
  <c r="F37" i="8" s="1"/>
  <c r="C37" i="8"/>
  <c r="B37" i="8"/>
  <c r="E36" i="8"/>
  <c r="D36" i="8"/>
  <c r="F36" i="8" s="1"/>
  <c r="C36" i="8"/>
  <c r="B36" i="8"/>
  <c r="E35" i="8"/>
  <c r="D35" i="8"/>
  <c r="F35" i="8" s="1"/>
  <c r="C35" i="8"/>
  <c r="B35" i="8"/>
  <c r="E34" i="8"/>
  <c r="D34" i="8"/>
  <c r="F34" i="8" s="1"/>
  <c r="C34" i="8"/>
  <c r="B34" i="8"/>
  <c r="E33" i="8"/>
  <c r="D33" i="8"/>
  <c r="F33" i="8" s="1"/>
  <c r="C33" i="8"/>
  <c r="B33" i="8"/>
  <c r="E32" i="8"/>
  <c r="D32" i="8"/>
  <c r="F32" i="8" s="1"/>
  <c r="C32" i="8"/>
  <c r="B32" i="8"/>
  <c r="E31" i="8"/>
  <c r="D31" i="8"/>
  <c r="F31" i="8" s="1"/>
  <c r="C31" i="8"/>
  <c r="B31" i="8"/>
  <c r="H13" i="5"/>
  <c r="G13" i="5"/>
  <c r="F13" i="5"/>
  <c r="E13" i="5"/>
  <c r="D13" i="5"/>
  <c r="H12" i="5"/>
  <c r="G12" i="5"/>
  <c r="F12" i="5"/>
  <c r="E12" i="5"/>
  <c r="D12" i="5"/>
  <c r="H11" i="5"/>
  <c r="G11" i="5"/>
  <c r="F11" i="5"/>
  <c r="E11" i="5"/>
  <c r="D11" i="5"/>
  <c r="H10" i="5"/>
  <c r="G10" i="5"/>
  <c r="F10" i="5"/>
  <c r="E10" i="5"/>
  <c r="D10" i="5"/>
  <c r="H9" i="5"/>
  <c r="G9" i="5"/>
  <c r="F9" i="5"/>
  <c r="E9" i="5"/>
  <c r="D9" i="5"/>
  <c r="H8" i="5"/>
  <c r="G8" i="5"/>
  <c r="F8" i="5"/>
  <c r="E8" i="5"/>
  <c r="D8" i="5"/>
  <c r="H7" i="5"/>
  <c r="G7" i="5"/>
  <c r="F7" i="5"/>
  <c r="E7" i="5"/>
  <c r="D7" i="5"/>
  <c r="H6" i="5"/>
  <c r="G6" i="5"/>
  <c r="F6" i="5"/>
  <c r="E6" i="5"/>
  <c r="D6" i="5"/>
  <c r="H5" i="5"/>
  <c r="G5" i="5"/>
  <c r="F5" i="5"/>
  <c r="E5" i="5"/>
  <c r="D5" i="5"/>
  <c r="H4" i="5"/>
  <c r="G4" i="5"/>
  <c r="F4" i="5"/>
  <c r="E4" i="5"/>
  <c r="D4" i="5"/>
  <c r="H3" i="5"/>
  <c r="G3" i="5"/>
  <c r="F3" i="5"/>
  <c r="E3" i="5"/>
  <c r="D3" i="5"/>
  <c r="H2" i="5"/>
  <c r="G2" i="5"/>
  <c r="F2" i="5"/>
  <c r="E2" i="5"/>
  <c r="D2" i="5"/>
  <c r="W14" i="4"/>
  <c r="V14" i="4"/>
  <c r="U14" i="4"/>
  <c r="T14" i="4"/>
  <c r="S14" i="4"/>
  <c r="R14" i="4"/>
  <c r="X14" i="4" s="1"/>
  <c r="W13" i="4"/>
  <c r="V13" i="4"/>
  <c r="U13" i="4"/>
  <c r="T13" i="4"/>
  <c r="S13" i="4"/>
  <c r="R13" i="4"/>
  <c r="X13" i="4" s="1"/>
  <c r="W12" i="4"/>
  <c r="V12" i="4"/>
  <c r="U12" i="4"/>
  <c r="T12" i="4"/>
  <c r="S12" i="4"/>
  <c r="R12" i="4"/>
  <c r="X12" i="4" s="1"/>
  <c r="W11" i="4"/>
  <c r="V11" i="4"/>
  <c r="U11" i="4"/>
  <c r="T11" i="4"/>
  <c r="S11" i="4"/>
  <c r="R11" i="4"/>
  <c r="X11" i="4" s="1"/>
  <c r="W10" i="4"/>
  <c r="V10" i="4"/>
  <c r="U10" i="4"/>
  <c r="T10" i="4"/>
  <c r="S10" i="4"/>
  <c r="R10" i="4"/>
  <c r="X10" i="4" s="1"/>
  <c r="W9" i="4"/>
  <c r="V9" i="4"/>
  <c r="U9" i="4"/>
  <c r="T9" i="4"/>
  <c r="S9" i="4"/>
  <c r="R9" i="4"/>
  <c r="X9" i="4" s="1"/>
  <c r="W8" i="4"/>
  <c r="V8" i="4"/>
  <c r="U8" i="4"/>
  <c r="T8" i="4"/>
  <c r="S8" i="4"/>
  <c r="R8" i="4"/>
  <c r="X8" i="4" s="1"/>
  <c r="W7" i="4"/>
  <c r="V7" i="4"/>
  <c r="U7" i="4"/>
  <c r="T7" i="4"/>
  <c r="S7" i="4"/>
  <c r="R7" i="4"/>
  <c r="X7" i="4" s="1"/>
  <c r="W6" i="4"/>
  <c r="V6" i="4"/>
  <c r="U6" i="4"/>
  <c r="T6" i="4"/>
  <c r="S6" i="4"/>
  <c r="R6" i="4"/>
  <c r="X6" i="4" s="1"/>
  <c r="W5" i="4"/>
  <c r="V5" i="4"/>
  <c r="U5" i="4"/>
  <c r="T5" i="4"/>
  <c r="S5" i="4"/>
  <c r="R5" i="4"/>
  <c r="X5" i="4" s="1"/>
  <c r="W4" i="4"/>
  <c r="V4" i="4"/>
  <c r="U4" i="4"/>
  <c r="T4" i="4"/>
  <c r="S4" i="4"/>
  <c r="R4" i="4"/>
  <c r="X4" i="4" s="1"/>
  <c r="W3" i="4"/>
  <c r="V3" i="4"/>
  <c r="U3" i="4"/>
  <c r="T3" i="4"/>
  <c r="S3" i="4"/>
  <c r="R3" i="4"/>
  <c r="X3" i="4" s="1"/>
  <c r="L6" i="20" l="1"/>
  <c r="L8" i="20"/>
  <c r="L9" i="20"/>
  <c r="K13" i="19"/>
  <c r="L2" i="19" s="1"/>
  <c r="I13" i="19"/>
  <c r="J2" i="19" s="1"/>
  <c r="P18" i="17"/>
  <c r="L8" i="12"/>
  <c r="O18" i="17"/>
  <c r="M8" i="12" s="1"/>
  <c r="G8" i="12"/>
  <c r="M15" i="17"/>
  <c r="S112" i="16"/>
  <c r="N15" i="17" s="1"/>
  <c r="S111" i="16"/>
  <c r="N14" i="17" s="1"/>
  <c r="M14" i="17"/>
  <c r="P14" i="17" s="1"/>
  <c r="S110" i="16"/>
  <c r="N13" i="17" s="1"/>
  <c r="M13" i="17"/>
  <c r="M12" i="17"/>
  <c r="P12" i="17" s="1"/>
  <c r="S109" i="16"/>
  <c r="N12" i="17" s="1"/>
  <c r="S108" i="16"/>
  <c r="N11" i="17" s="1"/>
  <c r="M11" i="17"/>
  <c r="P11" i="17" s="1"/>
  <c r="S107" i="16"/>
  <c r="N10" i="17" s="1"/>
  <c r="M10" i="17"/>
  <c r="P10" i="17" s="1"/>
  <c r="S106" i="16"/>
  <c r="N9" i="17" s="1"/>
  <c r="M9" i="17"/>
  <c r="S105" i="16"/>
  <c r="N8" i="17" s="1"/>
  <c r="M8" i="17"/>
  <c r="S104" i="16"/>
  <c r="N7" i="17" s="1"/>
  <c r="M7" i="17"/>
  <c r="P7" i="17" s="1"/>
  <c r="M6" i="17"/>
  <c r="S103" i="16"/>
  <c r="N6" i="17" s="1"/>
  <c r="S102" i="16"/>
  <c r="N5" i="17" s="1"/>
  <c r="M5" i="17"/>
  <c r="S93" i="16"/>
  <c r="L15" i="17" s="1"/>
  <c r="K15" i="17"/>
  <c r="K12" i="12" s="1"/>
  <c r="S92" i="16"/>
  <c r="L14" i="17" s="1"/>
  <c r="K14" i="17"/>
  <c r="K13" i="17"/>
  <c r="S91" i="16"/>
  <c r="L13" i="17" s="1"/>
  <c r="S90" i="16"/>
  <c r="L12" i="17" s="1"/>
  <c r="K12" i="17"/>
  <c r="S89" i="16"/>
  <c r="L11" i="17" s="1"/>
  <c r="K11" i="17"/>
  <c r="S75" i="16"/>
  <c r="J16" i="17" s="1"/>
  <c r="I16" i="17"/>
  <c r="P16" i="17" s="1"/>
  <c r="I15" i="17"/>
  <c r="J12" i="12" s="1"/>
  <c r="S74" i="16"/>
  <c r="J15" i="17" s="1"/>
  <c r="I14" i="17"/>
  <c r="S73" i="16"/>
  <c r="J14" i="17" s="1"/>
  <c r="S72" i="16"/>
  <c r="J13" i="17" s="1"/>
  <c r="I13" i="17"/>
  <c r="I12" i="17"/>
  <c r="S71" i="16"/>
  <c r="J12" i="17" s="1"/>
  <c r="S70" i="16"/>
  <c r="J11" i="17" s="1"/>
  <c r="I11" i="17"/>
  <c r="I10" i="17"/>
  <c r="S69" i="16"/>
  <c r="J10" i="17" s="1"/>
  <c r="I9" i="17"/>
  <c r="J11" i="12" s="1"/>
  <c r="S68" i="16"/>
  <c r="J9" i="17" s="1"/>
  <c r="I8" i="17"/>
  <c r="J7" i="12" s="1"/>
  <c r="S67" i="16"/>
  <c r="J8" i="17" s="1"/>
  <c r="I7" i="17"/>
  <c r="S66" i="16"/>
  <c r="J7" i="17" s="1"/>
  <c r="S65" i="16"/>
  <c r="J6" i="17" s="1"/>
  <c r="I6" i="17"/>
  <c r="J10" i="12" s="1"/>
  <c r="S64" i="16"/>
  <c r="J5" i="17" s="1"/>
  <c r="I5" i="17"/>
  <c r="J9" i="12" s="1"/>
  <c r="S56" i="16"/>
  <c r="H16" i="17" s="1"/>
  <c r="G16" i="17"/>
  <c r="S55" i="16"/>
  <c r="H15" i="17" s="1"/>
  <c r="G15" i="17"/>
  <c r="I12" i="12" s="1"/>
  <c r="G14" i="17"/>
  <c r="S54" i="16"/>
  <c r="H14" i="17" s="1"/>
  <c r="S53" i="16"/>
  <c r="H13" i="17" s="1"/>
  <c r="G13" i="17"/>
  <c r="S52" i="16"/>
  <c r="H12" i="17" s="1"/>
  <c r="G12" i="17"/>
  <c r="S51" i="16"/>
  <c r="H11" i="17" s="1"/>
  <c r="G11" i="17"/>
  <c r="G10" i="17"/>
  <c r="S50" i="16"/>
  <c r="H10" i="17" s="1"/>
  <c r="G9" i="17"/>
  <c r="I11" i="12" s="1"/>
  <c r="S49" i="16"/>
  <c r="H9" i="17" s="1"/>
  <c r="G8" i="17"/>
  <c r="I7" i="12" s="1"/>
  <c r="S48" i="16"/>
  <c r="H8" i="17" s="1"/>
  <c r="S47" i="16"/>
  <c r="H7" i="17" s="1"/>
  <c r="G7" i="17"/>
  <c r="S46" i="16"/>
  <c r="H6" i="17" s="1"/>
  <c r="G6" i="17"/>
  <c r="I10" i="12" s="1"/>
  <c r="S45" i="16"/>
  <c r="H5" i="17" s="1"/>
  <c r="G5" i="17"/>
  <c r="I9" i="12" s="1"/>
  <c r="S37" i="16"/>
  <c r="F16" i="17" s="1"/>
  <c r="E16" i="17"/>
  <c r="S36" i="16"/>
  <c r="F15" i="17" s="1"/>
  <c r="E15" i="17"/>
  <c r="H12" i="12" s="1"/>
  <c r="S35" i="16"/>
  <c r="F14" i="17" s="1"/>
  <c r="E14" i="17"/>
  <c r="E13" i="17"/>
  <c r="S34" i="16"/>
  <c r="F13" i="17" s="1"/>
  <c r="S33" i="16"/>
  <c r="F12" i="17" s="1"/>
  <c r="E12" i="17"/>
  <c r="S32" i="16"/>
  <c r="F11" i="17" s="1"/>
  <c r="E11" i="17"/>
  <c r="S31" i="16"/>
  <c r="F10" i="17" s="1"/>
  <c r="E10" i="17"/>
  <c r="S30" i="16"/>
  <c r="F9" i="17" s="1"/>
  <c r="E9" i="17"/>
  <c r="H11" i="12" s="1"/>
  <c r="S29" i="16"/>
  <c r="F8" i="17" s="1"/>
  <c r="E8" i="17"/>
  <c r="H7" i="12" s="1"/>
  <c r="S28" i="16"/>
  <c r="F7" i="17" s="1"/>
  <c r="E7" i="17"/>
  <c r="S27" i="16"/>
  <c r="F6" i="17" s="1"/>
  <c r="E6" i="17"/>
  <c r="H10" i="12" s="1"/>
  <c r="E5" i="17"/>
  <c r="H9" i="12" s="1"/>
  <c r="S26" i="16"/>
  <c r="F5" i="17" s="1"/>
  <c r="S41" i="16"/>
  <c r="F20" i="17" s="1"/>
  <c r="S18" i="16"/>
  <c r="D16" i="17" s="1"/>
  <c r="C16" i="17"/>
  <c r="O16" i="17" s="1"/>
  <c r="S17" i="16"/>
  <c r="D15" i="17" s="1"/>
  <c r="C15" i="17"/>
  <c r="S16" i="16"/>
  <c r="D14" i="17" s="1"/>
  <c r="C14" i="17"/>
  <c r="O14" i="17" s="1"/>
  <c r="S15" i="16"/>
  <c r="D13" i="17" s="1"/>
  <c r="C13" i="17"/>
  <c r="S14" i="16"/>
  <c r="D12" i="17" s="1"/>
  <c r="C12" i="17"/>
  <c r="O12" i="17" s="1"/>
  <c r="S13" i="16"/>
  <c r="D11" i="17" s="1"/>
  <c r="C11" i="17"/>
  <c r="O11" i="17" s="1"/>
  <c r="C10" i="17"/>
  <c r="O10" i="17" s="1"/>
  <c r="S12" i="16"/>
  <c r="D10" i="17" s="1"/>
  <c r="S11" i="16"/>
  <c r="D9" i="17" s="1"/>
  <c r="C9" i="17"/>
  <c r="S10" i="16"/>
  <c r="D8" i="17" s="1"/>
  <c r="C8" i="17"/>
  <c r="S9" i="16"/>
  <c r="D7" i="17" s="1"/>
  <c r="I26" i="17" s="1"/>
  <c r="C7" i="17"/>
  <c r="O7" i="17" s="1"/>
  <c r="S8" i="16"/>
  <c r="D6" i="17" s="1"/>
  <c r="C6" i="17"/>
  <c r="C5" i="17"/>
  <c r="S7" i="16"/>
  <c r="D5" i="17" s="1"/>
  <c r="P38" i="14"/>
  <c r="N38" i="14"/>
  <c r="O38" i="14"/>
  <c r="N37" i="14"/>
  <c r="O37" i="14"/>
  <c r="P37" i="14"/>
  <c r="N36" i="14"/>
  <c r="O36" i="14"/>
  <c r="P36" i="14"/>
  <c r="N35" i="14"/>
  <c r="O35" i="14"/>
  <c r="P35" i="14"/>
  <c r="N34" i="14"/>
  <c r="O34" i="14"/>
  <c r="P34" i="14"/>
  <c r="N33" i="14"/>
  <c r="O33" i="14"/>
  <c r="P33" i="14"/>
  <c r="N32" i="14"/>
  <c r="O32" i="14"/>
  <c r="P32" i="14"/>
  <c r="N31" i="14"/>
  <c r="O31" i="14"/>
  <c r="P31" i="14"/>
  <c r="H250" i="13"/>
  <c r="I250" i="13"/>
  <c r="H249" i="13"/>
  <c r="I249" i="13"/>
  <c r="H248" i="13"/>
  <c r="I248" i="13"/>
  <c r="H247" i="13"/>
  <c r="I247" i="13"/>
  <c r="H246" i="13"/>
  <c r="I246" i="13"/>
  <c r="H245" i="13"/>
  <c r="I245" i="13"/>
  <c r="H244" i="13"/>
  <c r="I244" i="13"/>
  <c r="H243" i="13"/>
  <c r="I243" i="13"/>
  <c r="H242" i="13"/>
  <c r="I242" i="13"/>
  <c r="H241" i="13"/>
  <c r="I241" i="13"/>
  <c r="H240" i="13"/>
  <c r="I240" i="13"/>
  <c r="H239" i="13"/>
  <c r="I239" i="13"/>
  <c r="H238" i="13"/>
  <c r="I238" i="13"/>
  <c r="H237" i="13"/>
  <c r="I237" i="13"/>
  <c r="H236" i="13"/>
  <c r="I236" i="13"/>
  <c r="H235" i="13"/>
  <c r="I235" i="13"/>
  <c r="H234" i="13"/>
  <c r="I234" i="13"/>
  <c r="H233" i="13"/>
  <c r="I233" i="13"/>
  <c r="H232" i="13"/>
  <c r="I232" i="13"/>
  <c r="H231" i="13"/>
  <c r="I231" i="13"/>
  <c r="H230" i="13"/>
  <c r="I230" i="13"/>
  <c r="H229" i="13"/>
  <c r="I229" i="13"/>
  <c r="H228" i="13"/>
  <c r="I228" i="13"/>
  <c r="H227" i="13"/>
  <c r="I227" i="13"/>
  <c r="H226" i="13"/>
  <c r="I226" i="13"/>
  <c r="H225" i="13"/>
  <c r="I225" i="13"/>
  <c r="H224" i="13"/>
  <c r="I224" i="13"/>
  <c r="H223" i="13"/>
  <c r="I223" i="13"/>
  <c r="H222" i="13"/>
  <c r="I222" i="13"/>
  <c r="H221" i="13"/>
  <c r="I221" i="13"/>
  <c r="H220" i="13"/>
  <c r="I220" i="13"/>
  <c r="H219" i="13"/>
  <c r="I219" i="13"/>
  <c r="H218" i="13"/>
  <c r="I218" i="13"/>
  <c r="H217" i="13"/>
  <c r="I217" i="13"/>
  <c r="H216" i="13"/>
  <c r="I216" i="13"/>
  <c r="H215" i="13"/>
  <c r="I215" i="13"/>
  <c r="H214" i="13"/>
  <c r="I214" i="13"/>
  <c r="H213" i="13"/>
  <c r="I213" i="13"/>
  <c r="H212" i="13"/>
  <c r="I212" i="13"/>
  <c r="H211" i="13"/>
  <c r="I211" i="13"/>
  <c r="H210" i="13"/>
  <c r="I210" i="13"/>
  <c r="H209" i="13"/>
  <c r="I209" i="13"/>
  <c r="H208" i="13"/>
  <c r="I208" i="13"/>
  <c r="H207" i="13"/>
  <c r="I207" i="13"/>
  <c r="H206" i="13"/>
  <c r="I206" i="13"/>
  <c r="H205" i="13"/>
  <c r="I205" i="13"/>
  <c r="H204" i="13"/>
  <c r="I204" i="13"/>
  <c r="H203" i="13"/>
  <c r="I203" i="13"/>
  <c r="H202" i="13"/>
  <c r="I202" i="13"/>
  <c r="H201" i="13"/>
  <c r="I201" i="13"/>
  <c r="H200" i="13"/>
  <c r="I200" i="13"/>
  <c r="H199" i="13"/>
  <c r="I199" i="13"/>
  <c r="H198" i="13"/>
  <c r="I198" i="13"/>
  <c r="H197" i="13"/>
  <c r="I197" i="13"/>
  <c r="H196" i="13"/>
  <c r="I196" i="13"/>
  <c r="H195" i="13"/>
  <c r="I195" i="13"/>
  <c r="H194" i="13"/>
  <c r="I194" i="13"/>
  <c r="H193" i="13"/>
  <c r="I193" i="13"/>
  <c r="C63" i="13"/>
  <c r="G192" i="13"/>
  <c r="H191" i="13"/>
  <c r="I191" i="13"/>
  <c r="H190" i="13"/>
  <c r="I190" i="13"/>
  <c r="H189" i="13"/>
  <c r="I189" i="13"/>
  <c r="H188" i="13"/>
  <c r="I188" i="13"/>
  <c r="H187" i="13"/>
  <c r="I187" i="13"/>
  <c r="H186" i="13"/>
  <c r="I186" i="13"/>
  <c r="H185" i="13"/>
  <c r="I185" i="13"/>
  <c r="H184" i="13"/>
  <c r="I184" i="13"/>
  <c r="H183" i="13"/>
  <c r="I183" i="13"/>
  <c r="H182" i="13"/>
  <c r="I182" i="13"/>
  <c r="H181" i="13"/>
  <c r="I181" i="13"/>
  <c r="H180" i="13"/>
  <c r="I180" i="13"/>
  <c r="H179" i="13"/>
  <c r="I179" i="13"/>
  <c r="H178" i="13"/>
  <c r="I178" i="13"/>
  <c r="H177" i="13"/>
  <c r="I177" i="13"/>
  <c r="H176" i="13"/>
  <c r="I176" i="13"/>
  <c r="H175" i="13"/>
  <c r="I175" i="13"/>
  <c r="H174" i="13"/>
  <c r="I174" i="13"/>
  <c r="H173" i="13"/>
  <c r="I173" i="13"/>
  <c r="H172" i="13"/>
  <c r="I172" i="13"/>
  <c r="H171" i="13"/>
  <c r="I171" i="13"/>
  <c r="G170" i="13"/>
  <c r="C64" i="13"/>
  <c r="H169" i="13"/>
  <c r="I169" i="13"/>
  <c r="H168" i="13"/>
  <c r="I168" i="13"/>
  <c r="H167" i="13"/>
  <c r="I167" i="13"/>
  <c r="H166" i="13"/>
  <c r="I166" i="13"/>
  <c r="H165" i="13"/>
  <c r="I165" i="13"/>
  <c r="H164" i="13"/>
  <c r="I164" i="13"/>
  <c r="H163" i="13"/>
  <c r="I163" i="13"/>
  <c r="C61" i="13"/>
  <c r="G162" i="13"/>
  <c r="H161" i="13"/>
  <c r="I161" i="13"/>
  <c r="H160" i="13"/>
  <c r="I160" i="13"/>
  <c r="H159" i="13"/>
  <c r="I159" i="13"/>
  <c r="H158" i="13"/>
  <c r="I158" i="13"/>
  <c r="H157" i="13"/>
  <c r="I157" i="13"/>
  <c r="H156" i="13"/>
  <c r="I156" i="13"/>
  <c r="H155" i="13"/>
  <c r="I155" i="13"/>
  <c r="H154" i="13"/>
  <c r="I154" i="13"/>
  <c r="H153" i="13"/>
  <c r="I153" i="13"/>
  <c r="H152" i="13"/>
  <c r="I152" i="13"/>
  <c r="H151" i="13"/>
  <c r="I151" i="13"/>
  <c r="H150" i="13"/>
  <c r="I150" i="13"/>
  <c r="H149" i="13"/>
  <c r="I149" i="13"/>
  <c r="H148" i="13"/>
  <c r="I148" i="13"/>
  <c r="H147" i="13"/>
  <c r="I147" i="13"/>
  <c r="C62" i="13"/>
  <c r="G146" i="13"/>
  <c r="H145" i="13"/>
  <c r="I145" i="13"/>
  <c r="H144" i="13"/>
  <c r="I144" i="13"/>
  <c r="H143" i="13"/>
  <c r="I143" i="13"/>
  <c r="H142" i="13"/>
  <c r="I142" i="13"/>
  <c r="H140" i="13"/>
  <c r="I140" i="13"/>
  <c r="H139" i="13"/>
  <c r="I139" i="13"/>
  <c r="H138" i="13"/>
  <c r="I138" i="13"/>
  <c r="H137" i="13"/>
  <c r="I137" i="13"/>
  <c r="H136" i="13"/>
  <c r="I136" i="13"/>
  <c r="H135" i="13"/>
  <c r="I135" i="13"/>
  <c r="G134" i="13"/>
  <c r="C58" i="13"/>
  <c r="H133" i="13"/>
  <c r="I133" i="13"/>
  <c r="H132" i="13"/>
  <c r="I132" i="13"/>
  <c r="H131" i="13"/>
  <c r="I131" i="13"/>
  <c r="H130" i="13"/>
  <c r="I130" i="13"/>
  <c r="H129" i="13"/>
  <c r="I129" i="13"/>
  <c r="H128" i="13"/>
  <c r="I128" i="13"/>
  <c r="H127" i="13"/>
  <c r="I127" i="13"/>
  <c r="H126" i="13"/>
  <c r="I126" i="13"/>
  <c r="H125" i="13"/>
  <c r="I125" i="13"/>
  <c r="H124" i="13"/>
  <c r="I124" i="13"/>
  <c r="H123" i="13"/>
  <c r="I123" i="13"/>
  <c r="H122" i="13"/>
  <c r="I122" i="13"/>
  <c r="H121" i="13"/>
  <c r="I121" i="13"/>
  <c r="H120" i="13"/>
  <c r="I120" i="13"/>
  <c r="H119" i="13"/>
  <c r="I119" i="13"/>
  <c r="H118" i="13"/>
  <c r="I118" i="13"/>
  <c r="H117" i="13"/>
  <c r="I117" i="13"/>
  <c r="H116" i="13"/>
  <c r="I116" i="13"/>
  <c r="H115" i="13"/>
  <c r="I115" i="13"/>
  <c r="H114" i="13"/>
  <c r="I114" i="13"/>
  <c r="H113" i="13"/>
  <c r="I113" i="13"/>
  <c r="H112" i="13"/>
  <c r="I112" i="13"/>
  <c r="H111" i="13"/>
  <c r="I111" i="13"/>
  <c r="H110" i="13"/>
  <c r="I110" i="13"/>
  <c r="H109" i="13"/>
  <c r="I109" i="13"/>
  <c r="H108" i="13"/>
  <c r="I108" i="13"/>
  <c r="H107" i="13"/>
  <c r="I107" i="13"/>
  <c r="H106" i="13"/>
  <c r="I106" i="13"/>
  <c r="H105" i="13"/>
  <c r="I105" i="13"/>
  <c r="C59" i="13"/>
  <c r="G104" i="13"/>
  <c r="L25" i="13" s="1"/>
  <c r="H103" i="13"/>
  <c r="I103" i="13"/>
  <c r="H102" i="13"/>
  <c r="I102" i="13"/>
  <c r="H101" i="13"/>
  <c r="I101" i="13"/>
  <c r="H100" i="13"/>
  <c r="I100" i="13"/>
  <c r="H99" i="13"/>
  <c r="I99" i="13"/>
  <c r="H98" i="13"/>
  <c r="I98" i="13"/>
  <c r="H97" i="13"/>
  <c r="I97" i="13"/>
  <c r="H96" i="13"/>
  <c r="I96" i="13"/>
  <c r="H95" i="13"/>
  <c r="I95" i="13"/>
  <c r="H94" i="13"/>
  <c r="I94" i="13"/>
  <c r="H93" i="13"/>
  <c r="I93" i="13"/>
  <c r="H92" i="13"/>
  <c r="I92" i="13"/>
  <c r="H91" i="13"/>
  <c r="I91" i="13"/>
  <c r="H90" i="13"/>
  <c r="I90" i="13"/>
  <c r="H89" i="13"/>
  <c r="I89" i="13"/>
  <c r="H88" i="13"/>
  <c r="I88" i="13"/>
  <c r="H87" i="13"/>
  <c r="I87" i="13"/>
  <c r="H86" i="13"/>
  <c r="I86" i="13"/>
  <c r="H85" i="13"/>
  <c r="I85" i="13"/>
  <c r="H84" i="13"/>
  <c r="I84" i="13"/>
  <c r="H83" i="13"/>
  <c r="I83" i="13"/>
  <c r="H82" i="13"/>
  <c r="I82" i="13"/>
  <c r="H81" i="13"/>
  <c r="I81" i="13"/>
  <c r="H80" i="13"/>
  <c r="I80" i="13"/>
  <c r="H79" i="13"/>
  <c r="I79" i="13"/>
  <c r="I5" i="13"/>
  <c r="I6" i="13"/>
  <c r="I7" i="13"/>
  <c r="I8" i="13"/>
  <c r="Z14" i="4"/>
  <c r="J13" i="5"/>
  <c r="Y14" i="4"/>
  <c r="I13" i="5" s="1"/>
  <c r="J12" i="5"/>
  <c r="Y13" i="4"/>
  <c r="I12" i="5" s="1"/>
  <c r="Z13" i="4"/>
  <c r="Z12" i="4"/>
  <c r="J11" i="5"/>
  <c r="Y12" i="4"/>
  <c r="I11" i="5" s="1"/>
  <c r="Y11" i="4"/>
  <c r="I10" i="5" s="1"/>
  <c r="Z11" i="4"/>
  <c r="J10" i="5"/>
  <c r="Y10" i="4"/>
  <c r="I9" i="5" s="1"/>
  <c r="Z10" i="4"/>
  <c r="J9" i="5"/>
  <c r="Y9" i="4"/>
  <c r="I8" i="5" s="1"/>
  <c r="Z9" i="4"/>
  <c r="J8" i="5"/>
  <c r="Z8" i="4"/>
  <c r="J7" i="5"/>
  <c r="Y8" i="4"/>
  <c r="I7" i="5" s="1"/>
  <c r="Y7" i="4"/>
  <c r="I6" i="5" s="1"/>
  <c r="Z7" i="4"/>
  <c r="J6" i="5"/>
  <c r="Y6" i="4"/>
  <c r="I5" i="5" s="1"/>
  <c r="Z6" i="4"/>
  <c r="J5" i="5"/>
  <c r="Y5" i="4"/>
  <c r="I4" i="5" s="1"/>
  <c r="Z5" i="4"/>
  <c r="J4" i="5"/>
  <c r="Y4" i="4"/>
  <c r="I3" i="5" s="1"/>
  <c r="Z4" i="4"/>
  <c r="J3" i="5"/>
  <c r="Y3" i="4"/>
  <c r="I2" i="5" s="1"/>
  <c r="Z3" i="4"/>
  <c r="J2" i="5"/>
  <c r="Q38" i="14"/>
  <c r="Q37" i="14"/>
  <c r="Q36" i="14"/>
  <c r="Q35" i="14"/>
  <c r="Q34" i="14"/>
  <c r="Q33" i="14"/>
  <c r="Q32" i="14"/>
  <c r="Q31" i="14"/>
  <c r="G141" i="13"/>
  <c r="L3" i="19" l="1"/>
  <c r="L4" i="19"/>
  <c r="L5" i="19"/>
  <c r="L6" i="19"/>
  <c r="L7" i="19"/>
  <c r="L8" i="19"/>
  <c r="L9" i="19"/>
  <c r="L10" i="19"/>
  <c r="L11" i="19"/>
  <c r="L12" i="19"/>
  <c r="M2" i="19"/>
  <c r="J3" i="19"/>
  <c r="J13" i="19" s="1"/>
  <c r="J4" i="19"/>
  <c r="J5" i="19"/>
  <c r="J6" i="19"/>
  <c r="J7" i="19"/>
  <c r="J8" i="19"/>
  <c r="J9" i="19"/>
  <c r="J10" i="19"/>
  <c r="J11" i="19"/>
  <c r="M11" i="19" s="1"/>
  <c r="J12" i="19"/>
  <c r="M12" i="19" s="1"/>
  <c r="P15" i="17"/>
  <c r="L12" i="12"/>
  <c r="P13" i="17"/>
  <c r="L5" i="12"/>
  <c r="L6" i="12"/>
  <c r="P9" i="17"/>
  <c r="L11" i="12"/>
  <c r="P8" i="17"/>
  <c r="L7" i="12"/>
  <c r="P6" i="17"/>
  <c r="L10" i="12"/>
  <c r="P5" i="17"/>
  <c r="I32" i="17"/>
  <c r="O32" i="17"/>
  <c r="L9" i="12"/>
  <c r="K5" i="12"/>
  <c r="K6" i="12"/>
  <c r="I30" i="17"/>
  <c r="O30" i="17"/>
  <c r="J5" i="12"/>
  <c r="J6" i="12"/>
  <c r="O31" i="17"/>
  <c r="I31" i="17"/>
  <c r="I5" i="12"/>
  <c r="I6" i="12"/>
  <c r="H5" i="12"/>
  <c r="H6" i="12"/>
  <c r="I27" i="17"/>
  <c r="O27" i="17"/>
  <c r="O15" i="17"/>
  <c r="M12" i="12" s="1"/>
  <c r="G12" i="12"/>
  <c r="O13" i="17"/>
  <c r="G5" i="12"/>
  <c r="G6" i="12"/>
  <c r="O9" i="17"/>
  <c r="M11" i="12" s="1"/>
  <c r="G11" i="12"/>
  <c r="I28" i="17"/>
  <c r="O28" i="17"/>
  <c r="O8" i="17"/>
  <c r="M7" i="12" s="1"/>
  <c r="G7" i="12"/>
  <c r="O6" i="17"/>
  <c r="M10" i="12" s="1"/>
  <c r="G10" i="12"/>
  <c r="O5" i="17"/>
  <c r="M9" i="12" s="1"/>
  <c r="I25" i="17"/>
  <c r="O25" i="17"/>
  <c r="I29" i="17"/>
  <c r="O29" i="17"/>
  <c r="G9" i="12"/>
  <c r="L37" i="13"/>
  <c r="H192" i="13"/>
  <c r="E63" i="13" s="1"/>
  <c r="I192" i="13"/>
  <c r="G63" i="13" s="1"/>
  <c r="L36" i="13"/>
  <c r="H170" i="13"/>
  <c r="E64" i="13" s="1"/>
  <c r="I170" i="13"/>
  <c r="G64" i="13" s="1"/>
  <c r="L29" i="13"/>
  <c r="H162" i="13"/>
  <c r="E61" i="13" s="1"/>
  <c r="I162" i="13"/>
  <c r="G61" i="13" s="1"/>
  <c r="L26" i="13"/>
  <c r="H146" i="13"/>
  <c r="E62" i="13" s="1"/>
  <c r="I146" i="13"/>
  <c r="G62" i="13" s="1"/>
  <c r="L20" i="13"/>
  <c r="H134" i="13"/>
  <c r="E58" i="13" s="1"/>
  <c r="I134" i="13"/>
  <c r="G58" i="13" s="1"/>
  <c r="H104" i="13"/>
  <c r="E59" i="13" s="1"/>
  <c r="I104" i="13"/>
  <c r="G59" i="13" s="1"/>
  <c r="H7" i="13"/>
  <c r="H8" i="13"/>
  <c r="L30" i="13"/>
  <c r="I141" i="13"/>
  <c r="H141" i="13"/>
  <c r="E60" i="13" s="1"/>
  <c r="L10" i="20"/>
  <c r="O26" i="17"/>
  <c r="I9" i="13"/>
  <c r="M5" i="12" l="1"/>
  <c r="M6" i="12"/>
  <c r="L13" i="19"/>
  <c r="M3" i="19"/>
  <c r="M4" i="19"/>
  <c r="M5" i="19"/>
  <c r="M6" i="19"/>
  <c r="M7" i="19"/>
  <c r="M8" i="19"/>
  <c r="M9" i="19"/>
  <c r="M10" i="19"/>
  <c r="G60" i="13"/>
  <c r="H5" i="13"/>
  <c r="H6" i="13"/>
  <c r="H9" i="13" l="1"/>
</calcChain>
</file>

<file path=xl/sharedStrings.xml><?xml version="1.0" encoding="utf-8"?>
<sst xmlns="http://schemas.openxmlformats.org/spreadsheetml/2006/main" count="3835" uniqueCount="1413">
  <si>
    <r>
      <rPr>
        <b/>
        <sz val="14"/>
        <rFont val="Noto Sans CJK SC"/>
        <family val="2"/>
      </rPr>
      <t>게임전략</t>
    </r>
    <r>
      <rPr>
        <b/>
        <sz val="14"/>
        <rFont val="Arial"/>
        <family val="2"/>
      </rPr>
      <t>_MVP_</t>
    </r>
    <r>
      <rPr>
        <b/>
        <sz val="14"/>
        <rFont val="Noto Sans CJK SC"/>
        <family val="2"/>
      </rPr>
      <t>마케팅</t>
    </r>
    <r>
      <rPr>
        <b/>
        <sz val="14"/>
        <rFont val="Arial"/>
        <family val="2"/>
      </rPr>
      <t xml:space="preserve">.xlsx — </t>
    </r>
    <r>
      <rPr>
        <b/>
        <sz val="14"/>
        <rFont val="Noto Sans CJK SC"/>
        <family val="2"/>
      </rPr>
      <t>목차</t>
    </r>
  </si>
  <si>
    <r>
      <rPr>
        <sz val="11"/>
        <color rgb="FF595959"/>
        <rFont val="Noto Sans CJK SC"/>
        <family val="2"/>
      </rPr>
      <t>이 파일</t>
    </r>
    <r>
      <rPr>
        <sz val="11"/>
        <color rgb="FF595959"/>
        <rFont val="Arial"/>
        <family val="2"/>
      </rPr>
      <t xml:space="preserve">: </t>
    </r>
    <r>
      <rPr>
        <sz val="11"/>
        <color rgb="FF595959"/>
        <rFont val="Noto Sans CJK SC"/>
        <family val="2"/>
      </rPr>
      <t>게임전략</t>
    </r>
    <r>
      <rPr>
        <sz val="11"/>
        <color rgb="FF595959"/>
        <rFont val="Arial"/>
        <family val="2"/>
      </rPr>
      <t>_MVP_</t>
    </r>
    <r>
      <rPr>
        <sz val="11"/>
        <color rgb="FF595959"/>
        <rFont val="Noto Sans CJK SC"/>
        <family val="2"/>
      </rPr>
      <t>마케팅</t>
    </r>
    <r>
      <rPr>
        <sz val="11"/>
        <color rgb="FF595959"/>
        <rFont val="Arial"/>
        <family val="2"/>
      </rPr>
      <t xml:space="preserve">.xlsx  /  </t>
    </r>
    <r>
      <rPr>
        <sz val="11"/>
        <color rgb="FF595959"/>
        <rFont val="Noto Sans CJK SC"/>
        <family val="2"/>
      </rPr>
      <t>짝 파일</t>
    </r>
    <r>
      <rPr>
        <sz val="11"/>
        <color rgb="FF595959"/>
        <rFont val="Arial"/>
        <family val="2"/>
      </rPr>
      <t xml:space="preserve">: </t>
    </r>
    <r>
      <rPr>
        <sz val="11"/>
        <color rgb="FF595959"/>
        <rFont val="Noto Sans CJK SC"/>
        <family val="2"/>
      </rPr>
      <t>시장조사</t>
    </r>
    <r>
      <rPr>
        <sz val="11"/>
        <color rgb="FF595959"/>
        <rFont val="Arial"/>
        <family val="2"/>
      </rPr>
      <t>.xlsx (</t>
    </r>
    <r>
      <rPr>
        <sz val="11"/>
        <color rgb="FF595959"/>
        <rFont val="Noto Sans CJK SC"/>
        <family val="2"/>
      </rPr>
      <t>시장</t>
    </r>
    <r>
      <rPr>
        <sz val="11"/>
        <color rgb="FF595959"/>
        <rFont val="Arial"/>
        <family val="2"/>
      </rPr>
      <t>·</t>
    </r>
    <r>
      <rPr>
        <sz val="11"/>
        <color rgb="FF595959"/>
        <rFont val="Noto Sans CJK SC"/>
        <family val="2"/>
      </rPr>
      <t>지역</t>
    </r>
    <r>
      <rPr>
        <sz val="11"/>
        <color rgb="FF595959"/>
        <rFont val="Arial"/>
        <family val="2"/>
      </rPr>
      <t>·</t>
    </r>
    <r>
      <rPr>
        <sz val="11"/>
        <color rgb="FF595959"/>
        <rFont val="Noto Sans CJK SC"/>
        <family val="2"/>
      </rPr>
      <t>매출</t>
    </r>
    <r>
      <rPr>
        <sz val="11"/>
        <color rgb="FF595959"/>
        <rFont val="Arial"/>
        <family val="2"/>
      </rPr>
      <t>·</t>
    </r>
    <r>
      <rPr>
        <sz val="11"/>
        <color rgb="FF595959"/>
        <rFont val="Noto Sans CJK SC"/>
        <family val="2"/>
      </rPr>
      <t>벤치마크 숫자 자료</t>
    </r>
    <r>
      <rPr>
        <sz val="11"/>
        <color rgb="FF595959"/>
        <rFont val="Arial"/>
        <family val="2"/>
      </rPr>
      <t xml:space="preserve">)  ·  </t>
    </r>
    <r>
      <rPr>
        <sz val="11"/>
        <color rgb="FF595959"/>
        <rFont val="Noto Sans CJK SC"/>
        <family val="2"/>
      </rPr>
      <t>시트 이름을 누르면 그 시트로 이동합니다</t>
    </r>
    <r>
      <rPr>
        <sz val="11"/>
        <color rgb="FF595959"/>
        <rFont val="Arial"/>
        <family val="2"/>
      </rPr>
      <t xml:space="preserve">. </t>
    </r>
    <r>
      <rPr>
        <sz val="11"/>
        <color rgb="FF595959"/>
        <rFont val="Noto Sans CJK SC"/>
        <family val="2"/>
      </rPr>
      <t xml:space="preserve">회색 줄은 다음 단계에서 만들 </t>
    </r>
    <r>
      <rPr>
        <sz val="11"/>
        <color rgb="FF595959"/>
        <rFont val="Arial"/>
        <family val="2"/>
      </rPr>
      <t>'</t>
    </r>
    <r>
      <rPr>
        <sz val="11"/>
        <color rgb="FF595959"/>
        <rFont val="Noto Sans CJK SC"/>
        <family val="2"/>
      </rPr>
      <t>예정</t>
    </r>
    <r>
      <rPr>
        <sz val="11"/>
        <color rgb="FF595959"/>
        <rFont val="Arial"/>
        <family val="2"/>
      </rPr>
      <t xml:space="preserve">' </t>
    </r>
    <r>
      <rPr>
        <sz val="11"/>
        <color rgb="FF595959"/>
        <rFont val="Noto Sans CJK SC"/>
        <family val="2"/>
      </rPr>
      <t>시트입니다</t>
    </r>
    <r>
      <rPr>
        <sz val="11"/>
        <color rgb="FF595959"/>
        <rFont val="Arial"/>
        <family val="2"/>
      </rPr>
      <t>.</t>
    </r>
  </si>
  <si>
    <t>그룹</t>
  </si>
  <si>
    <t>시트 이름</t>
  </si>
  <si>
    <t>한 줄 설명</t>
  </si>
  <si>
    <t>상태</t>
  </si>
  <si>
    <t>비고</t>
  </si>
  <si>
    <r>
      <rPr>
        <b/>
        <sz val="11"/>
        <color rgb="FFFFFFFF"/>
        <rFont val="Arial"/>
        <family val="2"/>
      </rPr>
      <t xml:space="preserve">0 </t>
    </r>
    <r>
      <rPr>
        <b/>
        <sz val="11"/>
        <color rgb="FFFFFFFF"/>
        <rFont val="Noto Sans CJK SC"/>
        <family val="2"/>
      </rPr>
      <t>안내</t>
    </r>
  </si>
  <si>
    <r>
      <rPr>
        <sz val="11"/>
        <color rgb="FF000000"/>
        <rFont val="Arial"/>
        <family val="2"/>
      </rPr>
      <t xml:space="preserve">0 </t>
    </r>
    <r>
      <rPr>
        <sz val="11"/>
        <color rgb="FF000000"/>
        <rFont val="Noto Sans CJK SC"/>
        <family val="2"/>
      </rPr>
      <t>목차</t>
    </r>
  </si>
  <si>
    <t>이 시트</t>
  </si>
  <si>
    <t>완료</t>
  </si>
  <si>
    <t>0-1 개요</t>
  </si>
  <si>
    <r>
      <rPr>
        <sz val="11"/>
        <color rgb="FF000000"/>
        <rFont val="Noto Sans CJK SC"/>
        <family val="2"/>
      </rPr>
      <t>분석 범위</t>
    </r>
    <r>
      <rPr>
        <sz val="11"/>
        <color rgb="FF000000"/>
        <rFont val="Arial"/>
        <family val="2"/>
      </rPr>
      <t>·</t>
    </r>
    <r>
      <rPr>
        <sz val="11"/>
        <color rgb="FF000000"/>
        <rFont val="Noto Sans CJK SC"/>
        <family val="2"/>
      </rPr>
      <t>기준일</t>
    </r>
    <r>
      <rPr>
        <sz val="11"/>
        <color rgb="FF000000"/>
        <rFont val="Arial"/>
        <family val="2"/>
      </rPr>
      <t>·</t>
    </r>
    <r>
      <rPr>
        <sz val="11"/>
        <color rgb="FF000000"/>
        <rFont val="Noto Sans CJK SC"/>
        <family val="2"/>
      </rPr>
      <t xml:space="preserve">출처 모음 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시장조사 파일과 같은 내용</t>
    </r>
    <r>
      <rPr>
        <sz val="11"/>
        <color rgb="FF000000"/>
        <rFont val="Arial"/>
        <family val="2"/>
      </rPr>
      <t>)</t>
    </r>
  </si>
  <si>
    <r>
      <rPr>
        <b/>
        <sz val="11"/>
        <color rgb="FFFFFFFF"/>
        <rFont val="Arial"/>
        <family val="2"/>
      </rPr>
      <t xml:space="preserve">1 </t>
    </r>
    <r>
      <rPr>
        <b/>
        <sz val="11"/>
        <color rgb="FFFFFFFF"/>
        <rFont val="Noto Sans CJK SC"/>
        <family val="2"/>
      </rPr>
      <t>성공 비결</t>
    </r>
  </si>
  <si>
    <t>1-1 점수 기준</t>
  </si>
  <si>
    <r>
      <rPr>
        <sz val="11"/>
        <color rgb="FF000000"/>
        <rFont val="Noto Sans CJK SC"/>
        <family val="2"/>
      </rPr>
      <t xml:space="preserve">성공 점수 배점 가정값 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바꾸면 점수표가 자동 재계산</t>
    </r>
    <r>
      <rPr>
        <sz val="11"/>
        <color rgb="FF000000"/>
        <rFont val="Arial"/>
        <family val="2"/>
      </rPr>
      <t>)</t>
    </r>
  </si>
  <si>
    <t>1-2 성공 점수표</t>
  </si>
  <si>
    <r>
      <rPr>
        <sz val="11"/>
        <color rgb="FF000000"/>
        <rFont val="Arial"/>
        <family val="2"/>
      </rPr>
      <t>12</t>
    </r>
    <r>
      <rPr>
        <sz val="11"/>
        <color rgb="FF000000"/>
        <rFont val="Noto Sans CJK SC"/>
        <family val="2"/>
      </rPr>
      <t xml:space="preserve">개 게임의 순위 기반 성공 점수 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수식 자동 계산</t>
    </r>
    <r>
      <rPr>
        <sz val="11"/>
        <color rgb="FF000000"/>
        <rFont val="Arial"/>
        <family val="2"/>
      </rPr>
      <t>)</t>
    </r>
  </si>
  <si>
    <t>1-3 성적표 카드</t>
  </si>
  <si>
    <t>게임별 쉬운 설명과 별점 카드</t>
  </si>
  <si>
    <t>1-4 성공 비결 해부</t>
  </si>
  <si>
    <r>
      <rPr>
        <sz val="11"/>
        <color rgb="FF000000"/>
        <rFont val="Arial"/>
        <family val="2"/>
      </rPr>
      <t>12</t>
    </r>
    <r>
      <rPr>
        <sz val="11"/>
        <color rgb="FF000000"/>
        <rFont val="Noto Sans CJK SC"/>
        <family val="2"/>
      </rPr>
      <t>개 게임의 재미 루프</t>
    </r>
    <r>
      <rPr>
        <sz val="11"/>
        <color rgb="FF000000"/>
        <rFont val="Arial"/>
        <family val="2"/>
      </rPr>
      <t>·</t>
    </r>
    <r>
      <rPr>
        <sz val="11"/>
        <color rgb="FF000000"/>
        <rFont val="Noto Sans CJK SC"/>
        <family val="2"/>
      </rPr>
      <t xml:space="preserve">첫 </t>
    </r>
    <r>
      <rPr>
        <sz val="11"/>
        <color rgb="FF000000"/>
        <rFont val="Arial"/>
        <family val="2"/>
      </rPr>
      <t>1</t>
    </r>
    <r>
      <rPr>
        <sz val="11"/>
        <color rgb="FF000000"/>
        <rFont val="Noto Sans CJK SC"/>
        <family val="2"/>
      </rPr>
      <t>분</t>
    </r>
    <r>
      <rPr>
        <sz val="11"/>
        <color rgb="FF000000"/>
        <rFont val="Arial"/>
        <family val="2"/>
      </rPr>
      <t>·</t>
    </r>
    <r>
      <rPr>
        <sz val="11"/>
        <color rgb="FF000000"/>
        <rFont val="Noto Sans CJK SC"/>
        <family val="2"/>
      </rPr>
      <t>다시 오게 하는 장치</t>
    </r>
  </si>
  <si>
    <t>1-5 성공 비결 확장</t>
  </si>
  <si>
    <t>장르 그룹별로 넓힌 게임 목록과 차트 근거</t>
  </si>
  <si>
    <t>1-6 공통점 분석</t>
  </si>
  <si>
    <r>
      <rPr>
        <sz val="11"/>
        <color rgb="FF000000"/>
        <rFont val="Arial"/>
        <family val="2"/>
      </rPr>
      <t>26</t>
    </r>
    <r>
      <rPr>
        <sz val="11"/>
        <color rgb="FF000000"/>
        <rFont val="Noto Sans CJK SC"/>
        <family val="2"/>
      </rPr>
      <t>개 게임의 공통 요소 표와 요약</t>
    </r>
  </si>
  <si>
    <t>1-7 성공 공식 TOP5</t>
  </si>
  <si>
    <r>
      <rPr>
        <sz val="11"/>
        <color rgb="FF000000"/>
        <rFont val="Noto Sans CJK SC"/>
        <family val="2"/>
      </rPr>
      <t xml:space="preserve">공통점에서 뽑은 성공 공식 </t>
    </r>
    <r>
      <rPr>
        <sz val="11"/>
        <color rgb="FF000000"/>
        <rFont val="Arial"/>
        <family val="2"/>
      </rPr>
      <t>5</t>
    </r>
    <r>
      <rPr>
        <sz val="11"/>
        <color rgb="FF000000"/>
        <rFont val="Noto Sans CJK SC"/>
        <family val="2"/>
      </rPr>
      <t>가지</t>
    </r>
  </si>
  <si>
    <t>2 MVP</t>
  </si>
  <si>
    <t>2-1 MVP 명세</t>
  </si>
  <si>
    <r>
      <rPr>
        <sz val="11"/>
        <color rgb="FF000000"/>
        <rFont val="Noto Sans CJK SC"/>
        <family val="2"/>
      </rPr>
      <t>게임별 꼭 필요</t>
    </r>
    <r>
      <rPr>
        <sz val="11"/>
        <color rgb="FF000000"/>
        <rFont val="Arial"/>
        <family val="2"/>
      </rPr>
      <t>/</t>
    </r>
    <r>
      <rPr>
        <sz val="11"/>
        <color rgb="FF000000"/>
        <rFont val="Noto Sans CJK SC"/>
        <family val="2"/>
      </rPr>
      <t>있으면 좋음</t>
    </r>
    <r>
      <rPr>
        <sz val="11"/>
        <color rgb="FF000000"/>
        <rFont val="Arial"/>
        <family val="2"/>
      </rPr>
      <t>/</t>
    </r>
    <r>
      <rPr>
        <sz val="11"/>
        <color rgb="FF000000"/>
        <rFont val="Noto Sans CJK SC"/>
        <family val="2"/>
      </rPr>
      <t>나중에 기능</t>
    </r>
  </si>
  <si>
    <t>2-2 MVP 검증 목표</t>
  </si>
  <si>
    <r>
      <rPr>
        <sz val="11"/>
        <color rgb="FF000000"/>
        <rFont val="Noto Sans CJK SC"/>
        <family val="2"/>
      </rPr>
      <t>리텐션 합격선</t>
    </r>
    <r>
      <rPr>
        <sz val="11"/>
        <color rgb="FF000000"/>
        <rFont val="Arial"/>
        <family val="2"/>
      </rPr>
      <t>·</t>
    </r>
    <r>
      <rPr>
        <sz val="11"/>
        <color rgb="FF000000"/>
        <rFont val="Noto Sans CJK SC"/>
        <family val="2"/>
      </rPr>
      <t xml:space="preserve">목표 </t>
    </r>
    <r>
      <rPr>
        <sz val="11"/>
        <color rgb="FF000000"/>
        <rFont val="Arial"/>
        <family val="2"/>
      </rPr>
      <t xml:space="preserve">(4-1 </t>
    </r>
    <r>
      <rPr>
        <sz val="11"/>
        <color rgb="FF000000"/>
        <rFont val="Noto Sans CJK SC"/>
        <family val="2"/>
      </rPr>
      <t>지역 벤치마크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참조</t>
    </r>
    <r>
      <rPr>
        <sz val="11"/>
        <color rgb="FF000000"/>
        <rFont val="Arial"/>
        <family val="2"/>
      </rPr>
      <t>)</t>
    </r>
    <r>
      <rPr>
        <sz val="11"/>
        <color rgb="FF000000"/>
        <rFont val="Noto Sans CJK SC"/>
        <family val="2"/>
      </rPr>
      <t>에서 가져옴</t>
    </r>
    <r>
      <rPr>
        <sz val="11"/>
        <color rgb="FF000000"/>
        <rFont val="Arial"/>
        <family val="2"/>
      </rPr>
      <t>)</t>
    </r>
  </si>
  <si>
    <t>2-3 장르 연결(추정)</t>
  </si>
  <si>
    <r>
      <rPr>
        <sz val="11"/>
        <color rgb="FF000000"/>
        <rFont val="Noto Sans CJK SC"/>
        <family val="2"/>
      </rPr>
      <t xml:space="preserve">우리 장르 그룹 ↔ </t>
    </r>
    <r>
      <rPr>
        <sz val="11"/>
        <color rgb="FF000000"/>
        <rFont val="Arial"/>
        <family val="2"/>
      </rPr>
      <t xml:space="preserve">GameAnalytics </t>
    </r>
    <r>
      <rPr>
        <sz val="11"/>
        <color rgb="FF000000"/>
        <rFont val="Noto Sans CJK SC"/>
        <family val="2"/>
      </rPr>
      <t xml:space="preserve">장르 연결 </t>
    </r>
    <r>
      <rPr>
        <sz val="11"/>
        <color rgb="FF000000"/>
        <rFont val="Arial"/>
        <family val="2"/>
      </rPr>
      <t>(4-3</t>
    </r>
    <r>
      <rPr>
        <sz val="11"/>
        <color rgb="FF000000"/>
        <rFont val="Noto Sans CJK SC"/>
        <family val="2"/>
      </rPr>
      <t>에서 가져옴</t>
    </r>
    <r>
      <rPr>
        <sz val="11"/>
        <color rgb="FF000000"/>
        <rFont val="Arial"/>
        <family val="2"/>
      </rPr>
      <t>)</t>
    </r>
  </si>
  <si>
    <t>2-4 2인 개발 MVP 판단</t>
  </si>
  <si>
    <r>
      <rPr>
        <sz val="11"/>
        <color rgb="FF000000"/>
        <rFont val="Noto Sans CJK SC"/>
        <family val="2"/>
      </rPr>
      <t xml:space="preserve">매출 </t>
    </r>
    <r>
      <rPr>
        <sz val="11"/>
        <color rgb="FF000000"/>
        <rFont val="Arial"/>
        <family val="2"/>
      </rPr>
      <t xml:space="preserve">Top100 + ③ </t>
    </r>
    <r>
      <rPr>
        <sz val="11"/>
        <color rgb="FF000000"/>
        <rFont val="Noto Sans CJK SC"/>
        <family val="2"/>
      </rPr>
      <t xml:space="preserve">다운로드만 높은 게임 중 </t>
    </r>
    <r>
      <rPr>
        <sz val="11"/>
        <color rgb="FF000000"/>
        <rFont val="Arial"/>
        <family val="2"/>
      </rPr>
      <t>2</t>
    </r>
    <r>
      <rPr>
        <sz val="11"/>
        <color rgb="FF000000"/>
        <rFont val="Noto Sans CJK SC"/>
        <family val="2"/>
      </rPr>
      <t xml:space="preserve">명이 만들 수 있는 </t>
    </r>
    <r>
      <rPr>
        <sz val="11"/>
        <color rgb="FF000000"/>
        <rFont val="Arial"/>
        <family val="2"/>
      </rPr>
      <t xml:space="preserve">MVP </t>
    </r>
    <r>
      <rPr>
        <sz val="11"/>
        <color rgb="FF000000"/>
        <rFont val="Noto Sans CJK SC"/>
        <family val="2"/>
      </rPr>
      <t xml:space="preserve">후보 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세부 장르 점수 → 게임 판정</t>
    </r>
    <r>
      <rPr>
        <sz val="11"/>
        <color rgb="FF000000"/>
        <rFont val="Arial"/>
        <family val="2"/>
      </rPr>
      <t xml:space="preserve">, </t>
    </r>
    <r>
      <rPr>
        <sz val="11"/>
        <color rgb="FF000000"/>
        <rFont val="Noto Sans CJK SC"/>
        <family val="2"/>
      </rPr>
      <t>수식</t>
    </r>
    <r>
      <rPr>
        <sz val="11"/>
        <color rgb="FF000000"/>
        <rFont val="Arial"/>
        <family val="2"/>
      </rPr>
      <t>)</t>
    </r>
  </si>
  <si>
    <r>
      <rPr>
        <sz val="11"/>
        <color rgb="FF000000"/>
        <rFont val="Arial"/>
        <family val="2"/>
      </rPr>
      <t>6</t>
    </r>
    <r>
      <rPr>
        <sz val="11"/>
        <color rgb="FF000000"/>
        <rFont val="Noto Sans CJK SC"/>
        <family val="2"/>
      </rPr>
      <t>단계</t>
    </r>
    <r>
      <rPr>
        <sz val="11"/>
        <color rgb="FF000000"/>
        <rFont val="Arial"/>
        <family val="2"/>
      </rPr>
      <t>-3</t>
    </r>
    <r>
      <rPr>
        <sz val="11"/>
        <color rgb="FF000000"/>
        <rFont val="Noto Sans CJK SC"/>
        <family val="2"/>
      </rPr>
      <t>에서 만듦</t>
    </r>
  </si>
  <si>
    <r>
      <rPr>
        <b/>
        <sz val="11"/>
        <color rgb="FFFFFFFF"/>
        <rFont val="Arial"/>
        <family val="2"/>
      </rPr>
      <t xml:space="preserve">3 </t>
    </r>
    <r>
      <rPr>
        <b/>
        <sz val="11"/>
        <color rgb="FFFFFFFF"/>
        <rFont val="Noto Sans CJK SC"/>
        <family val="2"/>
      </rPr>
      <t>마케팅</t>
    </r>
  </si>
  <si>
    <t>3-1 광고 대비 유입</t>
  </si>
  <si>
    <r>
      <rPr>
        <sz val="11"/>
        <color rgb="FF000000"/>
        <rFont val="Noto Sans CJK SC"/>
        <family val="2"/>
      </rPr>
      <t xml:space="preserve">광고비 → 설치 수 → </t>
    </r>
    <r>
      <rPr>
        <sz val="11"/>
        <color rgb="FF000000"/>
        <rFont val="Arial"/>
        <family val="2"/>
      </rPr>
      <t>D1/D7/D30</t>
    </r>
    <r>
      <rPr>
        <sz val="11"/>
        <color rgb="FF000000"/>
        <rFont val="Noto Sans CJK SC"/>
        <family val="2"/>
      </rPr>
      <t xml:space="preserve">에 남는 사람 수 계산표 </t>
    </r>
    <r>
      <rPr>
        <sz val="11"/>
        <color rgb="FF000000"/>
        <rFont val="Arial"/>
        <family val="2"/>
      </rPr>
      <t xml:space="preserve">(CPI </t>
    </r>
    <r>
      <rPr>
        <sz val="11"/>
        <color rgb="FF000000"/>
        <rFont val="Noto Sans CJK SC"/>
        <family val="2"/>
      </rPr>
      <t xml:space="preserve">출처표 </t>
    </r>
    <r>
      <rPr>
        <sz val="11"/>
        <color rgb="FF000000"/>
        <rFont val="Arial"/>
        <family val="2"/>
      </rPr>
      <t xml:space="preserve">+ 4-1 </t>
    </r>
    <r>
      <rPr>
        <sz val="11"/>
        <color rgb="FF000000"/>
        <rFont val="Noto Sans CJK SC"/>
        <family val="2"/>
      </rPr>
      <t>리텐션</t>
    </r>
    <r>
      <rPr>
        <sz val="11"/>
        <color rgb="FF000000"/>
        <rFont val="Arial"/>
        <family val="2"/>
      </rPr>
      <t>)</t>
    </r>
  </si>
  <si>
    <r>
      <rPr>
        <i/>
        <sz val="11"/>
        <color rgb="FF808080"/>
        <rFont val="Arial"/>
        <family val="2"/>
      </rPr>
      <t xml:space="preserve">3-2 </t>
    </r>
    <r>
      <rPr>
        <i/>
        <sz val="11"/>
        <color rgb="FF808080"/>
        <rFont val="Noto Sans CJK SC"/>
        <family val="2"/>
      </rPr>
      <t>광고 채널 분석</t>
    </r>
  </si>
  <si>
    <r>
      <rPr>
        <i/>
        <sz val="11"/>
        <color rgb="FF808080"/>
        <rFont val="Noto Sans CJK SC"/>
        <family val="2"/>
      </rPr>
      <t>유튜브</t>
    </r>
    <r>
      <rPr>
        <i/>
        <sz val="11"/>
        <color rgb="FF808080"/>
        <rFont val="Arial"/>
        <family val="2"/>
      </rPr>
      <t>·</t>
    </r>
    <r>
      <rPr>
        <i/>
        <sz val="11"/>
        <color rgb="FF808080"/>
        <rFont val="Noto Sans CJK SC"/>
        <family val="2"/>
      </rPr>
      <t>인스타</t>
    </r>
    <r>
      <rPr>
        <i/>
        <sz val="11"/>
        <color rgb="FF808080"/>
        <rFont val="Arial"/>
        <family val="2"/>
      </rPr>
      <t>·</t>
    </r>
    <r>
      <rPr>
        <i/>
        <sz val="11"/>
        <color rgb="FF808080"/>
        <rFont val="Noto Sans CJK SC"/>
        <family val="2"/>
      </rPr>
      <t>페이스북</t>
    </r>
    <r>
      <rPr>
        <i/>
        <sz val="11"/>
        <color rgb="FF808080"/>
        <rFont val="Arial"/>
        <family val="2"/>
      </rPr>
      <t>·</t>
    </r>
    <r>
      <rPr>
        <i/>
        <sz val="11"/>
        <color rgb="FF808080"/>
        <rFont val="Noto Sans CJK SC"/>
        <family val="2"/>
      </rPr>
      <t>틱톡</t>
    </r>
    <r>
      <rPr>
        <i/>
        <sz val="11"/>
        <color rgb="FF808080"/>
        <rFont val="Arial"/>
        <family val="2"/>
      </rPr>
      <t>·</t>
    </r>
    <r>
      <rPr>
        <i/>
        <sz val="11"/>
        <color rgb="FF808080"/>
        <rFont val="Noto Sans CJK SC"/>
        <family val="2"/>
      </rPr>
      <t>인플루언서 비교</t>
    </r>
  </si>
  <si>
    <t>예정</t>
  </si>
  <si>
    <r>
      <rPr>
        <i/>
        <sz val="11"/>
        <color rgb="FF808080"/>
        <rFont val="Noto Sans CJK SC"/>
        <family val="2"/>
      </rPr>
      <t xml:space="preserve">예정 </t>
    </r>
    <r>
      <rPr>
        <i/>
        <sz val="11"/>
        <color rgb="FF808080"/>
        <rFont val="Arial"/>
        <family val="2"/>
      </rPr>
      <t>(3</t>
    </r>
    <r>
      <rPr>
        <i/>
        <sz val="11"/>
        <color rgb="FF808080"/>
        <rFont val="Noto Sans CJK SC"/>
        <family val="2"/>
      </rPr>
      <t>단계</t>
    </r>
    <r>
      <rPr>
        <i/>
        <sz val="11"/>
        <color rgb="FF808080"/>
        <rFont val="Arial"/>
        <family val="2"/>
      </rPr>
      <t>)</t>
    </r>
  </si>
  <si>
    <r>
      <rPr>
        <i/>
        <sz val="11"/>
        <color rgb="FF808080"/>
        <rFont val="Arial"/>
        <family val="2"/>
      </rPr>
      <t xml:space="preserve">3-3 </t>
    </r>
    <r>
      <rPr>
        <i/>
        <sz val="11"/>
        <color rgb="FF808080"/>
        <rFont val="Noto Sans CJK SC"/>
        <family val="2"/>
      </rPr>
      <t>후킹 영상 분석</t>
    </r>
  </si>
  <si>
    <r>
      <rPr>
        <i/>
        <sz val="11"/>
        <color rgb="FF808080"/>
        <rFont val="Noto Sans CJK SC"/>
        <family val="2"/>
      </rPr>
      <t xml:space="preserve">광고 영상 처음 </t>
    </r>
    <r>
      <rPr>
        <i/>
        <sz val="11"/>
        <color rgb="FF808080"/>
        <rFont val="Arial"/>
        <family val="2"/>
      </rPr>
      <t>3</t>
    </r>
    <r>
      <rPr>
        <i/>
        <sz val="11"/>
        <color rgb="FF808080"/>
        <rFont val="Noto Sans CJK SC"/>
        <family val="2"/>
      </rPr>
      <t>초 유형별 빈도</t>
    </r>
  </si>
  <si>
    <r>
      <rPr>
        <i/>
        <sz val="11"/>
        <color rgb="FF808080"/>
        <rFont val="Arial"/>
        <family val="2"/>
      </rPr>
      <t xml:space="preserve">3-4 </t>
    </r>
    <r>
      <rPr>
        <i/>
        <sz val="11"/>
        <color rgb="FF808080"/>
        <rFont val="Noto Sans CJK SC"/>
        <family val="2"/>
      </rPr>
      <t>마케팅 실행안</t>
    </r>
  </si>
  <si>
    <r>
      <rPr>
        <i/>
        <sz val="11"/>
        <color rgb="FF808080"/>
        <rFont val="Noto Sans CJK SC"/>
        <family val="2"/>
      </rPr>
      <t xml:space="preserve">우리 </t>
    </r>
    <r>
      <rPr>
        <i/>
        <sz val="11"/>
        <color rgb="FF808080"/>
        <rFont val="Arial"/>
        <family val="2"/>
      </rPr>
      <t>MVP</t>
    </r>
    <r>
      <rPr>
        <i/>
        <sz val="11"/>
        <color rgb="FF808080"/>
        <rFont val="Noto Sans CJK SC"/>
        <family val="2"/>
      </rPr>
      <t>용 마케팅 실행 계획</t>
    </r>
  </si>
  <si>
    <r>
      <rPr>
        <b/>
        <sz val="11"/>
        <color rgb="FFFFFFFF"/>
        <rFont val="Arial"/>
        <family val="2"/>
      </rPr>
      <t xml:space="preserve">4 </t>
    </r>
    <r>
      <rPr>
        <b/>
        <sz val="11"/>
        <color rgb="FFFFFFFF"/>
        <rFont val="Noto Sans CJK SC"/>
        <family val="2"/>
      </rPr>
      <t>참조용 복사본</t>
    </r>
  </si>
  <si>
    <t>4-1 지역 벤치마크(참조)</t>
  </si>
  <si>
    <r>
      <rPr>
        <sz val="11"/>
        <color rgb="FF000000"/>
        <rFont val="Arial"/>
        <family val="2"/>
      </rPr>
      <t xml:space="preserve">2-2 MVP </t>
    </r>
    <r>
      <rPr>
        <sz val="11"/>
        <color rgb="FF000000"/>
        <rFont val="Noto Sans CJK SC"/>
        <family val="2"/>
      </rPr>
      <t>검증 목표가 쓰는 표의 복사본</t>
    </r>
  </si>
  <si>
    <r>
      <rPr>
        <sz val="11"/>
        <color rgb="FF000000"/>
        <rFont val="Noto Sans CJK SC"/>
        <family val="2"/>
      </rPr>
      <t>원본</t>
    </r>
    <r>
      <rPr>
        <sz val="11"/>
        <color rgb="FF000000"/>
        <rFont val="Arial"/>
        <family val="2"/>
      </rPr>
      <t xml:space="preserve">: </t>
    </r>
    <r>
      <rPr>
        <sz val="11"/>
        <color rgb="FF000000"/>
        <rFont val="Noto Sans CJK SC"/>
        <family val="2"/>
      </rPr>
      <t>시장조사</t>
    </r>
    <r>
      <rPr>
        <sz val="11"/>
        <color rgb="FF000000"/>
        <rFont val="Arial"/>
        <family val="2"/>
      </rPr>
      <t xml:space="preserve">.xlsx › 4-2 </t>
    </r>
    <r>
      <rPr>
        <sz val="11"/>
        <color rgb="FF000000"/>
        <rFont val="Noto Sans CJK SC"/>
        <family val="2"/>
      </rPr>
      <t>지역 벤치마크</t>
    </r>
  </si>
  <si>
    <t>4-2 장르 차트 판독값(참조)</t>
  </si>
  <si>
    <r>
      <rPr>
        <sz val="11"/>
        <color rgb="FF000000"/>
        <rFont val="Arial"/>
        <family val="2"/>
      </rPr>
      <t>4-3</t>
    </r>
    <r>
      <rPr>
        <sz val="11"/>
        <color rgb="FF000000"/>
        <rFont val="Noto Sans CJK SC"/>
        <family val="2"/>
      </rPr>
      <t>이 계산에 쓰는 판독값의 복사본</t>
    </r>
  </si>
  <si>
    <r>
      <rPr>
        <sz val="11"/>
        <color rgb="FF000000"/>
        <rFont val="Noto Sans CJK SC"/>
        <family val="2"/>
      </rPr>
      <t>원본</t>
    </r>
    <r>
      <rPr>
        <sz val="11"/>
        <color rgb="FF000000"/>
        <rFont val="Arial"/>
        <family val="2"/>
      </rPr>
      <t xml:space="preserve">: </t>
    </r>
    <r>
      <rPr>
        <sz val="11"/>
        <color rgb="FF000000"/>
        <rFont val="Noto Sans CJK SC"/>
        <family val="2"/>
      </rPr>
      <t>시장조사</t>
    </r>
    <r>
      <rPr>
        <sz val="11"/>
        <color rgb="FF000000"/>
        <rFont val="Arial"/>
        <family val="2"/>
      </rPr>
      <t xml:space="preserve">.xlsx › 4-3 </t>
    </r>
    <r>
      <rPr>
        <sz val="11"/>
        <color rgb="FF000000"/>
        <rFont val="Noto Sans CJK SC"/>
        <family val="2"/>
      </rPr>
      <t>장르 차트 판독값</t>
    </r>
  </si>
  <si>
    <t>4-3 장르 판독 요약(참조)</t>
  </si>
  <si>
    <r>
      <rPr>
        <sz val="11"/>
        <color rgb="FF000000"/>
        <rFont val="Arial"/>
        <family val="2"/>
      </rPr>
      <t xml:space="preserve">2-3 </t>
    </r>
    <r>
      <rPr>
        <sz val="11"/>
        <color rgb="FF000000"/>
        <rFont val="Noto Sans CJK SC"/>
        <family val="2"/>
      </rPr>
      <t>장르 연결</t>
    </r>
    <r>
      <rPr>
        <sz val="11"/>
        <color rgb="FF000000"/>
        <rFont val="Arial"/>
        <family val="2"/>
      </rPr>
      <t>(</t>
    </r>
    <r>
      <rPr>
        <sz val="11"/>
        <color rgb="FF000000"/>
        <rFont val="Noto Sans CJK SC"/>
        <family val="2"/>
      </rPr>
      <t>추정</t>
    </r>
    <r>
      <rPr>
        <sz val="11"/>
        <color rgb="FF000000"/>
        <rFont val="Arial"/>
        <family val="2"/>
      </rPr>
      <t>)</t>
    </r>
    <r>
      <rPr>
        <sz val="11"/>
        <color rgb="FF000000"/>
        <rFont val="Noto Sans CJK SC"/>
        <family val="2"/>
      </rPr>
      <t>이 쓰는 표의 복사본</t>
    </r>
  </si>
  <si>
    <r>
      <rPr>
        <sz val="11"/>
        <color rgb="FF000000"/>
        <rFont val="Noto Sans CJK SC"/>
        <family val="2"/>
      </rPr>
      <t>원본</t>
    </r>
    <r>
      <rPr>
        <sz val="11"/>
        <color rgb="FF000000"/>
        <rFont val="Arial"/>
        <family val="2"/>
      </rPr>
      <t xml:space="preserve">: </t>
    </r>
    <r>
      <rPr>
        <sz val="11"/>
        <color rgb="FF000000"/>
        <rFont val="Noto Sans CJK SC"/>
        <family val="2"/>
      </rPr>
      <t>시장조사</t>
    </r>
    <r>
      <rPr>
        <sz val="11"/>
        <color rgb="FF000000"/>
        <rFont val="Arial"/>
        <family val="2"/>
      </rPr>
      <t xml:space="preserve">.xlsx › 4-4 </t>
    </r>
    <r>
      <rPr>
        <sz val="11"/>
        <color rgb="FF000000"/>
        <rFont val="Noto Sans CJK SC"/>
        <family val="2"/>
      </rPr>
      <t>장르 판독 요약</t>
    </r>
  </si>
  <si>
    <t>4-4 Google Play Top100(참조)</t>
  </si>
  <si>
    <r>
      <rPr>
        <sz val="11"/>
        <color rgb="FF000000"/>
        <rFont val="Arial"/>
        <family val="2"/>
      </rPr>
      <t>2-4</t>
    </r>
    <r>
      <rPr>
        <sz val="11"/>
        <color rgb="FF000000"/>
        <rFont val="Noto Sans CJK SC"/>
        <family val="2"/>
      </rPr>
      <t xml:space="preserve">가 세부 장르를 찾는 무료 </t>
    </r>
    <r>
      <rPr>
        <sz val="11"/>
        <color rgb="FF000000"/>
        <rFont val="Arial"/>
        <family val="2"/>
      </rPr>
      <t xml:space="preserve">Top100 </t>
    </r>
    <r>
      <rPr>
        <sz val="11"/>
        <color rgb="FF000000"/>
        <rFont val="Noto Sans CJK SC"/>
        <family val="2"/>
      </rPr>
      <t>표의 복사본</t>
    </r>
  </si>
  <si>
    <r>
      <rPr>
        <sz val="11"/>
        <color rgb="FF000000"/>
        <rFont val="Noto Sans CJK SC"/>
        <family val="2"/>
      </rPr>
      <t>원본</t>
    </r>
    <r>
      <rPr>
        <sz val="11"/>
        <color rgb="FF000000"/>
        <rFont val="Arial"/>
        <family val="2"/>
      </rPr>
      <t xml:space="preserve">: </t>
    </r>
    <r>
      <rPr>
        <sz val="11"/>
        <color rgb="FF000000"/>
        <rFont val="Noto Sans CJK SC"/>
        <family val="2"/>
      </rPr>
      <t>시장조사</t>
    </r>
    <r>
      <rPr>
        <sz val="11"/>
        <color rgb="FF000000"/>
        <rFont val="Arial"/>
        <family val="2"/>
      </rPr>
      <t>.xlsx › 1-2 Google Play Top100</t>
    </r>
  </si>
  <si>
    <t>4-5 매출 Top100(참조)</t>
  </si>
  <si>
    <r>
      <rPr>
        <sz val="11"/>
        <color rgb="FF000000"/>
        <rFont val="Arial"/>
        <family val="2"/>
      </rPr>
      <t>2-4</t>
    </r>
    <r>
      <rPr>
        <sz val="11"/>
        <color rgb="FF000000"/>
        <rFont val="Noto Sans CJK SC"/>
        <family val="2"/>
      </rPr>
      <t xml:space="preserve">가 쓰는 매출 </t>
    </r>
    <r>
      <rPr>
        <sz val="11"/>
        <color rgb="FF000000"/>
        <rFont val="Arial"/>
        <family val="2"/>
      </rPr>
      <t xml:space="preserve">Top100 </t>
    </r>
    <r>
      <rPr>
        <sz val="11"/>
        <color rgb="FF000000"/>
        <rFont val="Noto Sans CJK SC"/>
        <family val="2"/>
      </rPr>
      <t>장르 표의 복사본</t>
    </r>
  </si>
  <si>
    <r>
      <rPr>
        <sz val="11"/>
        <color rgb="FF000000"/>
        <rFont val="Noto Sans CJK SC"/>
        <family val="2"/>
      </rPr>
      <t>원본</t>
    </r>
    <r>
      <rPr>
        <sz val="11"/>
        <color rgb="FF000000"/>
        <rFont val="Arial"/>
        <family val="2"/>
      </rPr>
      <t xml:space="preserve">: </t>
    </r>
    <r>
      <rPr>
        <sz val="11"/>
        <color rgb="FF000000"/>
        <rFont val="Noto Sans CJK SC"/>
        <family val="2"/>
      </rPr>
      <t>시장조사</t>
    </r>
    <r>
      <rPr>
        <sz val="11"/>
        <color rgb="FF000000"/>
        <rFont val="Arial"/>
        <family val="2"/>
      </rPr>
      <t xml:space="preserve">.xlsx › 3-2 </t>
    </r>
    <r>
      <rPr>
        <sz val="11"/>
        <color rgb="FF000000"/>
        <rFont val="Noto Sans CJK SC"/>
        <family val="2"/>
      </rPr>
      <t xml:space="preserve">매출 </t>
    </r>
    <r>
      <rPr>
        <sz val="11"/>
        <color rgb="FF000000"/>
        <rFont val="Arial"/>
        <family val="2"/>
      </rPr>
      <t>Top100</t>
    </r>
  </si>
  <si>
    <t>4-6 매출-다운로드 비교(참조)</t>
  </si>
  <si>
    <r>
      <rPr>
        <sz val="11"/>
        <color rgb="FF000000"/>
        <rFont val="Arial"/>
        <family val="2"/>
      </rPr>
      <t>2-4</t>
    </r>
    <r>
      <rPr>
        <sz val="11"/>
        <color rgb="FF000000"/>
        <rFont val="Noto Sans CJK SC"/>
        <family val="2"/>
      </rPr>
      <t>가 쓰는 매출</t>
    </r>
    <r>
      <rPr>
        <sz val="11"/>
        <color rgb="FF000000"/>
        <rFont val="Arial"/>
        <family val="2"/>
      </rPr>
      <t>·</t>
    </r>
    <r>
      <rPr>
        <sz val="11"/>
        <color rgb="FF000000"/>
        <rFont val="Noto Sans CJK SC"/>
        <family val="2"/>
      </rPr>
      <t xml:space="preserve">무료 순위와 </t>
    </r>
    <r>
      <rPr>
        <sz val="11"/>
        <color rgb="FF000000"/>
        <rFont val="Arial"/>
        <family val="2"/>
      </rPr>
      <t>4</t>
    </r>
    <r>
      <rPr>
        <sz val="11"/>
        <color rgb="FF000000"/>
        <rFont val="Noto Sans CJK SC"/>
        <family val="2"/>
      </rPr>
      <t>가지 유형 분류의 복사본</t>
    </r>
  </si>
  <si>
    <r>
      <rPr>
        <sz val="11"/>
        <color rgb="FF000000"/>
        <rFont val="Noto Sans CJK SC"/>
        <family val="2"/>
      </rPr>
      <t>원본</t>
    </r>
    <r>
      <rPr>
        <sz val="11"/>
        <color rgb="FF000000"/>
        <rFont val="Arial"/>
        <family val="2"/>
      </rPr>
      <t xml:space="preserve">: </t>
    </r>
    <r>
      <rPr>
        <sz val="11"/>
        <color rgb="FF000000"/>
        <rFont val="Noto Sans CJK SC"/>
        <family val="2"/>
      </rPr>
      <t>시장조사</t>
    </r>
    <r>
      <rPr>
        <sz val="11"/>
        <color rgb="FF000000"/>
        <rFont val="Arial"/>
        <family val="2"/>
      </rPr>
      <t xml:space="preserve">.xlsx › 3-3 </t>
    </r>
    <r>
      <rPr>
        <sz val="11"/>
        <color rgb="FF000000"/>
        <rFont val="Noto Sans CJK SC"/>
        <family val="2"/>
      </rPr>
      <t>매출</t>
    </r>
    <r>
      <rPr>
        <sz val="11"/>
        <color rgb="FF000000"/>
        <rFont val="Arial"/>
        <family val="2"/>
      </rPr>
      <t>-</t>
    </r>
    <r>
      <rPr>
        <sz val="11"/>
        <color rgb="FF000000"/>
        <rFont val="Noto Sans CJK SC"/>
        <family val="2"/>
      </rPr>
      <t>다운로드 비교</t>
    </r>
  </si>
  <si>
    <r>
      <rPr>
        <b/>
        <sz val="14"/>
        <rFont val="Noto Sans CJK SC"/>
        <family val="2"/>
      </rPr>
      <t xml:space="preserve">모바일 게임 시장 분석 — 장르 분류 </t>
    </r>
    <r>
      <rPr>
        <b/>
        <sz val="14"/>
        <rFont val="Arial"/>
        <family val="2"/>
      </rPr>
      <t xml:space="preserve">· </t>
    </r>
    <r>
      <rPr>
        <b/>
        <sz val="14"/>
        <rFont val="Noto Sans CJK SC"/>
        <family val="2"/>
      </rPr>
      <t xml:space="preserve">지역 비교 </t>
    </r>
    <r>
      <rPr>
        <b/>
        <sz val="14"/>
        <rFont val="Arial"/>
        <family val="2"/>
      </rPr>
      <t xml:space="preserve">· </t>
    </r>
    <r>
      <rPr>
        <b/>
        <sz val="14"/>
        <rFont val="Noto Sans CJK SC"/>
        <family val="2"/>
      </rPr>
      <t xml:space="preserve">성공 비결 </t>
    </r>
    <r>
      <rPr>
        <b/>
        <sz val="14"/>
        <rFont val="Arial"/>
        <family val="2"/>
      </rPr>
      <t xml:space="preserve">&amp; MVP · </t>
    </r>
    <r>
      <rPr>
        <b/>
        <sz val="14"/>
        <rFont val="Noto Sans CJK SC"/>
        <family val="2"/>
      </rPr>
      <t>벤치마크</t>
    </r>
  </si>
  <si>
    <t>항목</t>
  </si>
  <si>
    <t>내용</t>
  </si>
  <si>
    <t>분석 범위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</si>
  <si>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App Store / Google Play </t>
    </r>
    <r>
      <rPr>
        <sz val="11"/>
        <rFont val="Noto Sans CJK SC"/>
        <family val="2"/>
      </rPr>
      <t xml:space="preserve">게임 카테고리 </t>
    </r>
    <r>
      <rPr>
        <sz val="11"/>
        <rFont val="Arial"/>
        <family val="2"/>
      </rPr>
      <t>Top Free 1~100</t>
    </r>
    <r>
      <rPr>
        <sz val="11"/>
        <rFont val="Noto Sans CJK SC"/>
        <family val="2"/>
      </rPr>
      <t>위</t>
    </r>
  </si>
  <si>
    <r>
      <rPr>
        <b/>
        <sz val="11"/>
        <rFont val="Arial"/>
        <family val="2"/>
      </rPr>
      <t xml:space="preserve">App Store </t>
    </r>
    <r>
      <rPr>
        <b/>
        <sz val="11"/>
        <rFont val="Noto Sans CJK SC"/>
        <family val="2"/>
      </rPr>
      <t>기준일</t>
    </r>
  </si>
  <si>
    <t>2026-10-03</t>
  </si>
  <si>
    <r>
      <rPr>
        <b/>
        <sz val="11"/>
        <rFont val="Arial"/>
        <family val="2"/>
      </rPr>
      <t xml:space="preserve">App Store </t>
    </r>
    <r>
      <rPr>
        <b/>
        <sz val="11"/>
        <rFont val="Noto Sans CJK SC"/>
        <family val="2"/>
      </rPr>
      <t>출처</t>
    </r>
  </si>
  <si>
    <r>
      <rPr>
        <sz val="11"/>
        <rFont val="Arial"/>
        <family val="2"/>
      </rPr>
      <t xml:space="preserve">GameDropDaily (Apple </t>
    </r>
    <r>
      <rPr>
        <sz val="11"/>
        <rFont val="Noto Sans CJK SC"/>
        <family val="2"/>
      </rPr>
      <t xml:space="preserve">공개 </t>
    </r>
    <r>
      <rPr>
        <sz val="11"/>
        <rFont val="Arial"/>
        <family val="2"/>
      </rPr>
      <t xml:space="preserve">iTunes RSS </t>
    </r>
    <r>
      <rPr>
        <sz val="11"/>
        <rFont val="Noto Sans CJK SC"/>
        <family val="2"/>
      </rPr>
      <t>차트 기반</t>
    </r>
    <r>
      <rPr>
        <sz val="11"/>
        <rFont val="Arial"/>
        <family val="2"/>
      </rPr>
      <t xml:space="preserve">) https://gamedropdaily.com/mobile/ · </t>
    </r>
    <r>
      <rPr>
        <sz val="11"/>
        <rFont val="Noto Sans CJK SC"/>
        <family val="2"/>
      </rPr>
      <t>퍼블리셔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국가 교차 확인</t>
    </r>
    <r>
      <rPr>
        <sz val="11"/>
        <rFont val="Arial"/>
        <family val="2"/>
      </rPr>
      <t>: AppBrain https://www.appbrain.com/stats/appstore-rankings</t>
    </r>
  </si>
  <si>
    <r>
      <rPr>
        <b/>
        <sz val="11"/>
        <rFont val="Arial"/>
        <family val="2"/>
      </rPr>
      <t xml:space="preserve">Google Play </t>
    </r>
    <r>
      <rPr>
        <b/>
        <sz val="11"/>
        <rFont val="Noto Sans CJK SC"/>
        <family val="2"/>
      </rPr>
      <t>기준일</t>
    </r>
  </si>
  <si>
    <t>2026-10-04</t>
  </si>
  <si>
    <r>
      <rPr>
        <b/>
        <sz val="11"/>
        <rFont val="Arial"/>
        <family val="2"/>
      </rPr>
      <t xml:space="preserve">Google Play </t>
    </r>
    <r>
      <rPr>
        <b/>
        <sz val="11"/>
        <rFont val="Noto Sans CJK SC"/>
        <family val="2"/>
      </rPr>
      <t>출처</t>
    </r>
  </si>
  <si>
    <r>
      <rPr>
        <sz val="11"/>
        <rFont val="Arial"/>
        <family val="2"/>
      </rPr>
      <t xml:space="preserve">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Top Free Games https://www.appbrain.com/stats/google-play-rankings/top_free/game/us · </t>
    </r>
    <r>
      <rPr>
        <sz val="11"/>
        <rFont val="Noto Sans CJK SC"/>
        <family val="2"/>
      </rPr>
      <t>교차 확인</t>
    </r>
    <r>
      <rPr>
        <sz val="11"/>
        <rFont val="Arial"/>
        <family val="2"/>
      </rPr>
      <t>: GameDropDaily https://gamedropdaily.com/android/</t>
    </r>
  </si>
  <si>
    <t>참고</t>
  </si>
  <si>
    <r>
      <rPr>
        <sz val="11"/>
        <rFont val="Noto Sans CJK SC"/>
        <family val="2"/>
      </rPr>
      <t xml:space="preserve">수집 시점 차이로 출처 간 순위가 </t>
    </r>
    <r>
      <rPr>
        <sz val="11"/>
        <rFont val="Arial"/>
        <family val="2"/>
      </rPr>
      <t>1~5</t>
    </r>
    <r>
      <rPr>
        <sz val="11"/>
        <rFont val="Noto Sans CJK SC"/>
        <family val="2"/>
      </rPr>
      <t>계단 다를 수 있음</t>
    </r>
    <r>
      <rPr>
        <sz val="11"/>
        <rFont val="Arial"/>
        <family val="2"/>
      </rPr>
      <t>. Google Play 80</t>
    </r>
    <r>
      <rPr>
        <sz val="11"/>
        <rFont val="Noto Sans CJK SC"/>
        <family val="2"/>
      </rPr>
      <t xml:space="preserve">위는 출처 페이지에서 누락되어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확인 불가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로 표시</t>
    </r>
    <r>
      <rPr>
        <sz val="11"/>
        <rFont val="Arial"/>
        <family val="2"/>
      </rPr>
      <t>.</t>
    </r>
  </si>
  <si>
    <t>장르 분류</t>
  </si>
  <si>
    <r>
      <rPr>
        <sz val="11"/>
        <rFont val="Noto Sans CJK SC"/>
        <family val="2"/>
      </rPr>
      <t>게임명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스토어 카테고리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공개 게임 정보 기반의 분석자 판단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확신이 낮은 항목은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비고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에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확인 필요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로 표시하고 노란색으로 강조</t>
    </r>
    <r>
      <rPr>
        <sz val="11"/>
        <rFont val="Arial"/>
        <family val="2"/>
      </rPr>
      <t>.</t>
    </r>
  </si>
  <si>
    <t>수정 방법</t>
  </si>
  <si>
    <r>
      <rPr>
        <sz val="11"/>
        <rFont val="Noto Sans CJK SC"/>
        <family val="2"/>
      </rPr>
      <t>시장조사</t>
    </r>
    <r>
      <rPr>
        <sz val="11"/>
        <rFont val="Arial"/>
        <family val="2"/>
      </rPr>
      <t>.xlsx</t>
    </r>
    <r>
      <rPr>
        <sz val="11"/>
        <rFont val="Noto Sans CJK SC"/>
        <family val="2"/>
      </rPr>
      <t xml:space="preserve">의 </t>
    </r>
    <r>
      <rPr>
        <sz val="11"/>
        <rFont val="Arial"/>
        <family val="2"/>
      </rPr>
      <t xml:space="preserve">'1-1 App Store Top100' / '1-2 Google Play Top100' </t>
    </r>
    <r>
      <rPr>
        <sz val="11"/>
        <rFont val="Noto Sans CJK SC"/>
        <family val="2"/>
      </rPr>
      <t xml:space="preserve">시트의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대분류</t>
    </r>
    <r>
      <rPr>
        <sz val="11"/>
        <rFont val="Arial"/>
        <family val="2"/>
      </rPr>
      <t>', '</t>
    </r>
    <r>
      <rPr>
        <sz val="11"/>
        <rFont val="Noto Sans CJK SC"/>
        <family val="2"/>
      </rPr>
      <t>세부 장르</t>
    </r>
    <r>
      <rPr>
        <sz val="11"/>
        <rFont val="Arial"/>
        <family val="2"/>
      </rPr>
      <t xml:space="preserve">' </t>
    </r>
    <r>
      <rPr>
        <sz val="11"/>
        <rFont val="Noto Sans CJK SC"/>
        <family val="2"/>
      </rPr>
      <t xml:space="preserve">열을 수정하면 </t>
    </r>
    <r>
      <rPr>
        <sz val="11"/>
        <rFont val="Arial"/>
        <family val="2"/>
      </rPr>
      <t xml:space="preserve">'1-3 </t>
    </r>
    <r>
      <rPr>
        <sz val="11"/>
        <rFont val="Noto Sans CJK SC"/>
        <family val="2"/>
      </rPr>
      <t>장르 분포</t>
    </r>
    <r>
      <rPr>
        <sz val="11"/>
        <rFont val="Arial"/>
        <family val="2"/>
      </rPr>
      <t xml:space="preserve">' </t>
    </r>
    <r>
      <rPr>
        <sz val="11"/>
        <rFont val="Noto Sans CJK SC"/>
        <family val="2"/>
      </rPr>
      <t>시트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시장조사</t>
    </r>
    <r>
      <rPr>
        <sz val="11"/>
        <rFont val="Arial"/>
        <family val="2"/>
      </rPr>
      <t xml:space="preserve">.xlsx) </t>
    </r>
    <r>
      <rPr>
        <sz val="11"/>
        <rFont val="Noto Sans CJK SC"/>
        <family val="2"/>
      </rPr>
      <t>집계가 자동으로 갱신됨</t>
    </r>
    <r>
      <rPr>
        <sz val="11"/>
        <rFont val="Arial"/>
        <family val="2"/>
      </rPr>
      <t xml:space="preserve">(COUNTIF </t>
    </r>
    <r>
      <rPr>
        <sz val="11"/>
        <rFont val="Noto Sans CJK SC"/>
        <family val="2"/>
      </rPr>
      <t>수식</t>
    </r>
    <r>
      <rPr>
        <sz val="11"/>
        <rFont val="Arial"/>
        <family val="2"/>
      </rPr>
      <t>).</t>
    </r>
  </si>
  <si>
    <t>시트 구성</t>
  </si>
  <si>
    <r>
      <rPr>
        <sz val="11"/>
        <rFont val="Arial"/>
        <family val="2"/>
      </rPr>
      <t xml:space="preserve">[0 </t>
    </r>
    <r>
      <rPr>
        <sz val="11"/>
        <rFont val="Noto Sans CJK SC"/>
        <family val="2"/>
      </rPr>
      <t>안내</t>
    </r>
    <r>
      <rPr>
        <sz val="11"/>
        <rFont val="Arial"/>
        <family val="2"/>
      </rPr>
      <t xml:space="preserve">] 0-1 </t>
    </r>
    <r>
      <rPr>
        <sz val="11"/>
        <rFont val="Noto Sans CJK SC"/>
        <family val="2"/>
      </rPr>
      <t xml:space="preserve">개요 </t>
    </r>
    <r>
      <rPr>
        <sz val="11"/>
        <rFont val="Arial"/>
        <family val="2"/>
      </rPr>
      <t xml:space="preserve">/ [1 </t>
    </r>
    <r>
      <rPr>
        <sz val="11"/>
        <rFont val="Noto Sans CJK SC"/>
        <family val="2"/>
      </rPr>
      <t>성공 비결</t>
    </r>
    <r>
      <rPr>
        <sz val="11"/>
        <rFont val="Arial"/>
        <family val="2"/>
      </rPr>
      <t xml:space="preserve">] 1-1 </t>
    </r>
    <r>
      <rPr>
        <sz val="11"/>
        <rFont val="Noto Sans CJK SC"/>
        <family val="2"/>
      </rPr>
      <t xml:space="preserve">점수 기준 </t>
    </r>
    <r>
      <rPr>
        <sz val="11"/>
        <rFont val="Arial"/>
        <family val="2"/>
      </rPr>
      <t xml:space="preserve">· 1-2 </t>
    </r>
    <r>
      <rPr>
        <sz val="11"/>
        <rFont val="Noto Sans CJK SC"/>
        <family val="2"/>
      </rPr>
      <t xml:space="preserve">성공 점수표 </t>
    </r>
    <r>
      <rPr>
        <sz val="11"/>
        <rFont val="Arial"/>
        <family val="2"/>
      </rPr>
      <t xml:space="preserve">· 1-3 </t>
    </r>
    <r>
      <rPr>
        <sz val="11"/>
        <rFont val="Noto Sans CJK SC"/>
        <family val="2"/>
      </rPr>
      <t xml:space="preserve">성적표 카드 </t>
    </r>
    <r>
      <rPr>
        <sz val="11"/>
        <rFont val="Arial"/>
        <family val="2"/>
      </rPr>
      <t xml:space="preserve">· 1-4 </t>
    </r>
    <r>
      <rPr>
        <sz val="11"/>
        <rFont val="Noto Sans CJK SC"/>
        <family val="2"/>
      </rPr>
      <t xml:space="preserve">성공 비결 해부 </t>
    </r>
    <r>
      <rPr>
        <sz val="11"/>
        <rFont val="Arial"/>
        <family val="2"/>
      </rPr>
      <t xml:space="preserve">· 1-5 </t>
    </r>
    <r>
      <rPr>
        <sz val="11"/>
        <rFont val="Noto Sans CJK SC"/>
        <family val="2"/>
      </rPr>
      <t xml:space="preserve">성공 비결 확장 </t>
    </r>
    <r>
      <rPr>
        <sz val="11"/>
        <rFont val="Arial"/>
        <family val="2"/>
      </rPr>
      <t xml:space="preserve">· 1-6 </t>
    </r>
    <r>
      <rPr>
        <sz val="11"/>
        <rFont val="Noto Sans CJK SC"/>
        <family val="2"/>
      </rPr>
      <t xml:space="preserve">공통점 분석 </t>
    </r>
    <r>
      <rPr>
        <sz val="11"/>
        <rFont val="Arial"/>
        <family val="2"/>
      </rPr>
      <t xml:space="preserve">· 1-7 </t>
    </r>
    <r>
      <rPr>
        <sz val="11"/>
        <rFont val="Noto Sans CJK SC"/>
        <family val="2"/>
      </rPr>
      <t xml:space="preserve">성공 공식 </t>
    </r>
    <r>
      <rPr>
        <sz val="11"/>
        <rFont val="Arial"/>
        <family val="2"/>
      </rPr>
      <t xml:space="preserve">TOP5 / [2 MVP] 2-1 MVP </t>
    </r>
    <r>
      <rPr>
        <sz val="11"/>
        <rFont val="Noto Sans CJK SC"/>
        <family val="2"/>
      </rPr>
      <t xml:space="preserve">명세 </t>
    </r>
    <r>
      <rPr>
        <sz val="11"/>
        <rFont val="Arial"/>
        <family val="2"/>
      </rPr>
      <t xml:space="preserve">· 2-2 MVP </t>
    </r>
    <r>
      <rPr>
        <sz val="11"/>
        <rFont val="Noto Sans CJK SC"/>
        <family val="2"/>
      </rPr>
      <t xml:space="preserve">검증 목표 </t>
    </r>
    <r>
      <rPr>
        <sz val="11"/>
        <rFont val="Arial"/>
        <family val="2"/>
      </rPr>
      <t xml:space="preserve">· 2-3 </t>
    </r>
    <r>
      <rPr>
        <sz val="11"/>
        <rFont val="Noto Sans CJK SC"/>
        <family val="2"/>
      </rPr>
      <t>장르 연결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 · 2-4 2</t>
    </r>
    <r>
      <rPr>
        <sz val="11"/>
        <rFont val="Noto Sans CJK SC"/>
        <family val="2"/>
      </rPr>
      <t xml:space="preserve">인 개발 </t>
    </r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 xml:space="preserve">판단 </t>
    </r>
    <r>
      <rPr>
        <sz val="11"/>
        <rFont val="Arial"/>
        <family val="2"/>
      </rPr>
      <t xml:space="preserve">/ [3 </t>
    </r>
    <r>
      <rPr>
        <sz val="11"/>
        <rFont val="Noto Sans CJK SC"/>
        <family val="2"/>
      </rPr>
      <t>마케팅</t>
    </r>
    <r>
      <rPr>
        <sz val="11"/>
        <rFont val="Arial"/>
        <family val="2"/>
      </rPr>
      <t xml:space="preserve">] 3-1 </t>
    </r>
    <r>
      <rPr>
        <sz val="11"/>
        <rFont val="Noto Sans CJK SC"/>
        <family val="2"/>
      </rPr>
      <t xml:space="preserve">광고 대비 유입 </t>
    </r>
    <r>
      <rPr>
        <sz val="11"/>
        <rFont val="Arial"/>
        <family val="2"/>
      </rPr>
      <t xml:space="preserve">/ [4 </t>
    </r>
    <r>
      <rPr>
        <sz val="11"/>
        <rFont val="Noto Sans CJK SC"/>
        <family val="2"/>
      </rPr>
      <t>참조용 복사본</t>
    </r>
    <r>
      <rPr>
        <sz val="11"/>
        <rFont val="Arial"/>
        <family val="2"/>
      </rPr>
      <t xml:space="preserve">] 4-1 </t>
    </r>
    <r>
      <rPr>
        <sz val="11"/>
        <rFont val="Noto Sans CJK SC"/>
        <family val="2"/>
      </rPr>
      <t>지역 벤치마크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참조</t>
    </r>
    <r>
      <rPr>
        <sz val="11"/>
        <rFont val="Arial"/>
        <family val="2"/>
      </rPr>
      <t xml:space="preserve">) · 4-2 </t>
    </r>
    <r>
      <rPr>
        <sz val="11"/>
        <rFont val="Noto Sans CJK SC"/>
        <family val="2"/>
      </rPr>
      <t>장르 차트 판독값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참조</t>
    </r>
    <r>
      <rPr>
        <sz val="11"/>
        <rFont val="Arial"/>
        <family val="2"/>
      </rPr>
      <t xml:space="preserve">) · 4-3 </t>
    </r>
    <r>
      <rPr>
        <sz val="11"/>
        <rFont val="Noto Sans CJK SC"/>
        <family val="2"/>
      </rPr>
      <t>장르 판독 요약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참조</t>
    </r>
    <r>
      <rPr>
        <sz val="11"/>
        <rFont val="Arial"/>
        <family val="2"/>
      </rPr>
      <t>) · 4-4 Google Play Top100(</t>
    </r>
    <r>
      <rPr>
        <sz val="11"/>
        <rFont val="Noto Sans CJK SC"/>
        <family val="2"/>
      </rPr>
      <t>참조</t>
    </r>
    <r>
      <rPr>
        <sz val="11"/>
        <rFont val="Arial"/>
        <family val="2"/>
      </rPr>
      <t xml:space="preserve">) · 4-5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>Top100(</t>
    </r>
    <r>
      <rPr>
        <sz val="11"/>
        <rFont val="Noto Sans CJK SC"/>
        <family val="2"/>
      </rPr>
      <t>참조</t>
    </r>
    <r>
      <rPr>
        <sz val="11"/>
        <rFont val="Arial"/>
        <family val="2"/>
      </rPr>
      <t xml:space="preserve">) · 4-6 </t>
    </r>
    <r>
      <rPr>
        <sz val="11"/>
        <rFont val="Noto Sans CJK SC"/>
        <family val="2"/>
      </rPr>
      <t>매출</t>
    </r>
    <r>
      <rPr>
        <sz val="11"/>
        <rFont val="Arial"/>
        <family val="2"/>
      </rPr>
      <t>-</t>
    </r>
    <r>
      <rPr>
        <sz val="11"/>
        <rFont val="Noto Sans CJK SC"/>
        <family val="2"/>
      </rPr>
      <t>다운로드 비교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참조</t>
    </r>
    <r>
      <rPr>
        <sz val="11"/>
        <rFont val="Arial"/>
        <family val="2"/>
      </rPr>
      <t xml:space="preserve">)  ※ </t>
    </r>
    <r>
      <rPr>
        <sz val="11"/>
        <rFont val="Noto Sans CJK SC"/>
        <family val="2"/>
      </rPr>
      <t>시장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지역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매출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벤치마크 숫자 자료은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는</t>
    </r>
    <r>
      <rPr>
        <sz val="11"/>
        <rFont val="Arial"/>
        <family val="2"/>
      </rPr>
      <t>) '</t>
    </r>
    <r>
      <rPr>
        <sz val="11"/>
        <rFont val="Noto Sans CJK SC"/>
        <family val="2"/>
      </rPr>
      <t>시장조사</t>
    </r>
    <r>
      <rPr>
        <sz val="11"/>
        <rFont val="Arial"/>
        <family val="2"/>
      </rPr>
      <t xml:space="preserve">.xlsx' </t>
    </r>
    <r>
      <rPr>
        <sz val="11"/>
        <rFont val="Noto Sans CJK SC"/>
        <family val="2"/>
      </rPr>
      <t xml:space="preserve">파일에 있음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파일 사이 수식 연결 없음</t>
    </r>
    <r>
      <rPr>
        <sz val="11"/>
        <rFont val="Arial"/>
        <family val="2"/>
      </rPr>
      <t>)</t>
    </r>
  </si>
  <si>
    <r>
      <rPr>
        <b/>
        <sz val="11"/>
        <rFont val="Arial"/>
        <family val="2"/>
      </rPr>
      <t>3</t>
    </r>
    <r>
      <rPr>
        <b/>
        <sz val="11"/>
        <rFont val="Noto Sans CJK SC"/>
        <family val="2"/>
      </rPr>
      <t>단계 출처</t>
    </r>
  </si>
  <si>
    <r>
      <rPr>
        <sz val="11"/>
        <rFont val="Arial"/>
        <family val="2"/>
      </rPr>
      <t xml:space="preserve">GameAnalytics 2026·2025 </t>
    </r>
    <r>
      <rPr>
        <sz val="11"/>
        <rFont val="Noto Sans CJK SC"/>
        <family val="2"/>
      </rPr>
      <t>벤치마크</t>
    </r>
    <r>
      <rPr>
        <sz val="11"/>
        <rFont val="Arial"/>
        <family val="2"/>
      </rPr>
      <t xml:space="preserve">, AppsFlyer State of App Monetization 2026·Gaming App Marketing 2024, Appodeal Mobile Casual Benchmarks 2025. </t>
    </r>
    <r>
      <rPr>
        <sz val="11"/>
        <rFont val="Noto Sans CJK SC"/>
        <family val="2"/>
      </rPr>
      <t xml:space="preserve">출처 없는 수치는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제외한 자료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에 기록</t>
    </r>
    <r>
      <rPr>
        <sz val="11"/>
        <rFont val="Arial"/>
        <family val="2"/>
      </rPr>
      <t>.</t>
    </r>
  </si>
  <si>
    <r>
      <rPr>
        <b/>
        <sz val="11"/>
        <rFont val="Arial"/>
        <family val="2"/>
      </rPr>
      <t>2</t>
    </r>
    <r>
      <rPr>
        <b/>
        <sz val="11"/>
        <rFont val="Noto Sans CJK SC"/>
        <family val="2"/>
      </rPr>
      <t>단계 출처</t>
    </r>
  </si>
  <si>
    <r>
      <rPr>
        <sz val="11"/>
        <rFont val="Arial"/>
        <family val="2"/>
      </rPr>
      <t xml:space="preserve">AppBrain </t>
    </r>
    <r>
      <rPr>
        <sz val="11"/>
        <rFont val="Noto Sans CJK SC"/>
        <family val="2"/>
      </rPr>
      <t>구글 플레이 매출 순위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>미국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 xml:space="preserve">2026-10-03,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 xml:space="preserve">2026-10-04,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 xml:space="preserve">2026-10-01. </t>
    </r>
    <r>
      <rPr>
        <sz val="11"/>
        <rFont val="Noto Sans CJK SC"/>
        <family val="2"/>
      </rPr>
      <t>외부 자료</t>
    </r>
    <r>
      <rPr>
        <sz val="11"/>
        <rFont val="Arial"/>
        <family val="2"/>
      </rPr>
      <t xml:space="preserve">: Wikipedia(Free Fire). </t>
    </r>
    <r>
      <rPr>
        <sz val="11"/>
        <rFont val="Noto Sans CJK SC"/>
        <family val="2"/>
      </rPr>
      <t>별점</t>
    </r>
    <r>
      <rPr>
        <sz val="11"/>
        <rFont val="Arial"/>
        <family val="2"/>
      </rPr>
      <t xml:space="preserve">·MVP </t>
    </r>
    <r>
      <rPr>
        <sz val="11"/>
        <rFont val="Noto Sans CJK SC"/>
        <family val="2"/>
      </rPr>
      <t>규모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인원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기간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게임 방식 일부는 분석자 추정</t>
    </r>
    <r>
      <rPr>
        <sz val="11"/>
        <rFont val="Arial"/>
        <family val="2"/>
      </rPr>
      <t>.</t>
    </r>
  </si>
  <si>
    <t>지역 비교 출처</t>
  </si>
  <si>
    <r>
      <rPr>
        <sz val="11"/>
        <rFont val="Arial"/>
        <family val="2"/>
      </rPr>
      <t xml:space="preserve">AppBrain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2"/>
      </rPr>
      <t xml:space="preserve">Google Play Top Free Games: </t>
    </r>
    <r>
      <rPr>
        <sz val="11"/>
        <rFont val="Noto Sans CJK SC"/>
        <family val="2"/>
      </rPr>
      <t>캐나다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브라질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 xml:space="preserve">2026-10-04,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 xml:space="preserve">2026-10-03,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2"/>
      </rPr>
      <t xml:space="preserve">2026-09-25. </t>
    </r>
    <r>
      <rPr>
        <sz val="11"/>
        <rFont val="Noto Sans CJK SC"/>
        <family val="2"/>
      </rPr>
      <t>외부 자료</t>
    </r>
    <r>
      <rPr>
        <sz val="11"/>
        <rFont val="Arial"/>
        <family val="2"/>
      </rPr>
      <t xml:space="preserve">: Wikipedia(Free Fire), Sensor Tower &amp; Adjust </t>
    </r>
    <r>
      <rPr>
        <sz val="11"/>
        <rFont val="Noto Sans CJK SC"/>
        <family val="2"/>
      </rPr>
      <t>일본 시장 리포트</t>
    </r>
    <r>
      <rPr>
        <sz val="11"/>
        <rFont val="Arial"/>
        <family val="2"/>
      </rPr>
      <t>(2024)</t>
    </r>
  </si>
  <si>
    <t>지역 비교 한계</t>
  </si>
  <si>
    <r>
      <rPr>
        <sz val="11"/>
        <rFont val="Noto Sans CJK SC"/>
        <family val="2"/>
      </rPr>
      <t>캐나다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남미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아시아는 구글 플레이만 조사</t>
    </r>
    <r>
      <rPr>
        <sz val="11"/>
        <rFont val="Arial"/>
        <family val="2"/>
      </rPr>
      <t xml:space="preserve">(App Store </t>
    </r>
    <r>
      <rPr>
        <sz val="11"/>
        <rFont val="Noto Sans CJK SC"/>
        <family val="2"/>
      </rPr>
      <t>미포함</t>
    </r>
    <r>
      <rPr>
        <sz val="11"/>
        <rFont val="Arial"/>
        <family val="2"/>
      </rPr>
      <t xml:space="preserve">). </t>
    </r>
    <r>
      <rPr>
        <sz val="11"/>
        <rFont val="Noto Sans CJK SC"/>
        <family val="2"/>
      </rPr>
      <t xml:space="preserve">국가별 장르 분류는 </t>
    </r>
    <r>
      <rPr>
        <sz val="11"/>
        <rFont val="Arial"/>
        <family val="2"/>
      </rPr>
      <t xml:space="preserve">Top 20 </t>
    </r>
    <r>
      <rPr>
        <sz val="11"/>
        <rFont val="Noto Sans CJK SC"/>
        <family val="2"/>
      </rPr>
      <t>기준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동남아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인도네시아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태국 등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는 미포함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원인 설명 일부는 추정</t>
    </r>
    <r>
      <rPr>
        <sz val="11"/>
        <rFont val="Arial"/>
        <family val="2"/>
      </rPr>
      <t>.</t>
    </r>
  </si>
  <si>
    <r>
      <rPr>
        <b/>
        <sz val="11"/>
        <rFont val="Arial"/>
        <family val="2"/>
      </rPr>
      <t>6</t>
    </r>
    <r>
      <rPr>
        <b/>
        <sz val="11"/>
        <rFont val="Noto Sans CJK SC"/>
        <family val="2"/>
      </rPr>
      <t>단계</t>
    </r>
    <r>
      <rPr>
        <b/>
        <sz val="11"/>
        <rFont val="Arial"/>
        <family val="2"/>
      </rPr>
      <t xml:space="preserve">-2 </t>
    </r>
    <r>
      <rPr>
        <b/>
        <sz val="11"/>
        <rFont val="Noto Sans CJK SC"/>
        <family val="2"/>
      </rPr>
      <t xml:space="preserve">출처 </t>
    </r>
    <r>
      <rPr>
        <b/>
        <sz val="11"/>
        <rFont val="Arial"/>
        <family val="2"/>
      </rPr>
      <t xml:space="preserve">(2026-10-05 </t>
    </r>
    <r>
      <rPr>
        <b/>
        <sz val="11"/>
        <rFont val="Noto Sans CJK SC"/>
        <family val="2"/>
      </rPr>
      <t>조회</t>
    </r>
    <r>
      <rPr>
        <b/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</si>
  <si>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>Top100·</t>
    </r>
    <r>
      <rPr>
        <sz val="11"/>
        <rFont val="Noto Sans CJK SC"/>
        <family val="2"/>
      </rPr>
      <t>매출</t>
    </r>
    <r>
      <rPr>
        <sz val="11"/>
        <rFont val="Arial"/>
        <family val="2"/>
      </rPr>
      <t>-</t>
    </r>
    <r>
      <rPr>
        <sz val="11"/>
        <rFont val="Noto Sans CJK SC"/>
        <family val="2"/>
      </rPr>
      <t>다운로드 비교</t>
    </r>
    <r>
      <rPr>
        <sz val="11"/>
        <rFont val="Arial"/>
        <family val="2"/>
      </rPr>
      <t xml:space="preserve">: 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Top Grossing / Top Free Games (</t>
    </r>
    <r>
      <rPr>
        <sz val="11"/>
        <rFont val="Noto Sans CJK SC"/>
        <family val="2"/>
      </rPr>
      <t xml:space="preserve">둘 다 </t>
    </r>
    <r>
      <rPr>
        <sz val="11"/>
        <rFont val="Arial"/>
        <family val="2"/>
      </rPr>
      <t xml:space="preserve">2026-10-04). </t>
    </r>
    <r>
      <rPr>
        <sz val="11"/>
        <rFont val="Noto Sans CJK SC"/>
        <family val="2"/>
      </rPr>
      <t>동남아</t>
    </r>
    <r>
      <rPr>
        <sz val="11"/>
        <rFont val="Arial"/>
        <family val="2"/>
      </rPr>
      <t xml:space="preserve">: AppBrain </t>
    </r>
    <r>
      <rPr>
        <sz val="11"/>
        <rFont val="Noto Sans CJK SC"/>
        <family val="2"/>
      </rPr>
      <t xml:space="preserve">인도네시아 </t>
    </r>
    <r>
      <rPr>
        <sz val="11"/>
        <rFont val="Arial"/>
        <family val="2"/>
      </rPr>
      <t xml:space="preserve">Top Free Games (2026-10-05). OS: StatCounter Global Stats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2"/>
      </rPr>
      <t xml:space="preserve">OS </t>
    </r>
    <r>
      <rPr>
        <sz val="11"/>
        <rFont val="Noto Sans CJK SC"/>
        <family val="2"/>
      </rPr>
      <t xml:space="preserve">점유율 </t>
    </r>
    <r>
      <rPr>
        <sz val="11"/>
        <rFont val="Arial"/>
        <family val="2"/>
      </rPr>
      <t xml:space="preserve">(2026-09, </t>
    </r>
    <r>
      <rPr>
        <sz val="11"/>
        <rFont val="Noto Sans CJK SC"/>
        <family val="2"/>
      </rPr>
      <t xml:space="preserve">오세아니아 </t>
    </r>
    <r>
      <rPr>
        <sz val="11"/>
        <rFont val="Arial"/>
        <family val="2"/>
      </rPr>
      <t xml:space="preserve">2026-08). </t>
    </r>
    <r>
      <rPr>
        <sz val="11"/>
        <rFont val="Noto Sans CJK SC"/>
        <family val="2"/>
      </rPr>
      <t>게임 매출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다운로드 스토어 비율</t>
    </r>
    <r>
      <rPr>
        <sz val="11"/>
        <rFont val="Arial"/>
        <family val="2"/>
      </rPr>
      <t xml:space="preserve">: Sensor Tower State of Gaming 2026 (9to5Mac </t>
    </r>
    <r>
      <rPr>
        <sz val="11"/>
        <rFont val="Noto Sans CJK SC"/>
        <family val="2"/>
      </rPr>
      <t>보도</t>
    </r>
    <r>
      <rPr>
        <sz val="11"/>
        <rFont val="Arial"/>
        <family val="2"/>
      </rPr>
      <t xml:space="preserve">). </t>
    </r>
    <r>
      <rPr>
        <sz val="11"/>
        <rFont val="Noto Sans CJK SC"/>
        <family val="2"/>
      </rPr>
      <t>동남아 벤치마크</t>
    </r>
    <r>
      <rPr>
        <sz val="11"/>
        <rFont val="Arial"/>
        <family val="2"/>
      </rPr>
      <t xml:space="preserve">: GameAnalytics 2025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2"/>
      </rPr>
      <t xml:space="preserve">p.13~16, 2026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2"/>
      </rPr>
      <t>p.15~19.</t>
    </r>
  </si>
  <si>
    <r>
      <rPr>
        <b/>
        <sz val="11"/>
        <rFont val="Arial"/>
        <family val="2"/>
      </rPr>
      <t>6</t>
    </r>
    <r>
      <rPr>
        <b/>
        <sz val="11"/>
        <rFont val="Noto Sans CJK SC"/>
        <family val="2"/>
      </rPr>
      <t>단계</t>
    </r>
    <r>
      <rPr>
        <b/>
        <sz val="11"/>
        <rFont val="Arial"/>
        <family val="2"/>
      </rPr>
      <t xml:space="preserve">-2 </t>
    </r>
    <r>
      <rPr>
        <b/>
        <sz val="11"/>
        <rFont val="Noto Sans CJK SC"/>
        <family val="2"/>
      </rPr>
      <t>한계</t>
    </r>
  </si>
  <si>
    <r>
      <rPr>
        <sz val="11"/>
        <rFont val="Noto Sans CJK SC"/>
        <family val="2"/>
      </rPr>
      <t>태국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베트남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필리핀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말레이시아 </t>
    </r>
    <r>
      <rPr>
        <sz val="11"/>
        <rFont val="Arial"/>
        <family val="2"/>
      </rPr>
      <t>Top20</t>
    </r>
    <r>
      <rPr>
        <sz val="11"/>
        <rFont val="Noto Sans CJK SC"/>
        <family val="2"/>
      </rPr>
      <t>은 공개 순위 출처가 없어 확인 불가</t>
    </r>
    <r>
      <rPr>
        <sz val="11"/>
        <rFont val="Arial"/>
        <family val="2"/>
      </rPr>
      <t xml:space="preserve">. OS </t>
    </r>
    <r>
      <rPr>
        <sz val="11"/>
        <rFont val="Noto Sans CJK SC"/>
        <family val="2"/>
      </rPr>
      <t xml:space="preserve">값은 대륙 </t>
    </r>
    <r>
      <rPr>
        <sz val="11"/>
        <rFont val="Arial"/>
        <family val="2"/>
      </rPr>
      <t>6</t>
    </r>
    <r>
      <rPr>
        <sz val="11"/>
        <rFont val="Noto Sans CJK SC"/>
        <family val="2"/>
      </rPr>
      <t>곳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나라 </t>
    </r>
    <r>
      <rPr>
        <sz val="11"/>
        <rFont val="Arial"/>
        <family val="2"/>
      </rPr>
      <t>12</t>
    </r>
    <r>
      <rPr>
        <sz val="11"/>
        <rFont val="Noto Sans CJK SC"/>
        <family val="2"/>
      </rPr>
      <t>곳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싱가포르 참고 포함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조사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매출</t>
    </r>
    <r>
      <rPr>
        <sz val="11"/>
        <rFont val="Arial"/>
        <family val="2"/>
      </rPr>
      <t>-</t>
    </r>
    <r>
      <rPr>
        <sz val="11"/>
        <rFont val="Noto Sans CJK SC"/>
        <family val="2"/>
      </rPr>
      <t>다운로드 비교의 공식 설치 구간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출시일은 </t>
    </r>
    <r>
      <rPr>
        <sz val="11"/>
        <rFont val="Arial"/>
        <family val="2"/>
      </rPr>
      <t>Kingshot</t>
    </r>
    <r>
      <rPr>
        <sz val="11"/>
        <rFont val="Noto Sans CJK SC"/>
        <family val="2"/>
      </rPr>
      <t>만 확인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위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지역 비교 한계</t>
    </r>
    <r>
      <rPr>
        <sz val="11"/>
        <rFont val="Arial"/>
        <family val="2"/>
      </rPr>
      <t xml:space="preserve">' </t>
    </r>
    <r>
      <rPr>
        <sz val="11"/>
        <rFont val="Noto Sans CJK SC"/>
        <family val="2"/>
      </rPr>
      <t xml:space="preserve">줄의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동남아 미포함</t>
    </r>
    <r>
      <rPr>
        <sz val="11"/>
        <rFont val="Arial"/>
        <family val="2"/>
      </rPr>
      <t xml:space="preserve">' </t>
    </r>
    <r>
      <rPr>
        <sz val="11"/>
        <rFont val="Noto Sans CJK SC"/>
        <family val="2"/>
      </rPr>
      <t>문구는 기존 칸이라 그대로 둠</t>
    </r>
    <r>
      <rPr>
        <sz val="11"/>
        <rFont val="Arial"/>
        <family val="2"/>
      </rPr>
      <t>.</t>
    </r>
  </si>
  <si>
    <r>
      <rPr>
        <b/>
        <sz val="11"/>
        <rFont val="Arial"/>
        <family val="2"/>
      </rPr>
      <t>6</t>
    </r>
    <r>
      <rPr>
        <b/>
        <sz val="11"/>
        <rFont val="Noto Sans CJK SC"/>
        <family val="2"/>
      </rPr>
      <t>단계</t>
    </r>
    <r>
      <rPr>
        <b/>
        <sz val="11"/>
        <rFont val="Arial"/>
        <family val="2"/>
      </rPr>
      <t xml:space="preserve">-3 </t>
    </r>
    <r>
      <rPr>
        <b/>
        <sz val="11"/>
        <rFont val="Noto Sans CJK SC"/>
        <family val="2"/>
      </rPr>
      <t xml:space="preserve">출처 </t>
    </r>
    <r>
      <rPr>
        <b/>
        <sz val="11"/>
        <rFont val="Arial"/>
        <family val="2"/>
      </rPr>
      <t xml:space="preserve">(2026-10-05 </t>
    </r>
    <r>
      <rPr>
        <b/>
        <sz val="11"/>
        <rFont val="Noto Sans CJK SC"/>
        <family val="2"/>
      </rPr>
      <t>조회</t>
    </r>
    <r>
      <rPr>
        <b/>
        <sz val="11"/>
        <rFont val="Arial"/>
        <family val="2"/>
      </rPr>
      <t>)</t>
    </r>
  </si>
  <si>
    <r>
      <rPr>
        <sz val="11"/>
        <rFont val="Arial"/>
        <family val="2"/>
      </rPr>
      <t>2</t>
    </r>
    <r>
      <rPr>
        <sz val="11"/>
        <rFont val="Noto Sans CJK SC"/>
        <family val="2"/>
      </rPr>
      <t xml:space="preserve">인 개발 </t>
    </r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>판단</t>
    </r>
    <r>
      <rPr>
        <sz val="11"/>
        <rFont val="Arial"/>
        <family val="2"/>
      </rPr>
      <t xml:space="preserve">: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 xml:space="preserve">Top100·3-3 </t>
    </r>
    <r>
      <rPr>
        <sz val="11"/>
        <rFont val="Noto Sans CJK SC"/>
        <family val="2"/>
      </rPr>
      <t>매출</t>
    </r>
    <r>
      <rPr>
        <sz val="11"/>
        <rFont val="Arial"/>
        <family val="2"/>
      </rPr>
      <t>-</t>
    </r>
    <r>
      <rPr>
        <sz val="11"/>
        <rFont val="Noto Sans CJK SC"/>
        <family val="2"/>
      </rPr>
      <t>다운로드 비교</t>
    </r>
    <r>
      <rPr>
        <sz val="11"/>
        <rFont val="Arial"/>
        <family val="2"/>
      </rPr>
      <t>·1-2 Google Play Top100(</t>
    </r>
    <r>
      <rPr>
        <sz val="11"/>
        <rFont val="Noto Sans CJK SC"/>
        <family val="2"/>
      </rPr>
      <t xml:space="preserve">모두 </t>
    </r>
    <r>
      <rPr>
        <sz val="11"/>
        <rFont val="Arial"/>
        <family val="2"/>
      </rPr>
      <t>2026-10-04)</t>
    </r>
    <r>
      <rPr>
        <sz val="11"/>
        <rFont val="Noto Sans CJK SC"/>
        <family val="2"/>
      </rPr>
      <t xml:space="preserve">을 게임전략 파일에 참조용 복사본으로 두고 수식으로 사용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세부 장르 점수는 분석자 판단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광고 대비 유입</t>
    </r>
    <r>
      <rPr>
        <sz val="11"/>
        <rFont val="Arial"/>
        <family val="2"/>
      </rPr>
      <t>: CPI — Adjust 'The gaming app insights report: 2026 edition' p.28~29(2024-01~2026-01), Liftoff·Singular '2025 Casual Gaming Apps Report'(2024-02~2025-02), 2</t>
    </r>
    <r>
      <rPr>
        <sz val="11"/>
        <rFont val="Noto Sans CJK SC"/>
        <family val="2"/>
      </rPr>
      <t xml:space="preserve">차 인용 </t>
    </r>
    <r>
      <rPr>
        <sz val="11"/>
        <rFont val="Arial"/>
        <family val="2"/>
      </rPr>
      <t>3</t>
    </r>
    <r>
      <rPr>
        <sz val="11"/>
        <rFont val="Noto Sans CJK SC"/>
        <family val="2"/>
      </rPr>
      <t>건</t>
    </r>
    <r>
      <rPr>
        <sz val="11"/>
        <rFont val="Arial"/>
        <family val="2"/>
      </rPr>
      <t xml:space="preserve">(Statista·Mistplay·GameDev Reports, </t>
    </r>
    <r>
      <rPr>
        <sz val="11"/>
        <rFont val="Noto Sans CJK SC"/>
        <family val="2"/>
      </rPr>
      <t>노란 칸</t>
    </r>
    <r>
      <rPr>
        <sz val="11"/>
        <rFont val="Arial"/>
        <family val="2"/>
      </rPr>
      <t xml:space="preserve">). </t>
    </r>
    <r>
      <rPr>
        <sz val="11"/>
        <rFont val="Noto Sans CJK SC"/>
        <family val="2"/>
      </rPr>
      <t xml:space="preserve">리텐션 — </t>
    </r>
    <r>
      <rPr>
        <sz val="11"/>
        <rFont val="Arial"/>
        <family val="2"/>
      </rPr>
      <t xml:space="preserve">GameAnalytics 2026 </t>
    </r>
    <r>
      <rPr>
        <sz val="11"/>
        <rFont val="Noto Sans CJK SC"/>
        <family val="2"/>
      </rPr>
      <t>지역 표</t>
    </r>
    <r>
      <rPr>
        <sz val="11"/>
        <rFont val="Arial"/>
        <family val="2"/>
      </rPr>
      <t xml:space="preserve">(4-2 / </t>
    </r>
    <r>
      <rPr>
        <sz val="11"/>
        <rFont val="Noto Sans CJK SC"/>
        <family val="2"/>
      </rPr>
      <t xml:space="preserve">게임전략 </t>
    </r>
    <r>
      <rPr>
        <sz val="11"/>
        <rFont val="Arial"/>
        <family val="2"/>
      </rPr>
      <t xml:space="preserve">4-1 </t>
    </r>
    <r>
      <rPr>
        <sz val="11"/>
        <rFont val="Noto Sans CJK SC"/>
        <family val="2"/>
      </rPr>
      <t>참조</t>
    </r>
    <r>
      <rPr>
        <sz val="11"/>
        <rFont val="Arial"/>
        <family val="2"/>
      </rPr>
      <t>).</t>
    </r>
  </si>
  <si>
    <r>
      <rPr>
        <b/>
        <sz val="11"/>
        <rFont val="Arial"/>
        <family val="2"/>
      </rPr>
      <t>6</t>
    </r>
    <r>
      <rPr>
        <b/>
        <sz val="11"/>
        <rFont val="Noto Sans CJK SC"/>
        <family val="2"/>
      </rPr>
      <t>단계</t>
    </r>
    <r>
      <rPr>
        <b/>
        <sz val="11"/>
        <rFont val="Arial"/>
        <family val="2"/>
      </rPr>
      <t xml:space="preserve">-3 </t>
    </r>
    <r>
      <rPr>
        <b/>
        <sz val="11"/>
        <rFont val="Noto Sans CJK SC"/>
        <family val="2"/>
      </rPr>
      <t>한계</t>
    </r>
  </si>
  <si>
    <r>
      <rPr>
        <sz val="11"/>
        <rFont val="Noto Sans CJK SC"/>
        <family val="2"/>
      </rPr>
      <t>세부 장르 점수</t>
    </r>
    <r>
      <rPr>
        <sz val="11"/>
        <rFont val="Arial"/>
        <family val="2"/>
      </rPr>
      <t>·2</t>
    </r>
    <r>
      <rPr>
        <sz val="11"/>
        <rFont val="Noto Sans CJK SC"/>
        <family val="2"/>
      </rPr>
      <t>인 역할</t>
    </r>
    <r>
      <rPr>
        <sz val="11"/>
        <rFont val="Arial"/>
        <family val="2"/>
      </rPr>
      <t xml:space="preserve">·MVP </t>
    </r>
    <r>
      <rPr>
        <sz val="11"/>
        <rFont val="Noto Sans CJK SC"/>
        <family val="2"/>
      </rPr>
      <t>기간은 분석자 판단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근거 수치 없음</t>
    </r>
    <r>
      <rPr>
        <sz val="11"/>
        <rFont val="Arial"/>
        <family val="2"/>
      </rPr>
      <t>). '</t>
    </r>
    <r>
      <rPr>
        <sz val="11"/>
        <rFont val="Noto Sans CJK SC"/>
        <family val="2"/>
      </rPr>
      <t>지역</t>
    </r>
    <r>
      <rPr>
        <sz val="11"/>
        <rFont val="Arial"/>
        <family val="2"/>
      </rPr>
      <t>×OS×</t>
    </r>
    <r>
      <rPr>
        <sz val="11"/>
        <rFont val="Noto Sans CJK SC"/>
        <family val="2"/>
      </rPr>
      <t>장르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를 모두 나눈 </t>
    </r>
    <r>
      <rPr>
        <sz val="11"/>
        <rFont val="Arial"/>
        <family val="2"/>
      </rPr>
      <t>CPI</t>
    </r>
    <r>
      <rPr>
        <sz val="11"/>
        <rFont val="Noto Sans CJK SC"/>
        <family val="2"/>
      </rPr>
      <t>는 확인 불가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광고 채널</t>
    </r>
    <r>
      <rPr>
        <sz val="11"/>
        <rFont val="Arial"/>
        <family val="2"/>
      </rPr>
      <t>(3-2)·</t>
    </r>
    <r>
      <rPr>
        <sz val="11"/>
        <rFont val="Noto Sans CJK SC"/>
        <family val="2"/>
      </rPr>
      <t>후킹 영상</t>
    </r>
    <r>
      <rPr>
        <sz val="11"/>
        <rFont val="Arial"/>
        <family val="2"/>
      </rPr>
      <t>(3-3)·</t>
    </r>
    <r>
      <rPr>
        <sz val="11"/>
        <rFont val="Noto Sans CJK SC"/>
        <family val="2"/>
      </rPr>
      <t>마케팅 실행안</t>
    </r>
    <r>
      <rPr>
        <sz val="11"/>
        <rFont val="Arial"/>
        <family val="2"/>
      </rPr>
      <t>(3-4)</t>
    </r>
    <r>
      <rPr>
        <sz val="11"/>
        <rFont val="Noto Sans CJK SC"/>
        <family val="2"/>
      </rPr>
      <t>은 다음 창에서 진행</t>
    </r>
    <r>
      <rPr>
        <sz val="11"/>
        <rFont val="Arial"/>
        <family val="2"/>
      </rPr>
      <t>.</t>
    </r>
  </si>
  <si>
    <t>값</t>
  </si>
  <si>
    <t>설명</t>
  </si>
  <si>
    <r>
      <rPr>
        <sz val="11"/>
        <rFont val="Noto Sans CJK SC"/>
        <family val="2"/>
      </rPr>
      <t>인기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무료 순위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배점</t>
    </r>
  </si>
  <si>
    <r>
      <rPr>
        <sz val="11"/>
        <rFont val="Arial"/>
        <family val="2"/>
      </rPr>
      <t>6</t>
    </r>
    <r>
      <rPr>
        <sz val="11"/>
        <rFont val="Noto Sans CJK SC"/>
        <family val="2"/>
      </rPr>
      <t>개국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미국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캐나다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브라질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멕시코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일본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한국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구글 플레이 무료 순위</t>
    </r>
  </si>
  <si>
    <r>
      <rPr>
        <sz val="11"/>
        <rFont val="Noto Sans CJK SC"/>
        <family val="2"/>
      </rPr>
      <t>돈 버는 힘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매출 순위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배점</t>
    </r>
  </si>
  <si>
    <r>
      <rPr>
        <sz val="11"/>
        <rFont val="Arial"/>
        <family val="2"/>
      </rPr>
      <t>4</t>
    </r>
    <r>
      <rPr>
        <sz val="11"/>
        <rFont val="Noto Sans CJK SC"/>
        <family val="2"/>
      </rPr>
      <t>개국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미국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브라질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일본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한국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구글 플레이 매출 순위</t>
    </r>
  </si>
  <si>
    <r>
      <rPr>
        <sz val="11"/>
        <rFont val="Noto Sans CJK SC"/>
        <family val="2"/>
      </rPr>
      <t>규모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누적 설치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배점</t>
    </r>
  </si>
  <si>
    <r>
      <rPr>
        <sz val="11"/>
        <rFont val="Arial"/>
        <family val="2"/>
      </rPr>
      <t>10</t>
    </r>
    <r>
      <rPr>
        <sz val="11"/>
        <rFont val="Noto Sans CJK SC"/>
        <family val="2"/>
      </rPr>
      <t>만 설치</t>
    </r>
    <r>
      <rPr>
        <sz val="11"/>
        <rFont val="Arial"/>
        <family val="2"/>
      </rPr>
      <t>=0</t>
    </r>
    <r>
      <rPr>
        <sz val="11"/>
        <rFont val="Noto Sans CJK SC"/>
        <family val="2"/>
      </rPr>
      <t>점</t>
    </r>
    <r>
      <rPr>
        <sz val="11"/>
        <rFont val="Arial"/>
        <family val="2"/>
      </rPr>
      <t>, 10</t>
    </r>
    <r>
      <rPr>
        <sz val="11"/>
        <rFont val="Noto Sans CJK SC"/>
        <family val="2"/>
      </rPr>
      <t>억 설치 이상</t>
    </r>
    <r>
      <rPr>
        <sz val="11"/>
        <rFont val="Arial"/>
        <family val="2"/>
      </rPr>
      <t>=</t>
    </r>
    <r>
      <rPr>
        <sz val="11"/>
        <rFont val="Noto Sans CJK SC"/>
        <family val="2"/>
      </rPr>
      <t xml:space="preserve">만점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로그 비례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</si>
  <si>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만족도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평점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배점</t>
    </r>
  </si>
  <si>
    <r>
      <rPr>
        <sz val="11"/>
        <rFont val="Noto Sans CJK SC"/>
        <family val="2"/>
      </rPr>
      <t xml:space="preserve">평점 </t>
    </r>
    <r>
      <rPr>
        <sz val="11"/>
        <rFont val="Arial"/>
        <family val="2"/>
      </rPr>
      <t xml:space="preserve">3.5 </t>
    </r>
    <r>
      <rPr>
        <sz val="11"/>
        <rFont val="Noto Sans CJK SC"/>
        <family val="2"/>
      </rPr>
      <t>이하</t>
    </r>
    <r>
      <rPr>
        <sz val="11"/>
        <rFont val="Arial"/>
        <family val="2"/>
      </rPr>
      <t>=0</t>
    </r>
    <r>
      <rPr>
        <sz val="11"/>
        <rFont val="Noto Sans CJK SC"/>
        <family val="2"/>
      </rPr>
      <t>점</t>
    </r>
    <r>
      <rPr>
        <sz val="11"/>
        <rFont val="Arial"/>
        <family val="2"/>
      </rPr>
      <t>, 5.0=</t>
    </r>
    <r>
      <rPr>
        <sz val="11"/>
        <rFont val="Noto Sans CJK SC"/>
        <family val="2"/>
      </rPr>
      <t>만점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평점 미표시는 중간값</t>
    </r>
    <r>
      <rPr>
        <sz val="11"/>
        <rFont val="Arial"/>
        <family val="2"/>
      </rPr>
      <t>(50%)</t>
    </r>
  </si>
  <si>
    <t>오래가는 힘 배점</t>
  </si>
  <si>
    <r>
      <rPr>
        <sz val="11"/>
        <rFont val="Noto Sans CJK SC"/>
        <family val="2"/>
      </rPr>
      <t xml:space="preserve">출시 후 </t>
    </r>
    <r>
      <rPr>
        <sz val="11"/>
        <rFont val="Arial"/>
        <family val="2"/>
      </rPr>
      <t>5</t>
    </r>
    <r>
      <rPr>
        <sz val="11"/>
        <rFont val="Noto Sans CJK SC"/>
        <family val="2"/>
      </rPr>
      <t>년 이상 차트 유지 시 만점</t>
    </r>
    <r>
      <rPr>
        <sz val="11"/>
        <rFont val="Arial"/>
        <family val="2"/>
      </rPr>
      <t>(1</t>
    </r>
    <r>
      <rPr>
        <sz val="11"/>
        <rFont val="Noto Sans CJK SC"/>
        <family val="2"/>
      </rPr>
      <t xml:space="preserve">년당 </t>
    </r>
    <r>
      <rPr>
        <sz val="11"/>
        <rFont val="Arial"/>
        <family val="2"/>
      </rPr>
      <t>20%)</t>
    </r>
  </si>
  <si>
    <t>따라 만들기 쉬움 배점</t>
  </si>
  <si>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>규모 점수표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아래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를 따름</t>
    </r>
  </si>
  <si>
    <t>최고 시장 반영 비중</t>
  </si>
  <si>
    <r>
      <rPr>
        <sz val="11"/>
        <rFont val="Noto Sans CJK SC"/>
        <family val="2"/>
      </rPr>
      <t xml:space="preserve">순위 점수 </t>
    </r>
    <r>
      <rPr>
        <sz val="11"/>
        <rFont val="Arial"/>
        <family val="2"/>
      </rPr>
      <t xml:space="preserve">= </t>
    </r>
    <r>
      <rPr>
        <sz val="11"/>
        <rFont val="Noto Sans CJK SC"/>
        <family val="2"/>
      </rPr>
      <t>최고 시장 점수</t>
    </r>
    <r>
      <rPr>
        <sz val="11"/>
        <rFont val="Arial"/>
        <family val="2"/>
      </rPr>
      <t xml:space="preserve">×0.6 + </t>
    </r>
    <r>
      <rPr>
        <sz val="11"/>
        <rFont val="Noto Sans CJK SC"/>
        <family val="2"/>
      </rPr>
      <t>전체 평균</t>
    </r>
    <r>
      <rPr>
        <sz val="11"/>
        <rFont val="Arial"/>
        <family val="2"/>
      </rPr>
      <t>×0.4 (</t>
    </r>
    <r>
      <rPr>
        <sz val="11"/>
        <rFont val="Noto Sans CJK SC"/>
        <family val="2"/>
      </rPr>
      <t>지역 챔피언이 손해 보지 않도록</t>
    </r>
    <r>
      <rPr>
        <sz val="11"/>
        <rFont val="Arial"/>
        <family val="2"/>
      </rPr>
      <t>)</t>
    </r>
  </si>
  <si>
    <t>기준 연도</t>
  </si>
  <si>
    <t>오래가는 힘 계산 기준</t>
  </si>
  <si>
    <r>
      <rPr>
        <sz val="11"/>
        <rFont val="Arial"/>
        <family val="2"/>
      </rPr>
      <t xml:space="preserve">A+ </t>
    </r>
    <r>
      <rPr>
        <sz val="11"/>
        <rFont val="Noto Sans CJK SC"/>
        <family val="2"/>
      </rPr>
      <t>전설 기준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이상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</si>
  <si>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초기 가이드의 </t>
    </r>
    <r>
      <rPr>
        <sz val="11"/>
        <rFont val="Arial"/>
        <family val="2"/>
      </rPr>
      <t>90</t>
    </r>
    <r>
      <rPr>
        <sz val="11"/>
        <rFont val="Noto Sans CJK SC"/>
        <family val="2"/>
      </rPr>
      <t xml:space="preserve">점은 모든 지역을 석권한 게임이 없어 </t>
    </r>
    <r>
      <rPr>
        <sz val="11"/>
        <rFont val="Arial"/>
        <family val="2"/>
      </rPr>
      <t>80</t>
    </r>
    <r>
      <rPr>
        <sz val="11"/>
        <rFont val="Noto Sans CJK SC"/>
        <family val="2"/>
      </rPr>
      <t>점으로 조정</t>
    </r>
  </si>
  <si>
    <r>
      <rPr>
        <sz val="11"/>
        <rFont val="Arial"/>
        <family val="2"/>
      </rPr>
      <t xml:space="preserve">A </t>
    </r>
    <r>
      <rPr>
        <sz val="11"/>
        <rFont val="Noto Sans CJK SC"/>
        <family val="2"/>
      </rPr>
      <t>강자 기준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이상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</si>
  <si>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초기 가이드의 </t>
    </r>
    <r>
      <rPr>
        <sz val="11"/>
        <rFont val="Arial"/>
        <family val="2"/>
      </rPr>
      <t>75</t>
    </r>
    <r>
      <rPr>
        <sz val="11"/>
        <rFont val="Noto Sans CJK SC"/>
        <family val="2"/>
      </rPr>
      <t>점에서 조정</t>
    </r>
  </si>
  <si>
    <r>
      <rPr>
        <sz val="11"/>
        <rFont val="Arial"/>
        <family val="2"/>
      </rPr>
      <t xml:space="preserve">B </t>
    </r>
    <r>
      <rPr>
        <sz val="11"/>
        <rFont val="Noto Sans CJK SC"/>
        <family val="2"/>
      </rPr>
      <t>유망 기준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이상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</si>
  <si>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그 미만은 </t>
    </r>
    <r>
      <rPr>
        <sz val="11"/>
        <rFont val="Arial"/>
        <family val="2"/>
      </rPr>
      <t xml:space="preserve">C </t>
    </r>
    <r>
      <rPr>
        <sz val="11"/>
        <rFont val="Noto Sans CJK SC"/>
        <family val="2"/>
      </rPr>
      <t>도전자</t>
    </r>
  </si>
  <si>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2"/>
      </rPr>
      <t xml:space="preserve">S </t>
    </r>
    <r>
      <rPr>
        <sz val="11"/>
        <rFont val="Noto Sans CJK SC"/>
        <family val="2"/>
      </rPr>
      <t>점수</t>
    </r>
  </si>
  <si>
    <r>
      <rPr>
        <sz val="11"/>
        <rFont val="Noto Sans CJK SC"/>
        <family val="2"/>
      </rPr>
      <t>소규모</t>
    </r>
    <r>
      <rPr>
        <sz val="11"/>
        <rFont val="Arial"/>
        <family val="2"/>
      </rPr>
      <t>: 2~4</t>
    </r>
    <r>
      <rPr>
        <sz val="11"/>
        <rFont val="Noto Sans CJK SC"/>
        <family val="2"/>
      </rPr>
      <t>명</t>
    </r>
    <r>
      <rPr>
        <sz val="11"/>
        <rFont val="Arial"/>
        <family val="2"/>
      </rPr>
      <t>, 2~3</t>
    </r>
    <r>
      <rPr>
        <sz val="11"/>
        <rFont val="Noto Sans CJK SC"/>
        <family val="2"/>
      </rPr>
      <t>개월 내외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</si>
  <si>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2"/>
      </rPr>
      <t xml:space="preserve">M </t>
    </r>
    <r>
      <rPr>
        <sz val="11"/>
        <rFont val="Noto Sans CJK SC"/>
        <family val="2"/>
      </rPr>
      <t>점수</t>
    </r>
  </si>
  <si>
    <r>
      <rPr>
        <sz val="11"/>
        <rFont val="Noto Sans CJK SC"/>
        <family val="2"/>
      </rPr>
      <t>중규모</t>
    </r>
    <r>
      <rPr>
        <sz val="11"/>
        <rFont val="Arial"/>
        <family val="2"/>
      </rPr>
      <t>: 5~10</t>
    </r>
    <r>
      <rPr>
        <sz val="11"/>
        <rFont val="Noto Sans CJK SC"/>
        <family val="2"/>
      </rPr>
      <t>명</t>
    </r>
    <r>
      <rPr>
        <sz val="11"/>
        <rFont val="Arial"/>
        <family val="2"/>
      </rPr>
      <t>, 4~8</t>
    </r>
    <r>
      <rPr>
        <sz val="11"/>
        <rFont val="Noto Sans CJK SC"/>
        <family val="2"/>
      </rPr>
      <t>개월 내외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</si>
  <si>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2"/>
      </rPr>
      <t xml:space="preserve">L </t>
    </r>
    <r>
      <rPr>
        <sz val="11"/>
        <rFont val="Noto Sans CJK SC"/>
        <family val="2"/>
      </rPr>
      <t>점수</t>
    </r>
  </si>
  <si>
    <r>
      <rPr>
        <sz val="11"/>
        <rFont val="Noto Sans CJK SC"/>
        <family val="2"/>
      </rPr>
      <t>대규모</t>
    </r>
    <r>
      <rPr>
        <sz val="11"/>
        <rFont val="Arial"/>
        <family val="2"/>
      </rPr>
      <t>: 10~25</t>
    </r>
    <r>
      <rPr>
        <sz val="11"/>
        <rFont val="Noto Sans CJK SC"/>
        <family val="2"/>
      </rPr>
      <t>명</t>
    </r>
    <r>
      <rPr>
        <sz val="11"/>
        <rFont val="Arial"/>
        <family val="2"/>
      </rPr>
      <t>, 8~15</t>
    </r>
    <r>
      <rPr>
        <sz val="11"/>
        <rFont val="Noto Sans CJK SC"/>
        <family val="2"/>
      </rPr>
      <t xml:space="preserve">개월 내외 또는 </t>
    </r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필요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</si>
  <si>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 xml:space="preserve">규모 </t>
    </r>
    <r>
      <rPr>
        <sz val="11"/>
        <rFont val="Arial"/>
        <family val="2"/>
      </rPr>
      <t xml:space="preserve">XL </t>
    </r>
    <r>
      <rPr>
        <sz val="11"/>
        <rFont val="Noto Sans CJK SC"/>
        <family val="2"/>
      </rPr>
      <t>점수</t>
    </r>
  </si>
  <si>
    <r>
      <rPr>
        <sz val="11"/>
        <rFont val="Noto Sans CJK SC"/>
        <family val="2"/>
      </rPr>
      <t>초대형</t>
    </r>
    <r>
      <rPr>
        <sz val="11"/>
        <rFont val="Arial"/>
        <family val="2"/>
      </rPr>
      <t>: 30</t>
    </r>
    <r>
      <rPr>
        <sz val="11"/>
        <rFont val="Noto Sans CJK SC"/>
        <family val="2"/>
      </rPr>
      <t>명 이상</t>
    </r>
    <r>
      <rPr>
        <sz val="11"/>
        <rFont val="Arial"/>
        <family val="2"/>
      </rPr>
      <t>, 1.5</t>
    </r>
    <r>
      <rPr>
        <sz val="11"/>
        <rFont val="Noto Sans CJK SC"/>
        <family val="2"/>
      </rPr>
      <t>년 이상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서버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라이브 운영 필수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</si>
  <si>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i/>
        <sz val="11"/>
        <color rgb="FF595959"/>
        <rFont val="Noto Sans CJK SC"/>
        <family val="2"/>
      </rPr>
      <t>파란 글씨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노란 칸은 바꿀 수 있는 가정값입니다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바꾸면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성공 점수표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가 자동으로 다시 계산됩니다</t>
    </r>
    <r>
      <rPr>
        <i/>
        <sz val="11"/>
        <color rgb="FF595959"/>
        <rFont val="Arial"/>
        <family val="2"/>
      </rPr>
      <t>.</t>
    </r>
  </si>
  <si>
    <r>
      <rPr>
        <b/>
        <sz val="11"/>
        <color rgb="FFFFFFFF"/>
        <rFont val="Noto Sans CJK SC"/>
        <family val="2"/>
      </rPr>
      <t xml:space="preserve">무료 순위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구글 플레이</t>
    </r>
    <r>
      <rPr>
        <b/>
        <sz val="11"/>
        <color rgb="FFFFFFFF"/>
        <rFont val="Arial"/>
        <family val="2"/>
      </rPr>
      <t xml:space="preserve">, </t>
    </r>
    <r>
      <rPr>
        <b/>
        <sz val="11"/>
        <color rgb="FFFFFFFF"/>
        <rFont val="Noto Sans CJK SC"/>
        <family val="2"/>
      </rPr>
      <t>빈칸</t>
    </r>
    <r>
      <rPr>
        <b/>
        <sz val="11"/>
        <color rgb="FFFFFFFF"/>
        <rFont val="Arial"/>
        <family val="2"/>
      </rPr>
      <t xml:space="preserve">=Top100 </t>
    </r>
    <r>
      <rPr>
        <b/>
        <sz val="11"/>
        <color rgb="FFFFFFFF"/>
        <rFont val="Noto Sans CJK SC"/>
        <family val="2"/>
      </rPr>
      <t>밖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</si>
  <si>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매출 순위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구글 플레이</t>
    </r>
    <r>
      <rPr>
        <b/>
        <sz val="11"/>
        <color rgb="FFFFFFFF"/>
        <rFont val="Arial"/>
        <family val="2"/>
      </rPr>
      <t xml:space="preserve">, </t>
    </r>
    <r>
      <rPr>
        <b/>
        <sz val="11"/>
        <color rgb="FFFFFFFF"/>
        <rFont val="Noto Sans CJK SC"/>
        <family val="2"/>
      </rPr>
      <t>빈칸</t>
    </r>
    <r>
      <rPr>
        <b/>
        <sz val="11"/>
        <color rgb="FFFFFFFF"/>
        <rFont val="Arial"/>
        <family val="2"/>
      </rPr>
      <t xml:space="preserve">=Top100 </t>
    </r>
    <r>
      <rPr>
        <b/>
        <sz val="11"/>
        <color rgb="FFFFFFFF"/>
        <rFont val="Noto Sans CJK SC"/>
        <family val="2"/>
      </rPr>
      <t>밖</t>
    </r>
    <r>
      <rPr>
        <b/>
        <sz val="11"/>
        <color rgb="FFFFFFFF"/>
        <rFont val="Arial"/>
        <family val="2"/>
      </rPr>
      <t>)</t>
    </r>
  </si>
  <si>
    <t>기본 정보</t>
  </si>
  <si>
    <r>
      <rPr>
        <b/>
        <sz val="11"/>
        <color rgb="FFFFFFFF"/>
        <rFont val="Noto Sans CJK SC"/>
        <family val="2"/>
      </rPr>
      <t xml:space="preserve">점수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자동 계산</t>
    </r>
    <r>
      <rPr>
        <b/>
        <sz val="11"/>
        <color rgb="FFFFFFFF"/>
        <rFont val="Arial"/>
        <family val="2"/>
      </rPr>
      <t>)</t>
    </r>
  </si>
  <si>
    <t>게임</t>
  </si>
  <si>
    <t>퍼블리셔</t>
  </si>
  <si>
    <t>장르</t>
  </si>
  <si>
    <t>미국</t>
  </si>
  <si>
    <t>캐나다</t>
  </si>
  <si>
    <t>브라질</t>
  </si>
  <si>
    <t>멕시코</t>
  </si>
  <si>
    <t>일본</t>
  </si>
  <si>
    <t>한국</t>
  </si>
  <si>
    <r>
      <rPr>
        <b/>
        <sz val="11"/>
        <color rgb="FFFFFFFF"/>
        <rFont val="Noto Sans CJK SC"/>
        <family val="2"/>
      </rPr>
      <t>누적 설치</t>
    </r>
    <r>
      <rPr>
        <b/>
        <sz val="11"/>
        <color rgb="FFFFFFFF"/>
        <rFont val="Arial"/>
        <family val="2"/>
      </rPr>
      <t>(GP)</t>
    </r>
  </si>
  <si>
    <t>평점</t>
  </si>
  <si>
    <r>
      <rPr>
        <b/>
        <sz val="11"/>
        <color rgb="FFFFFFFF"/>
        <rFont val="Noto Sans CJK SC"/>
        <family val="2"/>
      </rPr>
      <t>출시연도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추정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</si>
  <si>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 xml:space="preserve">MVP </t>
    </r>
    <r>
      <rPr>
        <b/>
        <sz val="11"/>
        <color rgb="FFFFFFFF"/>
        <rFont val="Noto Sans CJK SC"/>
        <family val="2"/>
      </rPr>
      <t>규모</t>
    </r>
  </si>
  <si>
    <r>
      <rPr>
        <b/>
        <sz val="11"/>
        <color rgb="FFFFFFFF"/>
        <rFont val="Noto Sans CJK SC"/>
        <family val="2"/>
      </rPr>
      <t xml:space="preserve">인기 </t>
    </r>
    <r>
      <rPr>
        <b/>
        <sz val="11"/>
        <color rgb="FFFFFFFF"/>
        <rFont val="Arial"/>
        <family val="2"/>
      </rPr>
      <t>/25</t>
    </r>
  </si>
  <si>
    <r>
      <rPr>
        <b/>
        <sz val="11"/>
        <color rgb="FFFFFFFF"/>
        <rFont val="Noto Sans CJK SC"/>
        <family val="2"/>
      </rPr>
      <t xml:space="preserve">돈 버는 힘 </t>
    </r>
    <r>
      <rPr>
        <b/>
        <sz val="11"/>
        <color rgb="FFFFFFFF"/>
        <rFont val="Arial"/>
        <family val="2"/>
      </rPr>
      <t>/25</t>
    </r>
  </si>
  <si>
    <r>
      <rPr>
        <b/>
        <sz val="11"/>
        <color rgb="FFFFFFFF"/>
        <rFont val="Noto Sans CJK SC"/>
        <family val="2"/>
      </rPr>
      <t xml:space="preserve">규모 </t>
    </r>
    <r>
      <rPr>
        <b/>
        <sz val="11"/>
        <color rgb="FFFFFFFF"/>
        <rFont val="Arial"/>
        <family val="2"/>
      </rPr>
      <t>/15</t>
    </r>
  </si>
  <si>
    <r>
      <rPr>
        <b/>
        <sz val="11"/>
        <color rgb="FFFFFFFF"/>
        <rFont val="Noto Sans CJK SC"/>
        <family val="2"/>
      </rPr>
      <t xml:space="preserve">만족도 </t>
    </r>
    <r>
      <rPr>
        <b/>
        <sz val="11"/>
        <color rgb="FFFFFFFF"/>
        <rFont val="Arial"/>
        <family val="2"/>
      </rPr>
      <t>/15</t>
    </r>
  </si>
  <si>
    <r>
      <rPr>
        <b/>
        <sz val="11"/>
        <color rgb="FFFFFFFF"/>
        <rFont val="Noto Sans CJK SC"/>
        <family val="2"/>
      </rPr>
      <t xml:space="preserve">오래가는 힘 </t>
    </r>
    <r>
      <rPr>
        <b/>
        <sz val="11"/>
        <color rgb="FFFFFFFF"/>
        <rFont val="Arial"/>
        <family val="2"/>
      </rPr>
      <t>/10</t>
    </r>
  </si>
  <si>
    <r>
      <rPr>
        <b/>
        <sz val="11"/>
        <color rgb="FFFFFFFF"/>
        <rFont val="Noto Sans CJK SC"/>
        <family val="2"/>
      </rPr>
      <t xml:space="preserve">따라 만들기 </t>
    </r>
    <r>
      <rPr>
        <b/>
        <sz val="11"/>
        <color rgb="FFFFFFFF"/>
        <rFont val="Arial"/>
        <family val="2"/>
      </rPr>
      <t>/10</t>
    </r>
  </si>
  <si>
    <r>
      <rPr>
        <b/>
        <sz val="11"/>
        <color rgb="FFFFFFFF"/>
        <rFont val="Noto Sans CJK SC"/>
        <family val="2"/>
      </rPr>
      <t xml:space="preserve">총점 </t>
    </r>
    <r>
      <rPr>
        <b/>
        <sz val="11"/>
        <color rgb="FFFFFFFF"/>
        <rFont val="Arial"/>
        <family val="2"/>
      </rPr>
      <t>/100</t>
    </r>
  </si>
  <si>
    <t>등급</t>
  </si>
  <si>
    <t>순위</t>
  </si>
  <si>
    <t>Meowdoku</t>
  </si>
  <si>
    <t>Oakever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</si>
  <si>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로직</t>
    </r>
  </si>
  <si>
    <t>S</t>
  </si>
  <si>
    <t>Rotate Rings</t>
  </si>
  <si>
    <t>Nebula Studio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</si>
  <si>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정렬</t>
    </r>
  </si>
  <si>
    <t>Block Blast!</t>
  </si>
  <si>
    <t>Hungry Studio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</si>
  <si>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블록</t>
    </r>
  </si>
  <si>
    <t>Magic Sort!</t>
  </si>
  <si>
    <t>Grand Games</t>
  </si>
  <si>
    <t>Bus Fever Party!</t>
  </si>
  <si>
    <t>Lumi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</si>
  <si>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버스잼</t>
    </r>
  </si>
  <si>
    <t>Royal Match</t>
  </si>
  <si>
    <t>Dream Games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</si>
  <si>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매치</t>
    </r>
    <r>
      <rPr>
        <sz val="11"/>
        <rFont val="Arial"/>
        <family val="2"/>
      </rPr>
      <t>3+</t>
    </r>
    <r>
      <rPr>
        <sz val="11"/>
        <rFont val="Noto Sans CJK SC"/>
        <family val="2"/>
      </rPr>
      <t>꾸미기</t>
    </r>
  </si>
  <si>
    <t>M</t>
  </si>
  <si>
    <t>Gossip Harbor</t>
  </si>
  <si>
    <t>Microfun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</si>
  <si>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머지</t>
    </r>
    <r>
      <rPr>
        <sz val="11"/>
        <rFont val="Arial"/>
        <family val="2"/>
      </rPr>
      <t>+</t>
    </r>
    <r>
      <rPr>
        <sz val="11"/>
        <rFont val="Noto Sans CJK SC"/>
        <family val="2"/>
      </rPr>
      <t>스토리</t>
    </r>
  </si>
  <si>
    <t>L</t>
  </si>
  <si>
    <t>MONOPOLY GO!</t>
  </si>
  <si>
    <t>Scopely</t>
  </si>
  <si>
    <r>
      <rPr>
        <sz val="11"/>
        <rFont val="Noto Sans CJK SC"/>
        <family val="2"/>
      </rPr>
      <t xml:space="preserve">보드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주사위 소셜</t>
    </r>
  </si>
  <si>
    <t>Whiteout Survival</t>
  </si>
  <si>
    <t>Century Games</t>
  </si>
  <si>
    <r>
      <rPr>
        <sz val="11"/>
        <rFont val="Noto Sans CJK SC"/>
        <family val="2"/>
      </rPr>
      <t xml:space="preserve">전략 </t>
    </r>
    <r>
      <rPr>
        <sz val="11"/>
        <rFont val="Arial"/>
        <family val="2"/>
      </rPr>
      <t>· 4X</t>
    </r>
  </si>
  <si>
    <t>XL</t>
  </si>
  <si>
    <t>Free Fire</t>
  </si>
  <si>
    <t>Garena</t>
  </si>
  <si>
    <r>
      <rPr>
        <sz val="11"/>
        <rFont val="Noto Sans CJK SC"/>
        <family val="2"/>
      </rPr>
      <t xml:space="preserve">액션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>배틀로얄</t>
    </r>
  </si>
  <si>
    <t>치이카와 포켓</t>
  </si>
  <si>
    <t>Applibot</t>
  </si>
  <si>
    <r>
      <rPr>
        <sz val="11"/>
        <rFont val="Noto Sans CJK SC"/>
        <family val="2"/>
      </rPr>
      <t xml:space="preserve">캐릭터 </t>
    </r>
    <r>
      <rPr>
        <sz val="11"/>
        <rFont val="Arial"/>
        <family val="2"/>
      </rPr>
      <t>IP</t>
    </r>
  </si>
  <si>
    <t>후더덕 서바이벌</t>
  </si>
  <si>
    <t>Joy Nice Games</t>
  </si>
  <si>
    <r>
      <rPr>
        <sz val="11"/>
        <rFont val="Noto Sans CJK SC"/>
        <family val="2"/>
      </rPr>
      <t xml:space="preserve">방치형 </t>
    </r>
    <r>
      <rPr>
        <sz val="11"/>
        <rFont val="Arial"/>
        <family val="2"/>
      </rPr>
      <t>RPG</t>
    </r>
  </si>
  <si>
    <r>
      <rPr>
        <i/>
        <sz val="11"/>
        <color rgb="FF595959"/>
        <rFont val="Noto Sans CJK SC"/>
        <family val="2"/>
      </rPr>
      <t>출처</t>
    </r>
    <r>
      <rPr>
        <i/>
        <sz val="11"/>
        <color rgb="FF595959"/>
        <rFont val="Arial"/>
        <family val="2"/>
      </rPr>
      <t xml:space="preserve">: AppBrain </t>
    </r>
    <r>
      <rPr>
        <i/>
        <sz val="11"/>
        <color rgb="FF595959"/>
        <rFont val="Noto Sans CJK SC"/>
        <family val="2"/>
      </rPr>
      <t xml:space="preserve">국가별 </t>
    </r>
    <r>
      <rPr>
        <i/>
        <sz val="11"/>
        <color rgb="FF595959"/>
        <rFont val="Arial"/>
        <family val="2"/>
      </rPr>
      <t xml:space="preserve">Google Play </t>
    </r>
    <r>
      <rPr>
        <i/>
        <sz val="11"/>
        <color rgb="FF595959"/>
        <rFont val="Noto Sans CJK SC"/>
        <family val="2"/>
      </rPr>
      <t>순위 — 무료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>미국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캐나다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브라질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 xml:space="preserve">일본 </t>
    </r>
    <r>
      <rPr>
        <i/>
        <sz val="11"/>
        <color rgb="FF595959"/>
        <rFont val="Arial"/>
        <family val="2"/>
      </rPr>
      <t xml:space="preserve">2026-10-04, </t>
    </r>
    <r>
      <rPr>
        <i/>
        <sz val="11"/>
        <color rgb="FF595959"/>
        <rFont val="Noto Sans CJK SC"/>
        <family val="2"/>
      </rPr>
      <t xml:space="preserve">한국 </t>
    </r>
    <r>
      <rPr>
        <i/>
        <sz val="11"/>
        <color rgb="FF595959"/>
        <rFont val="Arial"/>
        <family val="2"/>
      </rPr>
      <t xml:space="preserve">10-03, </t>
    </r>
    <r>
      <rPr>
        <i/>
        <sz val="11"/>
        <color rgb="FF595959"/>
        <rFont val="Noto Sans CJK SC"/>
        <family val="2"/>
      </rPr>
      <t xml:space="preserve">멕시코 </t>
    </r>
    <r>
      <rPr>
        <i/>
        <sz val="11"/>
        <color rgb="FF595959"/>
        <rFont val="Arial"/>
        <family val="2"/>
      </rPr>
      <t xml:space="preserve">09-25 / </t>
    </r>
    <r>
      <rPr>
        <i/>
        <sz val="11"/>
        <color rgb="FF595959"/>
        <rFont val="Noto Sans CJK SC"/>
        <family val="2"/>
      </rPr>
      <t>매출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>미국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 xml:space="preserve">한국 </t>
    </r>
    <r>
      <rPr>
        <i/>
        <sz val="11"/>
        <color rgb="FF595959"/>
        <rFont val="Arial"/>
        <family val="2"/>
      </rPr>
      <t xml:space="preserve">10-03, </t>
    </r>
    <r>
      <rPr>
        <i/>
        <sz val="11"/>
        <color rgb="FF595959"/>
        <rFont val="Noto Sans CJK SC"/>
        <family val="2"/>
      </rPr>
      <t xml:space="preserve">일본 </t>
    </r>
    <r>
      <rPr>
        <i/>
        <sz val="11"/>
        <color rgb="FF595959"/>
        <rFont val="Arial"/>
        <family val="2"/>
      </rPr>
      <t xml:space="preserve">10-04, </t>
    </r>
    <r>
      <rPr>
        <i/>
        <sz val="11"/>
        <color rgb="FF595959"/>
        <rFont val="Noto Sans CJK SC"/>
        <family val="2"/>
      </rPr>
      <t xml:space="preserve">브라질 </t>
    </r>
    <r>
      <rPr>
        <i/>
        <sz val="11"/>
        <color rgb="FF595959"/>
        <rFont val="Arial"/>
        <family val="2"/>
      </rPr>
      <t>10-01.</t>
    </r>
  </si>
  <si>
    <r>
      <rPr>
        <i/>
        <sz val="11"/>
        <color rgb="FF595959"/>
        <rFont val="Noto Sans CJK SC"/>
        <family val="2"/>
      </rPr>
      <t>누적 설치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평점</t>
    </r>
    <r>
      <rPr>
        <i/>
        <sz val="11"/>
        <color rgb="FF595959"/>
        <rFont val="Arial"/>
        <family val="2"/>
      </rPr>
      <t xml:space="preserve">: AppBrain </t>
    </r>
    <r>
      <rPr>
        <i/>
        <sz val="11"/>
        <color rgb="FF595959"/>
        <rFont val="Noto Sans CJK SC"/>
        <family val="2"/>
      </rPr>
      <t>표기값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구글 플레이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치이카와 포켓은 일본판 기준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평점 미표시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빈칸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>는 만족도 중간값 처리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</si>
  <si>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출시연도는 공개 정보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 xml:space="preserve">앱 </t>
    </r>
    <r>
      <rPr>
        <i/>
        <sz val="11"/>
        <color rgb="FF595959"/>
        <rFont val="Arial"/>
        <family val="2"/>
      </rPr>
      <t xml:space="preserve">ID </t>
    </r>
    <r>
      <rPr>
        <i/>
        <sz val="11"/>
        <color rgb="FF595959"/>
        <rFont val="Noto Sans CJK SC"/>
        <family val="2"/>
      </rPr>
      <t>기반 추정치이며</t>
    </r>
    <r>
      <rPr>
        <i/>
        <sz val="11"/>
        <color rgb="FF595959"/>
        <rFont val="Arial"/>
        <family val="2"/>
      </rPr>
      <t xml:space="preserve">, MVP </t>
    </r>
    <r>
      <rPr>
        <i/>
        <sz val="11"/>
        <color rgb="FF595959"/>
        <rFont val="Noto Sans CJK SC"/>
        <family val="2"/>
      </rPr>
      <t>규모는 분석자 판단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추정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>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파란 글씨는 입력값입니다</t>
    </r>
    <r>
      <rPr>
        <i/>
        <sz val="11"/>
        <color rgb="FF595959"/>
        <rFont val="Arial"/>
        <family val="2"/>
      </rPr>
      <t>.</t>
    </r>
  </si>
  <si>
    <t>이렇게 생각하면 쉬워요</t>
  </si>
  <si>
    <t>🎮 재미</t>
  </si>
  <si>
    <t>👶 쉬움</t>
  </si>
  <si>
    <t>🔁 또 오기</t>
  </si>
  <si>
    <t>👫 친구</t>
  </si>
  <si>
    <t>💰 용돈 벌기</t>
  </si>
  <si>
    <t>종합 등급</t>
  </si>
  <si>
    <t>총점</t>
  </si>
  <si>
    <t>이 게임의 비밀 한 줄</t>
  </si>
  <si>
    <r>
      <rPr>
        <b/>
        <sz val="11"/>
        <color rgb="FFFFFFFF"/>
        <rFont val="Noto Sans CJK SC"/>
        <family val="2"/>
      </rPr>
      <t>재미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입력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</si>
  <si>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쉬움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입력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</si>
  <si>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또오기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입력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</si>
  <si>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친구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입력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</si>
  <si>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용돈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입력</t>
    </r>
    <r>
      <rPr>
        <b/>
        <sz val="11"/>
        <color rgb="FFFFFFFF"/>
        <rFont val="Arial"/>
        <family val="2"/>
      </rPr>
      <t>)</t>
    </r>
  </si>
  <si>
    <r>
      <rPr>
        <sz val="11"/>
        <rFont val="Noto Sans CJK SC"/>
        <family val="2"/>
      </rPr>
      <t xml:space="preserve">고양이 그림으로 칸을 채우는 스도쿠 같은 논리 퍼즐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게임명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장르 기반 추정</t>
    </r>
    <r>
      <rPr>
        <sz val="11"/>
        <rFont val="Arial"/>
        <family val="2"/>
      </rPr>
      <t>)</t>
    </r>
  </si>
  <si>
    <t>고양이 스티커로 하는 숫자 없는 스도쿠</t>
  </si>
  <si>
    <r>
      <rPr>
        <sz val="11"/>
        <rFont val="Noto Sans CJK SC"/>
        <family val="2"/>
      </rPr>
      <t>어려운 스도쿠를 귀여운 고양이로 포장해 문턱을 낮췄어요</t>
    </r>
    <r>
      <rPr>
        <sz val="11"/>
        <rFont val="Arial"/>
        <family val="2"/>
      </rPr>
      <t>. 6</t>
    </r>
    <r>
      <rPr>
        <sz val="11"/>
        <rFont val="Noto Sans CJK SC"/>
        <family val="2"/>
      </rPr>
      <t>개국 모두 상위권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일본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캐나다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).</t>
    </r>
  </si>
  <si>
    <r>
      <rPr>
        <sz val="11"/>
        <rFont val="Noto Sans CJK SC"/>
        <family val="2"/>
      </rPr>
      <t xml:space="preserve">고리를 돌려 같은 색끼리 모으는 정렬 퍼즐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게임명 기반 추정</t>
    </r>
    <r>
      <rPr>
        <sz val="11"/>
        <rFont val="Arial"/>
        <family val="2"/>
      </rPr>
      <t>)</t>
    </r>
  </si>
  <si>
    <t>색깔 고리를 돌리는 큐브 맞추기</t>
  </si>
  <si>
    <r>
      <rPr>
        <sz val="11"/>
        <rFont val="Noto Sans CJK SC"/>
        <family val="2"/>
      </rPr>
      <t xml:space="preserve">손가락 하나로 돌리기만 하면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착착 정리되는</t>
    </r>
    <r>
      <rPr>
        <sz val="11"/>
        <rFont val="Arial"/>
        <family val="2"/>
      </rPr>
      <t xml:space="preserve">' </t>
    </r>
    <r>
      <rPr>
        <sz val="11"/>
        <rFont val="Noto Sans CJK SC"/>
        <family val="2"/>
      </rPr>
      <t>쾌감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미국 구글 플레이 무료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.</t>
    </r>
  </si>
  <si>
    <r>
      <rPr>
        <sz val="11"/>
        <rFont val="Arial"/>
        <family val="2"/>
      </rPr>
      <t xml:space="preserve">8×8 </t>
    </r>
    <r>
      <rPr>
        <sz val="11"/>
        <rFont val="Noto Sans CJK SC"/>
        <family val="2"/>
      </rPr>
      <t>판에 블록 조각을 놓아 줄을 지우는 퍼즐</t>
    </r>
  </si>
  <si>
    <t>끝나지 않는 테트리스 조각 맞추기</t>
  </si>
  <si>
    <r>
      <rPr>
        <sz val="11"/>
        <rFont val="Noto Sans CJK SC"/>
        <family val="2"/>
      </rPr>
      <t xml:space="preserve">레벨도 이야기도 없이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한 판 더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만으로 설치 </t>
    </r>
    <r>
      <rPr>
        <sz val="11"/>
        <rFont val="Arial"/>
        <family val="2"/>
      </rPr>
      <t>11</t>
    </r>
    <r>
      <rPr>
        <sz val="11"/>
        <rFont val="Noto Sans CJK SC"/>
        <family val="2"/>
      </rPr>
      <t>억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대신 매출 순위에는 없어서 광고로 돈을 버는 것으로 보여요</t>
    </r>
    <r>
      <rPr>
        <sz val="11"/>
        <rFont val="Arial"/>
        <family val="2"/>
      </rPr>
      <t>.</t>
    </r>
  </si>
  <si>
    <t>병 속 색깔 물을 옮겨 같은 색끼리 모으는 퍼즐</t>
  </si>
  <si>
    <t>색깔 주스 나눠 담기</t>
  </si>
  <si>
    <r>
      <rPr>
        <sz val="11"/>
        <rFont val="Noto Sans CJK SC"/>
        <family val="2"/>
      </rPr>
      <t xml:space="preserve">검증된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물 정렬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을 예쁜 연출로 업그레이드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퍼즐 신작 중 미국 매출 </t>
    </r>
    <r>
      <rPr>
        <sz val="11"/>
        <rFont val="Arial"/>
        <family val="2"/>
      </rPr>
      <t>Top 100(56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에 들어간 유일한 게임</t>
    </r>
    <r>
      <rPr>
        <sz val="11"/>
        <rFont val="Arial"/>
        <family val="2"/>
      </rPr>
      <t>.</t>
    </r>
  </si>
  <si>
    <t>승객을 같은 색 버스에 태워 보내는 버스잼 퍼즐</t>
  </si>
  <si>
    <t>색깔별로 줄 세우는 반장 놀이</t>
  </si>
  <si>
    <r>
      <rPr>
        <sz val="11"/>
        <rFont val="Noto Sans CJK SC"/>
        <family val="2"/>
      </rPr>
      <t xml:space="preserve">말이 필요 없는 규칙이라 남미에서도 </t>
    </r>
    <r>
      <rPr>
        <sz val="11"/>
        <rFont val="Arial"/>
        <family val="2"/>
      </rPr>
      <t>2~3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국경이 없는 게임이에요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</si>
  <si>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같은 그림 </t>
    </r>
    <r>
      <rPr>
        <sz val="11"/>
        <rFont val="Arial"/>
        <family val="2"/>
      </rPr>
      <t>3</t>
    </r>
    <r>
      <rPr>
        <sz val="11"/>
        <rFont val="Noto Sans CJK SC"/>
        <family val="2"/>
      </rPr>
      <t>개를 맞춰 별을 모으고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별로 왕의 성을 꾸미는 게임</t>
    </r>
  </si>
  <si>
    <r>
      <rPr>
        <sz val="11"/>
        <rFont val="Noto Sans CJK SC"/>
        <family val="2"/>
      </rPr>
      <t xml:space="preserve">사탕 맞추기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내 성 꾸미기</t>
    </r>
  </si>
  <si>
    <r>
      <rPr>
        <sz val="11"/>
        <rFont val="Noto Sans CJK SC"/>
        <family val="2"/>
      </rPr>
      <t xml:space="preserve">익숙한 퍼즐에 최고급 연출과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꾸미는 재미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를 더해 미국 매출 </t>
    </r>
    <r>
      <rPr>
        <sz val="11"/>
        <rFont val="Arial"/>
        <family val="2"/>
      </rPr>
      <t>4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, 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2"/>
      </rPr>
      <t>Top 25.</t>
    </r>
  </si>
  <si>
    <r>
      <rPr>
        <sz val="11"/>
        <rFont val="Noto Sans CJK SC"/>
        <family val="2"/>
      </rPr>
      <t xml:space="preserve">물건을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개씩 합쳐 주문을 해결하면 드라마 같은 이야기가 이어지는 게임</t>
    </r>
  </si>
  <si>
    <r>
      <rPr>
        <sz val="11"/>
        <rFont val="Noto Sans CJK SC"/>
        <family val="2"/>
      </rPr>
      <t xml:space="preserve">레고 합체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다음 화가 궁금한 드라마</t>
    </r>
  </si>
  <si>
    <r>
      <rPr>
        <sz val="11"/>
        <rFont val="Arial"/>
        <family val="2"/>
      </rPr>
      <t>'</t>
    </r>
    <r>
      <rPr>
        <sz val="11"/>
        <rFont val="Noto Sans CJK SC"/>
        <family val="2"/>
      </rPr>
      <t>합치는 손맛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과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다음 이야기 궁금증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의 조합</t>
    </r>
    <r>
      <rPr>
        <sz val="11"/>
        <rFont val="Arial"/>
        <family val="2"/>
      </rPr>
      <t>. 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2"/>
      </rPr>
      <t>Top 16(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>4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).</t>
    </r>
  </si>
  <si>
    <t>주사위를 굴려 보드판을 돌며 내 도시를 짓는 게임</t>
  </si>
  <si>
    <r>
      <rPr>
        <sz val="11"/>
        <rFont val="Noto Sans CJK SC"/>
        <family val="2"/>
      </rPr>
      <t xml:space="preserve">온 가족이 아는 부루마불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스티커 앨범 모으기</t>
    </r>
  </si>
  <si>
    <r>
      <rPr>
        <sz val="11"/>
        <rFont val="Noto Sans CJK SC"/>
        <family val="2"/>
      </rPr>
      <t>누구나 아는 이름</t>
    </r>
    <r>
      <rPr>
        <sz val="11"/>
        <rFont val="Arial"/>
        <family val="2"/>
      </rPr>
      <t xml:space="preserve">(IP) + </t>
    </r>
    <r>
      <rPr>
        <sz val="11"/>
        <rFont val="Noto Sans CJK SC"/>
        <family val="2"/>
      </rPr>
      <t xml:space="preserve">친구와 함께하는 이벤트로 미국 매출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하지만 일본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한국에서는 순위 밖이에요</t>
    </r>
    <r>
      <rPr>
        <sz val="11"/>
        <rFont val="Arial"/>
        <family val="2"/>
      </rPr>
      <t>.</t>
    </r>
  </si>
  <si>
    <t>눈보라 속 마을을 키우고 동맹과 함께 싸우는 전략 게임</t>
  </si>
  <si>
    <r>
      <rPr>
        <sz val="11"/>
        <rFont val="Noto Sans CJK SC"/>
        <family val="2"/>
      </rPr>
      <t xml:space="preserve">눈 오는 날 우리 마을 키우기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반 대항전</t>
    </r>
  </si>
  <si>
    <r>
      <rPr>
        <sz val="11"/>
        <rFont val="Noto Sans CJK SC"/>
        <family val="2"/>
      </rPr>
      <t xml:space="preserve">다운로드는 많지 않아도 </t>
    </r>
    <r>
      <rPr>
        <sz val="11"/>
        <rFont val="Arial"/>
        <family val="2"/>
      </rPr>
      <t>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2"/>
      </rPr>
      <t>Top 25(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>6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 xml:space="preserve">). </t>
    </r>
    <r>
      <rPr>
        <sz val="11"/>
        <rFont val="Noto Sans CJK SC"/>
        <family val="2"/>
      </rPr>
      <t>열심히 하는 소수가 큰돈을 써요</t>
    </r>
    <r>
      <rPr>
        <sz val="11"/>
        <rFont val="Arial"/>
        <family val="2"/>
      </rPr>
      <t>.</t>
    </r>
  </si>
  <si>
    <t>여러 명이 섬에 떨어져 마지막까지 살아남는 짧은 총싸움 게임</t>
  </si>
  <si>
    <r>
      <rPr>
        <sz val="11"/>
        <rFont val="Arial"/>
        <family val="2"/>
      </rPr>
      <t>10</t>
    </r>
    <r>
      <rPr>
        <sz val="11"/>
        <rFont val="Noto Sans CJK SC"/>
        <family val="2"/>
      </rPr>
      <t>분짜리 서바이벌 술래잡기</t>
    </r>
  </si>
  <si>
    <r>
      <rPr>
        <sz val="11"/>
        <rFont val="Noto Sans CJK SC"/>
        <family val="2"/>
      </rPr>
      <t xml:space="preserve">성능 낮은 휴대폰에서도 잘 돌아가게 만들어 브라질 무료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</si>
  <si>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인기 캐릭터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치이카와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가 나오는 게임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세부 게임 방식은 확인 필요</t>
    </r>
    <r>
      <rPr>
        <sz val="11"/>
        <rFont val="Arial"/>
        <family val="2"/>
      </rPr>
      <t>)</t>
    </r>
  </si>
  <si>
    <t>좋아하는 캐릭터 스티커북</t>
  </si>
  <si>
    <r>
      <rPr>
        <sz val="11"/>
        <rFont val="Noto Sans CJK SC"/>
        <family val="2"/>
      </rPr>
      <t>캐릭터 팬이 곧 홍보대사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일본 무료 </t>
    </r>
    <r>
      <rPr>
        <sz val="11"/>
        <rFont val="Arial"/>
        <family val="2"/>
      </rPr>
      <t>20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>81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한국에서도 </t>
    </r>
    <r>
      <rPr>
        <sz val="11"/>
        <rFont val="Arial"/>
        <family val="2"/>
      </rPr>
      <t>39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</si>
  <si>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 xml:space="preserve">켜두기만 해도 캐릭터가 자라는 방치형 </t>
    </r>
    <r>
      <rPr>
        <sz val="11"/>
        <rFont val="Arial"/>
        <family val="2"/>
      </rPr>
      <t>RPG</t>
    </r>
    <r>
      <rPr>
        <sz val="11"/>
        <rFont val="Noto Sans CJK SC"/>
        <family val="2"/>
      </rPr>
      <t xml:space="preserve">로 추정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확인 필요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</si>
  <si>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저절로 크는 다마고치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뽑기</t>
    </r>
  </si>
  <si>
    <r>
      <rPr>
        <sz val="11"/>
        <rFont val="Noto Sans CJK SC"/>
        <family val="2"/>
      </rPr>
      <t xml:space="preserve">게임 이름에 </t>
    </r>
    <r>
      <rPr>
        <sz val="11"/>
        <rFont val="Arial"/>
        <family val="2"/>
      </rPr>
      <t>'777</t>
    </r>
    <r>
      <rPr>
        <sz val="11"/>
        <rFont val="Noto Sans CJK SC"/>
        <family val="2"/>
      </rPr>
      <t>뽑기 증정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을 넣어 이름 자체가 광고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한국 무료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>20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</si>
  <si>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별점</t>
    </r>
    <r>
      <rPr>
        <i/>
        <sz val="11"/>
        <color rgb="FF595959"/>
        <rFont val="Arial"/>
        <family val="2"/>
      </rPr>
      <t>(1~5)</t>
    </r>
    <r>
      <rPr>
        <i/>
        <sz val="11"/>
        <color rgb="FF595959"/>
        <rFont val="Noto Sans CJK SC"/>
        <family val="2"/>
      </rPr>
      <t xml:space="preserve">은 분석자 평가이며 </t>
    </r>
    <r>
      <rPr>
        <i/>
        <sz val="11"/>
        <color rgb="FF595959"/>
        <rFont val="Arial"/>
        <family val="2"/>
      </rPr>
      <t>L~P</t>
    </r>
    <r>
      <rPr>
        <i/>
        <sz val="11"/>
        <color rgb="FF595959"/>
        <rFont val="Noto Sans CJK SC"/>
        <family val="2"/>
      </rPr>
      <t>열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파란 글씨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>을 바꾸면 별 표시가 자동으로 바뀝니다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종합 등급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 xml:space="preserve">총점은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성공 점수표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에서 가져옵니다</t>
    </r>
    <r>
      <rPr>
        <i/>
        <sz val="11"/>
        <color rgb="FF595959"/>
        <rFont val="Arial"/>
        <family val="2"/>
      </rPr>
      <t>.</t>
    </r>
  </si>
  <si>
    <t>① 핵심 재미 루프</t>
  </si>
  <si>
    <r>
      <rPr>
        <b/>
        <sz val="11"/>
        <color rgb="FFFFFFFF"/>
        <rFont val="Noto Sans CJK SC"/>
        <family val="2"/>
      </rPr>
      <t xml:space="preserve">② 첫 </t>
    </r>
    <r>
      <rPr>
        <b/>
        <sz val="11"/>
        <color rgb="FFFFFFFF"/>
        <rFont val="Arial"/>
        <family val="2"/>
      </rPr>
      <t>1</t>
    </r>
    <r>
      <rPr>
        <b/>
        <sz val="11"/>
        <color rgb="FFFFFFFF"/>
        <rFont val="Noto Sans CJK SC"/>
        <family val="2"/>
      </rPr>
      <t>분 경험</t>
    </r>
  </si>
  <si>
    <t>③ 다시 오게 하는 장치</t>
  </si>
  <si>
    <r>
      <rPr>
        <b/>
        <sz val="11"/>
        <color rgb="FFFFFFFF"/>
        <rFont val="Noto Sans CJK SC"/>
        <family val="2"/>
      </rPr>
      <t>④ 수익 모델</t>
    </r>
    <r>
      <rPr>
        <b/>
        <sz val="11"/>
        <color rgb="FFFFFFFF"/>
        <rFont val="Arial"/>
        <family val="2"/>
      </rPr>
      <t>(BM)</t>
    </r>
  </si>
  <si>
    <t>⑤ 마케팅</t>
  </si>
  <si>
    <t>⑥ 아트 컨셉</t>
  </si>
  <si>
    <t>근거 수준</t>
  </si>
  <si>
    <t>칸 고르기 → 규칙에 맞는 고양이 배치 → 판 완성</t>
  </si>
  <si>
    <r>
      <rPr>
        <sz val="11"/>
        <rFont val="Noto Sans CJK SC"/>
        <family val="2"/>
      </rPr>
      <t>작은 판으로 규칙을 자연스럽게 익히는 튜토리얼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</si>
  <si>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레벨 진행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점점 커지는 판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</si>
  <si>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광고 중심 추정 — </t>
    </r>
    <r>
      <rPr>
        <sz val="11"/>
        <rFont val="Arial"/>
        <family val="2"/>
      </rPr>
      <t>6</t>
    </r>
    <r>
      <rPr>
        <sz val="11"/>
        <rFont val="Noto Sans CJK SC"/>
        <family val="2"/>
      </rPr>
      <t xml:space="preserve">개국 무료 상위권이지만 매출 </t>
    </r>
    <r>
      <rPr>
        <sz val="11"/>
        <rFont val="Arial"/>
        <family val="2"/>
      </rPr>
      <t xml:space="preserve">Top 100 </t>
    </r>
    <r>
      <rPr>
        <sz val="11"/>
        <rFont val="Noto Sans CJK SC"/>
        <family val="2"/>
      </rPr>
      <t>진입 없음</t>
    </r>
  </si>
  <si>
    <r>
      <rPr>
        <sz val="11"/>
        <rFont val="Arial"/>
        <family val="2"/>
      </rPr>
      <t>6</t>
    </r>
    <r>
      <rPr>
        <sz val="11"/>
        <rFont val="Noto Sans CJK SC"/>
        <family val="2"/>
      </rPr>
      <t xml:space="preserve">개국 동시 무료 상위권 → 대규모 글로벌 </t>
    </r>
    <r>
      <rPr>
        <sz val="11"/>
        <rFont val="Arial"/>
        <family val="2"/>
      </rPr>
      <t xml:space="preserve">UA 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같은 회사</t>
    </r>
    <r>
      <rPr>
        <sz val="11"/>
        <rFont val="Arial"/>
        <family val="2"/>
      </rPr>
      <t>(Oakever)</t>
    </r>
    <r>
      <rPr>
        <sz val="11"/>
        <rFont val="Noto Sans CJK SC"/>
        <family val="2"/>
      </rPr>
      <t xml:space="preserve">가 </t>
    </r>
    <r>
      <rPr>
        <sz val="11"/>
        <rFont val="Arial"/>
        <family val="2"/>
      </rPr>
      <t xml:space="preserve">Amaze GO!·Jigsawcard </t>
    </r>
    <r>
      <rPr>
        <sz val="11"/>
        <rFont val="Noto Sans CJK SC"/>
        <family val="2"/>
      </rPr>
      <t>등 다수 동시 운영</t>
    </r>
  </si>
  <si>
    <r>
      <rPr>
        <sz val="11"/>
        <rFont val="Noto Sans CJK SC"/>
        <family val="2"/>
      </rPr>
      <t>귀여운 고양이 캐릭터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밝고 깔끔한 화면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</si>
  <si>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장르 추정</t>
    </r>
  </si>
  <si>
    <t>고리 회전 → 같은 색 정렬 → 한 줄 정리되는 쾌감</t>
  </si>
  <si>
    <r>
      <rPr>
        <sz val="11"/>
        <rFont val="Noto Sans CJK SC"/>
        <family val="2"/>
      </rPr>
      <t>한 번 돌려보면 바로 이해되는 단순 조작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</si>
  <si>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레벨 진행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</si>
  <si>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광고 중심 추정 — 매출 </t>
    </r>
    <r>
      <rPr>
        <sz val="11"/>
        <rFont val="Arial"/>
        <family val="2"/>
      </rPr>
      <t xml:space="preserve">Top 100 </t>
    </r>
    <r>
      <rPr>
        <sz val="11"/>
        <rFont val="Noto Sans CJK SC"/>
        <family val="2"/>
      </rPr>
      <t>진입 없음</t>
    </r>
  </si>
  <si>
    <r>
      <rPr>
        <sz val="11"/>
        <rFont val="Noto Sans CJK SC"/>
        <family val="2"/>
      </rPr>
      <t xml:space="preserve">미국 무료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 xml:space="preserve">위 등 신작 집중 </t>
    </r>
    <r>
      <rPr>
        <sz val="11"/>
        <rFont val="Arial"/>
        <family val="2"/>
      </rPr>
      <t xml:space="preserve">UA 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같은 회사</t>
    </r>
    <r>
      <rPr>
        <sz val="11"/>
        <rFont val="Arial"/>
        <family val="2"/>
      </rPr>
      <t>(Nebula)</t>
    </r>
    <r>
      <rPr>
        <sz val="11"/>
        <rFont val="Noto Sans CJK SC"/>
        <family val="2"/>
      </rPr>
      <t xml:space="preserve">의 </t>
    </r>
    <r>
      <rPr>
        <sz val="11"/>
        <rFont val="Arial"/>
        <family val="2"/>
      </rPr>
      <t>Mahjong Blast·GOGO! Blast</t>
    </r>
    <r>
      <rPr>
        <sz val="11"/>
        <rFont val="Noto Sans CJK SC"/>
        <family val="2"/>
      </rPr>
      <t>와 포트폴리오 운영</t>
    </r>
  </si>
  <si>
    <r>
      <rPr>
        <sz val="11"/>
        <rFont val="Noto Sans CJK SC"/>
        <family val="2"/>
      </rPr>
      <t>단색 고리 위주의 미니멀 그래픽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</si>
  <si>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게임명 추정</t>
    </r>
  </si>
  <si>
    <r>
      <rPr>
        <sz val="11"/>
        <rFont val="Noto Sans CJK SC"/>
        <family val="2"/>
      </rPr>
      <t xml:space="preserve">블록 </t>
    </r>
    <r>
      <rPr>
        <sz val="11"/>
        <rFont val="Arial"/>
        <family val="2"/>
      </rPr>
      <t>3</t>
    </r>
    <r>
      <rPr>
        <sz val="11"/>
        <rFont val="Noto Sans CJK SC"/>
        <family val="2"/>
      </rPr>
      <t>개 받기 → 판에 배치 → 줄 지우기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콤보</t>
    </r>
  </si>
  <si>
    <t>설명 없이 바로 시작 가능한 한 판 구조</t>
  </si>
  <si>
    <r>
      <rPr>
        <sz val="11"/>
        <rFont val="Noto Sans CJK SC"/>
        <family val="2"/>
      </rPr>
      <t>최고 점수 갱신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콤보 연출의 손맛</t>
    </r>
  </si>
  <si>
    <r>
      <rPr>
        <sz val="11"/>
        <rFont val="Noto Sans CJK SC"/>
        <family val="2"/>
      </rPr>
      <t>광고 중심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 xml:space="preserve">Top 100 </t>
    </r>
    <r>
      <rPr>
        <sz val="11"/>
        <rFont val="Noto Sans CJK SC"/>
        <family val="2"/>
      </rPr>
      <t>진입 없음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으로 추정</t>
    </r>
  </si>
  <si>
    <r>
      <rPr>
        <sz val="11"/>
        <rFont val="Noto Sans CJK SC"/>
        <family val="2"/>
      </rPr>
      <t xml:space="preserve">설치 </t>
    </r>
    <r>
      <rPr>
        <sz val="11"/>
        <rFont val="Arial"/>
        <family val="2"/>
      </rPr>
      <t>11</t>
    </r>
    <r>
      <rPr>
        <sz val="11"/>
        <rFont val="Noto Sans CJK SC"/>
        <family val="2"/>
      </rPr>
      <t>억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구글 플레이</t>
    </r>
    <r>
      <rPr>
        <sz val="11"/>
        <rFont val="Arial"/>
        <family val="2"/>
      </rPr>
      <t xml:space="preserve">) — </t>
    </r>
    <r>
      <rPr>
        <sz val="11"/>
        <rFont val="Noto Sans CJK SC"/>
        <family val="2"/>
      </rPr>
      <t xml:space="preserve">오래 쌓인 입소문과 꾸준한 </t>
    </r>
    <r>
      <rPr>
        <sz val="11"/>
        <rFont val="Arial"/>
        <family val="2"/>
      </rPr>
      <t>UA</t>
    </r>
  </si>
  <si>
    <r>
      <rPr>
        <sz val="11"/>
        <rFont val="Noto Sans CJK SC"/>
        <family val="2"/>
      </rPr>
      <t>나무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보석 느낌의 블록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단순한 판</t>
    </r>
  </si>
  <si>
    <r>
      <rPr>
        <sz val="11"/>
        <rFont val="Noto Sans CJK SC"/>
        <family val="2"/>
      </rPr>
      <t>차트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설치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공개 게임 방식</t>
    </r>
  </si>
  <si>
    <t>병 고르기 → 색 옮기기 → 한 병 완성</t>
  </si>
  <si>
    <r>
      <rPr>
        <sz val="11"/>
        <rFont val="Noto Sans CJK SC"/>
        <family val="2"/>
      </rPr>
      <t>워터소트 규칙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누구나 아는 방식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으로 즉시 이해</t>
    </r>
  </si>
  <si>
    <r>
      <rPr>
        <sz val="11"/>
        <rFont val="Noto Sans CJK SC"/>
        <family val="2"/>
      </rPr>
      <t>레벨 진행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난이도 곡선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</si>
  <si>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 xml:space="preserve">인앱결제 혼합 추정 — 미국 매출 </t>
    </r>
    <r>
      <rPr>
        <sz val="11"/>
        <rFont val="Arial"/>
        <family val="2"/>
      </rPr>
      <t>56</t>
    </r>
    <r>
      <rPr>
        <sz val="11"/>
        <rFont val="Noto Sans CJK SC"/>
        <family val="2"/>
      </rPr>
      <t>위</t>
    </r>
  </si>
  <si>
    <r>
      <rPr>
        <sz val="11"/>
        <rFont val="Noto Sans CJK SC"/>
        <family val="2"/>
      </rPr>
      <t>같은 회사</t>
    </r>
    <r>
      <rPr>
        <sz val="11"/>
        <rFont val="Arial"/>
        <family val="2"/>
      </rPr>
      <t>(Grand Games)</t>
    </r>
    <r>
      <rPr>
        <sz val="11"/>
        <rFont val="Noto Sans CJK SC"/>
        <family val="2"/>
      </rPr>
      <t xml:space="preserve">의 </t>
    </r>
    <r>
      <rPr>
        <sz val="11"/>
        <rFont val="Arial"/>
        <family val="2"/>
      </rPr>
      <t>Block Out!</t>
    </r>
    <r>
      <rPr>
        <sz val="11"/>
        <rFont val="Noto Sans CJK SC"/>
        <family val="2"/>
      </rPr>
      <t>과 함께 미국 상위권</t>
    </r>
  </si>
  <si>
    <r>
      <rPr>
        <sz val="11"/>
        <rFont val="Noto Sans CJK SC"/>
        <family val="2"/>
      </rPr>
      <t>반짝이는 액체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마법 연출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</si>
  <si>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공개 게임 방식</t>
    </r>
  </si>
  <si>
    <t>승객 탭 → 같은 색 버스 탑승 → 버스 출발</t>
  </si>
  <si>
    <t>첫 판에서 바로 이해되는 색 맞추기</t>
  </si>
  <si>
    <r>
      <rPr>
        <sz val="11"/>
        <rFont val="Noto Sans CJK SC"/>
        <family val="2"/>
      </rPr>
      <t>미국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캐나다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브라질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멕시코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 xml:space="preserve">Top 10 — </t>
    </r>
    <r>
      <rPr>
        <sz val="11"/>
        <rFont val="Noto Sans CJK SC"/>
        <family val="2"/>
      </rPr>
      <t>언어 없이 통하는 광고 소재 추정</t>
    </r>
  </si>
  <si>
    <r>
      <rPr>
        <sz val="11"/>
        <rFont val="Noto Sans CJK SC"/>
        <family val="2"/>
      </rPr>
      <t xml:space="preserve">장난감 같은 </t>
    </r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버스와 승객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</si>
  <si>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>3</t>
    </r>
    <r>
      <rPr>
        <sz val="11"/>
        <rFont val="Noto Sans CJK SC"/>
        <family val="2"/>
      </rPr>
      <t>개 맞추기 → 레벨 클리어로 별 획득 → 성 꾸미기</t>
    </r>
  </si>
  <si>
    <t>짧고 쉬운 초반 레벨로 바로 성공 경험</t>
  </si>
  <si>
    <r>
      <rPr>
        <sz val="11"/>
        <rFont val="Noto Sans CJK SC"/>
        <family val="2"/>
      </rPr>
      <t>성 꾸미기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메타</t>
    </r>
    <r>
      <rPr>
        <sz val="11"/>
        <rFont val="Arial"/>
        <family val="2"/>
      </rPr>
      <t xml:space="preserve">), </t>
    </r>
    <r>
      <rPr>
        <sz val="11"/>
        <rFont val="Noto Sans CJK SC"/>
        <family val="2"/>
      </rPr>
      <t>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 기반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</si>
  <si>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목숨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부스터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코인 인앱결제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시즌 패스 계열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 기반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</si>
  <si>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왕 캐릭터를 활용한 광고 — 미국 매출 </t>
    </r>
    <r>
      <rPr>
        <sz val="11"/>
        <rFont val="Arial"/>
        <family val="2"/>
      </rPr>
      <t>4</t>
    </r>
    <r>
      <rPr>
        <sz val="11"/>
        <rFont val="Noto Sans CJK SC"/>
        <family val="2"/>
      </rPr>
      <t>위</t>
    </r>
  </si>
  <si>
    <r>
      <rPr>
        <sz val="11"/>
        <rFont val="Noto Sans CJK SC"/>
        <family val="2"/>
      </rPr>
      <t xml:space="preserve">고급스러운 </t>
    </r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카툰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밝은 왕국 테마</t>
    </r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</si>
  <si>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공개 게임 방식</t>
    </r>
  </si>
  <si>
    <r>
      <rPr>
        <sz val="11"/>
        <rFont val="Noto Sans CJK SC"/>
        <family val="2"/>
      </rPr>
      <t xml:space="preserve">아이템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개 합치기 → 주문 해결 → 이야기 진행</t>
    </r>
  </si>
  <si>
    <r>
      <rPr>
        <sz val="11"/>
        <rFont val="Noto Sans CJK SC"/>
        <family val="2"/>
      </rPr>
      <t>합치기 조작과 드라마 첫 장면을 함께 보여줌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</si>
  <si>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다음 화가 궁금한 스토리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장소 복원</t>
    </r>
  </si>
  <si>
    <r>
      <rPr>
        <sz val="11"/>
        <rFont val="Noto Sans CJK SC"/>
        <family val="2"/>
      </rPr>
      <t>에너지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아이템 인앱결제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) —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5·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>4·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>16·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>12</t>
    </r>
    <r>
      <rPr>
        <sz val="11"/>
        <rFont val="Noto Sans CJK SC"/>
        <family val="2"/>
      </rPr>
      <t>위 매출</t>
    </r>
  </si>
  <si>
    <r>
      <rPr>
        <sz val="11"/>
        <rFont val="Noto Sans CJK SC"/>
        <family val="2"/>
      </rPr>
      <t>스토리 장면을 앞세운 광고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). </t>
    </r>
    <r>
      <rPr>
        <sz val="11"/>
        <rFont val="Noto Sans CJK SC"/>
        <family val="2"/>
      </rPr>
      <t xml:space="preserve">같은 회사의 </t>
    </r>
    <r>
      <rPr>
        <sz val="11"/>
        <rFont val="Arial"/>
        <family val="2"/>
      </rPr>
      <t>Seaside Escape·Flambé</t>
    </r>
    <r>
      <rPr>
        <sz val="11"/>
        <rFont val="Noto Sans CJK SC"/>
        <family val="2"/>
      </rPr>
      <t xml:space="preserve">도 매출 </t>
    </r>
    <r>
      <rPr>
        <sz val="11"/>
        <rFont val="Arial"/>
        <family val="2"/>
      </rPr>
      <t>Top 100</t>
    </r>
  </si>
  <si>
    <r>
      <rPr>
        <sz val="11"/>
        <rFont val="Noto Sans CJK SC"/>
        <family val="2"/>
      </rPr>
      <t xml:space="preserve">드라마 같은 인물 일러스트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아기자기한 아이템</t>
    </r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</si>
  <si>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장르 추정</t>
    </r>
  </si>
  <si>
    <r>
      <rPr>
        <sz val="11"/>
        <rFont val="Noto Sans CJK SC"/>
        <family val="2"/>
      </rPr>
      <t>주사위 굴리기 → 칸 이동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보상 → 도시 짓기</t>
    </r>
  </si>
  <si>
    <t>누구나 아는 모노폴리 규칙</t>
  </si>
  <si>
    <r>
      <rPr>
        <sz val="11"/>
        <rFont val="Noto Sans CJK SC"/>
        <family val="2"/>
      </rPr>
      <t>스티커 앨범 수집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친구와 함께하는 이벤트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 기반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</si>
  <si>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주사위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이벤트 상품 인앱결제 — 미국 매출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</si>
  <si>
    <r>
      <rPr>
        <sz val="11"/>
        <rFont val="Noto Sans CJK SC"/>
        <family val="2"/>
      </rPr>
      <t xml:space="preserve">유명 </t>
    </r>
    <r>
      <rPr>
        <sz val="11"/>
        <rFont val="Arial"/>
        <family val="2"/>
      </rPr>
      <t xml:space="preserve">IP + </t>
    </r>
    <r>
      <rPr>
        <sz val="11"/>
        <rFont val="Noto Sans CJK SC"/>
        <family val="2"/>
      </rPr>
      <t>대규모 광고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친구 초대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스티커 교환</t>
    </r>
  </si>
  <si>
    <r>
      <rPr>
        <sz val="11"/>
        <rFont val="Noto Sans CJK SC"/>
        <family val="2"/>
      </rPr>
      <t>밝은 보드게임 카툰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미스터 모노폴리 캐릭터</t>
    </r>
  </si>
  <si>
    <t>건물 짓기 → 자원 모으기 → 영웅 성장 → 동맹 전투</t>
  </si>
  <si>
    <r>
      <rPr>
        <sz val="11"/>
        <rFont val="Noto Sans CJK SC"/>
        <family val="2"/>
      </rPr>
      <t>광고와 다른 미니게임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생존 연출로 시작하는 경우 많음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</si>
  <si>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동맹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서버 경쟁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매일 하는 일과</t>
    </r>
  </si>
  <si>
    <r>
      <rPr>
        <sz val="11"/>
        <rFont val="Noto Sans CJK SC"/>
        <family val="2"/>
      </rPr>
      <t>영웅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가속 아이템 인앱결제 — 미국 </t>
    </r>
    <r>
      <rPr>
        <sz val="11"/>
        <rFont val="Arial"/>
        <family val="2"/>
      </rPr>
      <t>10·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>23·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>9·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>6</t>
    </r>
    <r>
      <rPr>
        <sz val="11"/>
        <rFont val="Noto Sans CJK SC"/>
        <family val="2"/>
      </rPr>
      <t>위 매출</t>
    </r>
  </si>
  <si>
    <r>
      <rPr>
        <sz val="11"/>
        <rFont val="Noto Sans CJK SC"/>
        <family val="2"/>
      </rPr>
      <t>같은 회사</t>
    </r>
    <r>
      <rPr>
        <sz val="11"/>
        <rFont val="Arial"/>
        <family val="2"/>
      </rPr>
      <t>(Century Games)</t>
    </r>
    <r>
      <rPr>
        <sz val="11"/>
        <rFont val="Noto Sans CJK SC"/>
        <family val="2"/>
      </rPr>
      <t xml:space="preserve">의 </t>
    </r>
    <r>
      <rPr>
        <sz val="11"/>
        <rFont val="Arial"/>
        <family val="2"/>
      </rPr>
      <t>Kingshot·Tasty Travels</t>
    </r>
    <r>
      <rPr>
        <sz val="11"/>
        <rFont val="Noto Sans CJK SC"/>
        <family val="2"/>
      </rPr>
      <t xml:space="preserve">와 대규모 </t>
    </r>
    <r>
      <rPr>
        <sz val="11"/>
        <rFont val="Arial"/>
        <family val="2"/>
      </rPr>
      <t>UA</t>
    </r>
  </si>
  <si>
    <r>
      <rPr>
        <sz val="11"/>
        <rFont val="Noto Sans CJK SC"/>
        <family val="2"/>
      </rPr>
      <t xml:space="preserve">얼어붙은 세계의 </t>
    </r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리얼 카툰</t>
    </r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</si>
  <si>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장르 일반 지식</t>
    </r>
  </si>
  <si>
    <t>낙하 → 장비 줍기 → 전투 → 마지막 생존</t>
  </si>
  <si>
    <r>
      <rPr>
        <sz val="11"/>
        <rFont val="Noto Sans CJK SC"/>
        <family val="2"/>
      </rPr>
      <t>짧은 한 판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빠른 매칭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 기반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</si>
  <si>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랭크 시스템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캐릭터 수집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친구와 스쿼드</t>
    </r>
  </si>
  <si>
    <r>
      <rPr>
        <sz val="11"/>
        <rFont val="Noto Sans CJK SC"/>
        <family val="2"/>
      </rPr>
      <t>캐릭터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스킨 인앱결제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콜라보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예</t>
    </r>
    <r>
      <rPr>
        <sz val="11"/>
        <rFont val="Arial"/>
        <family val="2"/>
      </rPr>
      <t xml:space="preserve">: NARUTO) — </t>
    </r>
    <r>
      <rPr>
        <sz val="11"/>
        <rFont val="Noto Sans CJK SC"/>
        <family val="2"/>
      </rPr>
      <t xml:space="preserve">브라질 매출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</si>
  <si>
    <r>
      <rPr>
        <sz val="11"/>
        <rFont val="Noto Sans CJK SC"/>
        <family val="2"/>
      </rPr>
      <t>저사양 폰 최적화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브라질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태국에서 투표 인기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 수상 이력</t>
    </r>
  </si>
  <si>
    <r>
      <rPr>
        <sz val="11"/>
        <rFont val="Noto Sans CJK SC"/>
        <family val="2"/>
      </rPr>
      <t xml:space="preserve">캐릭터 중심 </t>
    </r>
    <r>
      <rPr>
        <sz val="11"/>
        <rFont val="Arial"/>
        <family val="2"/>
      </rPr>
      <t xml:space="preserve">3D, </t>
    </r>
    <r>
      <rPr>
        <sz val="11"/>
        <rFont val="Noto Sans CJK SC"/>
        <family val="2"/>
      </rPr>
      <t>화려한 콜라보 스킨</t>
    </r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</si>
  <si>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외부 자료</t>
    </r>
    <r>
      <rPr>
        <sz val="11"/>
        <rFont val="Arial"/>
        <family val="2"/>
      </rPr>
      <t>(Wikipedia)</t>
    </r>
  </si>
  <si>
    <r>
      <rPr>
        <sz val="11"/>
        <rFont val="Noto Sans CJK SC"/>
        <family val="2"/>
      </rPr>
      <t>캐릭터와 함께 미니게임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수집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확인 필요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</si>
  <si>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좋아하는 캐릭터를 바로 만나는 경험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</si>
  <si>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캐릭터 수집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꾸미기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</si>
  <si>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인앱결제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) — </t>
    </r>
    <r>
      <rPr>
        <sz val="11"/>
        <rFont val="Noto Sans CJK SC"/>
        <family val="2"/>
      </rPr>
      <t xml:space="preserve">일본 매출 </t>
    </r>
    <r>
      <rPr>
        <sz val="11"/>
        <rFont val="Arial"/>
        <family val="2"/>
      </rPr>
      <t>81</t>
    </r>
    <r>
      <rPr>
        <sz val="11"/>
        <rFont val="Noto Sans CJK SC"/>
        <family val="2"/>
      </rPr>
      <t>위</t>
    </r>
  </si>
  <si>
    <t>원작 캐릭터 팬덤</t>
  </si>
  <si>
    <t>원작 그림체 그대로</t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</si>
  <si>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게임 방식 미확인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</si>
  <si>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켜두기 → 자동 전투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성장 → 뽑기로 강화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</si>
  <si>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초반에 대량 뽑기 지급으로 강해지는 느낌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</si>
  <si>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방치 보상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매일 뽑기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</si>
  <si>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뽑기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성장 패키지 인앱결제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) — </t>
    </r>
    <r>
      <rPr>
        <sz val="11"/>
        <rFont val="Noto Sans CJK SC"/>
        <family val="2"/>
      </rPr>
      <t xml:space="preserve">한국 매출 </t>
    </r>
    <r>
      <rPr>
        <sz val="11"/>
        <rFont val="Arial"/>
        <family val="2"/>
      </rPr>
      <t>20</t>
    </r>
    <r>
      <rPr>
        <sz val="11"/>
        <rFont val="Noto Sans CJK SC"/>
        <family val="2"/>
      </rPr>
      <t>위</t>
    </r>
  </si>
  <si>
    <r>
      <rPr>
        <sz val="11"/>
        <rFont val="Noto Sans CJK SC"/>
        <family val="2"/>
      </rPr>
      <t xml:space="preserve">앱 이름에 </t>
    </r>
    <r>
      <rPr>
        <sz val="11"/>
        <rFont val="Arial"/>
        <family val="2"/>
      </rPr>
      <t>'777</t>
    </r>
    <r>
      <rPr>
        <sz val="11"/>
        <rFont val="Noto Sans CJK SC"/>
        <family val="2"/>
      </rPr>
      <t>뽑기 증정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을 넣어 스토어 자체를 광고판으로 사용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같은 회사</t>
    </r>
    <r>
      <rPr>
        <sz val="11"/>
        <rFont val="Arial"/>
        <family val="2"/>
      </rPr>
      <t>(Joy Nice Games)</t>
    </r>
    <r>
      <rPr>
        <sz val="11"/>
        <rFont val="Noto Sans CJK SC"/>
        <family val="2"/>
      </rPr>
      <t xml:space="preserve">가 </t>
    </r>
    <r>
      <rPr>
        <sz val="11"/>
        <rFont val="Arial"/>
        <family val="2"/>
      </rPr>
      <t>Legend of Mushroom·</t>
    </r>
    <r>
      <rPr>
        <sz val="11"/>
        <rFont val="Noto Sans CJK SC"/>
        <family val="2"/>
      </rPr>
      <t>갓깨비 키우기 운영</t>
    </r>
  </si>
  <si>
    <r>
      <rPr>
        <sz val="11"/>
        <rFont val="Noto Sans CJK SC"/>
        <family val="2"/>
      </rPr>
      <t xml:space="preserve">귀여운 </t>
    </r>
    <r>
      <rPr>
        <sz val="11"/>
        <rFont val="Arial"/>
        <family val="2"/>
      </rPr>
      <t xml:space="preserve">2D </t>
    </r>
    <r>
      <rPr>
        <sz val="11"/>
        <rFont val="Noto Sans CJK SC"/>
        <family val="2"/>
      </rPr>
      <t>캐릭터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</si>
  <si>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추정</t>
    </r>
  </si>
  <si>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추정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은 차트 데이터와 게임명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장르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일반적으로 알려진 게임 방식을 바탕으로 한 판단입니다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직접 플레이로 확인이 필요합니다</t>
    </r>
    <r>
      <rPr>
        <i/>
        <sz val="11"/>
        <color rgb="FF595959"/>
        <rFont val="Arial"/>
        <family val="2"/>
      </rPr>
      <t>.</t>
    </r>
  </si>
  <si>
    <t>장르 그룹</t>
  </si>
  <si>
    <r>
      <rPr>
        <b/>
        <sz val="11"/>
        <color rgb="FFFFFFFF"/>
        <rFont val="Noto Sans CJK SC"/>
        <family val="2"/>
      </rPr>
      <t xml:space="preserve">차트 근거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이번 조사에서 확인된 순위</t>
    </r>
    <r>
      <rPr>
        <b/>
        <sz val="11"/>
        <color rgb="FFFFFFFF"/>
        <rFont val="Arial"/>
        <family val="2"/>
      </rPr>
      <t>)</t>
    </r>
  </si>
  <si>
    <t>⑥ 아트</t>
  </si>
  <si>
    <r>
      <rPr>
        <sz val="11"/>
        <rFont val="Arial"/>
        <family val="2"/>
      </rPr>
      <t xml:space="preserve">1. </t>
    </r>
    <r>
      <rPr>
        <sz val="11"/>
        <rFont val="Noto Sans CJK SC"/>
        <family val="2"/>
      </rPr>
      <t>글로벌 퍼즐</t>
    </r>
  </si>
  <si>
    <t>Block Out!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</si>
  <si>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App Store </t>
    </r>
    <r>
      <rPr>
        <sz val="11"/>
        <rFont val="Noto Sans CJK SC"/>
        <family val="2"/>
      </rPr>
      <t xml:space="preserve">무료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위</t>
    </r>
  </si>
  <si>
    <r>
      <rPr>
        <sz val="11"/>
        <rFont val="Noto Sans CJK SC"/>
        <family val="2"/>
      </rPr>
      <t>블록을 같은 색 출구로 빼내는 정렬 퍼즐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게임명 기반 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</si>
  <si>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미확인 </t>
    </r>
    <r>
      <rPr>
        <sz val="11"/>
        <rFont val="Arial"/>
        <family val="2"/>
      </rPr>
      <t xml:space="preserve">(App Store </t>
    </r>
    <r>
      <rPr>
        <sz val="11"/>
        <rFont val="Noto Sans CJK SC"/>
        <family val="2"/>
      </rPr>
      <t>매출 데이터 미수집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</si>
  <si>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같은 회사 </t>
    </r>
    <r>
      <rPr>
        <sz val="11"/>
        <rFont val="Arial"/>
        <family val="2"/>
      </rPr>
      <t>Magic Sort!</t>
    </r>
    <r>
      <rPr>
        <sz val="11"/>
        <rFont val="Noto Sans CJK SC"/>
        <family val="2"/>
      </rPr>
      <t>와 함께 미국 상위권</t>
    </r>
  </si>
  <si>
    <r>
      <rPr>
        <sz val="11"/>
        <rFont val="Noto Sans CJK SC"/>
        <family val="2"/>
      </rPr>
      <t>색 블록 위주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</si>
  <si>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t>Vita Mahjong</t>
  </si>
  <si>
    <t>Vita Studio</t>
  </si>
  <si>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5, </t>
    </r>
    <r>
      <rPr>
        <sz val="11"/>
        <rFont val="Noto Sans CJK SC"/>
        <family val="2"/>
      </rPr>
      <t xml:space="preserve">캐나다 </t>
    </r>
    <r>
      <rPr>
        <sz val="11"/>
        <rFont val="Arial"/>
        <family val="2"/>
      </rPr>
      <t xml:space="preserve">9,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 xml:space="preserve">29,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2"/>
      </rPr>
      <t xml:space="preserve">15,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 xml:space="preserve">34,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>26</t>
    </r>
  </si>
  <si>
    <r>
      <rPr>
        <sz val="11"/>
        <rFont val="Noto Sans CJK SC"/>
        <family val="2"/>
      </rPr>
      <t xml:space="preserve">같은 타일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개 짝 맞춰 없애기</t>
    </r>
  </si>
  <si>
    <t>미확인</t>
  </si>
  <si>
    <r>
      <rPr>
        <sz val="11"/>
        <rFont val="Arial"/>
        <family val="2"/>
      </rPr>
      <t>6</t>
    </r>
    <r>
      <rPr>
        <sz val="11"/>
        <rFont val="Noto Sans CJK SC"/>
        <family val="2"/>
      </rPr>
      <t xml:space="preserve">개국 모두 </t>
    </r>
    <r>
      <rPr>
        <sz val="11"/>
        <rFont val="Arial"/>
        <family val="2"/>
      </rPr>
      <t xml:space="preserve">Top 35 — </t>
    </r>
    <r>
      <rPr>
        <sz val="11"/>
        <rFont val="Noto Sans CJK SC"/>
        <family val="2"/>
      </rPr>
      <t>언어가 필요 없는 규칙</t>
    </r>
  </si>
  <si>
    <r>
      <rPr>
        <sz val="11"/>
        <rFont val="Noto Sans CJK SC"/>
        <family val="2"/>
      </rPr>
      <t>큰 타일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깔끔한 판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시니어 친화로 알려짐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확인 권장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</si>
  <si>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차트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공개 정보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확인 권장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</si>
  <si>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2. 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메타</t>
    </r>
  </si>
  <si>
    <t>Candy Crush Saga</t>
  </si>
  <si>
    <t>King</t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</si>
  <si>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3,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 xml:space="preserve">5 / </t>
    </r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GP 48</t>
    </r>
  </si>
  <si>
    <r>
      <rPr>
        <sz val="11"/>
        <rFont val="Arial"/>
        <family val="2"/>
      </rPr>
      <t>3</t>
    </r>
    <r>
      <rPr>
        <sz val="11"/>
        <rFont val="Noto Sans CJK SC"/>
        <family val="2"/>
      </rPr>
      <t>개 맞추기 → 레벨 클리어 → 지도 따라 전진</t>
    </r>
  </si>
  <si>
    <r>
      <rPr>
        <sz val="11"/>
        <rFont val="Noto Sans CJK SC"/>
        <family val="2"/>
      </rPr>
      <t>긴 레벨 지도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친구 점수 비교</t>
    </r>
  </si>
  <si>
    <r>
      <rPr>
        <sz val="11"/>
        <rFont val="Noto Sans CJK SC"/>
        <family val="2"/>
      </rPr>
      <t>목숨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부스터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이동 추가 인앱결제</t>
    </r>
  </si>
  <si>
    <t>오래된 브랜드 인지도</t>
  </si>
  <si>
    <r>
      <rPr>
        <sz val="11"/>
        <rFont val="Noto Sans CJK SC"/>
        <family val="2"/>
      </rPr>
      <t xml:space="preserve">사탕 테마의 밝은 </t>
    </r>
    <r>
      <rPr>
        <sz val="11"/>
        <rFont val="Arial"/>
        <family val="2"/>
      </rPr>
      <t>2D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</si>
  <si>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공개 게임 방식</t>
    </r>
  </si>
  <si>
    <t>Royal Kingdom</t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</si>
  <si>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8 / </t>
    </r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 xml:space="preserve">5,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 xml:space="preserve">17,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GP 47</t>
    </r>
  </si>
  <si>
    <r>
      <rPr>
        <sz val="11"/>
        <rFont val="Arial"/>
        <family val="2"/>
      </rPr>
      <t>3</t>
    </r>
    <r>
      <rPr>
        <sz val="11"/>
        <rFont val="Noto Sans CJK SC"/>
        <family val="2"/>
      </rPr>
      <t>개 맞추기 → 보상 → 왕국 건설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 세부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</si>
  <si>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왕국 건설 메타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</si>
  <si>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2"/>
      </rPr>
      <t>8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</si>
  <si>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Royal Match </t>
    </r>
    <r>
      <rPr>
        <sz val="11"/>
        <rFont val="Noto Sans CJK SC"/>
        <family val="2"/>
      </rPr>
      <t>개발사의 후속작</t>
    </r>
  </si>
  <si>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카툰 판타지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</si>
  <si>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일부 추정</t>
    </r>
  </si>
  <si>
    <r>
      <rPr>
        <sz val="11"/>
        <rFont val="Arial"/>
        <family val="2"/>
      </rPr>
      <t xml:space="preserve">3. </t>
    </r>
    <r>
      <rPr>
        <sz val="11"/>
        <rFont val="Noto Sans CJK SC"/>
        <family val="2"/>
      </rPr>
      <t>소셜 캐주얼</t>
    </r>
  </si>
  <si>
    <t>Coin Master</t>
  </si>
  <si>
    <t>Moon Active</t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</si>
  <si>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7,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 xml:space="preserve">3 / </t>
    </r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iOS 67</t>
    </r>
  </si>
  <si>
    <r>
      <rPr>
        <sz val="11"/>
        <rFont val="Noto Sans CJK SC"/>
        <family val="2"/>
      </rPr>
      <t>슬롯 돌리기 → 코인 → 마을 건설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다른 유저 공격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습격</t>
    </r>
  </si>
  <si>
    <r>
      <rPr>
        <sz val="11"/>
        <rFont val="Noto Sans CJK SC"/>
        <family val="2"/>
      </rPr>
      <t>카드 수집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친구와 공격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복수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이벤트</t>
    </r>
  </si>
  <si>
    <r>
      <rPr>
        <sz val="11"/>
        <rFont val="Noto Sans CJK SC"/>
        <family val="2"/>
      </rPr>
      <t>스핀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코인 인앱결제</t>
    </r>
  </si>
  <si>
    <r>
      <rPr>
        <sz val="11"/>
        <rFont val="Noto Sans CJK SC"/>
        <family val="2"/>
      </rPr>
      <t>친구 초대</t>
    </r>
    <r>
      <rPr>
        <sz val="11"/>
        <rFont val="Arial"/>
        <family val="2"/>
      </rPr>
      <t xml:space="preserve">·SNS </t>
    </r>
    <r>
      <rPr>
        <sz val="11"/>
        <rFont val="Noto Sans CJK SC"/>
        <family val="2"/>
      </rPr>
      <t>연동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</t>
    </r>
    <r>
      <rPr>
        <sz val="11"/>
        <rFont val="Arial"/>
        <family val="2"/>
      </rPr>
      <t>)</t>
    </r>
  </si>
  <si>
    <t>바이킹 테마 카툰</t>
  </si>
  <si>
    <t>Dice Dreams</t>
  </si>
  <si>
    <t>SuperPlay</t>
  </si>
  <si>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iOS 73, GP 98</t>
    </r>
  </si>
  <si>
    <r>
      <rPr>
        <sz val="11"/>
        <rFont val="Noto Sans CJK SC"/>
        <family val="2"/>
      </rPr>
      <t>주사위 굴리기 → 보드 칸 보상 → 왕국 건설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다른 유저 공격</t>
    </r>
  </si>
  <si>
    <r>
      <rPr>
        <sz val="11"/>
        <rFont val="Noto Sans CJK SC"/>
        <family val="2"/>
      </rPr>
      <t>이벤트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</t>
    </r>
    <r>
      <rPr>
        <sz val="11"/>
        <rFont val="Arial"/>
        <family val="2"/>
      </rPr>
      <t xml:space="preserve">), </t>
    </r>
    <r>
      <rPr>
        <sz val="11"/>
        <rFont val="Noto Sans CJK SC"/>
        <family val="2"/>
      </rPr>
      <t>카드 수집 여부는 확인 필요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</si>
  <si>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매출 순위 미확인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</si>
  <si>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같은 회사가 </t>
    </r>
    <r>
      <rPr>
        <sz val="11"/>
        <rFont val="Arial"/>
        <family val="2"/>
      </rPr>
      <t>Disney Solitaire</t>
    </r>
    <r>
      <rPr>
        <sz val="11"/>
        <rFont val="Noto Sans CJK SC"/>
        <family val="2"/>
      </rPr>
      <t>도 운영</t>
    </r>
  </si>
  <si>
    <t>동화풍 카툰</t>
  </si>
  <si>
    <r>
      <rPr>
        <sz val="11"/>
        <rFont val="Arial"/>
        <family val="2"/>
      </rPr>
      <t xml:space="preserve">4. </t>
    </r>
    <r>
      <rPr>
        <sz val="11"/>
        <rFont val="Noto Sans CJK SC"/>
        <family val="2"/>
      </rPr>
      <t>전략</t>
    </r>
    <r>
      <rPr>
        <sz val="11"/>
        <rFont val="Arial"/>
        <family val="2"/>
      </rPr>
      <t xml:space="preserve">(4X </t>
    </r>
    <r>
      <rPr>
        <sz val="11"/>
        <rFont val="Noto Sans CJK SC"/>
        <family val="2"/>
      </rPr>
      <t>등</t>
    </r>
    <r>
      <rPr>
        <sz val="11"/>
        <rFont val="Arial"/>
        <family val="2"/>
      </rPr>
      <t>)</t>
    </r>
  </si>
  <si>
    <t>Kingshot</t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</si>
  <si>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9 / </t>
    </r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iOS 40</t>
    </r>
  </si>
  <si>
    <r>
      <rPr>
        <sz val="11"/>
        <rFont val="Noto Sans CJK SC"/>
        <family val="2"/>
      </rPr>
      <t>건설 → 자원 → 영웅 성장 → 동맹 전투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장르 일반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</si>
  <si>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동맹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서버 경쟁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장르 일반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</si>
  <si>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인앱결제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2"/>
      </rPr>
      <t>9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</si>
  <si>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같은 회사 </t>
    </r>
    <r>
      <rPr>
        <sz val="11"/>
        <rFont val="Arial"/>
        <family val="2"/>
      </rPr>
      <t>Whiteout Survival</t>
    </r>
    <r>
      <rPr>
        <sz val="11"/>
        <rFont val="Noto Sans CJK SC"/>
        <family val="2"/>
      </rPr>
      <t>과 같은 장르</t>
    </r>
  </si>
  <si>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카툰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</si>
  <si>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매출 데이터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장르 일반 지식</t>
    </r>
  </si>
  <si>
    <t>Clash Royale</t>
  </si>
  <si>
    <t>Supercell</t>
  </si>
  <si>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iOS 80 (</t>
    </r>
    <r>
      <rPr>
        <sz val="11"/>
        <rFont val="Noto Sans CJK SC"/>
        <family val="2"/>
      </rPr>
      <t>매출 미확인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</si>
  <si>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카드 덱 → </t>
    </r>
    <r>
      <rPr>
        <sz val="11"/>
        <rFont val="Arial"/>
        <family val="2"/>
      </rPr>
      <t>3</t>
    </r>
    <r>
      <rPr>
        <sz val="11"/>
        <rFont val="Noto Sans CJK SC"/>
        <family val="2"/>
      </rPr>
      <t xml:space="preserve">분 실시간 </t>
    </r>
    <r>
      <rPr>
        <sz val="11"/>
        <rFont val="Arial"/>
        <family val="2"/>
      </rPr>
      <t xml:space="preserve">1:1 </t>
    </r>
    <r>
      <rPr>
        <sz val="11"/>
        <rFont val="Noto Sans CJK SC"/>
        <family val="2"/>
      </rPr>
      <t>대전 → 트로피</t>
    </r>
  </si>
  <si>
    <r>
      <rPr>
        <sz val="11"/>
        <rFont val="Noto Sans CJK SC"/>
        <family val="2"/>
      </rPr>
      <t>아레나 승급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클랜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시즌</t>
    </r>
  </si>
  <si>
    <r>
      <rPr>
        <sz val="11"/>
        <rFont val="Noto Sans CJK SC"/>
        <family val="2"/>
      </rPr>
      <t>패스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보석 인앱결제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</si>
  <si>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Clash of Clans </t>
    </r>
    <r>
      <rPr>
        <sz val="11"/>
        <rFont val="Noto Sans CJK SC"/>
        <family val="2"/>
      </rPr>
      <t>세계관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캐릭터 재사용</t>
    </r>
  </si>
  <si>
    <t>클래시 시리즈 카툰</t>
  </si>
  <si>
    <r>
      <rPr>
        <sz val="11"/>
        <rFont val="Arial"/>
        <family val="2"/>
      </rPr>
      <t xml:space="preserve">5. </t>
    </r>
    <r>
      <rPr>
        <sz val="11"/>
        <rFont val="Noto Sans CJK SC"/>
        <family val="2"/>
      </rPr>
      <t>액션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슈팅</t>
    </r>
  </si>
  <si>
    <t>Fortnite</t>
  </si>
  <si>
    <t>Epic Games</t>
  </si>
  <si>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iOS 18, GP 25 (</t>
    </r>
    <r>
      <rPr>
        <sz val="11"/>
        <rFont val="Noto Sans CJK SC"/>
        <family val="2"/>
      </rPr>
      <t>매출 미확인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</si>
  <si>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낙하 → 장비 줍기 → 건축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전투 → 최후 생존</t>
    </r>
  </si>
  <si>
    <r>
      <rPr>
        <sz val="11"/>
        <rFont val="Noto Sans CJK SC"/>
        <family val="2"/>
      </rPr>
      <t>배틀패스 시즌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라이브 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유저 제작 모드</t>
    </r>
  </si>
  <si>
    <r>
      <rPr>
        <sz val="11"/>
        <rFont val="Noto Sans CJK SC"/>
        <family val="2"/>
      </rPr>
      <t>스킨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배틀패스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외형 아이템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</si>
  <si>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대형 </t>
    </r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콜라보</t>
    </r>
  </si>
  <si>
    <r>
      <rPr>
        <sz val="11"/>
        <rFont val="Noto Sans CJK SC"/>
        <family val="2"/>
      </rPr>
      <t xml:space="preserve">밝은 카툰 </t>
    </r>
    <r>
      <rPr>
        <sz val="11"/>
        <rFont val="Arial"/>
        <family val="2"/>
      </rPr>
      <t>3D</t>
    </r>
  </si>
  <si>
    <t>Brawl Stars</t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</si>
  <si>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2"/>
      </rPr>
      <t xml:space="preserve">9 / </t>
    </r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iOS 66</t>
    </r>
  </si>
  <si>
    <r>
      <rPr>
        <sz val="11"/>
        <rFont val="Arial"/>
        <family val="2"/>
      </rPr>
      <t>3</t>
    </r>
    <r>
      <rPr>
        <sz val="11"/>
        <rFont val="Noto Sans CJK SC"/>
        <family val="2"/>
      </rPr>
      <t>대</t>
    </r>
    <r>
      <rPr>
        <sz val="11"/>
        <rFont val="Arial"/>
        <family val="2"/>
      </rPr>
      <t xml:space="preserve">3 </t>
    </r>
    <r>
      <rPr>
        <sz val="11"/>
        <rFont val="Noto Sans CJK SC"/>
        <family val="2"/>
      </rPr>
      <t>짧은 대전 → 트로피 → 캐릭터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브롤러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해금</t>
    </r>
  </si>
  <si>
    <r>
      <rPr>
        <sz val="11"/>
        <rFont val="Noto Sans CJK SC"/>
        <family val="2"/>
      </rPr>
      <t>브롤러 수집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클럽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패스</t>
    </r>
  </si>
  <si>
    <r>
      <rPr>
        <sz val="11"/>
        <rFont val="Noto Sans CJK SC"/>
        <family val="2"/>
      </rPr>
      <t>패스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스킨 인앱결제</t>
    </r>
  </si>
  <si>
    <r>
      <rPr>
        <sz val="11"/>
        <rFont val="Arial"/>
        <family val="2"/>
      </rPr>
      <t xml:space="preserve">Supercell </t>
    </r>
    <r>
      <rPr>
        <sz val="11"/>
        <rFont val="Noto Sans CJK SC"/>
        <family val="2"/>
      </rPr>
      <t>세계관</t>
    </r>
  </si>
  <si>
    <t>캐주얼 카툰</t>
  </si>
  <si>
    <r>
      <rPr>
        <sz val="11"/>
        <rFont val="Arial"/>
        <family val="2"/>
      </rPr>
      <t xml:space="preserve">6. 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2"/>
      </rPr>
      <t>IP</t>
    </r>
  </si>
  <si>
    <t>Pokémon GO</t>
  </si>
  <si>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 xml:space="preserve">3,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iOS 76</t>
    </r>
  </si>
  <si>
    <t>걸어 다니며 포켓몬 발견 → 포획 → 수집</t>
  </si>
  <si>
    <r>
      <rPr>
        <sz val="11"/>
        <rFont val="Noto Sans CJK SC"/>
        <family val="2"/>
      </rPr>
      <t>레이드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커뮤니티 이벤트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</t>
    </r>
    <r>
      <rPr>
        <sz val="11"/>
        <rFont val="Arial"/>
        <family val="2"/>
      </rPr>
      <t>)</t>
    </r>
  </si>
  <si>
    <t>아이템 인앱결제</t>
  </si>
  <si>
    <r>
      <rPr>
        <sz val="11"/>
        <rFont val="Noto Sans CJK SC"/>
        <family val="2"/>
      </rPr>
      <t xml:space="preserve">포켓몬 </t>
    </r>
    <r>
      <rPr>
        <sz val="11"/>
        <rFont val="Arial"/>
        <family val="2"/>
      </rPr>
      <t xml:space="preserve">IP + </t>
    </r>
    <r>
      <rPr>
        <sz val="11"/>
        <rFont val="Noto Sans CJK SC"/>
        <family val="2"/>
      </rPr>
      <t>실외 활동</t>
    </r>
  </si>
  <si>
    <r>
      <rPr>
        <sz val="11"/>
        <rFont val="Arial"/>
        <family val="2"/>
      </rPr>
      <t xml:space="preserve">AR + </t>
    </r>
    <r>
      <rPr>
        <sz val="11"/>
        <rFont val="Noto Sans CJK SC"/>
        <family val="2"/>
      </rPr>
      <t>포켓몬 원작 그림</t>
    </r>
  </si>
  <si>
    <t>Pokémon TCG Pocket</t>
  </si>
  <si>
    <t>The Pokémon Company</t>
  </si>
  <si>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2"/>
      </rPr>
      <t xml:space="preserve">30,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GP 68</t>
    </r>
  </si>
  <si>
    <t>매일 카드팩 열기 → 수집 → 대전</t>
  </si>
  <si>
    <r>
      <rPr>
        <sz val="11"/>
        <rFont val="Noto Sans CJK SC"/>
        <family val="2"/>
      </rPr>
      <t>매일 무료 카드팩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공개 정보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</si>
  <si>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카드팩 인앱결제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랜덤 보상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</si>
  <si>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포켓몬 </t>
    </r>
    <r>
      <rPr>
        <sz val="11"/>
        <rFont val="Arial"/>
        <family val="2"/>
      </rPr>
      <t xml:space="preserve">IP + </t>
    </r>
    <r>
      <rPr>
        <sz val="11"/>
        <rFont val="Noto Sans CJK SC"/>
        <family val="2"/>
      </rPr>
      <t>실물 카드의 추억</t>
    </r>
  </si>
  <si>
    <t>원작 카드 일러스트</t>
  </si>
  <si>
    <r>
      <rPr>
        <sz val="11"/>
        <rFont val="Arial"/>
        <family val="2"/>
      </rPr>
      <t xml:space="preserve">7. </t>
    </r>
    <r>
      <rPr>
        <sz val="11"/>
        <rFont val="Noto Sans CJK SC"/>
        <family val="2"/>
      </rPr>
      <t xml:space="preserve">한국식 </t>
    </r>
    <r>
      <rPr>
        <sz val="11"/>
        <rFont val="Arial"/>
        <family val="2"/>
      </rPr>
      <t>RPG</t>
    </r>
  </si>
  <si>
    <r>
      <rPr>
        <b/>
        <sz val="11"/>
        <rFont val="Noto Sans CJK SC"/>
        <family val="2"/>
      </rPr>
      <t xml:space="preserve">메이플스토리 방치형 </t>
    </r>
    <r>
      <rPr>
        <b/>
        <sz val="11"/>
        <rFont val="Arial"/>
        <family val="2"/>
      </rPr>
      <t>RPG</t>
    </r>
  </si>
  <si>
    <t>Nexon</t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</si>
  <si>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 xml:space="preserve">8 / </t>
    </r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>54</t>
    </r>
  </si>
  <si>
    <r>
      <rPr>
        <sz val="11"/>
        <rFont val="Noto Sans CJK SC"/>
        <family val="2"/>
      </rPr>
      <t>자동 사냥 → 장비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스탯 성장 → 보스</t>
    </r>
  </si>
  <si>
    <r>
      <rPr>
        <sz val="11"/>
        <rFont val="Noto Sans CJK SC"/>
        <family val="2"/>
      </rPr>
      <t>방치 보상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길드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장르 일반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</si>
  <si>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성장 패키지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뽑기 인앱결제</t>
    </r>
  </si>
  <si>
    <r>
      <rPr>
        <sz val="11"/>
        <rFont val="Noto Sans CJK SC"/>
        <family val="2"/>
      </rPr>
      <t xml:space="preserve">메이플스토리 </t>
    </r>
    <r>
      <rPr>
        <sz val="11"/>
        <rFont val="Arial"/>
        <family val="2"/>
      </rPr>
      <t>IP</t>
    </r>
  </si>
  <si>
    <r>
      <rPr>
        <sz val="11"/>
        <rFont val="Noto Sans CJK SC"/>
        <family val="2"/>
      </rPr>
      <t xml:space="preserve">원작 </t>
    </r>
    <r>
      <rPr>
        <sz val="11"/>
        <rFont val="Arial"/>
        <family val="2"/>
      </rPr>
      <t xml:space="preserve">2D </t>
    </r>
    <r>
      <rPr>
        <sz val="11"/>
        <rFont val="Noto Sans CJK SC"/>
        <family val="2"/>
      </rPr>
      <t>그림체</t>
    </r>
  </si>
  <si>
    <t>트릭컬 리바이브</t>
  </si>
  <si>
    <t>Epid Games</t>
  </si>
  <si>
    <r>
      <rPr>
        <sz val="11"/>
        <rFont val="Noto Sans CJK SC"/>
        <family val="2"/>
      </rPr>
      <t>매출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 xml:space="preserve">7 / </t>
    </r>
    <r>
      <rPr>
        <sz val="11"/>
        <rFont val="Noto Sans CJK SC"/>
        <family val="2"/>
      </rPr>
      <t>무료</t>
    </r>
    <r>
      <rPr>
        <sz val="11"/>
        <rFont val="Arial"/>
        <family val="2"/>
      </rPr>
      <t xml:space="preserve">: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2"/>
      </rPr>
      <t>44</t>
    </r>
  </si>
  <si>
    <r>
      <rPr>
        <sz val="11"/>
        <rFont val="Noto Sans CJK SC"/>
        <family val="2"/>
      </rPr>
      <t>캐릭터 뽑기 → 육성 → 전투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세부 확인 필요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</si>
  <si>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캐릭터 수집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이벤트</t>
    </r>
  </si>
  <si>
    <t>뽑기 인앱결제</t>
  </si>
  <si>
    <r>
      <rPr>
        <sz val="11"/>
        <rFont val="Noto Sans CJK SC"/>
        <family val="2"/>
      </rPr>
      <t xml:space="preserve">게임명에 </t>
    </r>
    <r>
      <rPr>
        <sz val="11"/>
        <rFont val="Arial"/>
        <family val="2"/>
      </rPr>
      <t>'600</t>
    </r>
    <r>
      <rPr>
        <sz val="11"/>
        <rFont val="Noto Sans CJK SC"/>
        <family val="2"/>
      </rPr>
      <t>뽑기 증정</t>
    </r>
    <r>
      <rPr>
        <sz val="11"/>
        <rFont val="Arial"/>
        <family val="2"/>
      </rPr>
      <t xml:space="preserve">' </t>
    </r>
    <r>
      <rPr>
        <sz val="11"/>
        <rFont val="Noto Sans CJK SC"/>
        <family val="2"/>
      </rPr>
      <t>표기</t>
    </r>
  </si>
  <si>
    <r>
      <rPr>
        <sz val="11"/>
        <rFont val="Noto Sans CJK SC"/>
        <family val="2"/>
      </rPr>
      <t xml:space="preserve">귀여운 </t>
    </r>
    <r>
      <rPr>
        <sz val="11"/>
        <rFont val="Arial"/>
        <family val="2"/>
      </rPr>
      <t xml:space="preserve">2D </t>
    </r>
    <r>
      <rPr>
        <sz val="11"/>
        <rFont val="Noto Sans CJK SC"/>
        <family val="2"/>
      </rPr>
      <t>캐릭터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확인 권장</t>
    </r>
    <r>
      <rPr>
        <sz val="11"/>
        <rFont val="Arial"/>
        <family val="2"/>
      </rPr>
      <t>)</t>
    </r>
  </si>
  <si>
    <r>
      <rPr>
        <i/>
        <sz val="11"/>
        <color rgb="FF595959"/>
        <rFont val="Noto Sans CJK SC"/>
        <family val="2"/>
      </rPr>
      <t xml:space="preserve">기존 </t>
    </r>
    <r>
      <rPr>
        <i/>
        <sz val="11"/>
        <color rgb="FF595959"/>
        <rFont val="Arial"/>
        <family val="2"/>
      </rPr>
      <t>12</t>
    </r>
    <r>
      <rPr>
        <i/>
        <sz val="11"/>
        <color rgb="FF595959"/>
        <rFont val="Noto Sans CJK SC"/>
        <family val="2"/>
      </rPr>
      <t xml:space="preserve">개 게임은 </t>
    </r>
    <r>
      <rPr>
        <i/>
        <sz val="11"/>
        <color rgb="FF595959"/>
        <rFont val="Arial"/>
        <family val="2"/>
      </rPr>
      <t xml:space="preserve">'1-4 </t>
    </r>
    <r>
      <rPr>
        <i/>
        <sz val="11"/>
        <color rgb="FF595959"/>
        <rFont val="Noto Sans CJK SC"/>
        <family val="2"/>
      </rPr>
      <t>성공 비결 해부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시트에 있습니다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확장 게임은 차트 데이터를 다시 모으지 않아 </t>
    </r>
    <r>
      <rPr>
        <i/>
        <sz val="11"/>
        <color rgb="FF595959"/>
        <rFont val="Arial"/>
        <family val="2"/>
      </rPr>
      <t xml:space="preserve">'1-2 </t>
    </r>
    <r>
      <rPr>
        <i/>
        <sz val="11"/>
        <color rgb="FF595959"/>
        <rFont val="Noto Sans CJK SC"/>
        <family val="2"/>
      </rPr>
      <t>성공 점수표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에는 넣지 않았습니다</t>
    </r>
    <r>
      <rPr>
        <i/>
        <sz val="11"/>
        <color rgb="FF595959"/>
        <rFont val="Arial"/>
        <family val="2"/>
      </rPr>
      <t>.</t>
    </r>
  </si>
  <si>
    <r>
      <rPr>
        <b/>
        <sz val="11"/>
        <color rgb="FFFFFFFF"/>
        <rFont val="Noto Sans CJK SC"/>
        <family val="2"/>
      </rPr>
      <t xml:space="preserve">매출 </t>
    </r>
    <r>
      <rPr>
        <b/>
        <sz val="11"/>
        <color rgb="FFFFFFFF"/>
        <rFont val="Arial"/>
        <family val="2"/>
      </rPr>
      <t xml:space="preserve">Top100 </t>
    </r>
    <r>
      <rPr>
        <b/>
        <sz val="11"/>
        <color rgb="FFFFFFFF"/>
        <rFont val="Noto Sans CJK SC"/>
        <family val="2"/>
      </rPr>
      <t xml:space="preserve">진입 </t>
    </r>
    <r>
      <rPr>
        <b/>
        <sz val="11"/>
        <color rgb="FFFFFFFF"/>
        <rFont val="Arial"/>
        <family val="2"/>
      </rPr>
      <t>(4</t>
    </r>
    <r>
      <rPr>
        <b/>
        <sz val="11"/>
        <color rgb="FFFFFFFF"/>
        <rFont val="Noto Sans CJK SC"/>
        <family val="2"/>
      </rPr>
      <t xml:space="preserve">개국 중 </t>
    </r>
    <r>
      <rPr>
        <b/>
        <sz val="11"/>
        <color rgb="FFFFFFFF"/>
        <rFont val="Arial"/>
        <family val="2"/>
      </rPr>
      <t>1</t>
    </r>
    <r>
      <rPr>
        <b/>
        <sz val="11"/>
        <color rgb="FFFFFFFF"/>
        <rFont val="Noto Sans CJK SC"/>
        <family val="2"/>
      </rPr>
      <t>곳 이상</t>
    </r>
    <r>
      <rPr>
        <b/>
        <sz val="11"/>
        <color rgb="FFFFFFFF"/>
        <rFont val="Arial"/>
        <family val="2"/>
      </rPr>
      <t>)</t>
    </r>
  </si>
  <si>
    <t>한 손가락 단순 조작</t>
  </si>
  <si>
    <r>
      <rPr>
        <b/>
        <sz val="11"/>
        <color rgb="FFFFFFFF"/>
        <rFont val="Noto Sans CJK SC"/>
        <family val="2"/>
      </rPr>
      <t>짧은 한 판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몇 분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</si>
  <si>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메타 진행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꾸미기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건설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스토리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성장</t>
    </r>
    <r>
      <rPr>
        <b/>
        <sz val="11"/>
        <color rgb="FFFFFFFF"/>
        <rFont val="Arial"/>
        <family val="2"/>
      </rPr>
      <t>)</t>
    </r>
  </si>
  <si>
    <t>수집 요소</t>
  </si>
  <si>
    <r>
      <rPr>
        <b/>
        <sz val="11"/>
        <color rgb="FFFFFFFF"/>
        <rFont val="Noto Sans CJK SC"/>
        <family val="2"/>
      </rPr>
      <t>친구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동맹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대전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소셜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</si>
  <si>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유명 </t>
    </r>
    <r>
      <rPr>
        <b/>
        <sz val="11"/>
        <color rgb="FFFFFFFF"/>
        <rFont val="Arial"/>
        <family val="2"/>
      </rPr>
      <t>IP·</t>
    </r>
    <r>
      <rPr>
        <b/>
        <sz val="11"/>
        <color rgb="FFFFFFFF"/>
        <rFont val="Noto Sans CJK SC"/>
        <family val="2"/>
      </rPr>
      <t>콜라보</t>
    </r>
  </si>
  <si>
    <r>
      <rPr>
        <b/>
        <sz val="11"/>
        <color rgb="FFFFFFFF"/>
        <rFont val="Noto Sans CJK SC"/>
        <family val="2"/>
      </rPr>
      <t>랜덤 보상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뽑기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슬롯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카드팩</t>
    </r>
    <r>
      <rPr>
        <b/>
        <sz val="11"/>
        <color rgb="FFFFFFFF"/>
        <rFont val="Arial"/>
        <family val="2"/>
      </rPr>
      <t>)</t>
    </r>
  </si>
  <si>
    <t>광고 수익 중심</t>
  </si>
  <si>
    <t>인앱결제 중심</t>
  </si>
  <si>
    <r>
      <rPr>
        <b/>
        <sz val="11"/>
        <color rgb="FFFFFFFF"/>
        <rFont val="Noto Sans CJK SC"/>
        <family val="2"/>
      </rPr>
      <t>라이브 이벤트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시즌</t>
    </r>
  </si>
  <si>
    <t>아니오</t>
  </si>
  <si>
    <t>?</t>
  </si>
  <si>
    <t>예</t>
  </si>
  <si>
    <r>
      <rPr>
        <b/>
        <sz val="12"/>
        <rFont val="Noto Sans CJK SC"/>
        <family val="2"/>
      </rPr>
      <t xml:space="preserve">공통점 요약 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자동 계산</t>
    </r>
    <r>
      <rPr>
        <b/>
        <sz val="12"/>
        <rFont val="Arial"/>
        <family val="2"/>
      </rPr>
      <t>)</t>
    </r>
  </si>
  <si>
    <t>요소</t>
  </si>
  <si>
    <r>
      <rPr>
        <b/>
        <sz val="11"/>
        <color rgb="FFFFFFFF"/>
        <rFont val="Arial"/>
        <family val="2"/>
      </rPr>
      <t>'</t>
    </r>
    <r>
      <rPr>
        <b/>
        <sz val="11"/>
        <color rgb="FFFFFFFF"/>
        <rFont val="Noto Sans CJK SC"/>
        <family val="2"/>
      </rPr>
      <t>예</t>
    </r>
    <r>
      <rPr>
        <b/>
        <sz val="11"/>
        <color rgb="FFFFFFFF"/>
        <rFont val="Arial"/>
        <family val="2"/>
      </rPr>
      <t xml:space="preserve">' </t>
    </r>
    <r>
      <rPr>
        <b/>
        <sz val="11"/>
        <color rgb="FFFFFFFF"/>
        <rFont val="Noto Sans CJK SC"/>
        <family val="2"/>
      </rPr>
      <t>게임 수</t>
    </r>
  </si>
  <si>
    <t>확인된 게임 중 비율</t>
  </si>
  <si>
    <t>매출 진입 게임 중 비율</t>
  </si>
  <si>
    <t>매출 미진입 게임 중 비율</t>
  </si>
  <si>
    <r>
      <rPr>
        <b/>
        <sz val="11"/>
        <color rgb="FFFFFFFF"/>
        <rFont val="Noto Sans CJK SC"/>
        <family val="2"/>
      </rPr>
      <t>차이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매출 진입 − 미진입</t>
    </r>
    <r>
      <rPr>
        <b/>
        <sz val="11"/>
        <color rgb="FFFFFFFF"/>
        <rFont val="Arial"/>
        <family val="2"/>
      </rPr>
      <t>)</t>
    </r>
  </si>
  <si>
    <r>
      <rPr>
        <b/>
        <sz val="11"/>
        <rFont val="Noto Sans CJK SC"/>
        <family val="2"/>
      </rPr>
      <t>짧은 한 판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몇 분</t>
    </r>
    <r>
      <rPr>
        <b/>
        <sz val="11"/>
        <rFont val="Arial"/>
        <family val="2"/>
      </rPr>
      <t>)</t>
    </r>
  </si>
  <si>
    <r>
      <rPr>
        <b/>
        <sz val="11"/>
        <rFont val="Noto Sans CJK SC"/>
        <family val="2"/>
      </rPr>
      <t>메타 진행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꾸미기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건설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스토리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성장</t>
    </r>
    <r>
      <rPr>
        <b/>
        <sz val="11"/>
        <rFont val="Arial"/>
        <family val="2"/>
      </rPr>
      <t>)</t>
    </r>
  </si>
  <si>
    <r>
      <rPr>
        <b/>
        <sz val="11"/>
        <rFont val="Noto Sans CJK SC"/>
        <family val="2"/>
      </rPr>
      <t>친구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동맹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대전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소셜</t>
    </r>
    <r>
      <rPr>
        <b/>
        <sz val="11"/>
        <rFont val="Arial"/>
        <family val="2"/>
      </rPr>
      <t>)</t>
    </r>
  </si>
  <si>
    <r>
      <rPr>
        <b/>
        <sz val="11"/>
        <rFont val="Noto Sans CJK SC"/>
        <family val="2"/>
      </rPr>
      <t xml:space="preserve">유명 </t>
    </r>
    <r>
      <rPr>
        <b/>
        <sz val="11"/>
        <rFont val="Arial"/>
        <family val="2"/>
      </rPr>
      <t>IP·</t>
    </r>
    <r>
      <rPr>
        <b/>
        <sz val="11"/>
        <rFont val="Noto Sans CJK SC"/>
        <family val="2"/>
      </rPr>
      <t>콜라보</t>
    </r>
  </si>
  <si>
    <r>
      <rPr>
        <b/>
        <sz val="11"/>
        <rFont val="Noto Sans CJK SC"/>
        <family val="2"/>
      </rPr>
      <t>랜덤 보상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뽑기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슬롯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카드팩</t>
    </r>
    <r>
      <rPr>
        <b/>
        <sz val="11"/>
        <rFont val="Arial"/>
        <family val="2"/>
      </rPr>
      <t>)</t>
    </r>
  </si>
  <si>
    <r>
      <rPr>
        <b/>
        <sz val="11"/>
        <rFont val="Noto Sans CJK SC"/>
        <family val="2"/>
      </rPr>
      <t>라이브 이벤트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시즌</t>
    </r>
  </si>
  <si>
    <r>
      <rPr>
        <b/>
        <sz val="12"/>
        <rFont val="Noto Sans CJK SC"/>
        <family val="2"/>
      </rPr>
      <t xml:space="preserve">장르 그룹별 </t>
    </r>
    <r>
      <rPr>
        <b/>
        <sz val="12"/>
        <rFont val="Arial"/>
        <family val="2"/>
      </rPr>
      <t>'</t>
    </r>
    <r>
      <rPr>
        <b/>
        <sz val="12"/>
        <rFont val="Noto Sans CJK SC"/>
        <family val="2"/>
      </rPr>
      <t>예</t>
    </r>
    <r>
      <rPr>
        <b/>
        <sz val="12"/>
        <rFont val="Arial"/>
        <family val="2"/>
      </rPr>
      <t xml:space="preserve">' </t>
    </r>
    <r>
      <rPr>
        <b/>
        <sz val="12"/>
        <rFont val="Noto Sans CJK SC"/>
        <family val="2"/>
      </rPr>
      <t xml:space="preserve">개수 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자동 계산</t>
    </r>
    <r>
      <rPr>
        <b/>
        <sz val="12"/>
        <rFont val="Arial"/>
        <family val="2"/>
      </rPr>
      <t>)</t>
    </r>
  </si>
  <si>
    <t>게임 수</t>
  </si>
  <si>
    <r>
      <rPr>
        <i/>
        <sz val="11"/>
        <color rgb="FF595959"/>
        <rFont val="Arial"/>
        <family val="2"/>
      </rPr>
      <t>1=</t>
    </r>
    <r>
      <rPr>
        <i/>
        <sz val="11"/>
        <color rgb="FF595959"/>
        <rFont val="Noto Sans CJK SC"/>
        <family val="2"/>
      </rPr>
      <t>해당</t>
    </r>
    <r>
      <rPr>
        <i/>
        <sz val="11"/>
        <color rgb="FF595959"/>
        <rFont val="Arial"/>
        <family val="2"/>
      </rPr>
      <t>, 0=</t>
    </r>
    <r>
      <rPr>
        <i/>
        <sz val="11"/>
        <color rgb="FF595959"/>
        <rFont val="Noto Sans CJK SC"/>
        <family val="2"/>
      </rPr>
      <t>해당 안 함</t>
    </r>
    <r>
      <rPr>
        <i/>
        <sz val="11"/>
        <color rgb="FF595959"/>
        <rFont val="Arial"/>
        <family val="2"/>
      </rPr>
      <t>, ?=</t>
    </r>
    <r>
      <rPr>
        <i/>
        <sz val="11"/>
        <color rgb="FF595959"/>
        <rFont val="Noto Sans CJK SC"/>
        <family val="2"/>
      </rPr>
      <t>확인 안 됨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회색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분류는 공개된 게임 방식과 이번 차트 조사에 근거한 분석자 판단이며</t>
    </r>
    <r>
      <rPr>
        <i/>
        <sz val="11"/>
        <color rgb="FF595959"/>
        <rFont val="Arial"/>
        <family val="2"/>
      </rPr>
      <t>, '?'</t>
    </r>
    <r>
      <rPr>
        <i/>
        <sz val="11"/>
        <color rgb="FF595959"/>
        <rFont val="Noto Sans CJK SC"/>
        <family val="2"/>
      </rPr>
      <t>는 계산에서 제외됩니다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</si>
  <si>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매출 </t>
    </r>
    <r>
      <rPr>
        <i/>
        <sz val="11"/>
        <color rgb="FF595959"/>
        <rFont val="Arial"/>
        <family val="2"/>
      </rPr>
      <t xml:space="preserve">Top100 </t>
    </r>
    <r>
      <rPr>
        <i/>
        <sz val="11"/>
        <color rgb="FF595959"/>
        <rFont val="Noto Sans CJK SC"/>
        <family val="2"/>
      </rPr>
      <t>진입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은 이번에 조사한 구글 플레이 매출 순위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미국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브라질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일본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한국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에서 확인된 경우만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예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조사 범위 밖이면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미확인</t>
    </r>
    <r>
      <rPr>
        <i/>
        <sz val="11"/>
        <color rgb="FF595959"/>
        <rFont val="Arial"/>
        <family val="2"/>
      </rPr>
      <t>'.</t>
    </r>
  </si>
  <si>
    <r>
      <rPr>
        <i/>
        <sz val="11"/>
        <color rgb="FF595959"/>
        <rFont val="Noto Sans CJK SC"/>
        <family val="2"/>
      </rPr>
      <t>게임 수가 적어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 xml:space="preserve">매출 진입 </t>
    </r>
    <r>
      <rPr>
        <i/>
        <sz val="11"/>
        <color rgb="FF595959"/>
        <rFont val="Arial"/>
        <family val="2"/>
      </rPr>
      <t>15</t>
    </r>
    <r>
      <rPr>
        <i/>
        <sz val="11"/>
        <color rgb="FF595959"/>
        <rFont val="Noto Sans CJK SC"/>
        <family val="2"/>
      </rPr>
      <t>개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미진입 </t>
    </r>
    <r>
      <rPr>
        <i/>
        <sz val="11"/>
        <color rgb="FF595959"/>
        <rFont val="Arial"/>
        <family val="2"/>
      </rPr>
      <t>4</t>
    </r>
    <r>
      <rPr>
        <i/>
        <sz val="11"/>
        <color rgb="FF595959"/>
        <rFont val="Noto Sans CJK SC"/>
        <family val="2"/>
      </rPr>
      <t>개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미확인 </t>
    </r>
    <r>
      <rPr>
        <i/>
        <sz val="11"/>
        <color rgb="FF595959"/>
        <rFont val="Arial"/>
        <family val="2"/>
      </rPr>
      <t>7</t>
    </r>
    <r>
      <rPr>
        <i/>
        <sz val="11"/>
        <color rgb="FF595959"/>
        <rFont val="Noto Sans CJK SC"/>
        <family val="2"/>
      </rPr>
      <t>개</t>
    </r>
    <r>
      <rPr>
        <i/>
        <sz val="11"/>
        <color rgb="FF595959"/>
        <rFont val="Arial"/>
        <family val="2"/>
      </rPr>
      <t xml:space="preserve">) </t>
    </r>
    <r>
      <rPr>
        <i/>
        <sz val="11"/>
        <color rgb="FF595959"/>
        <rFont val="Noto Sans CJK SC"/>
        <family val="2"/>
      </rPr>
      <t>비율은 경향을 보는 참고용이며 통계적 결론이 아닙니다</t>
    </r>
    <r>
      <rPr>
        <i/>
        <sz val="11"/>
        <color rgb="FF595959"/>
        <rFont val="Arial"/>
        <family val="2"/>
      </rPr>
      <t>.</t>
    </r>
  </si>
  <si>
    <t>성공 공식</t>
  </si>
  <si>
    <t>쉽게 말하면</t>
  </si>
  <si>
    <t>근거</t>
  </si>
  <si>
    <r>
      <rPr>
        <b/>
        <sz val="11"/>
        <rFont val="Arial"/>
        <family val="2"/>
      </rPr>
      <t>3</t>
    </r>
    <r>
      <rPr>
        <b/>
        <sz val="11"/>
        <rFont val="Noto Sans CJK SC"/>
        <family val="2"/>
      </rPr>
      <t>초 안에 이해되는 규칙</t>
    </r>
  </si>
  <si>
    <t>설명서 없이 보자마자 할 수 있어야 해요</t>
  </si>
  <si>
    <r>
      <rPr>
        <sz val="11"/>
        <rFont val="Arial"/>
        <family val="2"/>
      </rPr>
      <t>6</t>
    </r>
    <r>
      <rPr>
        <sz val="11"/>
        <rFont val="Noto Sans CJK SC"/>
        <family val="2"/>
      </rPr>
      <t xml:space="preserve">개국 무료 </t>
    </r>
    <r>
      <rPr>
        <sz val="11"/>
        <rFont val="Arial"/>
        <family val="2"/>
      </rPr>
      <t>Top 10</t>
    </r>
    <r>
      <rPr>
        <sz val="11"/>
        <rFont val="Noto Sans CJK SC"/>
        <family val="2"/>
      </rPr>
      <t xml:space="preserve">에 공통으로 오른 </t>
    </r>
    <r>
      <rPr>
        <sz val="11"/>
        <rFont val="Arial"/>
        <family val="2"/>
      </rPr>
      <t xml:space="preserve">Block Blast·Meowdoku·Bus Fever Party·Rotate Rings </t>
    </r>
    <r>
      <rPr>
        <sz val="11"/>
        <rFont val="Noto Sans CJK SC"/>
        <family val="2"/>
      </rPr>
      <t>모두 한 손가락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한 규칙 게임</t>
    </r>
  </si>
  <si>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>많이 받는 게임</t>
    </r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 xml:space="preserve">과 </t>
    </r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>돈 버는 게임</t>
    </r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>은 다르다</t>
    </r>
  </si>
  <si>
    <r>
      <rPr>
        <sz val="11"/>
        <rFont val="Noto Sans CJK SC"/>
        <family val="2"/>
      </rPr>
      <t xml:space="preserve">인기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등이 꼭 부자는 아니에요</t>
    </r>
  </si>
  <si>
    <r>
      <rPr>
        <sz val="11"/>
        <rFont val="Noto Sans CJK SC"/>
        <family val="2"/>
      </rPr>
      <t xml:space="preserve">무료 상위 퍼즐 </t>
    </r>
    <r>
      <rPr>
        <sz val="11"/>
        <rFont val="Arial"/>
        <family val="2"/>
      </rPr>
      <t>5</t>
    </r>
    <r>
      <rPr>
        <sz val="11"/>
        <rFont val="Noto Sans CJK SC"/>
        <family val="2"/>
      </rPr>
      <t xml:space="preserve">개 중 매출 </t>
    </r>
    <r>
      <rPr>
        <sz val="11"/>
        <rFont val="Arial"/>
        <family val="2"/>
      </rPr>
      <t>Top 100</t>
    </r>
    <r>
      <rPr>
        <sz val="11"/>
        <rFont val="Noto Sans CJK SC"/>
        <family val="2"/>
      </rPr>
      <t xml:space="preserve">은 </t>
    </r>
    <r>
      <rPr>
        <sz val="11"/>
        <rFont val="Arial"/>
        <family val="2"/>
      </rPr>
      <t>Magic Sort(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>56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) 1</t>
    </r>
    <r>
      <rPr>
        <sz val="11"/>
        <rFont val="Noto Sans CJK SC"/>
        <family val="2"/>
      </rPr>
      <t>개뿐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반대로 </t>
    </r>
    <r>
      <rPr>
        <sz val="11"/>
        <rFont val="Arial"/>
        <family val="2"/>
      </rPr>
      <t>Whiteout</t>
    </r>
    <r>
      <rPr>
        <sz val="11"/>
        <rFont val="Noto Sans CJK SC"/>
        <family val="2"/>
      </rPr>
      <t xml:space="preserve">은 무료 순위가 낮아도 </t>
    </r>
    <r>
      <rPr>
        <sz val="11"/>
        <rFont val="Arial"/>
        <family val="2"/>
      </rPr>
      <t>4</t>
    </r>
    <r>
      <rPr>
        <sz val="11"/>
        <rFont val="Noto Sans CJK SC"/>
        <family val="2"/>
      </rPr>
      <t xml:space="preserve">개국 매출 </t>
    </r>
    <r>
      <rPr>
        <sz val="11"/>
        <rFont val="Arial"/>
        <family val="2"/>
      </rPr>
      <t>Top 25</t>
    </r>
  </si>
  <si>
    <r>
      <rPr>
        <b/>
        <sz val="11"/>
        <rFont val="Noto Sans CJK SC"/>
        <family val="2"/>
      </rPr>
      <t xml:space="preserve">퍼즐 </t>
    </r>
    <r>
      <rPr>
        <b/>
        <sz val="11"/>
        <rFont val="Arial"/>
        <family val="2"/>
      </rPr>
      <t xml:space="preserve">+ </t>
    </r>
    <r>
      <rPr>
        <b/>
        <sz val="11"/>
        <rFont val="Noto Sans CJK SC"/>
        <family val="2"/>
      </rPr>
      <t>꾸미기</t>
    </r>
    <r>
      <rPr>
        <b/>
        <sz val="11"/>
        <rFont val="Arial"/>
        <family val="2"/>
      </rPr>
      <t>/</t>
    </r>
    <r>
      <rPr>
        <b/>
        <sz val="11"/>
        <rFont val="Noto Sans CJK SC"/>
        <family val="2"/>
      </rPr>
      <t xml:space="preserve">이야기 </t>
    </r>
    <r>
      <rPr>
        <b/>
        <sz val="11"/>
        <rFont val="Arial"/>
        <family val="2"/>
      </rPr>
      <t xml:space="preserve">= </t>
    </r>
    <r>
      <rPr>
        <b/>
        <sz val="11"/>
        <rFont val="Noto Sans CJK SC"/>
        <family val="2"/>
      </rPr>
      <t>돈</t>
    </r>
  </si>
  <si>
    <r>
      <rPr>
        <sz val="11"/>
        <rFont val="Noto Sans CJK SC"/>
        <family val="2"/>
      </rPr>
      <t>퍼즐만 있으면 심심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내 성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드라마가 있으면 계속 와요</t>
    </r>
  </si>
  <si>
    <r>
      <rPr>
        <sz val="11"/>
        <rFont val="Arial"/>
        <family val="2"/>
      </rPr>
      <t>Royal Match(</t>
    </r>
    <r>
      <rPr>
        <sz val="11"/>
        <rFont val="Noto Sans CJK SC"/>
        <family val="2"/>
      </rPr>
      <t>성 꾸미기</t>
    </r>
    <r>
      <rPr>
        <sz val="11"/>
        <rFont val="Arial"/>
        <family val="2"/>
      </rPr>
      <t>)·Gossip Harbor(</t>
    </r>
    <r>
      <rPr>
        <sz val="11"/>
        <rFont val="Noto Sans CJK SC"/>
        <family val="2"/>
      </rPr>
      <t>스토리</t>
    </r>
    <r>
      <rPr>
        <sz val="11"/>
        <rFont val="Arial"/>
        <family val="2"/>
      </rPr>
      <t>)</t>
    </r>
    <r>
      <rPr>
        <sz val="11"/>
        <rFont val="Noto Sans CJK SC"/>
        <family val="2"/>
      </rPr>
      <t xml:space="preserve">가 퍼즐 장르로 </t>
    </r>
    <r>
      <rPr>
        <sz val="11"/>
        <rFont val="Arial"/>
        <family val="2"/>
      </rPr>
      <t>4</t>
    </r>
    <r>
      <rPr>
        <sz val="11"/>
        <rFont val="Noto Sans CJK SC"/>
        <family val="2"/>
      </rPr>
      <t xml:space="preserve">개국 매출 모두 </t>
    </r>
    <r>
      <rPr>
        <sz val="11"/>
        <rFont val="Arial"/>
        <family val="2"/>
      </rPr>
      <t>Top 25</t>
    </r>
  </si>
  <si>
    <t>같이 하면 오래 간다</t>
  </si>
  <si>
    <r>
      <rPr>
        <sz val="11"/>
        <rFont val="Noto Sans CJK SC"/>
        <family val="2"/>
      </rPr>
      <t>친구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동맹과 함께하면 그만두기 어려워요</t>
    </r>
  </si>
  <si>
    <r>
      <rPr>
        <sz val="11"/>
        <rFont val="Arial"/>
        <family val="2"/>
      </rPr>
      <t>MONOPOLY GO!(</t>
    </r>
    <r>
      <rPr>
        <sz val="11"/>
        <rFont val="Noto Sans CJK SC"/>
        <family val="2"/>
      </rPr>
      <t>친구 이벤트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 xml:space="preserve">미국 매출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, Whiteout(</t>
    </r>
    <r>
      <rPr>
        <sz val="11"/>
        <rFont val="Noto Sans CJK SC"/>
        <family val="2"/>
      </rPr>
      <t>동맹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 xml:space="preserve">한국 매출 </t>
    </r>
    <r>
      <rPr>
        <sz val="11"/>
        <rFont val="Arial"/>
        <family val="2"/>
      </rPr>
      <t>6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, Free Fire(</t>
    </r>
    <r>
      <rPr>
        <sz val="11"/>
        <rFont val="Noto Sans CJK SC"/>
        <family val="2"/>
      </rPr>
      <t>스쿼드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 xml:space="preserve">브라질 매출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위</t>
    </r>
  </si>
  <si>
    <r>
      <rPr>
        <b/>
        <sz val="11"/>
        <rFont val="Noto Sans CJK SC"/>
        <family val="2"/>
      </rPr>
      <t>현지 사람이 아는 얼굴</t>
    </r>
    <r>
      <rPr>
        <b/>
        <sz val="11"/>
        <rFont val="Arial"/>
        <family val="2"/>
      </rPr>
      <t>(IP)</t>
    </r>
    <r>
      <rPr>
        <b/>
        <sz val="11"/>
        <rFont val="Noto Sans CJK SC"/>
        <family val="2"/>
      </rPr>
      <t>을 빌린다</t>
    </r>
  </si>
  <si>
    <t>유명한 캐릭터가 나오면 처음부터 믿고 받아요</t>
  </si>
  <si>
    <r>
      <rPr>
        <sz val="11"/>
        <rFont val="Arial"/>
        <family val="2"/>
      </rPr>
      <t xml:space="preserve">Free Fire x NARUTO, MONOPOLY, </t>
    </r>
    <r>
      <rPr>
        <sz val="11"/>
        <rFont val="Noto Sans CJK SC"/>
        <family val="2"/>
      </rPr>
      <t>치이카와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일본 무료 </t>
    </r>
    <r>
      <rPr>
        <sz val="11"/>
        <rFont val="Arial"/>
        <family val="2"/>
      </rPr>
      <t>20</t>
    </r>
    <r>
      <rPr>
        <sz val="11"/>
        <rFont val="Noto Sans CJK SC"/>
        <family val="2"/>
      </rPr>
      <t>위</t>
    </r>
    <r>
      <rPr>
        <sz val="11"/>
        <rFont val="Arial"/>
        <family val="2"/>
      </rPr>
      <t>), Disney Solitaire</t>
    </r>
  </si>
  <si>
    <r>
      <rPr>
        <b/>
        <sz val="12"/>
        <rFont val="Noto Sans CJK SC"/>
        <family val="2"/>
      </rPr>
      <t xml:space="preserve">가장 작게 시작할 수 있는 </t>
    </r>
    <r>
      <rPr>
        <b/>
        <sz val="12"/>
        <rFont val="Arial"/>
        <family val="2"/>
      </rPr>
      <t xml:space="preserve">MVP </t>
    </r>
    <r>
      <rPr>
        <b/>
        <sz val="12"/>
        <rFont val="Noto Sans CJK SC"/>
        <family val="2"/>
      </rPr>
      <t>순위</t>
    </r>
  </si>
  <si>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>규모</t>
    </r>
  </si>
  <si>
    <t>이유</t>
  </si>
  <si>
    <r>
      <rPr>
        <sz val="11"/>
        <rFont val="Noto Sans CJK SC"/>
        <family val="2"/>
      </rPr>
      <t>판 하나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규칙 하나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레벨 제작도 필요 없음</t>
    </r>
  </si>
  <si>
    <r>
      <rPr>
        <sz val="11"/>
        <rFont val="Noto Sans CJK SC"/>
        <family val="2"/>
      </rPr>
      <t xml:space="preserve">조작 하나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레벨 데이터</t>
    </r>
  </si>
  <si>
    <r>
      <rPr>
        <sz val="11"/>
        <rFont val="Noto Sans CJK SC"/>
        <family val="2"/>
      </rPr>
      <t xml:space="preserve">색 매칭 규칙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레벨</t>
    </r>
  </si>
  <si>
    <r>
      <rPr>
        <sz val="11"/>
        <rFont val="Noto Sans CJK SC"/>
        <family val="2"/>
      </rPr>
      <t xml:space="preserve">논리 퍼즐 엔진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레벨 생성기</t>
    </r>
  </si>
  <si>
    <r>
      <rPr>
        <sz val="11"/>
        <rFont val="Noto Sans CJK SC"/>
        <family val="2"/>
      </rPr>
      <t>검증된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연출 품질이 관건</t>
    </r>
  </si>
  <si>
    <r>
      <rPr>
        <sz val="11"/>
        <rFont val="Noto Sans CJK SC"/>
        <family val="2"/>
      </rPr>
      <t>매치</t>
    </r>
    <r>
      <rPr>
        <sz val="11"/>
        <rFont val="Arial"/>
        <family val="2"/>
      </rPr>
      <t xml:space="preserve">3 </t>
    </r>
    <r>
      <rPr>
        <sz val="11"/>
        <rFont val="Noto Sans CJK SC"/>
        <family val="2"/>
      </rPr>
      <t xml:space="preserve">엔진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꾸미기 메타</t>
    </r>
  </si>
  <si>
    <r>
      <rPr>
        <sz val="11"/>
        <rFont val="Noto Sans CJK SC"/>
        <family val="2"/>
      </rPr>
      <t xml:space="preserve">방치 루프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뽑기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밸런스 작업 많음</t>
    </r>
  </si>
  <si>
    <r>
      <rPr>
        <sz val="11"/>
        <rFont val="Noto Sans CJK SC"/>
        <family val="2"/>
      </rPr>
      <t>스토리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아트 콘텐츠 양이 많음</t>
    </r>
  </si>
  <si>
    <r>
      <rPr>
        <sz val="11"/>
        <rFont val="Arial"/>
        <family val="2"/>
      </rPr>
      <t xml:space="preserve">IP + </t>
    </r>
    <r>
      <rPr>
        <sz val="11"/>
        <rFont val="Noto Sans CJK SC"/>
        <family val="2"/>
      </rPr>
      <t>실시간 이벤트</t>
    </r>
  </si>
  <si>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라이선스 필수</t>
    </r>
  </si>
  <si>
    <r>
      <rPr>
        <sz val="11"/>
        <rFont val="Noto Sans CJK SC"/>
        <family val="2"/>
      </rPr>
      <t>서버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라이브 운영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마케팅 비용</t>
    </r>
  </si>
  <si>
    <t>실시간 멀티플레이 서버</t>
  </si>
  <si>
    <r>
      <rPr>
        <b/>
        <sz val="11"/>
        <color rgb="FFFFFFFF"/>
        <rFont val="Noto Sans CJK SC"/>
        <family val="2"/>
      </rPr>
      <t xml:space="preserve">꼭 필요 </t>
    </r>
    <r>
      <rPr>
        <b/>
        <sz val="11"/>
        <color rgb="FFFFFFFF"/>
        <rFont val="Arial"/>
        <family val="2"/>
      </rPr>
      <t>(Must)</t>
    </r>
  </si>
  <si>
    <r>
      <rPr>
        <b/>
        <sz val="11"/>
        <color rgb="FFFFFFFF"/>
        <rFont val="Noto Sans CJK SC"/>
        <family val="2"/>
      </rPr>
      <t xml:space="preserve">있으면 좋음 </t>
    </r>
    <r>
      <rPr>
        <b/>
        <sz val="11"/>
        <color rgb="FFFFFFFF"/>
        <rFont val="Arial"/>
        <family val="2"/>
      </rPr>
      <t>(Should)</t>
    </r>
  </si>
  <si>
    <r>
      <rPr>
        <b/>
        <sz val="11"/>
        <color rgb="FFFFFFFF"/>
        <rFont val="Noto Sans CJK SC"/>
        <family val="2"/>
      </rPr>
      <t xml:space="preserve">나중에 </t>
    </r>
    <r>
      <rPr>
        <b/>
        <sz val="11"/>
        <color rgb="FFFFFFFF"/>
        <rFont val="Arial"/>
        <family val="2"/>
      </rPr>
      <t>(Later)</t>
    </r>
  </si>
  <si>
    <r>
      <rPr>
        <b/>
        <sz val="11"/>
        <color rgb="FFFFFFFF"/>
        <rFont val="Noto Sans CJK SC"/>
        <family val="2"/>
      </rPr>
      <t>예상 인원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기간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추정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</si>
  <si>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출시 전후 확인할 숫자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검증 지표</t>
    </r>
    <r>
      <rPr>
        <b/>
        <sz val="11"/>
        <color rgb="FFFFFFFF"/>
        <rFont val="Arial"/>
        <family val="2"/>
      </rPr>
      <t>)</t>
    </r>
  </si>
  <si>
    <t>만들 때 가장 어려운 점</t>
  </si>
  <si>
    <r>
      <rPr>
        <sz val="11"/>
        <rFont val="Noto Sans CJK SC"/>
        <family val="2"/>
      </rPr>
      <t xml:space="preserve">논리 퍼즐 규칙 엔진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정답 검증기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고양이 아트 세트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2"/>
      </rPr>
      <t>100</t>
    </r>
    <r>
      <rPr>
        <sz val="11"/>
        <rFont val="Noto Sans CJK SC"/>
        <family val="2"/>
      </rPr>
      <t>개</t>
    </r>
    <r>
      <rPr>
        <sz val="11"/>
        <rFont val="Arial"/>
        <family val="2"/>
      </rPr>
      <t xml:space="preserve">+, </t>
    </r>
    <r>
      <rPr>
        <sz val="11"/>
        <rFont val="Noto Sans CJK SC"/>
        <family val="2"/>
      </rPr>
      <t>힌트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되돌리기</t>
    </r>
  </si>
  <si>
    <r>
      <rPr>
        <sz val="11"/>
        <rFont val="Noto Sans CJK SC"/>
        <family val="2"/>
      </rPr>
      <t>보상형 광고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전면 광고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일일 퍼즐</t>
    </r>
  </si>
  <si>
    <r>
      <rPr>
        <sz val="11"/>
        <rFont val="Noto Sans CJK SC"/>
        <family val="2"/>
      </rPr>
      <t>고양이 도감 수집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시즌 이벤트</t>
    </r>
  </si>
  <si>
    <r>
      <rPr>
        <sz val="11"/>
        <rFont val="Arial"/>
        <family val="2"/>
      </rPr>
      <t>2~4</t>
    </r>
    <r>
      <rPr>
        <sz val="11"/>
        <rFont val="Noto Sans CJK SC"/>
        <family val="2"/>
      </rPr>
      <t xml:space="preserve">명 </t>
    </r>
    <r>
      <rPr>
        <sz val="11"/>
        <rFont val="Arial"/>
        <family val="2"/>
      </rPr>
      <t>/ 2~3</t>
    </r>
    <r>
      <rPr>
        <sz val="11"/>
        <rFont val="Noto Sans CJK SC"/>
        <family val="2"/>
      </rPr>
      <t>개월</t>
    </r>
  </si>
  <si>
    <r>
      <rPr>
        <sz val="11"/>
        <rFont val="Arial"/>
        <family val="2"/>
      </rPr>
      <t xml:space="preserve">D1·D7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레벨 이탈 구간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광고 시청 수</t>
    </r>
  </si>
  <si>
    <t>풀 수 있으면서 너무 쉽지 않은 레벨 대량 생성</t>
  </si>
  <si>
    <r>
      <rPr>
        <sz val="11"/>
        <rFont val="Noto Sans CJK SC"/>
        <family val="2"/>
      </rPr>
      <t xml:space="preserve">고리 회전 조작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색 정렬 판정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2"/>
      </rPr>
      <t>100</t>
    </r>
    <r>
      <rPr>
        <sz val="11"/>
        <rFont val="Noto Sans CJK SC"/>
        <family val="2"/>
      </rPr>
      <t>개</t>
    </r>
    <r>
      <rPr>
        <sz val="11"/>
        <rFont val="Arial"/>
        <family val="2"/>
      </rPr>
      <t xml:space="preserve">+, </t>
    </r>
    <r>
      <rPr>
        <sz val="11"/>
        <rFont val="Noto Sans CJK SC"/>
        <family val="2"/>
      </rPr>
      <t>손맛 연출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사운드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진동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</si>
  <si>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광고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힌트 아이템</t>
    </r>
  </si>
  <si>
    <r>
      <rPr>
        <sz val="11"/>
        <rFont val="Noto Sans CJK SC"/>
        <family val="2"/>
      </rPr>
      <t>테마 스킨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이벤트 레벨</t>
    </r>
  </si>
  <si>
    <r>
      <rPr>
        <sz val="11"/>
        <rFont val="Arial"/>
        <family val="2"/>
      </rPr>
      <t xml:space="preserve">D1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첫 </t>
    </r>
    <r>
      <rPr>
        <sz val="11"/>
        <rFont val="Arial"/>
        <family val="2"/>
      </rPr>
      <t>10</t>
    </r>
    <r>
      <rPr>
        <sz val="11"/>
        <rFont val="Noto Sans CJK SC"/>
        <family val="2"/>
      </rPr>
      <t>레벨 완료율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광고 시청 수</t>
    </r>
  </si>
  <si>
    <r>
      <rPr>
        <sz val="11"/>
        <rFont val="Noto Sans CJK SC"/>
        <family val="2"/>
      </rPr>
      <t>조작감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회전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스냅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의 기분 좋은 손맛</t>
    </r>
  </si>
  <si>
    <r>
      <rPr>
        <sz val="11"/>
        <rFont val="Arial"/>
        <family val="2"/>
      </rPr>
      <t xml:space="preserve">8×8 </t>
    </r>
    <r>
      <rPr>
        <sz val="11"/>
        <rFont val="Noto Sans CJK SC"/>
        <family val="2"/>
      </rPr>
      <t xml:space="preserve">판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블록 생성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줄 지우기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콤보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최고 점수</t>
    </r>
  </si>
  <si>
    <r>
      <rPr>
        <sz val="11"/>
        <rFont val="Noto Sans CJK SC"/>
        <family val="2"/>
      </rPr>
      <t>광고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이어하기 보상 등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</si>
  <si>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모드 추가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레벨형</t>
    </r>
    <r>
      <rPr>
        <sz val="11"/>
        <rFont val="Arial"/>
        <family val="2"/>
      </rPr>
      <t xml:space="preserve">), </t>
    </r>
    <r>
      <rPr>
        <sz val="11"/>
        <rFont val="Noto Sans CJK SC"/>
        <family val="2"/>
      </rPr>
      <t>테마</t>
    </r>
  </si>
  <si>
    <r>
      <rPr>
        <sz val="11"/>
        <rFont val="Arial"/>
        <family val="2"/>
      </rPr>
      <t>2~3</t>
    </r>
    <r>
      <rPr>
        <sz val="11"/>
        <rFont val="Noto Sans CJK SC"/>
        <family val="2"/>
      </rPr>
      <t xml:space="preserve">명 </t>
    </r>
    <r>
      <rPr>
        <sz val="11"/>
        <rFont val="Arial"/>
        <family val="2"/>
      </rPr>
      <t>/ 1~2</t>
    </r>
    <r>
      <rPr>
        <sz val="11"/>
        <rFont val="Noto Sans CJK SC"/>
        <family val="2"/>
      </rPr>
      <t>개월</t>
    </r>
  </si>
  <si>
    <r>
      <rPr>
        <sz val="11"/>
        <rFont val="Noto Sans CJK SC"/>
        <family val="2"/>
      </rPr>
      <t>세션당 판 수</t>
    </r>
    <r>
      <rPr>
        <sz val="11"/>
        <rFont val="Arial"/>
        <family val="2"/>
      </rPr>
      <t xml:space="preserve">, D1·D30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광고 수익</t>
    </r>
    <r>
      <rPr>
        <sz val="11"/>
        <rFont val="Arial"/>
        <family val="2"/>
      </rPr>
      <t>/</t>
    </r>
    <r>
      <rPr>
        <sz val="11"/>
        <rFont val="Noto Sans CJK SC"/>
        <family val="2"/>
      </rPr>
      <t>유저</t>
    </r>
  </si>
  <si>
    <r>
      <rPr>
        <sz val="11"/>
        <rFont val="Noto Sans CJK SC"/>
        <family val="2"/>
      </rPr>
      <t xml:space="preserve">블록이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공정하게</t>
    </r>
    <r>
      <rPr>
        <sz val="11"/>
        <rFont val="Arial"/>
        <family val="2"/>
      </rPr>
      <t xml:space="preserve">' </t>
    </r>
    <r>
      <rPr>
        <sz val="11"/>
        <rFont val="Noto Sans CJK SC"/>
        <family val="2"/>
      </rPr>
      <t>나오는 생성 규칙</t>
    </r>
  </si>
  <si>
    <r>
      <rPr>
        <sz val="11"/>
        <rFont val="Noto Sans CJK SC"/>
        <family val="2"/>
      </rPr>
      <t>병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액체 정렬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2"/>
      </rPr>
      <t>150</t>
    </r>
    <r>
      <rPr>
        <sz val="11"/>
        <rFont val="Noto Sans CJK SC"/>
        <family val="2"/>
      </rPr>
      <t>개</t>
    </r>
    <r>
      <rPr>
        <sz val="11"/>
        <rFont val="Arial"/>
        <family val="2"/>
      </rPr>
      <t xml:space="preserve">+, </t>
    </r>
    <r>
      <rPr>
        <sz val="11"/>
        <rFont val="Noto Sans CJK SC"/>
        <family val="2"/>
      </rPr>
      <t>액체 연출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</si>
  <si>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소액 인앱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힌트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빈 병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</si>
  <si>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시즌 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꾸미기 메타</t>
    </r>
  </si>
  <si>
    <r>
      <rPr>
        <sz val="11"/>
        <rFont val="Arial"/>
        <family val="2"/>
      </rPr>
      <t>3~4</t>
    </r>
    <r>
      <rPr>
        <sz val="11"/>
        <rFont val="Noto Sans CJK SC"/>
        <family val="2"/>
      </rPr>
      <t xml:space="preserve">명 </t>
    </r>
    <r>
      <rPr>
        <sz val="11"/>
        <rFont val="Arial"/>
        <family val="2"/>
      </rPr>
      <t>/ 2~3</t>
    </r>
    <r>
      <rPr>
        <sz val="11"/>
        <rFont val="Noto Sans CJK SC"/>
        <family val="2"/>
      </rPr>
      <t>개월</t>
    </r>
  </si>
  <si>
    <r>
      <rPr>
        <sz val="11"/>
        <rFont val="Noto Sans CJK SC"/>
        <family val="2"/>
      </rPr>
      <t>레벨 이탈 구간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광고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결제 비율</t>
    </r>
  </si>
  <si>
    <t>레벨 난이도 곡선 설계</t>
  </si>
  <si>
    <r>
      <rPr>
        <sz val="11"/>
        <rFont val="Noto Sans CJK SC"/>
        <family val="2"/>
      </rPr>
      <t>버스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승객 색 매칭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주차 공간 제한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2"/>
      </rPr>
      <t>100</t>
    </r>
    <r>
      <rPr>
        <sz val="11"/>
        <rFont val="Noto Sans CJK SC"/>
        <family val="2"/>
      </rPr>
      <t>개</t>
    </r>
    <r>
      <rPr>
        <sz val="11"/>
        <rFont val="Arial"/>
        <family val="2"/>
      </rPr>
      <t>+</t>
    </r>
  </si>
  <si>
    <r>
      <rPr>
        <sz val="11"/>
        <rFont val="Noto Sans CJK SC"/>
        <family val="2"/>
      </rPr>
      <t>광고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부스터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대기열 늘리기 등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</si>
  <si>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이벤트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수집</t>
    </r>
  </si>
  <si>
    <r>
      <rPr>
        <sz val="11"/>
        <rFont val="Arial"/>
        <family val="2"/>
      </rPr>
      <t xml:space="preserve">D1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레벨당 실패율</t>
    </r>
  </si>
  <si>
    <t>막히는 순간과 풀리는 순간의 균형</t>
  </si>
  <si>
    <r>
      <rPr>
        <sz val="11"/>
        <rFont val="Noto Sans CJK SC"/>
        <family val="2"/>
      </rPr>
      <t>매치</t>
    </r>
    <r>
      <rPr>
        <sz val="11"/>
        <rFont val="Arial"/>
        <family val="2"/>
      </rPr>
      <t xml:space="preserve">3 </t>
    </r>
    <r>
      <rPr>
        <sz val="11"/>
        <rFont val="Noto Sans CJK SC"/>
        <family val="2"/>
      </rPr>
      <t>엔진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장애물 </t>
    </r>
    <r>
      <rPr>
        <sz val="11"/>
        <rFont val="Arial"/>
        <family val="2"/>
      </rPr>
      <t>5~8</t>
    </r>
    <r>
      <rPr>
        <sz val="11"/>
        <rFont val="Noto Sans CJK SC"/>
        <family val="2"/>
      </rPr>
      <t>종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레벨 </t>
    </r>
    <r>
      <rPr>
        <sz val="11"/>
        <rFont val="Arial"/>
        <family val="2"/>
      </rPr>
      <t>100</t>
    </r>
    <r>
      <rPr>
        <sz val="11"/>
        <rFont val="Noto Sans CJK SC"/>
        <family val="2"/>
      </rPr>
      <t>개</t>
    </r>
    <r>
      <rPr>
        <sz val="11"/>
        <rFont val="Arial"/>
        <family val="2"/>
      </rPr>
      <t xml:space="preserve">+, </t>
    </r>
    <r>
      <rPr>
        <sz val="11"/>
        <rFont val="Noto Sans CJK SC"/>
        <family val="2"/>
      </rPr>
      <t xml:space="preserve">성 꾸미기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구역</t>
    </r>
  </si>
  <si>
    <r>
      <rPr>
        <sz val="11"/>
        <rFont val="Noto Sans CJK SC"/>
        <family val="2"/>
      </rPr>
      <t>코인 상점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부스터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목숨 시스템</t>
    </r>
  </si>
  <si>
    <r>
      <rPr>
        <sz val="11"/>
        <rFont val="Noto Sans CJK SC"/>
        <family val="2"/>
      </rPr>
      <t>팀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길드</t>
    </r>
    <r>
      <rPr>
        <sz val="11"/>
        <rFont val="Arial"/>
        <family val="2"/>
      </rPr>
      <t xml:space="preserve">), </t>
    </r>
    <r>
      <rPr>
        <sz val="11"/>
        <rFont val="Noto Sans CJK SC"/>
        <family val="2"/>
      </rPr>
      <t>경쟁 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시즌 패스</t>
    </r>
  </si>
  <si>
    <r>
      <rPr>
        <sz val="11"/>
        <rFont val="Arial"/>
        <family val="2"/>
      </rPr>
      <t>5~10</t>
    </r>
    <r>
      <rPr>
        <sz val="11"/>
        <rFont val="Noto Sans CJK SC"/>
        <family val="2"/>
      </rPr>
      <t xml:space="preserve">명 </t>
    </r>
    <r>
      <rPr>
        <sz val="11"/>
        <rFont val="Arial"/>
        <family val="2"/>
      </rPr>
      <t>/ 4~8</t>
    </r>
    <r>
      <rPr>
        <sz val="11"/>
        <rFont val="Noto Sans CJK SC"/>
        <family val="2"/>
      </rPr>
      <t>개월</t>
    </r>
  </si>
  <si>
    <r>
      <rPr>
        <sz val="11"/>
        <rFont val="Arial"/>
        <family val="2"/>
      </rPr>
      <t xml:space="preserve">D1·D7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레벨당 시도 횟수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첫 결제 전환율</t>
    </r>
  </si>
  <si>
    <r>
      <rPr>
        <sz val="11"/>
        <rFont val="Noto Sans CJK SC"/>
        <family val="2"/>
      </rPr>
      <t>매치</t>
    </r>
    <r>
      <rPr>
        <sz val="11"/>
        <rFont val="Arial"/>
        <family val="2"/>
      </rPr>
      <t>3 '</t>
    </r>
    <r>
      <rPr>
        <sz val="11"/>
        <rFont val="Noto Sans CJK SC"/>
        <family val="2"/>
      </rPr>
      <t>손맛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과 연출 품질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이미 강자 다수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</si>
  <si>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머지 보드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아이템 체인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주문 시스템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스토리 </t>
    </r>
    <r>
      <rPr>
        <sz val="11"/>
        <rFont val="Arial"/>
        <family val="2"/>
      </rPr>
      <t>1~2</t>
    </r>
    <r>
      <rPr>
        <sz val="11"/>
        <rFont val="Noto Sans CJK SC"/>
        <family val="2"/>
      </rPr>
      <t>장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에너지</t>
    </r>
  </si>
  <si>
    <r>
      <rPr>
        <sz val="11"/>
        <rFont val="Noto Sans CJK SC"/>
        <family val="2"/>
      </rPr>
      <t>에너지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아이템 상점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스토리 연출 강화</t>
    </r>
  </si>
  <si>
    <r>
      <rPr>
        <sz val="11"/>
        <rFont val="Noto Sans CJK SC"/>
        <family val="2"/>
      </rPr>
      <t>시즌 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새 지역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장 추가</t>
    </r>
  </si>
  <si>
    <r>
      <rPr>
        <sz val="11"/>
        <rFont val="Arial"/>
        <family val="2"/>
      </rPr>
      <t>10~20</t>
    </r>
    <r>
      <rPr>
        <sz val="11"/>
        <rFont val="Noto Sans CJK SC"/>
        <family val="2"/>
      </rPr>
      <t xml:space="preserve">명 </t>
    </r>
    <r>
      <rPr>
        <sz val="11"/>
        <rFont val="Arial"/>
        <family val="2"/>
      </rPr>
      <t>/ 8~12</t>
    </r>
    <r>
      <rPr>
        <sz val="11"/>
        <rFont val="Noto Sans CJK SC"/>
        <family val="2"/>
      </rPr>
      <t>개월</t>
    </r>
  </si>
  <si>
    <r>
      <rPr>
        <sz val="11"/>
        <rFont val="Arial"/>
        <family val="2"/>
      </rPr>
      <t xml:space="preserve">D7·D30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스토리 장 완료율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결제 전환율</t>
    </r>
  </si>
  <si>
    <r>
      <rPr>
        <sz val="11"/>
        <rFont val="Noto Sans CJK SC"/>
        <family val="2"/>
      </rPr>
      <t>스토리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아트 콘텐츠를 계속 만들어야 하는 제작량</t>
    </r>
  </si>
  <si>
    <r>
      <rPr>
        <sz val="11"/>
        <rFont val="Noto Sans CJK SC"/>
        <family val="2"/>
      </rPr>
      <t>주사위 보드 루프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도시 짓기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친구 연동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최소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</si>
  <si>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이벤트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스티커 앨범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주사위 상점</t>
    </r>
  </si>
  <si>
    <r>
      <rPr>
        <sz val="11"/>
        <rFont val="Noto Sans CJK SC"/>
        <family val="2"/>
      </rPr>
      <t>파트너 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앨범 교환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대형 </t>
    </r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계약</t>
    </r>
  </si>
  <si>
    <r>
      <rPr>
        <sz val="11"/>
        <rFont val="Arial"/>
        <family val="2"/>
      </rPr>
      <t>15~25</t>
    </r>
    <r>
      <rPr>
        <sz val="11"/>
        <rFont val="Noto Sans CJK SC"/>
        <family val="2"/>
      </rPr>
      <t xml:space="preserve">명 </t>
    </r>
    <r>
      <rPr>
        <sz val="11"/>
        <rFont val="Arial"/>
        <family val="2"/>
      </rPr>
      <t>/ 10~15</t>
    </r>
    <r>
      <rPr>
        <sz val="11"/>
        <rFont val="Noto Sans CJK SC"/>
        <family val="2"/>
      </rPr>
      <t xml:space="preserve">개월 </t>
    </r>
    <r>
      <rPr>
        <sz val="11"/>
        <rFont val="Arial"/>
        <family val="2"/>
      </rPr>
      <t xml:space="preserve">(IP </t>
    </r>
    <r>
      <rPr>
        <sz val="11"/>
        <rFont val="Noto Sans CJK SC"/>
        <family val="2"/>
      </rPr>
      <t>제외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</si>
  <si>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D1·D30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친구 초대율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이벤트 참여율</t>
    </r>
    <r>
      <rPr>
        <sz val="11"/>
        <rFont val="Arial"/>
        <family val="2"/>
      </rPr>
      <t>, ARPDAU</t>
    </r>
  </si>
  <si>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 xml:space="preserve">없이는 같은 효과를 내기 어려움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실시간 이벤트 운영</t>
    </r>
  </si>
  <si>
    <r>
      <rPr>
        <sz val="11"/>
        <rFont val="Noto Sans CJK SC"/>
        <family val="2"/>
      </rPr>
      <t>도시 건설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자원 루프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영웅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차 세트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서버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동맹 기본 기능</t>
    </r>
  </si>
  <si>
    <r>
      <rPr>
        <sz val="11"/>
        <rFont val="Noto Sans CJK SC"/>
        <family val="2"/>
      </rPr>
      <t>영웅 뽑기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가속 상점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일일 퀘스트</t>
    </r>
  </si>
  <si>
    <r>
      <rPr>
        <sz val="11"/>
        <rFont val="Noto Sans CJK SC"/>
        <family val="2"/>
      </rPr>
      <t>동맹 전쟁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시즌 서버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대형 이벤트</t>
    </r>
  </si>
  <si>
    <r>
      <rPr>
        <sz val="11"/>
        <rFont val="Arial"/>
        <family val="2"/>
      </rPr>
      <t>30</t>
    </r>
    <r>
      <rPr>
        <sz val="11"/>
        <rFont val="Noto Sans CJK SC"/>
        <family val="2"/>
      </rPr>
      <t xml:space="preserve">명 이상 </t>
    </r>
    <r>
      <rPr>
        <sz val="11"/>
        <rFont val="Arial"/>
        <family val="2"/>
      </rPr>
      <t>/ 1.5</t>
    </r>
    <r>
      <rPr>
        <sz val="11"/>
        <rFont val="Noto Sans CJK SC"/>
        <family val="2"/>
      </rPr>
      <t>년 이상</t>
    </r>
  </si>
  <si>
    <r>
      <rPr>
        <sz val="11"/>
        <rFont val="Arial"/>
        <family val="2"/>
      </rPr>
      <t xml:space="preserve">D30·D90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상위 결제자 비중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동맹 가입률</t>
    </r>
  </si>
  <si>
    <r>
      <rPr>
        <sz val="11"/>
        <rFont val="Noto Sans CJK SC"/>
        <family val="2"/>
      </rPr>
      <t>서버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밸런스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라이브 운영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매우 큰 마케팅 비용</t>
    </r>
  </si>
  <si>
    <r>
      <rPr>
        <sz val="11"/>
        <rFont val="Noto Sans CJK SC"/>
        <family val="2"/>
      </rPr>
      <t>실시간 멀티플레이 서버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매칭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맵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무기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캐릭터 기본 세트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저사양 최적화</t>
    </r>
  </si>
  <si>
    <r>
      <rPr>
        <sz val="11"/>
        <rFont val="Noto Sans CJK SC"/>
        <family val="2"/>
      </rPr>
      <t>랭크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스킨 상점</t>
    </r>
  </si>
  <si>
    <r>
      <rPr>
        <sz val="11"/>
        <rFont val="Noto Sans CJK SC"/>
        <family val="2"/>
      </rPr>
      <t>콜라보</t>
    </r>
    <r>
      <rPr>
        <sz val="11"/>
        <rFont val="Arial"/>
        <family val="2"/>
      </rPr>
      <t>, e</t>
    </r>
    <r>
      <rPr>
        <sz val="11"/>
        <rFont val="Noto Sans CJK SC"/>
        <family val="2"/>
      </rPr>
      <t>스포츠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신규 모드</t>
    </r>
  </si>
  <si>
    <r>
      <rPr>
        <sz val="11"/>
        <rFont val="Arial"/>
        <family val="2"/>
      </rPr>
      <t>40</t>
    </r>
    <r>
      <rPr>
        <sz val="11"/>
        <rFont val="Noto Sans CJK SC"/>
        <family val="2"/>
      </rPr>
      <t xml:space="preserve">명 이상 </t>
    </r>
    <r>
      <rPr>
        <sz val="11"/>
        <rFont val="Arial"/>
        <family val="2"/>
      </rPr>
      <t>/ 2</t>
    </r>
    <r>
      <rPr>
        <sz val="11"/>
        <rFont val="Noto Sans CJK SC"/>
        <family val="2"/>
      </rPr>
      <t>년 이상</t>
    </r>
  </si>
  <si>
    <r>
      <rPr>
        <sz val="11"/>
        <rFont val="Noto Sans CJK SC"/>
        <family val="2"/>
      </rPr>
      <t>동시 접속자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매칭 대기시간</t>
    </r>
    <r>
      <rPr>
        <sz val="11"/>
        <rFont val="Arial"/>
        <family val="2"/>
      </rPr>
      <t xml:space="preserve">, D7 </t>
    </r>
    <r>
      <rPr>
        <sz val="11"/>
        <rFont val="Noto Sans CJK SC"/>
        <family val="2"/>
      </rPr>
      <t>리텐션</t>
    </r>
  </si>
  <si>
    <r>
      <rPr>
        <sz val="11"/>
        <rFont val="Noto Sans CJK SC"/>
        <family val="2"/>
      </rPr>
      <t xml:space="preserve">실시간 서버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핵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부정행위 대응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저사양 최적화</t>
    </r>
  </si>
  <si>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라이선스 확보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원작 그림체 캐릭터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미니게임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수집 루프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</si>
  <si>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t>꾸미기 아이템 상점</t>
  </si>
  <si>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이벤트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굿즈 연동</t>
    </r>
  </si>
  <si>
    <r>
      <rPr>
        <sz val="11"/>
        <rFont val="Arial"/>
        <family val="2"/>
      </rPr>
      <t>10~20</t>
    </r>
    <r>
      <rPr>
        <sz val="11"/>
        <rFont val="Noto Sans CJK SC"/>
        <family val="2"/>
      </rPr>
      <t xml:space="preserve">명 </t>
    </r>
    <r>
      <rPr>
        <sz val="11"/>
        <rFont val="Arial"/>
        <family val="2"/>
      </rPr>
      <t>/ 8~12</t>
    </r>
    <r>
      <rPr>
        <sz val="11"/>
        <rFont val="Noto Sans CJK SC"/>
        <family val="2"/>
      </rPr>
      <t xml:space="preserve">개월 </t>
    </r>
    <r>
      <rPr>
        <sz val="11"/>
        <rFont val="Arial"/>
        <family val="2"/>
      </rPr>
      <t xml:space="preserve">+ IP </t>
    </r>
    <r>
      <rPr>
        <sz val="11"/>
        <rFont val="Noto Sans CJK SC"/>
        <family val="2"/>
      </rPr>
      <t>계약</t>
    </r>
  </si>
  <si>
    <r>
      <rPr>
        <sz val="11"/>
        <rFont val="Noto Sans CJK SC"/>
        <family val="2"/>
      </rPr>
      <t xml:space="preserve">팬 유입 대비 </t>
    </r>
    <r>
      <rPr>
        <sz val="11"/>
        <rFont val="Arial"/>
        <family val="2"/>
      </rPr>
      <t xml:space="preserve">D7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결제 전환율</t>
    </r>
  </si>
  <si>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확보 비용과 원작사 승인 절차</t>
    </r>
  </si>
  <si>
    <r>
      <rPr>
        <sz val="11"/>
        <rFont val="Noto Sans CJK SC"/>
        <family val="2"/>
      </rPr>
      <t>방치 성장 루프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자동 전투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뽑기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장비 시스템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초반 대량 뽑기 지급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</si>
  <si>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성장 패키지 상점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출석 보상</t>
    </r>
  </si>
  <si>
    <r>
      <rPr>
        <sz val="11"/>
        <rFont val="Noto Sans CJK SC"/>
        <family val="2"/>
      </rPr>
      <t>길드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랭킹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시즌 콘텐츠</t>
    </r>
  </si>
  <si>
    <r>
      <rPr>
        <sz val="11"/>
        <rFont val="Arial"/>
        <family val="2"/>
      </rPr>
      <t xml:space="preserve">D1·D7 </t>
    </r>
    <r>
      <rPr>
        <sz val="11"/>
        <rFont val="Noto Sans CJK SC"/>
        <family val="2"/>
      </rPr>
      <t>리텐션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첫 결제 전환율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결제자당 매출</t>
    </r>
  </si>
  <si>
    <r>
      <rPr>
        <sz val="11"/>
        <rFont val="Noto Sans CJK SC"/>
        <family val="2"/>
      </rPr>
      <t>뽑기 확률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성장 밸런스와 확률 공시 등 규제 대응</t>
    </r>
  </si>
  <si>
    <r>
      <rPr>
        <i/>
        <sz val="11"/>
        <color rgb="FF595959"/>
        <rFont val="Noto Sans CJK SC"/>
        <family val="2"/>
      </rPr>
      <t>인원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기간은 분석자 추정입니다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검증 지표의 목표 수치는 출처가 확인된 값만 </t>
    </r>
    <r>
      <rPr>
        <i/>
        <sz val="11"/>
        <color rgb="FF595959"/>
        <rFont val="Arial"/>
        <family val="2"/>
      </rPr>
      <t xml:space="preserve">'2-2 MVP </t>
    </r>
    <r>
      <rPr>
        <i/>
        <sz val="11"/>
        <color rgb="FF595959"/>
        <rFont val="Noto Sans CJK SC"/>
        <family val="2"/>
      </rPr>
      <t>검증 목표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시트에 정리했습니다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장르별 리텐션은 공식 숫자 자료가 없어</t>
    </r>
    <r>
      <rPr>
        <i/>
        <sz val="11"/>
        <color rgb="FF595959"/>
        <rFont val="Arial"/>
        <family val="2"/>
      </rPr>
      <t xml:space="preserve">, 2025 </t>
    </r>
    <r>
      <rPr>
        <i/>
        <sz val="11"/>
        <color rgb="FF595959"/>
        <rFont val="Noto Sans CJK SC"/>
        <family val="2"/>
      </rPr>
      <t xml:space="preserve">보고서 이미지 차트를 읽은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판독값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을 </t>
    </r>
    <r>
      <rPr>
        <i/>
        <sz val="11"/>
        <color rgb="FF595959"/>
        <rFont val="Arial"/>
        <family val="2"/>
      </rPr>
      <t xml:space="preserve">'4-3 </t>
    </r>
    <r>
      <rPr>
        <i/>
        <sz val="11"/>
        <color rgb="FF595959"/>
        <rFont val="Noto Sans CJK SC"/>
        <family val="2"/>
      </rPr>
      <t>장르 판독 요약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 xml:space="preserve">)' </t>
    </r>
    <r>
      <rPr>
        <i/>
        <sz val="11"/>
        <color rgb="FF595959"/>
        <rFont val="Noto Sans CJK SC"/>
        <family val="2"/>
      </rPr>
      <t>시트에 따로 정리</t>
    </r>
    <r>
      <rPr>
        <i/>
        <sz val="11"/>
        <color rgb="FF595959"/>
        <rFont val="Arial"/>
        <family val="2"/>
      </rPr>
      <t>).</t>
    </r>
  </si>
  <si>
    <r>
      <rPr>
        <b/>
        <sz val="11"/>
        <color rgb="FFFFFFFF"/>
        <rFont val="Arial"/>
        <family val="2"/>
      </rPr>
      <t xml:space="preserve">D1 </t>
    </r>
    <r>
      <rPr>
        <b/>
        <sz val="11"/>
        <color rgb="FFFFFFFF"/>
        <rFont val="Noto Sans CJK SC"/>
        <family val="2"/>
      </rPr>
      <t>리텐션</t>
    </r>
  </si>
  <si>
    <r>
      <rPr>
        <b/>
        <sz val="11"/>
        <color rgb="FFFFFFFF"/>
        <rFont val="Arial"/>
        <family val="2"/>
      </rPr>
      <t xml:space="preserve">D7 </t>
    </r>
    <r>
      <rPr>
        <b/>
        <sz val="11"/>
        <color rgb="FFFFFFFF"/>
        <rFont val="Noto Sans CJK SC"/>
        <family val="2"/>
      </rPr>
      <t>리텐션</t>
    </r>
  </si>
  <si>
    <r>
      <rPr>
        <b/>
        <sz val="11"/>
        <color rgb="FFFFFFFF"/>
        <rFont val="Arial"/>
        <family val="2"/>
      </rPr>
      <t xml:space="preserve">D30 </t>
    </r>
    <r>
      <rPr>
        <b/>
        <sz val="11"/>
        <color rgb="FFFFFFFF"/>
        <rFont val="Noto Sans CJK SC"/>
        <family val="2"/>
      </rPr>
      <t>리텐션</t>
    </r>
  </si>
  <si>
    <r>
      <rPr>
        <b/>
        <sz val="11"/>
        <color rgb="FFFFFFFF"/>
        <rFont val="Noto Sans CJK SC"/>
        <family val="2"/>
      </rPr>
      <t xml:space="preserve">수익 참고 </t>
    </r>
    <r>
      <rPr>
        <b/>
        <sz val="11"/>
        <color rgb="FFFFFFFF"/>
        <rFont val="Arial"/>
        <family val="2"/>
      </rPr>
      <t xml:space="preserve">(AppsFlyer, D90, </t>
    </r>
    <r>
      <rPr>
        <b/>
        <sz val="11"/>
        <color rgb="FFFFFFFF"/>
        <rFont val="Noto Sans CJK SC"/>
        <family val="2"/>
      </rPr>
      <t>글로벌</t>
    </r>
    <r>
      <rPr>
        <b/>
        <sz val="11"/>
        <color rgb="FFFFFFFF"/>
        <rFont val="Arial"/>
        <family val="2"/>
      </rPr>
      <t>)</t>
    </r>
  </si>
  <si>
    <t>주 타깃 지역</t>
  </si>
  <si>
    <t>수익 장르 분류</t>
  </si>
  <si>
    <r>
      <rPr>
        <b/>
        <sz val="11"/>
        <color rgb="FFFFFFFF"/>
        <rFont val="Noto Sans CJK SC"/>
        <family val="2"/>
      </rPr>
      <t>합격선</t>
    </r>
    <r>
      <rPr>
        <b/>
        <sz val="11"/>
        <color rgb="FFFFFFFF"/>
        <rFont val="Arial"/>
        <family val="2"/>
      </rPr>
      <t xml:space="preserve">: </t>
    </r>
    <r>
      <rPr>
        <b/>
        <sz val="11"/>
        <color rgb="FFFFFFFF"/>
        <rFont val="Noto Sans CJK SC"/>
        <family val="2"/>
      </rPr>
      <t xml:space="preserve">전체 상위 </t>
    </r>
    <r>
      <rPr>
        <b/>
        <sz val="11"/>
        <color rgb="FFFFFFFF"/>
        <rFont val="Arial"/>
        <family val="2"/>
      </rPr>
      <t>25%</t>
    </r>
  </si>
  <si>
    <r>
      <rPr>
        <b/>
        <sz val="11"/>
        <color rgb="FFFFFFFF"/>
        <rFont val="Noto Sans CJK SC"/>
        <family val="2"/>
      </rPr>
      <t>목표</t>
    </r>
    <r>
      <rPr>
        <b/>
        <sz val="11"/>
        <color rgb="FFFFFFFF"/>
        <rFont val="Arial"/>
        <family val="2"/>
      </rPr>
      <t xml:space="preserve">: </t>
    </r>
    <r>
      <rPr>
        <b/>
        <sz val="11"/>
        <color rgb="FFFFFFFF"/>
        <rFont val="Noto Sans CJK SC"/>
        <family val="2"/>
      </rPr>
      <t xml:space="preserve">타깃 지역 상위 </t>
    </r>
    <r>
      <rPr>
        <b/>
        <sz val="11"/>
        <color rgb="FFFFFFFF"/>
        <rFont val="Arial"/>
        <family val="2"/>
      </rPr>
      <t>10%</t>
    </r>
  </si>
  <si>
    <t>지역 중앙값</t>
  </si>
  <si>
    <t>IAP ARPU</t>
  </si>
  <si>
    <r>
      <rPr>
        <b/>
        <sz val="11"/>
        <color rgb="FFFFFFFF"/>
        <rFont val="Noto Sans CJK SC"/>
        <family val="2"/>
      </rPr>
      <t xml:space="preserve">광고 </t>
    </r>
    <r>
      <rPr>
        <b/>
        <sz val="11"/>
        <color rgb="FFFFFFFF"/>
        <rFont val="Arial"/>
        <family val="2"/>
      </rPr>
      <t>ARPU</t>
    </r>
  </si>
  <si>
    <t>IAP ARPPU</t>
  </si>
  <si>
    <t>장르별 리텐션</t>
  </si>
  <si>
    <t>북미</t>
  </si>
  <si>
    <t>캐주얼</t>
  </si>
  <si>
    <r>
      <rPr>
        <sz val="11"/>
        <rFont val="Arial"/>
        <family val="2"/>
      </rPr>
      <t xml:space="preserve">30% </t>
    </r>
    <r>
      <rPr>
        <sz val="11"/>
        <rFont val="Noto Sans CJK SC"/>
        <family val="2"/>
      </rPr>
      <t>약간 상회</t>
    </r>
  </si>
  <si>
    <t>6~7%</t>
  </si>
  <si>
    <t>1.6~1.8%</t>
  </si>
  <si>
    <t>미공개</t>
  </si>
  <si>
    <t>미드코어</t>
  </si>
  <si>
    <t>남미</t>
  </si>
  <si>
    <t>아시아</t>
  </si>
  <si>
    <r>
      <rPr>
        <sz val="11"/>
        <color rgb="FF0000FF"/>
        <rFont val="Noto Sans CJK SC"/>
        <family val="2"/>
      </rPr>
      <t xml:space="preserve">미정 </t>
    </r>
    <r>
      <rPr>
        <sz val="11"/>
        <color rgb="FF0000FF"/>
        <rFont val="Arial"/>
        <family val="2"/>
      </rPr>
      <t>(</t>
    </r>
    <r>
      <rPr>
        <sz val="11"/>
        <color rgb="FF0000FF"/>
        <rFont val="Noto Sans CJK SC"/>
        <family val="2"/>
      </rPr>
      <t>게임 방식 미확인</t>
    </r>
    <r>
      <rPr>
        <sz val="11"/>
        <color rgb="FF0000FF"/>
        <rFont val="Arial"/>
        <family val="2"/>
      </rPr>
      <t>)</t>
    </r>
  </si>
  <si>
    <r>
      <rPr>
        <i/>
        <sz val="11"/>
        <color rgb="FF595959"/>
        <rFont val="Noto Sans CJK SC"/>
        <family val="2"/>
      </rPr>
      <t>모든 숫자는 시장조사</t>
    </r>
    <r>
      <rPr>
        <i/>
        <sz val="11"/>
        <color rgb="FF595959"/>
        <rFont val="Arial"/>
        <family val="2"/>
      </rPr>
      <t xml:space="preserve">.xlsx › '4-1 </t>
    </r>
    <r>
      <rPr>
        <i/>
        <sz val="11"/>
        <color rgb="FF595959"/>
        <rFont val="Noto Sans CJK SC"/>
        <family val="2"/>
      </rPr>
      <t>벤치마크 근거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 xml:space="preserve">시트와 이 파일의 </t>
    </r>
    <r>
      <rPr>
        <i/>
        <sz val="11"/>
        <color rgb="FF595959"/>
        <rFont val="Arial"/>
        <family val="2"/>
      </rPr>
      <t xml:space="preserve">'4-1 </t>
    </r>
    <r>
      <rPr>
        <i/>
        <sz val="11"/>
        <color rgb="FF595959"/>
        <rFont val="Noto Sans CJK SC"/>
        <family val="2"/>
      </rPr>
      <t>지역 벤치마크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 xml:space="preserve">)' </t>
    </r>
    <r>
      <rPr>
        <i/>
        <sz val="11"/>
        <color rgb="FF595959"/>
        <rFont val="Noto Sans CJK SC"/>
        <family val="2"/>
      </rPr>
      <t>시트의 출처값을 그대로 가져온 것이며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새로 만든 수치는 없습니다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</si>
  <si>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합격선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과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목표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를 어느 구간</t>
    </r>
    <r>
      <rPr>
        <i/>
        <sz val="11"/>
        <color rgb="FF595959"/>
        <rFont val="Arial"/>
        <family val="2"/>
      </rPr>
      <t>(P75·P90)</t>
    </r>
    <r>
      <rPr>
        <i/>
        <sz val="11"/>
        <color rgb="FF595959"/>
        <rFont val="Noto Sans CJK SC"/>
        <family val="2"/>
      </rPr>
      <t>으로 둘지는 분석자 제안입니다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기준을 바꾸려면 </t>
    </r>
    <r>
      <rPr>
        <i/>
        <sz val="11"/>
        <color rgb="FF595959"/>
        <rFont val="Arial"/>
        <family val="2"/>
      </rPr>
      <t>D·G·J</t>
    </r>
    <r>
      <rPr>
        <i/>
        <sz val="11"/>
        <color rgb="FF595959"/>
        <rFont val="Noto Sans CJK SC"/>
        <family val="2"/>
      </rPr>
      <t xml:space="preserve">열 또는 </t>
    </r>
    <r>
      <rPr>
        <i/>
        <sz val="11"/>
        <color rgb="FF595959"/>
        <rFont val="Arial"/>
        <family val="2"/>
      </rPr>
      <t xml:space="preserve">'4-1 </t>
    </r>
    <r>
      <rPr>
        <i/>
        <sz val="11"/>
        <color rgb="FF595959"/>
        <rFont val="Noto Sans CJK SC"/>
        <family val="2"/>
      </rPr>
      <t>지역 벤치마크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 xml:space="preserve">)' </t>
    </r>
    <r>
      <rPr>
        <i/>
        <sz val="11"/>
        <color rgb="FF595959"/>
        <rFont val="Noto Sans CJK SC"/>
        <family val="2"/>
      </rPr>
      <t>조회 열을 바꾸면 됩니다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</si>
  <si>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주 타깃 지역과 수익 장르 분류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캐주얼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미드코어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>는 분석자 판단입니다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파란 글씨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지역을 바꾸면 지역 수치가 자동으로 바뀝니다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</si>
  <si>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리텐션 수치는 전 장르 합산값입니다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장르별 수치는 </t>
    </r>
    <r>
      <rPr>
        <i/>
        <sz val="11"/>
        <color rgb="FF595959"/>
        <rFont val="Arial"/>
        <family val="2"/>
      </rPr>
      <t xml:space="preserve">GameAnalytics 2026 </t>
    </r>
    <r>
      <rPr>
        <i/>
        <sz val="11"/>
        <color rgb="FF595959"/>
        <rFont val="Noto Sans CJK SC"/>
        <family val="2"/>
      </rPr>
      <t>보고서에 없고</t>
    </r>
    <r>
      <rPr>
        <i/>
        <sz val="11"/>
        <color rgb="FF595959"/>
        <rFont val="Arial"/>
        <family val="2"/>
      </rPr>
      <t xml:space="preserve">, 2025 </t>
    </r>
    <r>
      <rPr>
        <i/>
        <sz val="11"/>
        <color rgb="FF595959"/>
        <rFont val="Noto Sans CJK SC"/>
        <family val="2"/>
      </rPr>
      <t xml:space="preserve">보고서 이미지 차트에서 읽은 판독값은 </t>
    </r>
    <r>
      <rPr>
        <i/>
        <sz val="11"/>
        <color rgb="FF595959"/>
        <rFont val="Arial"/>
        <family val="2"/>
      </rPr>
      <t xml:space="preserve">'4-3 </t>
    </r>
    <r>
      <rPr>
        <i/>
        <sz val="11"/>
        <color rgb="FF595959"/>
        <rFont val="Noto Sans CJK SC"/>
        <family val="2"/>
      </rPr>
      <t>장르 판독 요약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 xml:space="preserve">)'·'2-3 </t>
    </r>
    <r>
      <rPr>
        <i/>
        <sz val="11"/>
        <color rgb="FF595959"/>
        <rFont val="Noto Sans CJK SC"/>
        <family val="2"/>
      </rPr>
      <t>장르 연결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추정</t>
    </r>
    <r>
      <rPr>
        <i/>
        <sz val="11"/>
        <color rgb="FF595959"/>
        <rFont val="Arial"/>
        <family val="2"/>
      </rPr>
      <t xml:space="preserve">)' </t>
    </r>
    <r>
      <rPr>
        <i/>
        <sz val="11"/>
        <color rgb="FF595959"/>
        <rFont val="Noto Sans CJK SC"/>
        <family val="2"/>
      </rPr>
      <t>시트에 따로 두었습니다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이 표에는 섞지 않음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</si>
  <si>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Arial"/>
        <family val="2"/>
      </rPr>
      <t xml:space="preserve">D30 </t>
    </r>
    <r>
      <rPr>
        <i/>
        <sz val="11"/>
        <color rgb="FF595959"/>
        <rFont val="Noto Sans CJK SC"/>
        <family val="2"/>
      </rPr>
      <t xml:space="preserve">리텐션은 </t>
    </r>
    <r>
      <rPr>
        <i/>
        <sz val="11"/>
        <color rgb="FF595959"/>
        <rFont val="Arial"/>
        <family val="2"/>
      </rPr>
      <t xml:space="preserve">2026 </t>
    </r>
    <r>
      <rPr>
        <i/>
        <sz val="11"/>
        <color rgb="FF595959"/>
        <rFont val="Noto Sans CJK SC"/>
        <family val="2"/>
      </rPr>
      <t>보고서 기준이며</t>
    </r>
    <r>
      <rPr>
        <i/>
        <sz val="11"/>
        <color rgb="FF595959"/>
        <rFont val="Arial"/>
        <family val="2"/>
      </rPr>
      <t xml:space="preserve">, 2025 </t>
    </r>
    <r>
      <rPr>
        <i/>
        <sz val="11"/>
        <color rgb="FF595959"/>
        <rFont val="Noto Sans CJK SC"/>
        <family val="2"/>
      </rPr>
      <t xml:space="preserve">보고서는 </t>
    </r>
    <r>
      <rPr>
        <i/>
        <sz val="11"/>
        <color rgb="FF595959"/>
        <rFont val="Arial"/>
        <family val="2"/>
      </rPr>
      <t>D28</t>
    </r>
    <r>
      <rPr>
        <i/>
        <sz val="11"/>
        <color rgb="FF595959"/>
        <rFont val="Noto Sans CJK SC"/>
        <family val="2"/>
      </rPr>
      <t>을 사용해 직접 비교에 주의가 필요합니다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</si>
  <si>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수익 수치</t>
    </r>
    <r>
      <rPr>
        <i/>
        <sz val="11"/>
        <color rgb="FF595959"/>
        <rFont val="Arial"/>
        <family val="2"/>
      </rPr>
      <t>(AppsFlyer)</t>
    </r>
    <r>
      <rPr>
        <i/>
        <sz val="11"/>
        <color rgb="FF595959"/>
        <rFont val="Noto Sans CJK SC"/>
        <family val="2"/>
      </rPr>
      <t xml:space="preserve">는 </t>
    </r>
    <r>
      <rPr>
        <i/>
        <sz val="11"/>
        <color rgb="FF595959"/>
        <rFont val="Arial"/>
        <family val="2"/>
      </rPr>
      <t xml:space="preserve">D90 </t>
    </r>
    <r>
      <rPr>
        <i/>
        <sz val="11"/>
        <color rgb="FF595959"/>
        <rFont val="Noto Sans CJK SC"/>
        <family val="2"/>
      </rPr>
      <t>기준 글로벌 평균이며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지역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플랫폼에 따라 다릅니다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북미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유럽은 더 높다고 보고됨</t>
    </r>
    <r>
      <rPr>
        <i/>
        <sz val="11"/>
        <color rgb="FF595959"/>
        <rFont val="Arial"/>
        <family val="2"/>
      </rPr>
      <t>).</t>
    </r>
  </si>
  <si>
    <r>
      <rPr>
        <b/>
        <sz val="13"/>
        <rFont val="Noto Sans CJK SC"/>
        <family val="2"/>
      </rPr>
      <t xml:space="preserve">우리 프로젝트 장르 그룹 ↔ </t>
    </r>
    <r>
      <rPr>
        <b/>
        <sz val="13"/>
        <rFont val="Arial"/>
        <family val="2"/>
      </rPr>
      <t xml:space="preserve">GameAnalytics </t>
    </r>
    <r>
      <rPr>
        <b/>
        <sz val="13"/>
        <rFont val="Noto Sans CJK SC"/>
        <family val="2"/>
      </rPr>
      <t xml:space="preserve">장르 연결 </t>
    </r>
    <r>
      <rPr>
        <b/>
        <sz val="13"/>
        <rFont val="Arial"/>
        <family val="2"/>
      </rPr>
      <t>(</t>
    </r>
    <r>
      <rPr>
        <b/>
        <sz val="13"/>
        <rFont val="Noto Sans CJK SC"/>
        <family val="2"/>
      </rPr>
      <t>분석자 추정</t>
    </r>
    <r>
      <rPr>
        <b/>
        <sz val="13"/>
        <rFont val="Arial"/>
        <family val="2"/>
      </rPr>
      <t>)</t>
    </r>
  </si>
  <si>
    <r>
      <rPr>
        <b/>
        <sz val="11"/>
        <color rgb="FFC00000"/>
        <rFont val="Noto Sans CJK SC"/>
        <family val="2"/>
      </rPr>
      <t>⚠ 연결</t>
    </r>
    <r>
      <rPr>
        <b/>
        <sz val="11"/>
        <color rgb="FFC00000"/>
        <rFont val="Arial"/>
        <family val="2"/>
      </rPr>
      <t>(C</t>
    </r>
    <r>
      <rPr>
        <b/>
        <sz val="11"/>
        <color rgb="FFC00000"/>
        <rFont val="Noto Sans CJK SC"/>
        <family val="2"/>
      </rPr>
      <t>열</t>
    </r>
    <r>
      <rPr>
        <b/>
        <sz val="11"/>
        <color rgb="FFC00000"/>
        <rFont val="Arial"/>
        <family val="2"/>
      </rPr>
      <t>)</t>
    </r>
    <r>
      <rPr>
        <b/>
        <sz val="11"/>
        <color rgb="FFC00000"/>
        <rFont val="Noto Sans CJK SC"/>
        <family val="2"/>
      </rPr>
      <t>은 분석자 추정입니다</t>
    </r>
    <r>
      <rPr>
        <b/>
        <sz val="11"/>
        <color rgb="FFC00000"/>
        <rFont val="Arial"/>
        <family val="2"/>
      </rPr>
      <t xml:space="preserve">. </t>
    </r>
    <r>
      <rPr>
        <b/>
        <sz val="11"/>
        <color rgb="FFC00000"/>
        <rFont val="Noto Sans CJK SC"/>
        <family val="2"/>
      </rPr>
      <t>각 게임이 스토어에 어떤 장르로 등록됐는지는 이번에 확인하지 않았습니다</t>
    </r>
    <r>
      <rPr>
        <b/>
        <sz val="11"/>
        <color rgb="FFC00000"/>
        <rFont val="Arial"/>
        <family val="2"/>
      </rPr>
      <t>. C</t>
    </r>
    <r>
      <rPr>
        <b/>
        <sz val="11"/>
        <color rgb="FFC00000"/>
        <rFont val="Noto Sans CJK SC"/>
        <family val="2"/>
      </rPr>
      <t>열</t>
    </r>
    <r>
      <rPr>
        <b/>
        <sz val="11"/>
        <color rgb="FFC00000"/>
        <rFont val="Arial"/>
        <family val="2"/>
      </rPr>
      <t>(</t>
    </r>
    <r>
      <rPr>
        <b/>
        <sz val="11"/>
        <color rgb="FFC00000"/>
        <rFont val="Noto Sans CJK SC"/>
        <family val="2"/>
      </rPr>
      <t>노란 칸</t>
    </r>
    <r>
      <rPr>
        <b/>
        <sz val="11"/>
        <color rgb="FFC00000"/>
        <rFont val="Arial"/>
        <family val="2"/>
      </rPr>
      <t>)</t>
    </r>
    <r>
      <rPr>
        <b/>
        <sz val="11"/>
        <color rgb="FFC00000"/>
        <rFont val="Noto Sans CJK SC"/>
        <family val="2"/>
      </rPr>
      <t>을 목록에서 바꾸면 오른쪽 숫자가 자동으로 바뀝니다</t>
    </r>
    <r>
      <rPr>
        <b/>
        <sz val="11"/>
        <color rgb="FFC00000"/>
        <rFont val="Arial"/>
        <family val="2"/>
      </rPr>
      <t>.</t>
    </r>
  </si>
  <si>
    <t>우리 장르 그룹</t>
  </si>
  <si>
    <t>대표 게임</t>
  </si>
  <si>
    <r>
      <rPr>
        <b/>
        <sz val="11"/>
        <color rgb="FFFFFFFF"/>
        <rFont val="Noto Sans CJK SC"/>
        <family val="2"/>
      </rPr>
      <t xml:space="preserve">연결한 </t>
    </r>
    <r>
      <rPr>
        <b/>
        <sz val="11"/>
        <color rgb="FFFFFFFF"/>
        <rFont val="Arial"/>
        <family val="2"/>
      </rPr>
      <t xml:space="preserve">GA </t>
    </r>
    <r>
      <rPr>
        <b/>
        <sz val="11"/>
        <color rgb="FFFFFFFF"/>
        <rFont val="Noto Sans CJK SC"/>
        <family val="2"/>
      </rPr>
      <t xml:space="preserve">장르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바꿀 수 있음</t>
    </r>
    <r>
      <rPr>
        <b/>
        <sz val="11"/>
        <color rgb="FFFFFFFF"/>
        <rFont val="Arial"/>
        <family val="2"/>
      </rPr>
      <t>)</t>
    </r>
  </si>
  <si>
    <t>연결 근거</t>
  </si>
  <si>
    <t>신뢰도</t>
  </si>
  <si>
    <t>다른 후보 장르</t>
  </si>
  <si>
    <t>D1</t>
  </si>
  <si>
    <t>D7</t>
  </si>
  <si>
    <t>D28</t>
  </si>
  <si>
    <r>
      <rPr>
        <b/>
        <sz val="11"/>
        <color rgb="FFFFFFFF"/>
        <rFont val="Noto Sans CJK SC"/>
        <family val="2"/>
      </rPr>
      <t>하루 플레이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분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</si>
  <si>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세션 길이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분</t>
    </r>
    <r>
      <rPr>
        <b/>
        <sz val="11"/>
        <color rgb="FFFFFFFF"/>
        <rFont val="Arial"/>
        <family val="2"/>
      </rPr>
      <t>)</t>
    </r>
  </si>
  <si>
    <t>하루 세션 수</t>
  </si>
  <si>
    <r>
      <rPr>
        <b/>
        <sz val="11"/>
        <color rgb="FFFFFFFF"/>
        <rFont val="Noto Sans CJK SC"/>
        <family val="2"/>
      </rPr>
      <t xml:space="preserve">쉬운 해설 </t>
    </r>
    <r>
      <rPr>
        <b/>
        <sz val="11"/>
        <color rgb="FFFFFFFF"/>
        <rFont val="Arial"/>
        <family val="2"/>
      </rPr>
      <t>(100</t>
    </r>
    <r>
      <rPr>
        <b/>
        <sz val="11"/>
        <color rgb="FFFFFFFF"/>
        <rFont val="Noto Sans CJK SC"/>
        <family val="2"/>
      </rPr>
      <t>명 설치 기준</t>
    </r>
    <r>
      <rPr>
        <b/>
        <sz val="11"/>
        <color rgb="FFFFFFFF"/>
        <rFont val="Arial"/>
        <family val="2"/>
      </rPr>
      <t>)</t>
    </r>
  </si>
  <si>
    <r>
      <rPr>
        <b/>
        <sz val="11"/>
        <rFont val="Arial"/>
        <family val="2"/>
      </rPr>
      <t xml:space="preserve">1. </t>
    </r>
    <r>
      <rPr>
        <b/>
        <sz val="11"/>
        <rFont val="Noto Sans CJK SC"/>
        <family val="2"/>
      </rPr>
      <t>글로벌 퍼즐</t>
    </r>
  </si>
  <si>
    <r>
      <rPr>
        <sz val="11"/>
        <rFont val="Arial"/>
        <family val="2"/>
      </rPr>
      <t xml:space="preserve">Block Blast!, Magic Sort!, Meowdoku </t>
    </r>
    <r>
      <rPr>
        <sz val="11"/>
        <rFont val="Noto Sans CJK SC"/>
        <family val="2"/>
      </rPr>
      <t>등</t>
    </r>
  </si>
  <si>
    <t>Puzzle</t>
  </si>
  <si>
    <r>
      <rPr>
        <sz val="11"/>
        <rFont val="Noto Sans CJK SC"/>
        <family val="2"/>
      </rPr>
      <t>정렬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블록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스도쿠류 퍼즐이라 이름이 가장 가까움</t>
    </r>
  </si>
  <si>
    <t>중간</t>
  </si>
  <si>
    <r>
      <rPr>
        <sz val="11"/>
        <rFont val="Arial"/>
        <family val="2"/>
      </rPr>
      <t xml:space="preserve">Board (Vita Mahjong </t>
    </r>
    <r>
      <rPr>
        <sz val="11"/>
        <rFont val="Noto Sans CJK SC"/>
        <family val="2"/>
      </rPr>
      <t>같은 마작류</t>
    </r>
    <r>
      <rPr>
        <sz val="11"/>
        <rFont val="Arial"/>
        <family val="2"/>
      </rPr>
      <t>), Casual</t>
    </r>
  </si>
  <si>
    <r>
      <rPr>
        <b/>
        <sz val="11"/>
        <rFont val="Arial"/>
        <family val="2"/>
      </rPr>
      <t xml:space="preserve">2. </t>
    </r>
    <r>
      <rPr>
        <b/>
        <sz val="11"/>
        <rFont val="Noto Sans CJK SC"/>
        <family val="2"/>
      </rPr>
      <t xml:space="preserve">퍼즐 </t>
    </r>
    <r>
      <rPr>
        <b/>
        <sz val="11"/>
        <rFont val="Arial"/>
        <family val="2"/>
      </rPr>
      <t xml:space="preserve">+ </t>
    </r>
    <r>
      <rPr>
        <b/>
        <sz val="11"/>
        <rFont val="Noto Sans CJK SC"/>
        <family val="2"/>
      </rPr>
      <t>메타</t>
    </r>
  </si>
  <si>
    <r>
      <rPr>
        <sz val="11"/>
        <rFont val="Arial"/>
        <family val="2"/>
      </rPr>
      <t xml:space="preserve">Royal Match, Candy Crush Saga </t>
    </r>
    <r>
      <rPr>
        <sz val="11"/>
        <rFont val="Noto Sans CJK SC"/>
        <family val="2"/>
      </rPr>
      <t>등</t>
    </r>
  </si>
  <si>
    <r>
      <rPr>
        <sz val="11"/>
        <rFont val="Arial"/>
        <family val="2"/>
      </rPr>
      <t>3</t>
    </r>
    <r>
      <rPr>
        <sz val="11"/>
        <rFont val="Noto Sans CJK SC"/>
        <family val="2"/>
      </rPr>
      <t>개 맞추기 퍼즐이 핵심 놀이</t>
    </r>
  </si>
  <si>
    <t>Casual</t>
  </si>
  <si>
    <r>
      <rPr>
        <b/>
        <sz val="11"/>
        <rFont val="Arial"/>
        <family val="2"/>
      </rPr>
      <t xml:space="preserve">3. </t>
    </r>
    <r>
      <rPr>
        <b/>
        <sz val="11"/>
        <rFont val="Noto Sans CJK SC"/>
        <family val="2"/>
      </rPr>
      <t>소셜 캐주얼</t>
    </r>
  </si>
  <si>
    <t>MONOPOLY GO!, Coin Master, Dice Dreams</t>
  </si>
  <si>
    <t>Board</t>
  </si>
  <si>
    <r>
      <rPr>
        <sz val="11"/>
        <rFont val="Noto Sans CJK SC"/>
        <family val="2"/>
      </rPr>
      <t>주사위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보드판 칸 이동이 핵심인 게임이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개</t>
    </r>
  </si>
  <si>
    <t>낮음</t>
  </si>
  <si>
    <r>
      <rPr>
        <sz val="11"/>
        <rFont val="Arial"/>
        <family val="2"/>
      </rPr>
      <t>Casual, Casino (Coin Master</t>
    </r>
    <r>
      <rPr>
        <sz val="11"/>
        <rFont val="Noto Sans CJK SC"/>
        <family val="2"/>
      </rPr>
      <t>의 슬롯</t>
    </r>
    <r>
      <rPr>
        <sz val="11"/>
        <rFont val="Arial"/>
        <family val="2"/>
      </rPr>
      <t>)</t>
    </r>
  </si>
  <si>
    <r>
      <rPr>
        <b/>
        <sz val="11"/>
        <rFont val="Arial"/>
        <family val="2"/>
      </rPr>
      <t xml:space="preserve">4. </t>
    </r>
    <r>
      <rPr>
        <b/>
        <sz val="11"/>
        <rFont val="Noto Sans CJK SC"/>
        <family val="2"/>
      </rPr>
      <t>전략</t>
    </r>
    <r>
      <rPr>
        <b/>
        <sz val="11"/>
        <rFont val="Arial"/>
        <family val="2"/>
      </rPr>
      <t xml:space="preserve">(4X </t>
    </r>
    <r>
      <rPr>
        <b/>
        <sz val="11"/>
        <rFont val="Noto Sans CJK SC"/>
        <family val="2"/>
      </rPr>
      <t>등</t>
    </r>
    <r>
      <rPr>
        <b/>
        <sz val="11"/>
        <rFont val="Arial"/>
        <family val="2"/>
      </rPr>
      <t>)</t>
    </r>
  </si>
  <si>
    <t>Whiteout Survival, Kingshot, Clash Royale</t>
  </si>
  <si>
    <t>Strategy</t>
  </si>
  <si>
    <t>장르 이름이 같음</t>
  </si>
  <si>
    <r>
      <rPr>
        <sz val="11"/>
        <rFont val="Arial"/>
        <family val="2"/>
      </rPr>
      <t xml:space="preserve">Multiplayer (Clash Royale </t>
    </r>
    <r>
      <rPr>
        <sz val="11"/>
        <rFont val="Noto Sans CJK SC"/>
        <family val="2"/>
      </rPr>
      <t>실시간 대전</t>
    </r>
    <r>
      <rPr>
        <sz val="11"/>
        <rFont val="Arial"/>
        <family val="2"/>
      </rPr>
      <t>)</t>
    </r>
  </si>
  <si>
    <r>
      <rPr>
        <b/>
        <sz val="11"/>
        <rFont val="Arial"/>
        <family val="2"/>
      </rPr>
      <t xml:space="preserve">5. </t>
    </r>
    <r>
      <rPr>
        <b/>
        <sz val="11"/>
        <rFont val="Noto Sans CJK SC"/>
        <family val="2"/>
      </rPr>
      <t>액션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슈팅</t>
    </r>
  </si>
  <si>
    <t>Free Fire, Fortnite, Brawl Stars</t>
  </si>
  <si>
    <t>Action</t>
  </si>
  <si>
    <r>
      <rPr>
        <sz val="11"/>
        <rFont val="Arial"/>
        <family val="2"/>
      </rPr>
      <t>Multiplayer (</t>
    </r>
    <r>
      <rPr>
        <sz val="11"/>
        <rFont val="Noto Sans CJK SC"/>
        <family val="2"/>
      </rPr>
      <t>실시간 대전</t>
    </r>
    <r>
      <rPr>
        <sz val="11"/>
        <rFont val="Arial"/>
        <family val="2"/>
      </rPr>
      <t>)</t>
    </r>
  </si>
  <si>
    <r>
      <rPr>
        <b/>
        <sz val="11"/>
        <rFont val="Arial"/>
        <family val="2"/>
      </rPr>
      <t xml:space="preserve">6. </t>
    </r>
    <r>
      <rPr>
        <b/>
        <sz val="11"/>
        <rFont val="Noto Sans CJK SC"/>
        <family val="2"/>
      </rPr>
      <t xml:space="preserve">캐릭터 </t>
    </r>
    <r>
      <rPr>
        <b/>
        <sz val="11"/>
        <rFont val="Arial"/>
        <family val="2"/>
      </rPr>
      <t>IP (</t>
    </r>
    <r>
      <rPr>
        <b/>
        <sz val="11"/>
        <rFont val="Noto Sans CJK SC"/>
        <family val="2"/>
      </rPr>
      <t>걷기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포획</t>
    </r>
    <r>
      <rPr>
        <b/>
        <sz val="11"/>
        <rFont val="Arial"/>
        <family val="2"/>
      </rPr>
      <t>)</t>
    </r>
  </si>
  <si>
    <t>Adventure</t>
  </si>
  <si>
    <r>
      <rPr>
        <sz val="11"/>
        <rFont val="Noto Sans CJK SC"/>
        <family val="2"/>
      </rPr>
      <t>밖을 돌아다니며 탐험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수집</t>
    </r>
  </si>
  <si>
    <t>Simulation</t>
  </si>
  <si>
    <r>
      <rPr>
        <b/>
        <sz val="11"/>
        <rFont val="Arial"/>
        <family val="2"/>
      </rPr>
      <t xml:space="preserve">6. </t>
    </r>
    <r>
      <rPr>
        <b/>
        <sz val="11"/>
        <rFont val="Noto Sans CJK SC"/>
        <family val="2"/>
      </rPr>
      <t xml:space="preserve">캐릭터 </t>
    </r>
    <r>
      <rPr>
        <b/>
        <sz val="11"/>
        <rFont val="Arial"/>
        <family val="2"/>
      </rPr>
      <t>IP (</t>
    </r>
    <r>
      <rPr>
        <b/>
        <sz val="11"/>
        <rFont val="Noto Sans CJK SC"/>
        <family val="2"/>
      </rPr>
      <t>카드</t>
    </r>
    <r>
      <rPr>
        <b/>
        <sz val="11"/>
        <rFont val="Arial"/>
        <family val="2"/>
      </rPr>
      <t>)</t>
    </r>
  </si>
  <si>
    <t>Card</t>
  </si>
  <si>
    <r>
      <rPr>
        <sz val="11"/>
        <rFont val="Noto Sans CJK SC"/>
        <family val="2"/>
      </rPr>
      <t>카드 수집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대전</t>
    </r>
  </si>
  <si>
    <t>—</t>
  </si>
  <si>
    <r>
      <rPr>
        <b/>
        <sz val="11"/>
        <rFont val="Arial"/>
        <family val="2"/>
      </rPr>
      <t xml:space="preserve">7. </t>
    </r>
    <r>
      <rPr>
        <b/>
        <sz val="11"/>
        <rFont val="Noto Sans CJK SC"/>
        <family val="2"/>
      </rPr>
      <t xml:space="preserve">한국식 </t>
    </r>
    <r>
      <rPr>
        <b/>
        <sz val="11"/>
        <rFont val="Arial"/>
        <family val="2"/>
      </rPr>
      <t>RPG</t>
    </r>
  </si>
  <si>
    <r>
      <rPr>
        <sz val="11"/>
        <rFont val="Noto Sans CJK SC"/>
        <family val="2"/>
      </rPr>
      <t xml:space="preserve">메이플스토리 방치형 </t>
    </r>
    <r>
      <rPr>
        <sz val="11"/>
        <rFont val="Arial"/>
        <family val="2"/>
      </rPr>
      <t xml:space="preserve">RPG, </t>
    </r>
    <r>
      <rPr>
        <sz val="11"/>
        <rFont val="Noto Sans CJK SC"/>
        <family val="2"/>
      </rPr>
      <t>트릭컬 리바이브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후더덕 서바이벌</t>
    </r>
  </si>
  <si>
    <t>Role Playing</t>
  </si>
  <si>
    <r>
      <rPr>
        <sz val="11"/>
        <rFont val="Noto Sans CJK SC"/>
        <family val="2"/>
      </rPr>
      <t>캐릭터 성장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전투가 핵심</t>
    </r>
  </si>
  <si>
    <r>
      <rPr>
        <sz val="11"/>
        <rFont val="Arial"/>
        <family val="2"/>
      </rPr>
      <t>Simulation (</t>
    </r>
    <r>
      <rPr>
        <sz val="11"/>
        <rFont val="Noto Sans CJK SC"/>
        <family val="2"/>
      </rPr>
      <t>방치형</t>
    </r>
    <r>
      <rPr>
        <sz val="11"/>
        <rFont val="Arial"/>
        <family val="2"/>
      </rPr>
      <t>), Action (</t>
    </r>
    <r>
      <rPr>
        <sz val="11"/>
        <rFont val="Noto Sans CJK SC"/>
        <family val="2"/>
      </rPr>
      <t>서바이벌류</t>
    </r>
    <r>
      <rPr>
        <sz val="11"/>
        <rFont val="Arial"/>
        <family val="2"/>
      </rPr>
      <t>)</t>
    </r>
  </si>
  <si>
    <r>
      <rPr>
        <i/>
        <sz val="11"/>
        <color rgb="FF595959"/>
        <rFont val="Noto Sans CJK SC"/>
        <family val="2"/>
      </rPr>
      <t>치이카와 포켓은 게임 방식을 확인하지 못해 연결하지 않았습니다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</si>
  <si>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 xml:space="preserve">GameAnalytics </t>
    </r>
    <r>
      <rPr>
        <i/>
        <sz val="11"/>
        <color rgb="FF595959"/>
        <rFont val="Noto Sans CJK SC"/>
        <family val="2"/>
      </rPr>
      <t xml:space="preserve">숫자는 이 회사 분석 도구를 쓰는 게임 </t>
    </r>
    <r>
      <rPr>
        <i/>
        <sz val="11"/>
        <color rgb="FF595959"/>
        <rFont val="Arial"/>
        <family val="2"/>
      </rPr>
      <t>11,600</t>
    </r>
    <r>
      <rPr>
        <i/>
        <sz val="11"/>
        <color rgb="FF595959"/>
        <rFont val="Noto Sans CJK SC"/>
        <family val="2"/>
      </rPr>
      <t>개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작은 개발사 게임 포함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장르 가운데 게임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값입니다</t>
    </r>
    <r>
      <rPr>
        <i/>
        <sz val="11"/>
        <color rgb="FF595959"/>
        <rFont val="Arial"/>
        <family val="2"/>
      </rPr>
      <t xml:space="preserve">. Top </t>
    </r>
    <r>
      <rPr>
        <i/>
        <sz val="11"/>
        <color rgb="FF595959"/>
        <rFont val="Noto Sans CJK SC"/>
        <family val="2"/>
      </rPr>
      <t xml:space="preserve">차트 게임의 실제 리텐션이 아니므로 </t>
    </r>
    <r>
      <rPr>
        <i/>
        <sz val="11"/>
        <color rgb="FF595959"/>
        <rFont val="Arial"/>
        <family val="2"/>
      </rPr>
      <t>'MVP</t>
    </r>
    <r>
      <rPr>
        <i/>
        <sz val="11"/>
        <color rgb="FF595959"/>
        <rFont val="Noto Sans CJK SC"/>
        <family val="2"/>
      </rPr>
      <t>가 최소한 넘어야 할 장르 보통선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으로만 쓰세요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</si>
  <si>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 xml:space="preserve">MVP </t>
    </r>
    <r>
      <rPr>
        <i/>
        <sz val="11"/>
        <color rgb="FF595959"/>
        <rFont val="Noto Sans CJK SC"/>
        <family val="2"/>
      </rPr>
      <t>합격선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 xml:space="preserve">전 장르 합산 상위 </t>
    </r>
    <r>
      <rPr>
        <i/>
        <sz val="11"/>
        <color rgb="FF595959"/>
        <rFont val="Arial"/>
        <family val="2"/>
      </rPr>
      <t>25%)</t>
    </r>
    <r>
      <rPr>
        <i/>
        <sz val="11"/>
        <color rgb="FF595959"/>
        <rFont val="Noto Sans CJK SC"/>
        <family val="2"/>
      </rPr>
      <t xml:space="preserve">은 </t>
    </r>
    <r>
      <rPr>
        <i/>
        <sz val="11"/>
        <color rgb="FF595959"/>
        <rFont val="Arial"/>
        <family val="2"/>
      </rPr>
      <t xml:space="preserve">'2-2 MVP </t>
    </r>
    <r>
      <rPr>
        <i/>
        <sz val="11"/>
        <color rgb="FF595959"/>
        <rFont val="Noto Sans CJK SC"/>
        <family val="2"/>
      </rPr>
      <t>검증 목표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시트에 있고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이 시트는 그와 별개인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같은 장르 보통 게임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참고값입니다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</si>
  <si>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신뢰도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중간 </t>
    </r>
    <r>
      <rPr>
        <i/>
        <sz val="11"/>
        <color rgb="FF595959"/>
        <rFont val="Arial"/>
        <family val="2"/>
      </rPr>
      <t xml:space="preserve">= </t>
    </r>
    <r>
      <rPr>
        <i/>
        <sz val="11"/>
        <color rgb="FF595959"/>
        <rFont val="Noto Sans CJK SC"/>
        <family val="2"/>
      </rPr>
      <t xml:space="preserve">놀이 방식이 장르 이름과 맞음 </t>
    </r>
    <r>
      <rPr>
        <i/>
        <sz val="11"/>
        <color rgb="FF595959"/>
        <rFont val="Arial"/>
        <family val="2"/>
      </rPr>
      <t xml:space="preserve">/ </t>
    </r>
    <r>
      <rPr>
        <i/>
        <sz val="11"/>
        <color rgb="FF595959"/>
        <rFont val="Noto Sans CJK SC"/>
        <family val="2"/>
      </rPr>
      <t xml:space="preserve">낮음 </t>
    </r>
    <r>
      <rPr>
        <i/>
        <sz val="11"/>
        <color rgb="FF595959"/>
        <rFont val="Arial"/>
        <family val="2"/>
      </rPr>
      <t xml:space="preserve">= </t>
    </r>
    <r>
      <rPr>
        <i/>
        <sz val="11"/>
        <color rgb="FF595959"/>
        <rFont val="Noto Sans CJK SC"/>
        <family val="2"/>
      </rPr>
      <t>그룹 안 게임들이 서로 다른 장르에 걸쳐 있음</t>
    </r>
    <r>
      <rPr>
        <i/>
        <sz val="11"/>
        <color rgb="FF595959"/>
        <rFont val="Arial"/>
        <family val="2"/>
      </rPr>
      <t>.</t>
    </r>
  </si>
  <si>
    <r>
      <rPr>
        <b/>
        <sz val="12"/>
        <rFont val="Arial"/>
        <family val="2"/>
      </rPr>
      <t>2</t>
    </r>
    <r>
      <rPr>
        <b/>
        <sz val="12"/>
        <rFont val="Noto Sans CJK SC"/>
        <family val="2"/>
      </rPr>
      <t xml:space="preserve">인 개발 </t>
    </r>
    <r>
      <rPr>
        <b/>
        <sz val="12"/>
        <rFont val="Arial"/>
        <family val="2"/>
      </rPr>
      <t xml:space="preserve">MVP </t>
    </r>
    <r>
      <rPr>
        <b/>
        <sz val="12"/>
        <rFont val="Noto Sans CJK SC"/>
        <family val="2"/>
      </rPr>
      <t xml:space="preserve">판단 — 미국 구글 플레이 매출 </t>
    </r>
    <r>
      <rPr>
        <b/>
        <sz val="12"/>
        <rFont val="Arial"/>
        <family val="2"/>
      </rPr>
      <t xml:space="preserve">Top100 + '③ </t>
    </r>
    <r>
      <rPr>
        <b/>
        <sz val="12"/>
        <rFont val="Noto Sans CJK SC"/>
        <family val="2"/>
      </rPr>
      <t>다운로드만 높음</t>
    </r>
    <r>
      <rPr>
        <b/>
        <sz val="12"/>
        <rFont val="Arial"/>
        <family val="2"/>
      </rPr>
      <t xml:space="preserve">' </t>
    </r>
    <r>
      <rPr>
        <b/>
        <sz val="12"/>
        <rFont val="Noto Sans CJK SC"/>
        <family val="2"/>
      </rPr>
      <t xml:space="preserve">게임 중 </t>
    </r>
    <r>
      <rPr>
        <b/>
        <sz val="12"/>
        <rFont val="Arial"/>
        <family val="2"/>
      </rPr>
      <t>2</t>
    </r>
    <r>
      <rPr>
        <b/>
        <sz val="12"/>
        <rFont val="Noto Sans CJK SC"/>
        <family val="2"/>
      </rPr>
      <t>명이 작게 만들 수 있는 후보 찾기</t>
    </r>
  </si>
  <si>
    <r>
      <rPr>
        <i/>
        <sz val="11"/>
        <color rgb="FF595959"/>
        <rFont val="Noto Sans CJK SC"/>
        <family val="2"/>
      </rPr>
      <t>읽는 법</t>
    </r>
    <r>
      <rPr>
        <i/>
        <sz val="11"/>
        <color rgb="FF595959"/>
        <rFont val="Arial"/>
        <family val="2"/>
      </rPr>
      <t xml:space="preserve">: ① </t>
    </r>
    <r>
      <rPr>
        <i/>
        <sz val="11"/>
        <color rgb="FF595959"/>
        <rFont val="Noto Sans CJK SC"/>
        <family val="2"/>
      </rPr>
      <t xml:space="preserve">세부 장르마다 </t>
    </r>
    <r>
      <rPr>
        <i/>
        <sz val="11"/>
        <color rgb="FF595959"/>
        <rFont val="Arial"/>
        <family val="2"/>
      </rPr>
      <t>5</t>
    </r>
    <r>
      <rPr>
        <i/>
        <sz val="11"/>
        <color rgb="FF595959"/>
        <rFont val="Noto Sans CJK SC"/>
        <family val="2"/>
      </rPr>
      <t xml:space="preserve">가지 기준을 </t>
    </r>
    <r>
      <rPr>
        <i/>
        <sz val="11"/>
        <color rgb="FF595959"/>
        <rFont val="Arial"/>
        <family val="2"/>
      </rPr>
      <t>1~5</t>
    </r>
    <r>
      <rPr>
        <i/>
        <sz val="11"/>
        <color rgb="FF595959"/>
        <rFont val="Noto Sans CJK SC"/>
        <family val="2"/>
      </rPr>
      <t>점</t>
    </r>
    <r>
      <rPr>
        <i/>
        <sz val="11"/>
        <color rgb="FF595959"/>
        <rFont val="Arial"/>
        <family val="2"/>
      </rPr>
      <t>(5</t>
    </r>
    <r>
      <rPr>
        <i/>
        <sz val="11"/>
        <color rgb="FF595959"/>
        <rFont val="Noto Sans CJK SC"/>
        <family val="2"/>
      </rPr>
      <t xml:space="preserve">점 </t>
    </r>
    <r>
      <rPr>
        <i/>
        <sz val="11"/>
        <color rgb="FF595959"/>
        <rFont val="Arial"/>
        <family val="2"/>
      </rPr>
      <t>= 2</t>
    </r>
    <r>
      <rPr>
        <i/>
        <sz val="11"/>
        <color rgb="FF595959"/>
        <rFont val="Noto Sans CJK SC"/>
        <family val="2"/>
      </rPr>
      <t>명이 하기 쉬움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으로 매김 → ② 가중치로 </t>
    </r>
    <r>
      <rPr>
        <i/>
        <sz val="11"/>
        <color rgb="FF595959"/>
        <rFont val="Arial"/>
        <family val="2"/>
      </rPr>
      <t>100</t>
    </r>
    <r>
      <rPr>
        <i/>
        <sz val="11"/>
        <color rgb="FF595959"/>
        <rFont val="Noto Sans CJK SC"/>
        <family val="2"/>
      </rPr>
      <t>점 만점 점수 계산 → ③ 게임은 자기 세부 장르의 점수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판정을 받음</t>
    </r>
    <r>
      <rPr>
        <i/>
        <sz val="11"/>
        <color rgb="FF595959"/>
        <rFont val="Arial"/>
        <family val="2"/>
      </rPr>
      <t xml:space="preserve">.  </t>
    </r>
    <r>
      <rPr>
        <i/>
        <sz val="11"/>
        <color rgb="FF595959"/>
        <rFont val="Noto Sans CJK SC"/>
        <family val="2"/>
      </rPr>
      <t xml:space="preserve">파란 글씨 </t>
    </r>
    <r>
      <rPr>
        <i/>
        <sz val="11"/>
        <color rgb="FF595959"/>
        <rFont val="Arial"/>
        <family val="2"/>
      </rPr>
      <t xml:space="preserve">= </t>
    </r>
    <r>
      <rPr>
        <i/>
        <sz val="11"/>
        <color rgb="FF595959"/>
        <rFont val="Noto Sans CJK SC"/>
        <family val="2"/>
      </rPr>
      <t>바꿀 수 있는 가정값</t>
    </r>
    <r>
      <rPr>
        <i/>
        <sz val="11"/>
        <color rgb="FF595959"/>
        <rFont val="Arial"/>
        <family val="2"/>
      </rPr>
      <t xml:space="preserve">,  </t>
    </r>
    <r>
      <rPr>
        <i/>
        <sz val="11"/>
        <color rgb="FF595959"/>
        <rFont val="Noto Sans CJK SC"/>
        <family val="2"/>
      </rPr>
      <t xml:space="preserve">노란 칸 </t>
    </r>
    <r>
      <rPr>
        <i/>
        <sz val="11"/>
        <color rgb="FF595959"/>
        <rFont val="Arial"/>
        <family val="2"/>
      </rPr>
      <t xml:space="preserve">= </t>
    </r>
    <r>
      <rPr>
        <i/>
        <sz val="11"/>
        <color rgb="FF595959"/>
        <rFont val="Noto Sans CJK SC"/>
        <family val="2"/>
      </rPr>
      <t>분석자 판단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추정</t>
    </r>
  </si>
  <si>
    <t>기준</t>
  </si>
  <si>
    <t>쉬운 뜻</t>
  </si>
  <si>
    <r>
      <rPr>
        <b/>
        <sz val="11"/>
        <color rgb="FFFFFFFF"/>
        <rFont val="Arial"/>
        <family val="2"/>
      </rPr>
      <t>5</t>
    </r>
    <r>
      <rPr>
        <b/>
        <sz val="11"/>
        <color rgb="FFFFFFFF"/>
        <rFont val="Noto Sans CJK SC"/>
        <family val="2"/>
      </rPr>
      <t xml:space="preserve">점 </t>
    </r>
    <r>
      <rPr>
        <b/>
        <sz val="11"/>
        <color rgb="FFFFFFFF"/>
        <rFont val="Arial"/>
        <family val="2"/>
      </rPr>
      <t>(2</t>
    </r>
    <r>
      <rPr>
        <b/>
        <sz val="11"/>
        <color rgb="FFFFFFFF"/>
        <rFont val="Noto Sans CJK SC"/>
        <family val="2"/>
      </rPr>
      <t>명이 하기 쉬움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</si>
  <si>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1</t>
    </r>
    <r>
      <rPr>
        <b/>
        <sz val="11"/>
        <color rgb="FFFFFFFF"/>
        <rFont val="Noto Sans CJK SC"/>
        <family val="2"/>
      </rPr>
      <t xml:space="preserve">점 </t>
    </r>
    <r>
      <rPr>
        <b/>
        <sz val="11"/>
        <color rgb="FFFFFFFF"/>
        <rFont val="Arial"/>
        <family val="2"/>
      </rPr>
      <t>(2</t>
    </r>
    <r>
      <rPr>
        <b/>
        <sz val="11"/>
        <color rgb="FFFFFFFF"/>
        <rFont val="Noto Sans CJK SC"/>
        <family val="2"/>
      </rPr>
      <t>명이 하기 어려움</t>
    </r>
    <r>
      <rPr>
        <b/>
        <sz val="11"/>
        <color rgb="FFFFFFFF"/>
        <rFont val="Arial"/>
        <family val="2"/>
      </rPr>
      <t>)</t>
    </r>
  </si>
  <si>
    <t>가중치</t>
  </si>
  <si>
    <t>판정</t>
  </si>
  <si>
    <r>
      <rPr>
        <b/>
        <sz val="11"/>
        <color rgb="FFFFFFFF"/>
        <rFont val="Noto Sans CJK SC"/>
        <family val="2"/>
      </rPr>
      <t xml:space="preserve">후보 게임 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</si>
  <si>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세부 장르 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</si>
  <si>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t>콘텐츠 양</t>
  </si>
  <si>
    <r>
      <rPr>
        <sz val="11"/>
        <rFont val="Noto Sans CJK SC"/>
        <family val="2"/>
      </rPr>
      <t>레벨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맵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캐릭터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이야기를 얼마나 많이 만들어야 하나</t>
    </r>
  </si>
  <si>
    <r>
      <rPr>
        <sz val="11"/>
        <rFont val="Noto Sans CJK SC"/>
        <family val="2"/>
      </rPr>
      <t xml:space="preserve">규칙 하나로 레벨을 자동으로 만들 수 있음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블록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정렬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솔리테어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</si>
  <si>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오픈월드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수십 명 캐릭터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긴 이야기</t>
    </r>
  </si>
  <si>
    <r>
      <rPr>
        <sz val="11"/>
        <rFont val="Arial"/>
        <family val="2"/>
      </rPr>
      <t>2</t>
    </r>
    <r>
      <rPr>
        <sz val="11"/>
        <rFont val="Noto Sans CJK SC"/>
        <family val="2"/>
      </rPr>
      <t>인 가능</t>
    </r>
  </si>
  <si>
    <t>서버 필요</t>
  </si>
  <si>
    <t>게임 서버를 따로 만들고 돌려야 하나</t>
  </si>
  <si>
    <r>
      <rPr>
        <sz val="11"/>
        <rFont val="Noto Sans CJK SC"/>
        <family val="2"/>
      </rPr>
      <t xml:space="preserve">인터넷 없이 혼자 플레이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저장만 기기에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</si>
  <si>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실시간 대전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연맹전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거래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서버가 꼭 필요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</si>
  <si>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조건부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범위를 줄이면</t>
    </r>
    <r>
      <rPr>
        <sz val="11"/>
        <rFont val="Arial"/>
        <family val="2"/>
      </rPr>
      <t>)</t>
    </r>
  </si>
  <si>
    <t>아트 양</t>
  </si>
  <si>
    <r>
      <rPr>
        <sz val="11"/>
        <rFont val="Noto Sans CJK SC"/>
        <family val="2"/>
      </rPr>
      <t>그림</t>
    </r>
    <r>
      <rPr>
        <sz val="11"/>
        <rFont val="Arial"/>
        <family val="2"/>
      </rPr>
      <t xml:space="preserve">·3D </t>
    </r>
    <r>
      <rPr>
        <sz val="11"/>
        <rFont val="Noto Sans CJK SC"/>
        <family val="2"/>
      </rPr>
      <t>모델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애니메이션이 얼마나 많이 필요한가</t>
    </r>
  </si>
  <si>
    <r>
      <rPr>
        <sz val="11"/>
        <rFont val="Arial"/>
        <family val="2"/>
      </rPr>
      <t xml:space="preserve">2D </t>
    </r>
    <r>
      <rPr>
        <sz val="11"/>
        <rFont val="Noto Sans CJK SC"/>
        <family val="2"/>
      </rPr>
      <t>도형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아이콘 위주</t>
    </r>
  </si>
  <si>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캐릭터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애니메이션 대량</t>
    </r>
  </si>
  <si>
    <r>
      <rPr>
        <sz val="11"/>
        <rFont val="Arial"/>
        <family val="2"/>
      </rPr>
      <t>2</t>
    </r>
    <r>
      <rPr>
        <sz val="11"/>
        <rFont val="Noto Sans CJK SC"/>
        <family val="2"/>
      </rPr>
      <t>인 어려움</t>
    </r>
  </si>
  <si>
    <t>라이브 운영 부담</t>
  </si>
  <si>
    <r>
      <rPr>
        <sz val="11"/>
        <rFont val="Noto Sans CJK SC"/>
        <family val="2"/>
      </rPr>
      <t>출시 뒤 이벤트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시즌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밸런스 패치를 얼마나 자주 해야 하나</t>
    </r>
  </si>
  <si>
    <t>업데이트가 거의 없어도 됨</t>
  </si>
  <si>
    <r>
      <rPr>
        <sz val="11"/>
        <rFont val="Noto Sans CJK SC"/>
        <family val="2"/>
      </rPr>
      <t>매주 이벤트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시즌 패스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밸런스 조정 필수</t>
    </r>
  </si>
  <si>
    <t>판단 보류</t>
  </si>
  <si>
    <r>
      <rPr>
        <b/>
        <sz val="11"/>
        <rFont val="Noto Sans CJK SC"/>
        <family val="2"/>
      </rPr>
      <t>심사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규제 부담</t>
    </r>
  </si>
  <si>
    <r>
      <rPr>
        <sz val="11"/>
        <rFont val="Noto Sans CJK SC"/>
        <family val="2"/>
      </rPr>
      <t>스토어 정책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나이 제한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확률 표시 같은 규칙이 얼마나 까다로운가</t>
    </r>
  </si>
  <si>
    <t>특별한 규제 없음</t>
  </si>
  <si>
    <r>
      <rPr>
        <sz val="11"/>
        <rFont val="Noto Sans CJK SC"/>
        <family val="2"/>
      </rPr>
      <t>도박류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소셜 카지노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리얼머니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정책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나라별 규제</t>
    </r>
  </si>
  <si>
    <t>합계</t>
  </si>
  <si>
    <r>
      <rPr>
        <b/>
        <sz val="11"/>
        <rFont val="Noto Sans CJK SC"/>
        <family val="2"/>
      </rPr>
      <t xml:space="preserve">가중치 합계 </t>
    </r>
    <r>
      <rPr>
        <b/>
        <sz val="11"/>
        <rFont val="Arial"/>
        <family val="2"/>
      </rPr>
      <t>(100%</t>
    </r>
    <r>
      <rPr>
        <b/>
        <sz val="11"/>
        <rFont val="Noto Sans CJK SC"/>
        <family val="2"/>
      </rPr>
      <t>가 되게</t>
    </r>
    <r>
      <rPr>
        <b/>
        <sz val="11"/>
        <rFont val="Arial"/>
        <family val="2"/>
      </rPr>
      <t>)</t>
    </r>
  </si>
  <si>
    <r>
      <rPr>
        <b/>
        <sz val="11"/>
        <rFont val="Arial"/>
        <family val="2"/>
      </rPr>
      <t>'2</t>
    </r>
    <r>
      <rPr>
        <b/>
        <sz val="11"/>
        <rFont val="Noto Sans CJK SC"/>
        <family val="2"/>
      </rPr>
      <t>인 가능</t>
    </r>
    <r>
      <rPr>
        <b/>
        <sz val="11"/>
        <rFont val="Arial"/>
        <family val="2"/>
      </rPr>
      <t xml:space="preserve">' </t>
    </r>
    <r>
      <rPr>
        <b/>
        <sz val="11"/>
        <rFont val="Noto Sans CJK SC"/>
        <family val="2"/>
      </rPr>
      <t xml:space="preserve">기준 점수 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이 점수 이상</t>
    </r>
    <r>
      <rPr>
        <b/>
        <sz val="11"/>
        <rFont val="Arial"/>
        <family val="2"/>
      </rPr>
      <t>)</t>
    </r>
  </si>
  <si>
    <r>
      <rPr>
        <i/>
        <sz val="11"/>
        <color rgb="FF595959"/>
        <rFont val="Noto Sans CJK SC"/>
        <family val="2"/>
      </rPr>
      <t>← 가중치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기준 점수는 분석자 제안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바꾸면 아래 점수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판정이 모두 자동으로 바뀜</t>
    </r>
  </si>
  <si>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>조건부</t>
    </r>
    <r>
      <rPr>
        <b/>
        <sz val="11"/>
        <rFont val="Arial"/>
        <family val="2"/>
      </rPr>
      <t xml:space="preserve">' </t>
    </r>
    <r>
      <rPr>
        <b/>
        <sz val="11"/>
        <rFont val="Noto Sans CJK SC"/>
        <family val="2"/>
      </rPr>
      <t xml:space="preserve">기준 점수 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이 점수 이상</t>
    </r>
    <r>
      <rPr>
        <b/>
        <sz val="11"/>
        <rFont val="Arial"/>
        <family val="2"/>
      </rPr>
      <t>)</t>
    </r>
  </si>
  <si>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 xml:space="preserve">점 항목이 하나라도 있으면 </t>
    </r>
    <r>
      <rPr>
        <b/>
        <sz val="11"/>
        <rFont val="Arial"/>
        <family val="2"/>
      </rPr>
      <t>'2</t>
    </r>
    <r>
      <rPr>
        <b/>
        <sz val="11"/>
        <rFont val="Noto Sans CJK SC"/>
        <family val="2"/>
      </rPr>
      <t>인 어려움</t>
    </r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 xml:space="preserve">으로 판정 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예</t>
    </r>
    <r>
      <rPr>
        <b/>
        <sz val="11"/>
        <rFont val="Arial"/>
        <family val="2"/>
      </rPr>
      <t>/</t>
    </r>
    <r>
      <rPr>
        <b/>
        <sz val="11"/>
        <rFont val="Noto Sans CJK SC"/>
        <family val="2"/>
      </rPr>
      <t>아니오</t>
    </r>
    <r>
      <rPr>
        <b/>
        <sz val="11"/>
        <rFont val="Arial"/>
        <family val="2"/>
      </rPr>
      <t>)</t>
    </r>
  </si>
  <si>
    <r>
      <rPr>
        <b/>
        <sz val="12"/>
        <rFont val="Noto Sans CJK SC"/>
        <family val="2"/>
      </rPr>
      <t xml:space="preserve">① 세부 장르 점수표 — </t>
    </r>
    <r>
      <rPr>
        <b/>
        <sz val="12"/>
        <rFont val="Arial"/>
        <family val="2"/>
      </rPr>
      <t>C~G</t>
    </r>
    <r>
      <rPr>
        <b/>
        <sz val="12"/>
        <rFont val="Noto Sans CJK SC"/>
        <family val="2"/>
      </rPr>
      <t>열 점수는 분석자 판단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노란 칸</t>
    </r>
    <r>
      <rPr>
        <b/>
        <sz val="12"/>
        <rFont val="Arial"/>
        <family val="2"/>
      </rPr>
      <t xml:space="preserve">). </t>
    </r>
    <r>
      <rPr>
        <b/>
        <sz val="12"/>
        <rFont val="Noto Sans CJK SC"/>
        <family val="2"/>
      </rPr>
      <t>장르의 일반적인 구조 기준이며 게임마다 다를 수 있음</t>
    </r>
  </si>
  <si>
    <t>대분류</t>
  </si>
  <si>
    <t>세부 장르</t>
  </si>
  <si>
    <r>
      <rPr>
        <b/>
        <sz val="11"/>
        <color rgb="FFFFFFFF"/>
        <rFont val="Noto Sans CJK SC"/>
        <family val="2"/>
      </rPr>
      <t>심사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규제 부담</t>
    </r>
  </si>
  <si>
    <r>
      <rPr>
        <b/>
        <sz val="11"/>
        <color rgb="FFFFFFFF"/>
        <rFont val="Noto Sans CJK SC"/>
        <family val="2"/>
      </rPr>
      <t xml:space="preserve">점수 </t>
    </r>
    <r>
      <rPr>
        <b/>
        <sz val="11"/>
        <color rgb="FFFFFFFF"/>
        <rFont val="Arial"/>
        <family val="2"/>
      </rPr>
      <t>(100</t>
    </r>
    <r>
      <rPr>
        <b/>
        <sz val="11"/>
        <color rgb="FFFFFFFF"/>
        <rFont val="Noto Sans CJK SC"/>
        <family val="2"/>
      </rPr>
      <t>점</t>
    </r>
    <r>
      <rPr>
        <b/>
        <sz val="11"/>
        <color rgb="FFFFFFFF"/>
        <rFont val="Arial"/>
        <family val="2"/>
      </rPr>
      <t xml:space="preserve">, 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</si>
  <si>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판정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</si>
  <si>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판단 근거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분석자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</si>
  <si>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찾기용 키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</si>
  <si>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t>전략</t>
  </si>
  <si>
    <t>4X·SLG</t>
  </si>
  <si>
    <r>
      <rPr>
        <sz val="11"/>
        <rFont val="Noto Sans CJK SC"/>
        <family val="2"/>
      </rPr>
      <t>연맹전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서버 시즌 운영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대규모 콘텐츠</t>
    </r>
  </si>
  <si>
    <t>퍼즐</t>
  </si>
  <si>
    <r>
      <rPr>
        <sz val="11"/>
        <rFont val="Noto Sans CJK SC"/>
        <family val="2"/>
      </rPr>
      <t>매치</t>
    </r>
    <r>
      <rPr>
        <sz val="11"/>
        <rFont val="Arial"/>
        <family val="2"/>
      </rPr>
      <t>3</t>
    </r>
  </si>
  <si>
    <r>
      <rPr>
        <sz val="11"/>
        <rFont val="Noto Sans CJK SC"/>
        <family val="2"/>
      </rPr>
      <t>수백</t>
    </r>
    <r>
      <rPr>
        <sz val="11"/>
        <rFont val="Arial"/>
        <family val="2"/>
      </rPr>
      <t>~</t>
    </r>
    <r>
      <rPr>
        <sz val="11"/>
        <rFont val="Noto Sans CJK SC"/>
        <family val="2"/>
      </rPr>
      <t>수천 판을 손으로 맞춰야 하고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매출 상위작은 꾸미기 메타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주간 이벤트가 큼</t>
    </r>
  </si>
  <si>
    <r>
      <rPr>
        <sz val="11"/>
        <rFont val="Noto Sans CJK SC"/>
        <family val="2"/>
      </rPr>
      <t>정렬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잼</t>
    </r>
  </si>
  <si>
    <r>
      <rPr>
        <sz val="11"/>
        <rFont val="Noto Sans CJK SC"/>
        <family val="2"/>
      </rPr>
      <t>색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물건을 옮겨 정렬하는 규칙 하나로 레벨을 자동 생성하기 쉬움</t>
    </r>
    <r>
      <rPr>
        <sz val="11"/>
        <rFont val="Arial"/>
        <family val="2"/>
      </rPr>
      <t xml:space="preserve">. 3D </t>
    </r>
    <r>
      <rPr>
        <sz val="11"/>
        <rFont val="Noto Sans CJK SC"/>
        <family val="2"/>
      </rPr>
      <t>잼류는 아트가 조금 더 듦</t>
    </r>
  </si>
  <si>
    <t>RPG</t>
  </si>
  <si>
    <r>
      <rPr>
        <sz val="11"/>
        <rFont val="Noto Sans CJK SC"/>
        <family val="2"/>
      </rPr>
      <t>수집형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가챠</t>
    </r>
    <r>
      <rPr>
        <sz val="11"/>
        <rFont val="Arial"/>
        <family val="2"/>
      </rPr>
      <t>) RPG</t>
    </r>
  </si>
  <si>
    <r>
      <rPr>
        <sz val="11"/>
        <rFont val="Noto Sans CJK SC"/>
        <family val="2"/>
      </rPr>
      <t>캐릭터 대량 제작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확률형 아이템 표시 의무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주간 운영</t>
    </r>
  </si>
  <si>
    <r>
      <rPr>
        <sz val="11"/>
        <rFont val="Noto Sans CJK SC"/>
        <family val="2"/>
      </rPr>
      <t>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카지노</t>
    </r>
  </si>
  <si>
    <t>소셜 카지노</t>
  </si>
  <si>
    <r>
      <rPr>
        <sz val="11"/>
        <rFont val="Noto Sans CJK SC"/>
        <family val="2"/>
      </rPr>
      <t>도박 모사 게임 정책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나이 제한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매일 이벤트</t>
    </r>
  </si>
  <si>
    <t>머지</t>
  </si>
  <si>
    <r>
      <rPr>
        <sz val="11"/>
        <rFont val="Noto Sans CJK SC"/>
        <family val="2"/>
      </rPr>
      <t>합칠 물건 그림이 아주 많고 이야기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이벤트 운영 부담이 큼</t>
    </r>
  </si>
  <si>
    <r>
      <rPr>
        <sz val="11"/>
        <rFont val="Noto Sans CJK SC"/>
        <family val="2"/>
      </rPr>
      <t>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주사위 소셜캐주얼</t>
    </r>
  </si>
  <si>
    <r>
      <rPr>
        <sz val="11"/>
        <rFont val="Noto Sans CJK SC"/>
        <family val="2"/>
      </rPr>
      <t>친구 이벤트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경제를 서버가 관리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매주 이벤트가 매출의 핵심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라이브 운영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점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</si>
  <si>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타일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마작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트리플 매치</t>
    </r>
  </si>
  <si>
    <r>
      <rPr>
        <sz val="11"/>
        <rFont val="Noto Sans CJK SC"/>
        <family val="2"/>
      </rPr>
      <t>타일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물건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그림 세트가 필요하지만 배치는 반자동 생성 가능</t>
    </r>
    <r>
      <rPr>
        <sz val="11"/>
        <rFont val="Arial"/>
        <family val="2"/>
      </rPr>
      <t xml:space="preserve">. 3D </t>
    </r>
    <r>
      <rPr>
        <sz val="11"/>
        <rFont val="Noto Sans CJK SC"/>
        <family val="2"/>
      </rPr>
      <t>물건형은 아트 부담↑</t>
    </r>
  </si>
  <si>
    <r>
      <rPr>
        <sz val="11"/>
        <rFont val="Noto Sans CJK SC"/>
        <family val="2"/>
      </rPr>
      <t>하이퍼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하이브리드 캐주얼</t>
    </r>
  </si>
  <si>
    <t>물리 파괴</t>
  </si>
  <si>
    <r>
      <rPr>
        <sz val="11"/>
        <rFont val="Noto Sans CJK SC"/>
        <family val="2"/>
      </rPr>
      <t>물리 엔진 손맛 조정이 핵심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저폴리 </t>
    </r>
    <r>
      <rPr>
        <sz val="11"/>
        <rFont val="Arial"/>
        <family val="2"/>
      </rPr>
      <t xml:space="preserve">3D, </t>
    </r>
    <r>
      <rPr>
        <sz val="11"/>
        <rFont val="Noto Sans CJK SC"/>
        <family val="2"/>
      </rPr>
      <t>레벨 수는 적어도 됨</t>
    </r>
  </si>
  <si>
    <r>
      <rPr>
        <sz val="11"/>
        <rFont val="Noto Sans CJK SC"/>
        <family val="2"/>
      </rPr>
      <t>액션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슈팅</t>
    </r>
  </si>
  <si>
    <t>배틀로얄</t>
  </si>
  <si>
    <r>
      <rPr>
        <sz val="11"/>
        <rFont val="Noto Sans CJK SC"/>
        <family val="2"/>
      </rPr>
      <t>실시간 대규모 대전 서버</t>
    </r>
    <r>
      <rPr>
        <sz val="11"/>
        <rFont val="Arial"/>
        <family val="2"/>
      </rPr>
      <t xml:space="preserve">, 3D </t>
    </r>
    <r>
      <rPr>
        <sz val="11"/>
        <rFont val="Noto Sans CJK SC"/>
        <family val="2"/>
      </rPr>
      <t>맵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무기</t>
    </r>
  </si>
  <si>
    <t>빙고</t>
  </si>
  <si>
    <r>
      <rPr>
        <sz val="11"/>
        <rFont val="Noto Sans CJK SC"/>
        <family val="2"/>
      </rPr>
      <t>여럿이 함께하는 방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이벤트 운영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도박 모사로 분류될 수 있음</t>
    </r>
  </si>
  <si>
    <t>솔리테어</t>
  </si>
  <si>
    <r>
      <rPr>
        <sz val="11"/>
        <rFont val="Noto Sans CJK SC"/>
        <family val="2"/>
      </rPr>
      <t>카드 배치 자동 생성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오프라인 가능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매출형은 맵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수집 메타가 붙음</t>
    </r>
  </si>
  <si>
    <t>블록</t>
  </si>
  <si>
    <r>
      <rPr>
        <sz val="11"/>
        <rFont val="Noto Sans CJK SC"/>
        <family val="2"/>
      </rPr>
      <t>끝없는 모드 중심이라 레벨 제작이 거의 없음</t>
    </r>
    <r>
      <rPr>
        <sz val="11"/>
        <rFont val="Arial"/>
        <family val="2"/>
      </rPr>
      <t xml:space="preserve">. 2D </t>
    </r>
    <r>
      <rPr>
        <sz val="11"/>
        <rFont val="Noto Sans CJK SC"/>
        <family val="2"/>
      </rPr>
      <t>블록 그래픽</t>
    </r>
  </si>
  <si>
    <t>수집형 오픈월드</t>
  </si>
  <si>
    <r>
      <rPr>
        <sz val="11"/>
        <rFont val="Noto Sans CJK SC"/>
        <family val="2"/>
      </rPr>
      <t xml:space="preserve">대형 </t>
    </r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세계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캐릭터 — 대형 스튜디오 규모</t>
    </r>
  </si>
  <si>
    <t>시뮬레이션</t>
  </si>
  <si>
    <r>
      <rPr>
        <sz val="11"/>
        <rFont val="Noto Sans CJK SC"/>
        <family val="2"/>
      </rPr>
      <t>농장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타운 빌딩</t>
    </r>
  </si>
  <si>
    <r>
      <rPr>
        <sz val="11"/>
        <rFont val="Noto Sans CJK SC"/>
        <family val="2"/>
      </rPr>
      <t>건물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아이템 수백 개와 꾸준한 이벤트</t>
    </r>
  </si>
  <si>
    <t>샌드박스</t>
  </si>
  <si>
    <r>
      <rPr>
        <sz val="11"/>
        <rFont val="Noto Sans CJK SC"/>
        <family val="2"/>
      </rPr>
      <t>블록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복셀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그래픽은 단순하지만 만들기 도구 범위가 넓음</t>
    </r>
  </si>
  <si>
    <t>트레이딩 카드</t>
  </si>
  <si>
    <r>
      <rPr>
        <sz val="11"/>
        <rFont val="Noto Sans CJK SC"/>
        <family val="2"/>
      </rPr>
      <t>카드 그림 수백 장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대전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거래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확률형 뽑기 서버</t>
    </r>
  </si>
  <si>
    <r>
      <rPr>
        <sz val="11"/>
        <rFont val="Noto Sans CJK SC"/>
        <family val="2"/>
      </rPr>
      <t>로직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두뇌 트릭</t>
    </r>
  </si>
  <si>
    <r>
      <rPr>
        <sz val="11"/>
        <rFont val="Noto Sans CJK SC"/>
        <family val="2"/>
      </rPr>
      <t>스도쿠류는 자동 생성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두뇌 트릭류는 판마다 아이디어를 손으로 만들어야 함</t>
    </r>
  </si>
  <si>
    <t>워드</t>
  </si>
  <si>
    <r>
      <rPr>
        <sz val="11"/>
        <rFont val="Noto Sans CJK SC"/>
        <family val="2"/>
      </rPr>
      <t>단어 데이터가 콘텐츠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나라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언어마다 단어 목록을 새로 만들어야 함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현지화 부담</t>
    </r>
    <r>
      <rPr>
        <sz val="11"/>
        <rFont val="Arial"/>
        <family val="2"/>
      </rPr>
      <t>)</t>
    </r>
  </si>
  <si>
    <t>탭 탈출</t>
  </si>
  <si>
    <r>
      <rPr>
        <sz val="11"/>
        <rFont val="Noto Sans CJK SC"/>
        <family val="2"/>
      </rPr>
      <t>화살표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블록을 탭해 빼내는 규칙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레벨 자동 생성 쉬움</t>
    </r>
    <r>
      <rPr>
        <sz val="11"/>
        <rFont val="Arial"/>
        <family val="2"/>
      </rPr>
      <t xml:space="preserve">, 2D </t>
    </r>
    <r>
      <rPr>
        <sz val="11"/>
        <rFont val="Noto Sans CJK SC"/>
        <family val="2"/>
      </rPr>
      <t>위주</t>
    </r>
  </si>
  <si>
    <t>하이브리드 캐주얼</t>
  </si>
  <si>
    <r>
      <rPr>
        <sz val="11"/>
        <rFont val="Noto Sans CJK SC"/>
        <family val="2"/>
      </rPr>
      <t xml:space="preserve">간단한 핵심 놀이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>성장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업그레이드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>메타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메타 설계 분량이 중간</t>
    </r>
  </si>
  <si>
    <t>확인 불가</t>
  </si>
  <si>
    <t>-</t>
  </si>
  <si>
    <t>장르를 확인하지 못한 게임 — 판단 보류</t>
  </si>
  <si>
    <r>
      <rPr>
        <sz val="11"/>
        <rFont val="Noto Sans CJK SC"/>
        <family val="2"/>
      </rPr>
      <t>오프라인 진행은 가능하지만 캐릭터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성장 경제 설계 분량이 큼</t>
    </r>
  </si>
  <si>
    <t>위치기반 수집</t>
  </si>
  <si>
    <r>
      <rPr>
        <sz val="11"/>
        <rFont val="Noto Sans CJK SC"/>
        <family val="2"/>
      </rPr>
      <t>지도 데이터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위치 서버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안전 정책</t>
    </r>
  </si>
  <si>
    <r>
      <rPr>
        <sz val="11"/>
        <rFont val="Noto Sans CJK SC"/>
        <family val="2"/>
      </rPr>
      <t>기타</t>
    </r>
    <r>
      <rPr>
        <sz val="11"/>
        <rFont val="Arial"/>
        <family val="2"/>
      </rPr>
      <t>(UGC·</t>
    </r>
    <r>
      <rPr>
        <sz val="11"/>
        <rFont val="Noto Sans CJK SC"/>
        <family val="2"/>
      </rPr>
      <t>리워드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</si>
  <si>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UGC </t>
    </r>
    <r>
      <rPr>
        <sz val="11"/>
        <rFont val="Noto Sans CJK SC"/>
        <family val="2"/>
      </rPr>
      <t>플랫폼</t>
    </r>
  </si>
  <si>
    <r>
      <rPr>
        <sz val="11"/>
        <rFont val="Noto Sans CJK SC"/>
        <family val="2"/>
      </rPr>
      <t>플랫폼 자체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사용자 제작 도구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서버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심사</t>
    </r>
    <r>
      <rPr>
        <sz val="11"/>
        <rFont val="Arial"/>
        <family val="2"/>
      </rPr>
      <t>)</t>
    </r>
    <r>
      <rPr>
        <sz val="11"/>
        <rFont val="Noto Sans CJK SC"/>
        <family val="2"/>
      </rPr>
      <t xml:space="preserve">라 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인 범위 밖</t>
    </r>
  </si>
  <si>
    <t>스포츠</t>
  </si>
  <si>
    <t>골프</t>
  </si>
  <si>
    <r>
      <rPr>
        <sz val="11"/>
        <rFont val="Noto Sans CJK SC"/>
        <family val="2"/>
      </rPr>
      <t xml:space="preserve">물리 손맛 </t>
    </r>
    <r>
      <rPr>
        <sz val="11"/>
        <rFont val="Arial"/>
        <family val="2"/>
      </rPr>
      <t xml:space="preserve">+ </t>
    </r>
    <r>
      <rPr>
        <sz val="11"/>
        <rFont val="Noto Sans CJK SC"/>
        <family val="2"/>
      </rPr>
      <t xml:space="preserve">코스 </t>
    </r>
    <r>
      <rPr>
        <sz val="11"/>
        <rFont val="Arial"/>
        <family val="2"/>
      </rPr>
      <t xml:space="preserve">3D. </t>
    </r>
    <r>
      <rPr>
        <sz val="11"/>
        <rFont val="Noto Sans CJK SC"/>
        <family val="2"/>
      </rPr>
      <t xml:space="preserve">상위작은 </t>
    </r>
    <r>
      <rPr>
        <sz val="11"/>
        <rFont val="Arial"/>
        <family val="2"/>
      </rPr>
      <t xml:space="preserve">1:1 </t>
    </r>
    <r>
      <rPr>
        <sz val="11"/>
        <rFont val="Noto Sans CJK SC"/>
        <family val="2"/>
      </rPr>
      <t>대전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서버</t>
    </r>
    <r>
      <rPr>
        <sz val="11"/>
        <rFont val="Arial"/>
        <family val="2"/>
      </rPr>
      <t>)</t>
    </r>
  </si>
  <si>
    <t>축구</t>
  </si>
  <si>
    <r>
      <rPr>
        <sz val="11"/>
        <rFont val="Noto Sans CJK SC"/>
        <family val="2"/>
      </rPr>
      <t>선수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리그 라이선스와 </t>
    </r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애니메이션</t>
    </r>
  </si>
  <si>
    <t>스나이퍼</t>
  </si>
  <si>
    <r>
      <rPr>
        <sz val="11"/>
        <rFont val="Noto Sans CJK SC"/>
        <family val="2"/>
      </rPr>
      <t xml:space="preserve">혼자 하는 미션형이면 서버 부담은 적지만 </t>
    </r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아트가 필요</t>
    </r>
  </si>
  <si>
    <t>팀 대전 슈터</t>
  </si>
  <si>
    <r>
      <rPr>
        <sz val="11"/>
        <rFont val="Noto Sans CJK SC"/>
        <family val="2"/>
      </rPr>
      <t>실시간 대전 서버</t>
    </r>
    <r>
      <rPr>
        <sz val="11"/>
        <rFont val="Arial"/>
        <family val="2"/>
      </rPr>
      <t xml:space="preserve">, 3D </t>
    </r>
    <r>
      <rPr>
        <sz val="11"/>
        <rFont val="Noto Sans CJK SC"/>
        <family val="2"/>
      </rPr>
      <t>캐릭터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맵</t>
    </r>
  </si>
  <si>
    <t>실시간 카드 배틀</t>
  </si>
  <si>
    <t>실시간 대전 서버와 밸런스 패치가 필수</t>
  </si>
  <si>
    <t>클래식 보드</t>
  </si>
  <si>
    <r>
      <rPr>
        <sz val="11"/>
        <rFont val="Noto Sans CJK SC"/>
        <family val="2"/>
      </rPr>
      <t>규칙은 이미 있음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온라인 대전이 핵심이면 서버 필요</t>
    </r>
    <r>
      <rPr>
        <sz val="11"/>
        <rFont val="Arial"/>
        <family val="2"/>
      </rPr>
      <t>(2</t>
    </r>
    <r>
      <rPr>
        <sz val="11"/>
        <rFont val="Noto Sans CJK SC"/>
        <family val="2"/>
      </rPr>
      <t>점</t>
    </r>
    <r>
      <rPr>
        <sz val="11"/>
        <rFont val="Arial"/>
        <family val="2"/>
      </rPr>
      <t xml:space="preserve">) — AI </t>
    </r>
    <r>
      <rPr>
        <sz val="11"/>
        <rFont val="Noto Sans CJK SC"/>
        <family val="2"/>
      </rPr>
      <t xml:space="preserve">상대로 줄이면 </t>
    </r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>가능</t>
    </r>
  </si>
  <si>
    <t>포커</t>
  </si>
  <si>
    <r>
      <rPr>
        <sz val="11"/>
        <rFont val="Noto Sans CJK SC"/>
        <family val="2"/>
      </rPr>
      <t>실시간 대전 서버 필수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도박 모사 규제</t>
    </r>
  </si>
  <si>
    <r>
      <rPr>
        <sz val="11"/>
        <rFont val="Noto Sans CJK SC"/>
        <family val="2"/>
      </rPr>
      <t>파티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음악</t>
    </r>
  </si>
  <si>
    <t>밈 챌린지</t>
  </si>
  <si>
    <r>
      <rPr>
        <sz val="11"/>
        <rFont val="Noto Sans CJK SC"/>
        <family val="2"/>
      </rPr>
      <t>유행 밈을 계속 바꿔야 함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운영</t>
    </r>
    <r>
      <rPr>
        <sz val="11"/>
        <rFont val="Arial"/>
        <family val="2"/>
      </rPr>
      <t xml:space="preserve">), </t>
    </r>
    <r>
      <rPr>
        <sz val="11"/>
        <rFont val="Noto Sans CJK SC"/>
        <family val="2"/>
      </rPr>
      <t>밈 저작권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초상권 위험</t>
    </r>
  </si>
  <si>
    <t>기타 퍼즐</t>
  </si>
  <si>
    <r>
      <rPr>
        <sz val="11"/>
        <rFont val="Arial"/>
        <family val="2"/>
      </rPr>
      <t>'</t>
    </r>
    <r>
      <rPr>
        <sz val="11"/>
        <rFont val="Noto Sans CJK SC"/>
        <family val="2"/>
      </rPr>
      <t>기타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로 묶인 장르라 한 번에 판단 불가 — 게임별 확인 필요</t>
    </r>
  </si>
  <si>
    <t>숨은그림</t>
  </si>
  <si>
    <t>판마다 큰 그림을 새로 그려야 해서 아트 부담이 가장 큼</t>
  </si>
  <si>
    <r>
      <rPr>
        <sz val="11"/>
        <rFont val="Noto Sans CJK SC"/>
        <family val="2"/>
      </rPr>
      <t>픽셀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컬러 아트</t>
    </r>
  </si>
  <si>
    <r>
      <rPr>
        <sz val="11"/>
        <rFont val="Noto Sans CJK SC"/>
        <family val="2"/>
      </rPr>
      <t>그림 자료가 곧 콘텐츠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그림을 자동 변환하면 양은 줄일 수 있음</t>
    </r>
  </si>
  <si>
    <r>
      <rPr>
        <sz val="11"/>
        <rFont val="Noto Sans CJK SC"/>
        <family val="2"/>
      </rPr>
      <t>군중 러너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디펜스</t>
    </r>
  </si>
  <si>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군중 표현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성능 최적화가 필요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레벨은 반복 구조</t>
    </r>
  </si>
  <si>
    <r>
      <rPr>
        <b/>
        <sz val="12"/>
        <rFont val="Arial"/>
        <family val="2"/>
      </rPr>
      <t>② 2</t>
    </r>
    <r>
      <rPr>
        <b/>
        <sz val="12"/>
        <rFont val="Noto Sans CJK SC"/>
        <family val="2"/>
      </rPr>
      <t>인 개발 추천 후보 — 게임 선택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역할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기간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꼭 넣을 것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주의점은 모두 분석자 제안</t>
    </r>
    <r>
      <rPr>
        <b/>
        <sz val="12"/>
        <rFont val="Arial"/>
        <family val="2"/>
      </rPr>
      <t>/</t>
    </r>
    <r>
      <rPr>
        <b/>
        <sz val="12"/>
        <rFont val="Noto Sans CJK SC"/>
        <family val="2"/>
      </rPr>
      <t xml:space="preserve">추정 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점수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순위는 수식으로 가져옴</t>
    </r>
    <r>
      <rPr>
        <b/>
        <sz val="12"/>
        <rFont val="Arial"/>
        <family val="2"/>
      </rPr>
      <t>)</t>
    </r>
  </si>
  <si>
    <t>게임명</t>
  </si>
  <si>
    <r>
      <rPr>
        <b/>
        <sz val="11"/>
        <color rgb="FFFFFFFF"/>
        <rFont val="Noto Sans CJK SC"/>
        <family val="2"/>
      </rPr>
      <t xml:space="preserve">세부 장르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</si>
  <si>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매출 순위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</si>
  <si>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무료 순위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</si>
  <si>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점수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</si>
  <si>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 xml:space="preserve">3-3 </t>
    </r>
    <r>
      <rPr>
        <b/>
        <sz val="11"/>
        <color rgb="FFFFFFFF"/>
        <rFont val="Noto Sans CJK SC"/>
        <family val="2"/>
      </rPr>
      <t xml:space="preserve">유형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</si>
  <si>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2</t>
    </r>
    <r>
      <rPr>
        <b/>
        <sz val="11"/>
        <color rgb="FFFFFFFF"/>
        <rFont val="Noto Sans CJK SC"/>
        <family val="2"/>
      </rPr>
      <t xml:space="preserve">인 역할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분석자 가정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</si>
  <si>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 xml:space="preserve">MVP </t>
    </r>
    <r>
      <rPr>
        <b/>
        <sz val="11"/>
        <color rgb="FFFFFFFF"/>
        <rFont val="Noto Sans CJK SC"/>
        <family val="2"/>
      </rPr>
      <t xml:space="preserve">기간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분석자 추정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</si>
  <si>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MVP</t>
    </r>
    <r>
      <rPr>
        <b/>
        <sz val="11"/>
        <color rgb="FFFFFFFF"/>
        <rFont val="Noto Sans CJK SC"/>
        <family val="2"/>
      </rPr>
      <t xml:space="preserve">에 꼭 넣을 것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분석자 제안</t>
    </r>
    <r>
      <rPr>
        <b/>
        <sz val="11"/>
        <color rgb="FFFFFFFF"/>
        <rFont val="Arial"/>
        <family val="2"/>
      </rPr>
      <t>)</t>
    </r>
  </si>
  <si>
    <t>주의점</t>
  </si>
  <si>
    <r>
      <rPr>
        <sz val="11"/>
        <rFont val="Noto Sans CJK SC"/>
        <family val="2"/>
      </rPr>
      <t xml:space="preserve">개발 </t>
    </r>
    <r>
      <rPr>
        <sz val="11"/>
        <rFont val="Arial"/>
        <family val="2"/>
      </rPr>
      <t xml:space="preserve">1 + </t>
    </r>
    <r>
      <rPr>
        <sz val="11"/>
        <rFont val="Noto Sans CJK SC"/>
        <family val="2"/>
      </rPr>
      <t>기획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아트 </t>
    </r>
    <r>
      <rPr>
        <sz val="11"/>
        <rFont val="Arial"/>
        <family val="2"/>
      </rPr>
      <t>1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</si>
  <si>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2"/>
      </rPr>
      <t>2~3</t>
    </r>
    <r>
      <rPr>
        <sz val="11"/>
        <rFont val="Noto Sans CJK SC"/>
        <family val="2"/>
      </rPr>
      <t>개월</t>
    </r>
  </si>
  <si>
    <r>
      <rPr>
        <sz val="11"/>
        <rFont val="Noto Sans CJK SC"/>
        <family val="2"/>
      </rPr>
      <t>물 색 정렬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레벨 자동 생성기와 난이도 곡선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보상형 광고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되돌리기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병 추가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</si>
  <si>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Liftoff 2025 </t>
    </r>
    <r>
      <rPr>
        <sz val="11"/>
        <rFont val="Noto Sans CJK SC"/>
        <family val="2"/>
      </rPr>
      <t xml:space="preserve">보고서가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물 정렬 퍼즐 첫 하이브리드 캐주얼 성공작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으로 소개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같은 규칙 경쟁작이 많아 차별점 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개가 필요</t>
    </r>
  </si>
  <si>
    <t>Match Factory!</t>
  </si>
  <si>
    <r>
      <rPr>
        <sz val="11"/>
        <rFont val="Noto Sans CJK SC"/>
        <family val="2"/>
      </rPr>
      <t xml:space="preserve">개발 </t>
    </r>
    <r>
      <rPr>
        <sz val="11"/>
        <rFont val="Arial"/>
        <family val="2"/>
      </rPr>
      <t xml:space="preserve">1 + 3D </t>
    </r>
    <r>
      <rPr>
        <sz val="11"/>
        <rFont val="Noto Sans CJK SC"/>
        <family val="2"/>
      </rPr>
      <t>아트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기획 </t>
    </r>
    <r>
      <rPr>
        <sz val="11"/>
        <rFont val="Arial"/>
        <family val="2"/>
      </rPr>
      <t>1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</si>
  <si>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2"/>
      </rPr>
      <t>3~4</t>
    </r>
    <r>
      <rPr>
        <sz val="11"/>
        <rFont val="Noto Sans CJK SC"/>
        <family val="2"/>
      </rPr>
      <t>개월</t>
    </r>
  </si>
  <si>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 xml:space="preserve">물건 </t>
    </r>
    <r>
      <rPr>
        <sz val="11"/>
        <rFont val="Arial"/>
        <family val="2"/>
      </rPr>
      <t>3</t>
    </r>
    <r>
      <rPr>
        <sz val="11"/>
        <rFont val="Noto Sans CJK SC"/>
        <family val="2"/>
      </rPr>
      <t>개 모으기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물건 모델 세트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에셋 구매 검토</t>
    </r>
    <r>
      <rPr>
        <sz val="11"/>
        <rFont val="Arial"/>
        <family val="2"/>
      </rPr>
      <t xml:space="preserve">), </t>
    </r>
    <r>
      <rPr>
        <sz val="11"/>
        <rFont val="Noto Sans CJK SC"/>
        <family val="2"/>
      </rPr>
      <t>시간 제한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부스터</t>
    </r>
  </si>
  <si>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물건 아트가 가장 큰 일 — 에셋 구매 여부가 기간을 좌우</t>
    </r>
  </si>
  <si>
    <t>Cube Land Puzzle Game</t>
  </si>
  <si>
    <r>
      <rPr>
        <sz val="11"/>
        <rFont val="Noto Sans CJK SC"/>
        <family val="2"/>
      </rPr>
      <t>블록 놓기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줄 지우기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점수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콤보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끝없는 모드와 광고</t>
    </r>
  </si>
  <si>
    <r>
      <rPr>
        <sz val="11"/>
        <rFont val="Arial"/>
        <family val="2"/>
      </rPr>
      <t xml:space="preserve">Block Blast!·Woodoku Blast </t>
    </r>
    <r>
      <rPr>
        <sz val="11"/>
        <rFont val="Noto Sans CJK SC"/>
        <family val="2"/>
      </rPr>
      <t>같은 강자가 무료 상위에 있음</t>
    </r>
    <r>
      <rPr>
        <sz val="11"/>
        <rFont val="Arial"/>
        <family val="2"/>
      </rPr>
      <t xml:space="preserve">(1-2) — </t>
    </r>
    <r>
      <rPr>
        <sz val="11"/>
        <rFont val="Noto Sans CJK SC"/>
        <family val="2"/>
      </rPr>
      <t>테마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연출 차별화 필요</t>
    </r>
  </si>
  <si>
    <t>Tiki Solitaire TriPeaks</t>
  </si>
  <si>
    <r>
      <rPr>
        <sz val="11"/>
        <rFont val="Noto Sans CJK SC"/>
        <family val="2"/>
      </rPr>
      <t>트라이픽스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카드 배치 자동 생성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테마 배경 몇 개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부스터</t>
    </r>
  </si>
  <si>
    <r>
      <rPr>
        <sz val="11"/>
        <rFont val="Noto Sans CJK SC"/>
        <family val="2"/>
      </rPr>
      <t>매출 상위 솔리테어는 맵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수집 메타가 있음 — </t>
    </r>
    <r>
      <rPr>
        <sz val="11"/>
        <rFont val="Arial"/>
        <family val="2"/>
      </rPr>
      <t xml:space="preserve">MVP </t>
    </r>
    <r>
      <rPr>
        <sz val="11"/>
        <rFont val="Noto Sans CJK SC"/>
        <family val="2"/>
      </rPr>
      <t>뒤에 메타를 붙이는 순서</t>
    </r>
  </si>
  <si>
    <t>Royal Smash! - Physics Puzzle</t>
  </si>
  <si>
    <r>
      <rPr>
        <sz val="11"/>
        <rFont val="Noto Sans CJK SC"/>
        <family val="2"/>
      </rPr>
      <t>물리 파괴 손맛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짧은 레벨 묶음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보상형 광고</t>
    </r>
  </si>
  <si>
    <r>
      <rPr>
        <sz val="11"/>
        <rFont val="Noto Sans CJK SC"/>
        <family val="2"/>
      </rPr>
      <t xml:space="preserve">물리 튜닝과 </t>
    </r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저폴리 아트가 개발 부담의 중심</t>
    </r>
  </si>
  <si>
    <t>Arrow Puzzle: Tap Puzzle Games</t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</si>
  <si>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2"/>
      </rPr>
      <t>1.5~2.5</t>
    </r>
    <r>
      <rPr>
        <sz val="11"/>
        <rFont val="Noto Sans CJK SC"/>
        <family val="2"/>
      </rPr>
      <t>개월</t>
    </r>
  </si>
  <si>
    <r>
      <rPr>
        <sz val="11"/>
        <rFont val="Noto Sans CJK SC"/>
        <family val="2"/>
      </rPr>
      <t>화살표 방향대로 탭해서 빼내기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레벨 생성기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힌트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광고 보고 받기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</si>
  <si>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2"/>
      </rPr>
      <t xml:space="preserve">Top100 </t>
    </r>
    <r>
      <rPr>
        <sz val="11"/>
        <rFont val="Noto Sans CJK SC"/>
        <family val="2"/>
      </rPr>
      <t>밖</t>
    </r>
    <r>
      <rPr>
        <sz val="11"/>
        <rFont val="Arial"/>
        <family val="2"/>
      </rPr>
      <t xml:space="preserve">(③ </t>
    </r>
    <r>
      <rPr>
        <sz val="11"/>
        <rFont val="Noto Sans CJK SC"/>
        <family val="2"/>
      </rPr>
      <t>유형</t>
    </r>
    <r>
      <rPr>
        <sz val="11"/>
        <rFont val="Arial"/>
        <family val="2"/>
      </rPr>
      <t xml:space="preserve">) → </t>
    </r>
    <r>
      <rPr>
        <sz val="11"/>
        <rFont val="Noto Sans CJK SC"/>
        <family val="2"/>
      </rPr>
      <t>광고 수익형일 가능성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 xml:space="preserve">). </t>
    </r>
    <r>
      <rPr>
        <sz val="11"/>
        <rFont val="Noto Sans CJK SC"/>
        <family val="2"/>
      </rPr>
      <t>결제 매출 기대는 낮게</t>
    </r>
  </si>
  <si>
    <t>Solitaire Associations Journey</t>
  </si>
  <si>
    <r>
      <rPr>
        <sz val="11"/>
        <rFont val="Noto Sans CJK SC"/>
        <family val="2"/>
      </rPr>
      <t>단어 묶음 카드 규칙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영어 단어 데이터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하루 한 판 퍼즐</t>
    </r>
  </si>
  <si>
    <r>
      <rPr>
        <sz val="11"/>
        <rFont val="Noto Sans CJK SC"/>
        <family val="2"/>
      </rPr>
      <t>언어마다 단어 데이터를 새로 만들어야 함 — 처음엔 영어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미국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만</t>
    </r>
  </si>
  <si>
    <r>
      <rPr>
        <i/>
        <sz val="11"/>
        <color rgb="FF595959"/>
        <rFont val="Noto Sans CJK SC"/>
        <family val="2"/>
      </rPr>
      <t xml:space="preserve">이 표는 </t>
    </r>
    <r>
      <rPr>
        <i/>
        <sz val="11"/>
        <color rgb="FF595959"/>
        <rFont val="Arial"/>
        <family val="2"/>
      </rPr>
      <t>'2</t>
    </r>
    <r>
      <rPr>
        <i/>
        <sz val="11"/>
        <color rgb="FF595959"/>
        <rFont val="Noto Sans CJK SC"/>
        <family val="2"/>
      </rPr>
      <t xml:space="preserve">명이 </t>
    </r>
    <r>
      <rPr>
        <i/>
        <sz val="11"/>
        <color rgb="FF595959"/>
        <rFont val="Arial"/>
        <family val="2"/>
      </rPr>
      <t>MVP(</t>
    </r>
    <r>
      <rPr>
        <i/>
        <sz val="11"/>
        <color rgb="FF595959"/>
        <rFont val="Noto Sans CJK SC"/>
        <family val="2"/>
      </rPr>
      <t>최소 기능 제품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>를 만들 수 있나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만 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돈을 벌 수 있는지는 매출 순위</t>
    </r>
    <r>
      <rPr>
        <i/>
        <sz val="11"/>
        <color rgb="FF595959"/>
        <rFont val="Arial"/>
        <family val="2"/>
      </rPr>
      <t>(4-5)·</t>
    </r>
    <r>
      <rPr>
        <i/>
        <sz val="11"/>
        <color rgb="FF595959"/>
        <rFont val="Noto Sans CJK SC"/>
        <family val="2"/>
      </rPr>
      <t>광고 대비 유입</t>
    </r>
    <r>
      <rPr>
        <i/>
        <sz val="11"/>
        <color rgb="FF595959"/>
        <rFont val="Arial"/>
        <family val="2"/>
      </rPr>
      <t>(3-1)·</t>
    </r>
    <r>
      <rPr>
        <i/>
        <sz val="11"/>
        <color rgb="FF595959"/>
        <rFont val="Noto Sans CJK SC"/>
        <family val="2"/>
      </rPr>
      <t>마케팅 실행안</t>
    </r>
    <r>
      <rPr>
        <i/>
        <sz val="11"/>
        <color rgb="FF595959"/>
        <rFont val="Arial"/>
        <family val="2"/>
      </rPr>
      <t xml:space="preserve">(3-4, </t>
    </r>
    <r>
      <rPr>
        <i/>
        <sz val="11"/>
        <color rgb="FF595959"/>
        <rFont val="Noto Sans CJK SC"/>
        <family val="2"/>
      </rPr>
      <t>다음 단계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>에서 따로 봅니다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</si>
  <si>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 xml:space="preserve">후보 </t>
    </r>
    <r>
      <rPr>
        <i/>
        <sz val="11"/>
        <color rgb="FF595959"/>
        <rFont val="Arial"/>
        <family val="2"/>
      </rPr>
      <t xml:space="preserve">= </t>
    </r>
    <r>
      <rPr>
        <i/>
        <sz val="11"/>
        <color rgb="FF595959"/>
        <rFont val="Noto Sans CJK SC"/>
        <family val="2"/>
      </rPr>
      <t xml:space="preserve">매출 </t>
    </r>
    <r>
      <rPr>
        <i/>
        <sz val="11"/>
        <color rgb="FF595959"/>
        <rFont val="Arial"/>
        <family val="2"/>
      </rPr>
      <t xml:space="preserve">Top100 </t>
    </r>
    <r>
      <rPr>
        <i/>
        <sz val="11"/>
        <color rgb="FF595959"/>
        <rFont val="Noto Sans CJK SC"/>
        <family val="2"/>
      </rPr>
      <t xml:space="preserve">안 게임 </t>
    </r>
    <r>
      <rPr>
        <i/>
        <sz val="11"/>
        <color rgb="FF595959"/>
        <rFont val="Arial"/>
        <family val="2"/>
      </rPr>
      <t xml:space="preserve">+ 3-3 </t>
    </r>
    <r>
      <rPr>
        <i/>
        <sz val="11"/>
        <color rgb="FF595959"/>
        <rFont val="Noto Sans CJK SC"/>
        <family val="2"/>
      </rPr>
      <t xml:space="preserve">분류가 </t>
    </r>
    <r>
      <rPr>
        <i/>
        <sz val="11"/>
        <color rgb="FF595959"/>
        <rFont val="Arial"/>
        <family val="2"/>
      </rPr>
      <t xml:space="preserve">'③ </t>
    </r>
    <r>
      <rPr>
        <i/>
        <sz val="11"/>
        <color rgb="FF595959"/>
        <rFont val="Noto Sans CJK SC"/>
        <family val="2"/>
      </rPr>
      <t>다운로드만 높음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인 게임 </t>
    </r>
    <r>
      <rPr>
        <i/>
        <sz val="11"/>
        <color rgb="FF595959"/>
        <rFont val="Arial"/>
        <family val="2"/>
      </rPr>
      <t>(G</t>
    </r>
    <r>
      <rPr>
        <i/>
        <sz val="11"/>
        <color rgb="FF595959"/>
        <rFont val="Noto Sans CJK SC"/>
        <family val="2"/>
      </rPr>
      <t>열 수식</t>
    </r>
    <r>
      <rPr>
        <i/>
        <sz val="11"/>
        <color rgb="FF595959"/>
        <rFont val="Arial"/>
        <family val="2"/>
      </rPr>
      <t xml:space="preserve">). '4-6 </t>
    </r>
    <r>
      <rPr>
        <i/>
        <sz val="11"/>
        <color rgb="FF595959"/>
        <rFont val="Noto Sans CJK SC"/>
        <family val="2"/>
      </rPr>
      <t>매출</t>
    </r>
    <r>
      <rPr>
        <i/>
        <sz val="11"/>
        <color rgb="FF595959"/>
        <rFont val="Arial"/>
        <family val="2"/>
      </rPr>
      <t>-</t>
    </r>
    <r>
      <rPr>
        <i/>
        <sz val="11"/>
        <color rgb="FF595959"/>
        <rFont val="Noto Sans CJK SC"/>
        <family val="2"/>
      </rPr>
      <t>다운로드 비교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>)'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 xml:space="preserve">B2·B3 </t>
    </r>
    <r>
      <rPr>
        <i/>
        <sz val="11"/>
        <color rgb="FF595959"/>
        <rFont val="Noto Sans CJK SC"/>
        <family val="2"/>
      </rPr>
      <t>기준값을 바꾸면 ③ 후보도 함께 바뀝니다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</si>
  <si>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 xml:space="preserve">세부 장르는 </t>
    </r>
    <r>
      <rPr>
        <i/>
        <sz val="11"/>
        <color rgb="FF595959"/>
        <rFont val="Arial"/>
        <family val="2"/>
      </rPr>
      <t xml:space="preserve">'4-5 </t>
    </r>
    <r>
      <rPr>
        <i/>
        <sz val="11"/>
        <color rgb="FF595959"/>
        <rFont val="Noto Sans CJK SC"/>
        <family val="2"/>
      </rPr>
      <t xml:space="preserve">매출 </t>
    </r>
    <r>
      <rPr>
        <i/>
        <sz val="11"/>
        <color rgb="FF595959"/>
        <rFont val="Arial"/>
        <family val="2"/>
      </rPr>
      <t>Top100(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 xml:space="preserve">)' → </t>
    </r>
    <r>
      <rPr>
        <i/>
        <sz val="11"/>
        <color rgb="FF595959"/>
        <rFont val="Noto Sans CJK SC"/>
        <family val="2"/>
      </rPr>
      <t xml:space="preserve">없으면 </t>
    </r>
    <r>
      <rPr>
        <i/>
        <sz val="11"/>
        <color rgb="FF595959"/>
        <rFont val="Arial"/>
        <family val="2"/>
      </rPr>
      <t>'4-4 Google Play Top100(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>)'</t>
    </r>
    <r>
      <rPr>
        <i/>
        <sz val="11"/>
        <color rgb="FF595959"/>
        <rFont val="Noto Sans CJK SC"/>
        <family val="2"/>
      </rPr>
      <t>에서 찾습니다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수식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세 시트 모두 시장조사</t>
    </r>
    <r>
      <rPr>
        <i/>
        <sz val="11"/>
        <color rgb="FF595959"/>
        <rFont val="Arial"/>
        <family val="2"/>
      </rPr>
      <t>.xlsx</t>
    </r>
    <r>
      <rPr>
        <i/>
        <sz val="11"/>
        <color rgb="FF595959"/>
        <rFont val="Noto Sans CJK SC"/>
        <family val="2"/>
      </rPr>
      <t>의 참조용 복사본입니다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</si>
  <si>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세부 장르 점수</t>
    </r>
    <r>
      <rPr>
        <i/>
        <sz val="11"/>
        <color rgb="FF595959"/>
        <rFont val="Arial"/>
        <family val="2"/>
      </rPr>
      <t>(C~G</t>
    </r>
    <r>
      <rPr>
        <i/>
        <sz val="11"/>
        <color rgb="FF595959"/>
        <rFont val="Noto Sans CJK SC"/>
        <family val="2"/>
      </rPr>
      <t>열</t>
    </r>
    <r>
      <rPr>
        <i/>
        <sz val="11"/>
        <color rgb="FF595959"/>
        <rFont val="Arial"/>
        <family val="2"/>
      </rPr>
      <t>)·</t>
    </r>
    <r>
      <rPr>
        <i/>
        <sz val="11"/>
        <color rgb="FF595959"/>
        <rFont val="Noto Sans CJK SC"/>
        <family val="2"/>
      </rPr>
      <t>역할</t>
    </r>
    <r>
      <rPr>
        <i/>
        <sz val="11"/>
        <color rgb="FF595959"/>
        <rFont val="Arial"/>
        <family val="2"/>
      </rPr>
      <t xml:space="preserve">·MVP </t>
    </r>
    <r>
      <rPr>
        <i/>
        <sz val="11"/>
        <color rgb="FF595959"/>
        <rFont val="Noto Sans CJK SC"/>
        <family val="2"/>
      </rPr>
      <t>기간은 분석자 판단</t>
    </r>
    <r>
      <rPr>
        <i/>
        <sz val="11"/>
        <color rgb="FF595959"/>
        <rFont val="Arial"/>
        <family val="2"/>
      </rPr>
      <t>/</t>
    </r>
    <r>
      <rPr>
        <i/>
        <sz val="11"/>
        <color rgb="FF595959"/>
        <rFont val="Noto Sans CJK SC"/>
        <family val="2"/>
      </rPr>
      <t>추정이며 근거 수치가 없습니다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실제 게임별 개발 인원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기간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개발비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매출액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비공개 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공개 자료로 확인 불가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</si>
  <si>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Noto Sans CJK SC"/>
        <family val="2"/>
      </rPr>
      <t>공개 자료로 대신 쓸 수 있는 지표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>매출 순위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무료 순위</t>
    </r>
    <r>
      <rPr>
        <i/>
        <sz val="11"/>
        <color rgb="FF595959"/>
        <rFont val="Arial"/>
        <family val="2"/>
      </rPr>
      <t xml:space="preserve">(AppBrain, 2026-10-04), AppBrain </t>
    </r>
    <r>
      <rPr>
        <i/>
        <sz val="11"/>
        <color rgb="FF595959"/>
        <rFont val="Noto Sans CJK SC"/>
        <family val="2"/>
      </rPr>
      <t>추정 누적 설치 수</t>
    </r>
    <r>
      <rPr>
        <i/>
        <sz val="11"/>
        <color rgb="FF595959"/>
        <rFont val="Arial"/>
        <family val="2"/>
      </rPr>
      <t>(3-3 D</t>
    </r>
    <r>
      <rPr>
        <i/>
        <sz val="11"/>
        <color rgb="FF595959"/>
        <rFont val="Noto Sans CJK SC"/>
        <family val="2"/>
      </rPr>
      <t>열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추정</t>
    </r>
    <r>
      <rPr>
        <i/>
        <sz val="11"/>
        <color rgb="FF595959"/>
        <rFont val="Arial"/>
        <family val="2"/>
      </rPr>
      <t xml:space="preserve">), </t>
    </r>
    <r>
      <rPr>
        <i/>
        <sz val="11"/>
        <color rgb="FF595959"/>
        <rFont val="Noto Sans CJK SC"/>
        <family val="2"/>
      </rPr>
      <t>스토어 출시일</t>
    </r>
    <r>
      <rPr>
        <i/>
        <sz val="11"/>
        <color rgb="FF595959"/>
        <rFont val="Arial"/>
        <family val="2"/>
      </rPr>
      <t>(3-3 G</t>
    </r>
    <r>
      <rPr>
        <i/>
        <sz val="11"/>
        <color rgb="FF595959"/>
        <rFont val="Noto Sans CJK SC"/>
        <family val="2"/>
      </rPr>
      <t>열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대부분 미조사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</si>
  <si>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Arial"/>
        <family val="2"/>
      </rPr>
      <t>'1</t>
    </r>
    <r>
      <rPr>
        <i/>
        <sz val="11"/>
        <color rgb="FF595959"/>
        <rFont val="Noto Sans CJK SC"/>
        <family val="2"/>
      </rPr>
      <t>점 항목이 있으면 어려움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규칙</t>
    </r>
    <r>
      <rPr>
        <i/>
        <sz val="11"/>
        <color rgb="FF595959"/>
        <rFont val="Arial"/>
        <family val="2"/>
      </rPr>
      <t>(E14)</t>
    </r>
    <r>
      <rPr>
        <i/>
        <sz val="11"/>
        <color rgb="FF595959"/>
        <rFont val="Noto Sans CJK SC"/>
        <family val="2"/>
      </rPr>
      <t>은 실시간 서버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 xml:space="preserve">대형 콘텐츠처럼 하나만 있어도 </t>
    </r>
    <r>
      <rPr>
        <i/>
        <sz val="11"/>
        <color rgb="FF595959"/>
        <rFont val="Arial"/>
        <family val="2"/>
      </rPr>
      <t>2</t>
    </r>
    <r>
      <rPr>
        <i/>
        <sz val="11"/>
        <color rgb="FF595959"/>
        <rFont val="Noto Sans CJK SC"/>
        <family val="2"/>
      </rPr>
      <t>명이 감당하기 어려운 경우를 거르려는 분석자 제안입니다</t>
    </r>
    <r>
      <rPr>
        <i/>
        <sz val="11"/>
        <color rgb="FF595959"/>
        <rFont val="Arial"/>
        <family val="2"/>
      </rPr>
      <t>. '</t>
    </r>
    <r>
      <rPr>
        <i/>
        <sz val="11"/>
        <color rgb="FF595959"/>
        <rFont val="Noto Sans CJK SC"/>
        <family val="2"/>
      </rPr>
      <t>아니오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로 바꾸면 점수만으로 판정합니다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</si>
  <si>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 xml:space="preserve">아래 ③ 전체 목록은 </t>
    </r>
    <r>
      <rPr>
        <i/>
        <sz val="11"/>
        <color rgb="FF595959"/>
        <rFont val="Arial"/>
        <family val="2"/>
      </rPr>
      <t>3-3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>172</t>
    </r>
    <r>
      <rPr>
        <i/>
        <sz val="11"/>
        <color rgb="FF595959"/>
        <rFont val="Noto Sans CJK SC"/>
        <family val="2"/>
      </rPr>
      <t>개 게임 전부이며</t>
    </r>
    <r>
      <rPr>
        <i/>
        <sz val="11"/>
        <color rgb="FF595959"/>
        <rFont val="Arial"/>
        <family val="2"/>
      </rPr>
      <t>, '</t>
    </r>
    <r>
      <rPr>
        <i/>
        <sz val="11"/>
        <color rgb="FF595959"/>
        <rFont val="Noto Sans CJK SC"/>
        <family val="2"/>
      </rPr>
      <t>후보 아님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줄은 점수를 매기지 않습니다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맨 위 머리 줄의 필터로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후보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만 골라 볼 수 있습니다</t>
    </r>
    <r>
      <rPr>
        <i/>
        <sz val="11"/>
        <color rgb="FF595959"/>
        <rFont val="Arial"/>
        <family val="2"/>
      </rPr>
      <t>.</t>
    </r>
  </si>
  <si>
    <r>
      <rPr>
        <b/>
        <sz val="12"/>
        <rFont val="Noto Sans CJK SC"/>
        <family val="2"/>
      </rPr>
      <t xml:space="preserve">③ 전체 게임 목록 </t>
    </r>
    <r>
      <rPr>
        <b/>
        <sz val="12"/>
        <rFont val="Arial"/>
        <family val="2"/>
      </rPr>
      <t>(3-3</t>
    </r>
    <r>
      <rPr>
        <b/>
        <sz val="12"/>
        <rFont val="Noto Sans CJK SC"/>
        <family val="2"/>
      </rPr>
      <t xml:space="preserve">의 </t>
    </r>
    <r>
      <rPr>
        <b/>
        <sz val="12"/>
        <rFont val="Arial"/>
        <family val="2"/>
      </rPr>
      <t>172</t>
    </r>
    <r>
      <rPr>
        <b/>
        <sz val="12"/>
        <rFont val="Noto Sans CJK SC"/>
        <family val="2"/>
      </rPr>
      <t>개</t>
    </r>
    <r>
      <rPr>
        <b/>
        <sz val="12"/>
        <rFont val="Arial"/>
        <family val="2"/>
      </rPr>
      <t xml:space="preserve">) — </t>
    </r>
    <r>
      <rPr>
        <b/>
        <sz val="12"/>
        <rFont val="Noto Sans CJK SC"/>
        <family val="2"/>
      </rPr>
      <t>장르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순위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유형은 참조 시트에서 수식으로 가져옴</t>
    </r>
  </si>
  <si>
    <r>
      <rPr>
        <b/>
        <sz val="11"/>
        <color rgb="FFFFFFFF"/>
        <rFont val="Noto Sans CJK SC"/>
        <family val="2"/>
      </rPr>
      <t xml:space="preserve">대분류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</si>
  <si>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후보 여부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</si>
  <si>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t>Roblox</t>
  </si>
  <si>
    <t>Gossip Harbor: Merge &amp; Story</t>
  </si>
  <si>
    <t>Township</t>
  </si>
  <si>
    <t>Last War:Survival Game</t>
  </si>
  <si>
    <t>DRAGON BALL Z DOKKAN BATTLE</t>
  </si>
  <si>
    <t>Toon Blast</t>
  </si>
  <si>
    <t>Total Battle: War Strategy</t>
  </si>
  <si>
    <t>Last Z: Survival Shooter</t>
  </si>
  <si>
    <t>Evony: The King's Return</t>
  </si>
  <si>
    <t>RAID: Shadow Legends</t>
  </si>
  <si>
    <t>Gardenscapes</t>
  </si>
  <si>
    <t>Bingo Blitz - Bingo Games</t>
  </si>
  <si>
    <t>Jackpot Party Casino Slots</t>
  </si>
  <si>
    <t>Last Asylum: Plague</t>
  </si>
  <si>
    <t>Fishdom</t>
  </si>
  <si>
    <t>Cashman Casino Slots Games</t>
  </si>
  <si>
    <t>Free Fire x NARUTO SHIPPUDEN</t>
  </si>
  <si>
    <t>Tasty Travels: Merge Game</t>
  </si>
  <si>
    <t>Clash of Clans</t>
  </si>
  <si>
    <t>Candy Crush Soda Saga</t>
  </si>
  <si>
    <t>Lightning Link Casino Slots</t>
  </si>
  <si>
    <t>Sword x Staff</t>
  </si>
  <si>
    <t>Pixel Flow!</t>
  </si>
  <si>
    <t>Lotsa Slots - Casino Games</t>
  </si>
  <si>
    <t>Homescapes</t>
  </si>
  <si>
    <t>Dark War Survival</t>
  </si>
  <si>
    <t>Yarn Loop</t>
  </si>
  <si>
    <t>Honkai: Star Rail</t>
  </si>
  <si>
    <t>Solitaire Grand Harvest</t>
  </si>
  <si>
    <t>Wuthering Waves</t>
  </si>
  <si>
    <t>Disney Solitaire</t>
  </si>
  <si>
    <t>Coin Master - Board Adventure</t>
  </si>
  <si>
    <t>Mystery Town: Merge Games</t>
  </si>
  <si>
    <t>Cash Frenzy - Casino Slots</t>
  </si>
  <si>
    <t>Puzzles &amp; Survival</t>
  </si>
  <si>
    <t>All in Hole: Black Hole Games</t>
  </si>
  <si>
    <t>Z Route: Redemption</t>
  </si>
  <si>
    <t>Slots: Heart of Vegas Casino</t>
  </si>
  <si>
    <t>Flambé: Merge &amp; Cook</t>
  </si>
  <si>
    <t>Merge Cooking</t>
  </si>
  <si>
    <t>Matching Story - Puzzle Games</t>
  </si>
  <si>
    <t>Hay Day</t>
  </si>
  <si>
    <t>June's Journey: Hidden Objects</t>
  </si>
  <si>
    <t>Magic: The Gathering Arena</t>
  </si>
  <si>
    <t>Quick Hit Casino Slots Games</t>
  </si>
  <si>
    <t>Travel Town - Merge Adventure</t>
  </si>
  <si>
    <t>PUBG MOBILE</t>
  </si>
  <si>
    <t>Puzzles &amp; Chaos: Frozen Castle</t>
  </si>
  <si>
    <t>GODDESS OF VICTORY: NIKKE</t>
  </si>
  <si>
    <t>Bingo Voyage - Live Bingo Game</t>
  </si>
  <si>
    <t>Colony Flow!</t>
  </si>
  <si>
    <t>Lordrush</t>
  </si>
  <si>
    <t>eFootball</t>
  </si>
  <si>
    <t>Minecraft: Dream it, Build it!</t>
  </si>
  <si>
    <t>Hollywood Merge</t>
  </si>
  <si>
    <t>Piggy Kingdom</t>
  </si>
  <si>
    <t>MARVEL Strike Force: Squad RPG</t>
  </si>
  <si>
    <t>Golf Clash - Golfing Simulator</t>
  </si>
  <si>
    <t>Bingo Frenzy-Live Bingo Games</t>
  </si>
  <si>
    <t>Clash of Critters</t>
  </si>
  <si>
    <t>WSOP Poker: Texas Holdem Game</t>
  </si>
  <si>
    <t>Toy Blast</t>
  </si>
  <si>
    <t>Jackpot World - Slots Casino</t>
  </si>
  <si>
    <t>Yalla Ludo - Ludo&amp;Jackaroo</t>
  </si>
  <si>
    <t>Hole Stars: Puzzle Game</t>
  </si>
  <si>
    <t>Hunting Sniper</t>
  </si>
  <si>
    <t>Color Block Jam</t>
  </si>
  <si>
    <t>Star Wars: Galaxy of Heroes</t>
  </si>
  <si>
    <t>Fate/Grand Order (English)</t>
  </si>
  <si>
    <t>Yahtzee With Buddies: Dice</t>
  </si>
  <si>
    <t>Hero Wars: Alliance RPG Legend</t>
  </si>
  <si>
    <t>Police Chief</t>
  </si>
  <si>
    <t>Bus Traffic Fever!</t>
  </si>
  <si>
    <t>Rise of Kingdoms: Lost Crusade</t>
  </si>
  <si>
    <t>Star Trek Fleet Command</t>
  </si>
  <si>
    <t>Seaside Escape: Merge &amp; Story</t>
  </si>
  <si>
    <t>Loop Sort</t>
  </si>
  <si>
    <t>Angry Birds 2</t>
  </si>
  <si>
    <t>Match Masters</t>
  </si>
  <si>
    <t>Genshin Impact 6th Anniversary</t>
  </si>
  <si>
    <t>Meowdoku: Brain Puzzle Games</t>
  </si>
  <si>
    <t>Smash Land!</t>
  </si>
  <si>
    <t>MemeMix Challenge: Funny Party</t>
  </si>
  <si>
    <t>Brain Puzzle 3: Crazy Mind</t>
  </si>
  <si>
    <t>Woodoku Blast</t>
  </si>
  <si>
    <t>Amaze GO!</t>
  </si>
  <si>
    <t>Block Craft 3D: Building Game</t>
  </si>
  <si>
    <t>Word Search Explorer</t>
  </si>
  <si>
    <t>Fish Sort Puzzle</t>
  </si>
  <si>
    <t>Mahjong Blast</t>
  </si>
  <si>
    <t>Pocket Sort: Coin Merge Puzzle</t>
  </si>
  <si>
    <t>Castle Busters</t>
  </si>
  <si>
    <t>Bulldozer Master: Crush &amp; Mine</t>
  </si>
  <si>
    <t>Mob Control</t>
  </si>
  <si>
    <t>CubeAway - 3DPuzzle</t>
  </si>
  <si>
    <t>Paper.io 2</t>
  </si>
  <si>
    <t>Magic Tiles 3 - Piano Game</t>
  </si>
  <si>
    <t>Arrows – Puzzle Escape</t>
  </si>
  <si>
    <t>8 Ball Pool</t>
  </si>
  <si>
    <t>Sled Surfers</t>
  </si>
  <si>
    <t>Jigsawcard Solitaire Puzzle</t>
  </si>
  <si>
    <t>Color by Number: Coloring Games</t>
  </si>
  <si>
    <t>Warline: Sniper Strike</t>
  </si>
  <si>
    <t>Color Block: Combo Blast</t>
  </si>
  <si>
    <t>Brainy Escape Quest</t>
  </si>
  <si>
    <t>CarLoop</t>
  </si>
  <si>
    <t>Solitaire - Classic Card Games</t>
  </si>
  <si>
    <t>Slow Mo Strike: Knives in Time</t>
  </si>
  <si>
    <t>Idle Cat Gunner: Shooter RPG</t>
  </si>
  <si>
    <t>Subway Surfers</t>
  </si>
  <si>
    <t>Word Tiles - Relaxing Puzzle</t>
  </si>
  <si>
    <t>Geometry Dash Lite</t>
  </si>
  <si>
    <t>Mahjong Master: Daily Match</t>
  </si>
  <si>
    <t>Search It - Hidden Objects</t>
  </si>
  <si>
    <t>Happy Color: Color by Number</t>
  </si>
  <si>
    <t>Apex Sniper: Animal Hunt</t>
  </si>
  <si>
    <t>Toca Boca World</t>
  </si>
  <si>
    <t>Among Us</t>
  </si>
  <si>
    <t>Ball Sort Puzzle - Color Game</t>
  </si>
  <si>
    <t>EA SPORTS FC Soccer Mobile 27</t>
  </si>
  <si>
    <t>Hidden Object Games: Seek It</t>
  </si>
  <si>
    <t>Aniimo</t>
  </si>
  <si>
    <t>Tiki Smash!</t>
  </si>
  <si>
    <t>Block Crush!</t>
  </si>
  <si>
    <t>Word Connect Association</t>
  </si>
  <si>
    <t>Melon Sandbox</t>
  </si>
  <si>
    <t>Double Tile!</t>
  </si>
  <si>
    <t>Brain Puzzle 2: Logic Twist</t>
  </si>
  <si>
    <t>Frost Valley: Merge &amp; Story</t>
  </si>
  <si>
    <t>Solitaire</t>
  </si>
  <si>
    <t>Food Hunt: Pixel Puzzle</t>
  </si>
  <si>
    <t>Angry Smash</t>
  </si>
  <si>
    <t>Screw Out 3D: Nut Sort Jam</t>
  </si>
  <si>
    <t>Crossword Go!</t>
  </si>
  <si>
    <t>Treasure Master</t>
  </si>
  <si>
    <t>Car Evolve</t>
  </si>
  <si>
    <t>Offline Games - No Wifi Games</t>
  </si>
  <si>
    <t>Loop Master: Color Jam Sort</t>
  </si>
  <si>
    <t>Freddy Playground Sandbox</t>
  </si>
  <si>
    <t>Wordscapes Search: Word Games</t>
  </si>
  <si>
    <t>Last Extract</t>
  </si>
  <si>
    <t>Vigor Mahjong</t>
  </si>
  <si>
    <t>Solar Smash</t>
  </si>
  <si>
    <t>GOGO! Blast</t>
  </si>
  <si>
    <t>Annoying Uncle Punch Game</t>
  </si>
  <si>
    <t>Food Sort: Puzzle Game</t>
  </si>
  <si>
    <t>Fast Cash Farkle</t>
  </si>
  <si>
    <t>Bloons Blitz</t>
  </si>
  <si>
    <r>
      <rPr>
        <b/>
        <sz val="12"/>
        <rFont val="Noto Sans CJK SC"/>
        <family val="2"/>
      </rPr>
      <t xml:space="preserve">광고 대비 유입 — 광고비 → 설치 수 → </t>
    </r>
    <r>
      <rPr>
        <b/>
        <sz val="12"/>
        <rFont val="Arial"/>
        <family val="2"/>
      </rPr>
      <t>D1·D7·D30</t>
    </r>
    <r>
      <rPr>
        <b/>
        <sz val="12"/>
        <rFont val="Noto Sans CJK SC"/>
        <family val="2"/>
      </rPr>
      <t>에 다시 오는 사람 수</t>
    </r>
  </si>
  <si>
    <r>
      <rPr>
        <i/>
        <sz val="11"/>
        <color rgb="FF595959"/>
        <rFont val="Noto Sans CJK SC"/>
        <family val="2"/>
      </rPr>
      <t>읽는 법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광고비 </t>
    </r>
    <r>
      <rPr>
        <i/>
        <sz val="11"/>
        <color rgb="FF595959"/>
        <rFont val="Arial"/>
        <family val="2"/>
      </rPr>
      <t>÷ CPI(</t>
    </r>
    <r>
      <rPr>
        <i/>
        <sz val="11"/>
        <color rgb="FF595959"/>
        <rFont val="Noto Sans CJK SC"/>
        <family val="2"/>
      </rPr>
      <t xml:space="preserve">설치 </t>
    </r>
    <r>
      <rPr>
        <i/>
        <sz val="11"/>
        <color rgb="FF595959"/>
        <rFont val="Arial"/>
        <family val="2"/>
      </rPr>
      <t>1</t>
    </r>
    <r>
      <rPr>
        <i/>
        <sz val="11"/>
        <color rgb="FF595959"/>
        <rFont val="Noto Sans CJK SC"/>
        <family val="2"/>
      </rPr>
      <t>번에 드는 광고비</t>
    </r>
    <r>
      <rPr>
        <i/>
        <sz val="11"/>
        <color rgb="FF595959"/>
        <rFont val="Arial"/>
        <family val="2"/>
      </rPr>
      <t xml:space="preserve">) = </t>
    </r>
    <r>
      <rPr>
        <i/>
        <sz val="11"/>
        <color rgb="FF595959"/>
        <rFont val="Noto Sans CJK SC"/>
        <family val="2"/>
      </rPr>
      <t xml:space="preserve">설치 수 → 설치 수 </t>
    </r>
    <r>
      <rPr>
        <i/>
        <sz val="11"/>
        <color rgb="FF595959"/>
        <rFont val="Arial"/>
        <family val="2"/>
      </rPr>
      <t xml:space="preserve">× </t>
    </r>
    <r>
      <rPr>
        <i/>
        <sz val="11"/>
        <color rgb="FF595959"/>
        <rFont val="Noto Sans CJK SC"/>
        <family val="2"/>
      </rPr>
      <t>리텐션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며칠 뒤 다시 오는 비율</t>
    </r>
    <r>
      <rPr>
        <i/>
        <sz val="11"/>
        <color rgb="FF595959"/>
        <rFont val="Arial"/>
        <family val="2"/>
      </rPr>
      <t xml:space="preserve">) = </t>
    </r>
    <r>
      <rPr>
        <i/>
        <sz val="11"/>
        <color rgb="FF595959"/>
        <rFont val="Noto Sans CJK SC"/>
        <family val="2"/>
      </rPr>
      <t>그날 남는 사람 수</t>
    </r>
    <r>
      <rPr>
        <i/>
        <sz val="11"/>
        <color rgb="FF595959"/>
        <rFont val="Arial"/>
        <family val="2"/>
      </rPr>
      <t xml:space="preserve">.  </t>
    </r>
    <r>
      <rPr>
        <i/>
        <sz val="11"/>
        <color rgb="FF595959"/>
        <rFont val="Noto Sans CJK SC"/>
        <family val="2"/>
      </rPr>
      <t xml:space="preserve">파란 글씨 </t>
    </r>
    <r>
      <rPr>
        <i/>
        <sz val="11"/>
        <color rgb="FF595959"/>
        <rFont val="Arial"/>
        <family val="2"/>
      </rPr>
      <t xml:space="preserve">= </t>
    </r>
    <r>
      <rPr>
        <i/>
        <sz val="11"/>
        <color rgb="FF595959"/>
        <rFont val="Noto Sans CJK SC"/>
        <family val="2"/>
      </rPr>
      <t>바꿀 수 있는 가정값</t>
    </r>
    <r>
      <rPr>
        <i/>
        <sz val="11"/>
        <color rgb="FF595959"/>
        <rFont val="Arial"/>
        <family val="2"/>
      </rPr>
      <t xml:space="preserve">,  </t>
    </r>
    <r>
      <rPr>
        <i/>
        <sz val="11"/>
        <color rgb="FF595959"/>
        <rFont val="Noto Sans CJK SC"/>
        <family val="2"/>
      </rPr>
      <t xml:space="preserve">노란 칸 </t>
    </r>
    <r>
      <rPr>
        <i/>
        <sz val="11"/>
        <color rgb="FF595959"/>
        <rFont val="Arial"/>
        <family val="2"/>
      </rPr>
      <t>= 2</t>
    </r>
    <r>
      <rPr>
        <i/>
        <sz val="11"/>
        <color rgb="FF595959"/>
        <rFont val="Noto Sans CJK SC"/>
        <family val="2"/>
      </rPr>
      <t>차 인용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섞인 가정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확인 불가</t>
    </r>
  </si>
  <si>
    <r>
      <rPr>
        <b/>
        <sz val="11"/>
        <rFont val="Noto Sans CJK SC"/>
        <family val="2"/>
      </rPr>
      <t xml:space="preserve">꼭 읽을 주의점 </t>
    </r>
    <r>
      <rPr>
        <b/>
        <sz val="11"/>
        <rFont val="Arial"/>
        <family val="2"/>
      </rPr>
      <t>3</t>
    </r>
    <r>
      <rPr>
        <b/>
        <sz val="11"/>
        <rFont val="Noto Sans CJK SC"/>
        <family val="2"/>
      </rPr>
      <t>가지</t>
    </r>
  </si>
  <si>
    <r>
      <rPr>
        <sz val="11"/>
        <rFont val="Noto Sans CJK SC"/>
        <family val="2"/>
      </rPr>
      <t xml:space="preserve">① 출처마다 </t>
    </r>
    <r>
      <rPr>
        <sz val="11"/>
        <rFont val="Arial"/>
        <family val="2"/>
      </rPr>
      <t>CPI</t>
    </r>
    <r>
      <rPr>
        <sz val="11"/>
        <rFont val="Noto Sans CJK SC"/>
        <family val="2"/>
      </rPr>
      <t xml:space="preserve">가 </t>
    </r>
    <r>
      <rPr>
        <sz val="11"/>
        <rFont val="Arial"/>
        <family val="2"/>
      </rPr>
      <t>10</t>
    </r>
    <r>
      <rPr>
        <sz val="11"/>
        <rFont val="Noto Sans CJK SC"/>
        <family val="2"/>
      </rPr>
      <t>배 넘게 달라요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>예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 xml:space="preserve">같은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캐주얼 게임 </t>
    </r>
    <r>
      <rPr>
        <sz val="11"/>
        <rFont val="Arial"/>
        <family val="2"/>
      </rPr>
      <t>Android'</t>
    </r>
    <r>
      <rPr>
        <sz val="11"/>
        <rFont val="Noto Sans CJK SC"/>
        <family val="2"/>
      </rPr>
      <t xml:space="preserve">가 </t>
    </r>
    <r>
      <rPr>
        <sz val="11"/>
        <rFont val="Arial"/>
        <family val="2"/>
      </rPr>
      <t xml:space="preserve">Liftoff </t>
    </r>
    <r>
      <rPr>
        <sz val="11"/>
        <rFont val="Noto Sans CJK SC"/>
        <family val="2"/>
      </rPr>
      <t xml:space="preserve">원문은 </t>
    </r>
    <r>
      <rPr>
        <sz val="11"/>
        <rFont val="Arial"/>
        <family val="2"/>
      </rPr>
      <t>$0.14</t>
    </r>
    <r>
      <rPr>
        <sz val="11"/>
        <rFont val="Noto Sans CJK SC"/>
        <family val="2"/>
      </rPr>
      <t>인데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 xml:space="preserve">한 </t>
    </r>
    <r>
      <rPr>
        <sz val="11"/>
        <rFont val="Arial"/>
        <family val="2"/>
      </rPr>
      <t>2026</t>
    </r>
    <r>
      <rPr>
        <sz val="11"/>
        <rFont val="Noto Sans CJK SC"/>
        <family val="2"/>
      </rPr>
      <t>년 블로그</t>
    </r>
    <r>
      <rPr>
        <sz val="11"/>
        <rFont val="Arial"/>
        <family val="2"/>
      </rPr>
      <t>(digitalapplied.com)</t>
    </r>
    <r>
      <rPr>
        <sz val="11"/>
        <rFont val="Noto Sans CJK SC"/>
        <family val="2"/>
      </rPr>
      <t xml:space="preserve">는 </t>
    </r>
    <r>
      <rPr>
        <sz val="11"/>
        <rFont val="Arial"/>
        <family val="2"/>
      </rPr>
      <t>$1.12</t>
    </r>
    <r>
      <rPr>
        <sz val="11"/>
        <rFont val="Noto Sans CJK SC"/>
        <family val="2"/>
      </rPr>
      <t>로 적음 — 그 블로그는 여러 보고서를 섞어 원문 확인이 안 돼 쓰지 않음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이 표는 원문을 확인한 값만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원문</t>
    </r>
    <r>
      <rPr>
        <sz val="11"/>
        <rFont val="Arial"/>
        <family val="2"/>
      </rPr>
      <t xml:space="preserve">', </t>
    </r>
    <r>
      <rPr>
        <sz val="11"/>
        <rFont val="Noto Sans CJK SC"/>
        <family val="2"/>
      </rPr>
      <t xml:space="preserve">블로그 등을 거친 값은 </t>
    </r>
    <r>
      <rPr>
        <sz val="11"/>
        <rFont val="Arial"/>
        <family val="2"/>
      </rPr>
      <t>'2</t>
    </r>
    <r>
      <rPr>
        <sz val="11"/>
        <rFont val="Noto Sans CJK SC"/>
        <family val="2"/>
      </rPr>
      <t>차 인용</t>
    </r>
    <r>
      <rPr>
        <sz val="11"/>
        <rFont val="Arial"/>
        <family val="2"/>
      </rPr>
      <t>'(</t>
    </r>
    <r>
      <rPr>
        <sz val="11"/>
        <rFont val="Noto Sans CJK SC"/>
        <family val="2"/>
      </rPr>
      <t>노란 칸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으로 나눔</t>
    </r>
    <r>
      <rPr>
        <sz val="11"/>
        <rFont val="Arial"/>
        <family val="2"/>
      </rPr>
      <t>.</t>
    </r>
  </si>
  <si>
    <r>
      <rPr>
        <sz val="11"/>
        <rFont val="Noto Sans CJK SC"/>
        <family val="2"/>
      </rPr>
      <t>② 시장 전체 값이 아니에요</t>
    </r>
    <r>
      <rPr>
        <sz val="11"/>
        <rFont val="Arial"/>
        <family val="2"/>
      </rPr>
      <t xml:space="preserve">. Liftoff </t>
    </r>
    <r>
      <rPr>
        <sz val="11"/>
        <rFont val="Noto Sans CJK SC"/>
        <family val="2"/>
      </rPr>
      <t xml:space="preserve">보고서의 </t>
    </r>
    <r>
      <rPr>
        <sz val="11"/>
        <rFont val="Arial"/>
        <family val="2"/>
      </rPr>
      <t>CPI</t>
    </r>
    <r>
      <rPr>
        <sz val="11"/>
        <rFont val="Noto Sans CJK SC"/>
        <family val="2"/>
      </rPr>
      <t xml:space="preserve">는 측정 회사 </t>
    </r>
    <r>
      <rPr>
        <sz val="11"/>
        <rFont val="Arial"/>
        <family val="2"/>
      </rPr>
      <t>Singular</t>
    </r>
    <r>
      <rPr>
        <sz val="11"/>
        <rFont val="Noto Sans CJK SC"/>
        <family val="2"/>
      </rPr>
      <t>의 데이터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노출 </t>
    </r>
    <r>
      <rPr>
        <sz val="11"/>
        <rFont val="Arial"/>
        <family val="2"/>
      </rPr>
      <t>1.1</t>
    </r>
    <r>
      <rPr>
        <sz val="11"/>
        <rFont val="Noto Sans CJK SC"/>
        <family val="2"/>
      </rPr>
      <t>조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설치 </t>
    </r>
    <r>
      <rPr>
        <sz val="11"/>
        <rFont val="Arial"/>
        <family val="2"/>
      </rPr>
      <t>24</t>
    </r>
    <r>
      <rPr>
        <sz val="11"/>
        <rFont val="Noto Sans CJK SC"/>
        <family val="2"/>
      </rPr>
      <t>억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광고비 </t>
    </r>
    <r>
      <rPr>
        <sz val="11"/>
        <rFont val="Arial"/>
        <family val="2"/>
      </rPr>
      <t>$119</t>
    </r>
    <r>
      <rPr>
        <sz val="11"/>
        <rFont val="Noto Sans CJK SC"/>
        <family val="2"/>
      </rPr>
      <t>억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이고</t>
    </r>
    <r>
      <rPr>
        <sz val="11"/>
        <rFont val="Arial"/>
        <family val="2"/>
      </rPr>
      <t xml:space="preserve">, Adjust </t>
    </r>
    <r>
      <rPr>
        <sz val="11"/>
        <rFont val="Noto Sans CJK SC"/>
        <family val="2"/>
      </rPr>
      <t xml:space="preserve">값은 </t>
    </r>
    <r>
      <rPr>
        <sz val="11"/>
        <rFont val="Arial"/>
        <family val="2"/>
      </rPr>
      <t>Adjust</t>
    </r>
    <r>
      <rPr>
        <sz val="11"/>
        <rFont val="Noto Sans CJK SC"/>
        <family val="2"/>
      </rPr>
      <t>가 추적하는 앱만의 값이에요</t>
    </r>
    <r>
      <rPr>
        <sz val="11"/>
        <rFont val="Arial"/>
        <family val="2"/>
      </rPr>
      <t xml:space="preserve">(Adjust </t>
    </r>
    <r>
      <rPr>
        <sz val="11"/>
        <rFont val="Noto Sans CJK SC"/>
        <family val="2"/>
      </rPr>
      <t xml:space="preserve">스스로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전체 시장을 반영하지 않을 수 있다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고 밝힘</t>
    </r>
    <r>
      <rPr>
        <sz val="11"/>
        <rFont val="Arial"/>
        <family val="2"/>
      </rPr>
      <t>, p.8).</t>
    </r>
  </si>
  <si>
    <r>
      <rPr>
        <sz val="11"/>
        <rFont val="Arial"/>
        <family val="2"/>
      </rPr>
      <t>③ '</t>
    </r>
    <r>
      <rPr>
        <sz val="11"/>
        <rFont val="Noto Sans CJK SC"/>
        <family val="2"/>
      </rPr>
      <t xml:space="preserve">지역 </t>
    </r>
    <r>
      <rPr>
        <sz val="11"/>
        <rFont val="Arial"/>
        <family val="2"/>
      </rPr>
      <t xml:space="preserve">× OS × </t>
    </r>
    <r>
      <rPr>
        <sz val="11"/>
        <rFont val="Noto Sans CJK SC"/>
        <family val="2"/>
      </rPr>
      <t>장르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를 모두 나눈 공개 값은 없어요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지역별 값은 </t>
    </r>
    <r>
      <rPr>
        <sz val="11"/>
        <rFont val="Arial"/>
        <family val="2"/>
      </rPr>
      <t xml:space="preserve">Adjust(iOS+Android </t>
    </r>
    <r>
      <rPr>
        <sz val="11"/>
        <rFont val="Noto Sans CJK SC"/>
        <family val="2"/>
      </rPr>
      <t>합산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게임 전체</t>
    </r>
    <r>
      <rPr>
        <sz val="11"/>
        <rFont val="Arial"/>
        <family val="2"/>
      </rPr>
      <t>), OS·</t>
    </r>
    <r>
      <rPr>
        <sz val="11"/>
        <rFont val="Noto Sans CJK SC"/>
        <family val="2"/>
      </rPr>
      <t xml:space="preserve">장르별 값은 </t>
    </r>
    <r>
      <rPr>
        <sz val="11"/>
        <rFont val="Arial"/>
        <family val="2"/>
      </rPr>
      <t>Liftoff(</t>
    </r>
    <r>
      <rPr>
        <sz val="11"/>
        <rFont val="Noto Sans CJK SC"/>
        <family val="2"/>
      </rPr>
      <t>전 세계</t>
    </r>
    <r>
      <rPr>
        <sz val="11"/>
        <rFont val="Arial"/>
        <family val="2"/>
      </rPr>
      <t>)</t>
    </r>
    <r>
      <rPr>
        <sz val="11"/>
        <rFont val="Noto Sans CJK SC"/>
        <family val="2"/>
      </rPr>
      <t>뿐이라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둘을 섞은 시나리오</t>
    </r>
    <r>
      <rPr>
        <sz val="11"/>
        <rFont val="Arial"/>
        <family val="2"/>
      </rPr>
      <t>(S5~S8)</t>
    </r>
    <r>
      <rPr>
        <sz val="11"/>
        <rFont val="Noto Sans CJK SC"/>
        <family val="2"/>
      </rPr>
      <t xml:space="preserve">는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섞인 가정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이에요</t>
    </r>
    <r>
      <rPr>
        <sz val="11"/>
        <rFont val="Arial"/>
        <family val="2"/>
      </rPr>
      <t xml:space="preserve">. </t>
    </r>
    <r>
      <rPr>
        <sz val="11"/>
        <rFont val="Noto Sans CJK SC"/>
        <family val="2"/>
      </rPr>
      <t xml:space="preserve">블로그에 도는 </t>
    </r>
    <r>
      <rPr>
        <sz val="11"/>
        <rFont val="Arial"/>
        <family val="2"/>
      </rPr>
      <t>'</t>
    </r>
    <r>
      <rPr>
        <sz val="11"/>
        <rFont val="Noto Sans CJK SC"/>
        <family val="2"/>
      </rPr>
      <t xml:space="preserve">미드코어 북미 </t>
    </r>
    <r>
      <rPr>
        <sz val="11"/>
        <rFont val="Arial"/>
        <family val="2"/>
      </rPr>
      <t>$5.45·</t>
    </r>
    <r>
      <rPr>
        <sz val="11"/>
        <rFont val="Noto Sans CJK SC"/>
        <family val="2"/>
      </rPr>
      <t xml:space="preserve">남미 </t>
    </r>
    <r>
      <rPr>
        <sz val="11"/>
        <rFont val="Arial"/>
        <family val="2"/>
      </rPr>
      <t>$0.27'</t>
    </r>
    <r>
      <rPr>
        <sz val="11"/>
        <rFont val="Noto Sans CJK SC"/>
        <family val="2"/>
      </rPr>
      <t>은 원문을 찾지 못해 쓰지 않음</t>
    </r>
    <r>
      <rPr>
        <sz val="11"/>
        <rFont val="Arial"/>
        <family val="2"/>
      </rPr>
      <t>.</t>
    </r>
  </si>
  <si>
    <r>
      <rPr>
        <b/>
        <sz val="12"/>
        <rFont val="Arial"/>
        <family val="2"/>
      </rPr>
      <t xml:space="preserve">① CPI </t>
    </r>
    <r>
      <rPr>
        <b/>
        <sz val="12"/>
        <rFont val="Noto Sans CJK SC"/>
        <family val="2"/>
      </rPr>
      <t xml:space="preserve">출처표 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 xml:space="preserve">설치 </t>
    </r>
    <r>
      <rPr>
        <b/>
        <sz val="12"/>
        <rFont val="Arial"/>
        <family val="2"/>
      </rPr>
      <t>1</t>
    </r>
    <r>
      <rPr>
        <b/>
        <sz val="12"/>
        <rFont val="Noto Sans CJK SC"/>
        <family val="2"/>
      </rPr>
      <t>번에 드는 광고비</t>
    </r>
    <r>
      <rPr>
        <b/>
        <sz val="12"/>
        <rFont val="Arial"/>
        <family val="2"/>
      </rPr>
      <t xml:space="preserve">, </t>
    </r>
    <r>
      <rPr>
        <b/>
        <sz val="12"/>
        <rFont val="Noto Sans CJK SC"/>
        <family val="2"/>
      </rPr>
      <t>미국 달러</t>
    </r>
    <r>
      <rPr>
        <b/>
        <sz val="12"/>
        <rFont val="Arial"/>
        <family val="2"/>
      </rPr>
      <t>)</t>
    </r>
  </si>
  <si>
    <t>ID</t>
  </si>
  <si>
    <t>지역</t>
  </si>
  <si>
    <t>OS</t>
  </si>
  <si>
    <t>CPI ($)</t>
  </si>
  <si>
    <t>데이터 기간</t>
  </si>
  <si>
    <t>자료 등급</t>
  </si>
  <si>
    <r>
      <rPr>
        <b/>
        <sz val="11"/>
        <color rgb="FFFFFFFF"/>
        <rFont val="Noto Sans CJK SC"/>
        <family val="2"/>
      </rPr>
      <t xml:space="preserve">출처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 xml:space="preserve">이름 </t>
    </r>
    <r>
      <rPr>
        <b/>
        <sz val="11"/>
        <color rgb="FFFFFFFF"/>
        <rFont val="Arial"/>
        <family val="2"/>
      </rPr>
      <t>· URL)</t>
    </r>
  </si>
  <si>
    <t>C01</t>
  </si>
  <si>
    <t>전 세계</t>
  </si>
  <si>
    <r>
      <rPr>
        <sz val="11"/>
        <rFont val="Arial"/>
        <family val="2"/>
      </rPr>
      <t xml:space="preserve">iOS+Android </t>
    </r>
    <r>
      <rPr>
        <sz val="11"/>
        <rFont val="Noto Sans CJK SC"/>
        <family val="2"/>
      </rPr>
      <t>합산</t>
    </r>
  </si>
  <si>
    <t>게임 전체</t>
  </si>
  <si>
    <r>
      <rPr>
        <sz val="11"/>
        <rFont val="Arial"/>
        <family val="2"/>
      </rPr>
      <t>2025</t>
    </r>
    <r>
      <rPr>
        <sz val="11"/>
        <rFont val="Noto Sans CJK SC"/>
        <family val="2"/>
      </rPr>
      <t>년</t>
    </r>
  </si>
  <si>
    <t>원문</t>
  </si>
  <si>
    <r>
      <rPr>
        <sz val="11"/>
        <rFont val="Arial"/>
        <family val="2"/>
      </rPr>
      <t>2024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2"/>
      </rPr>
      <t>+30%</t>
    </r>
  </si>
  <si>
    <r>
      <rPr>
        <sz val="11"/>
        <rFont val="Arial"/>
        <family val="2"/>
      </rPr>
      <t xml:space="preserve">Adjust, The gaming app insights report: 2026 edition, p.28~29 (Adjust </t>
    </r>
    <r>
      <rPr>
        <sz val="11"/>
        <rFont val="Noto Sans CJK SC"/>
        <family val="2"/>
      </rPr>
      <t>추적 앱 집계</t>
    </r>
    <r>
      <rPr>
        <sz val="11"/>
        <rFont val="Arial"/>
        <family val="2"/>
      </rPr>
      <t xml:space="preserve">, 2024-01~2026-01) — </t>
    </r>
    <r>
      <rPr>
        <sz val="11"/>
        <rFont val="Noto Sans CJK SC"/>
        <family val="2"/>
      </rPr>
      <t xml:space="preserve">원문 </t>
    </r>
    <r>
      <rPr>
        <sz val="11"/>
        <rFont val="Arial"/>
        <family val="2"/>
      </rPr>
      <t xml:space="preserve">PDF </t>
    </r>
    <r>
      <rPr>
        <sz val="11"/>
        <rFont val="Noto Sans CJK SC"/>
        <family val="2"/>
      </rPr>
      <t xml:space="preserve">게시본 </t>
    </r>
    <r>
      <rPr>
        <sz val="11"/>
        <rFont val="Arial"/>
        <family val="2"/>
      </rPr>
      <t xml:space="preserve">https://investgame.net/wp-content/uploads/2026/03/2026-03-26-gaming-app-insights-report-2026_wp.pdf (2026-10-05 </t>
    </r>
    <r>
      <rPr>
        <sz val="11"/>
        <rFont val="Noto Sans CJK SC"/>
        <family val="2"/>
      </rPr>
      <t>조회</t>
    </r>
    <r>
      <rPr>
        <sz val="11"/>
        <rFont val="Arial"/>
        <family val="2"/>
      </rPr>
      <t>)</t>
    </r>
  </si>
  <si>
    <t>C02</t>
  </si>
  <si>
    <r>
      <rPr>
        <sz val="11"/>
        <rFont val="Arial"/>
        <family val="2"/>
      </rPr>
      <t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2"/>
      </rPr>
      <t>$1.28</t>
    </r>
  </si>
  <si>
    <t>C03</t>
  </si>
  <si>
    <r>
      <rPr>
        <sz val="11"/>
        <rFont val="Arial"/>
        <family val="2"/>
      </rPr>
      <t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2"/>
      </rPr>
      <t>$1.31</t>
    </r>
  </si>
  <si>
    <t>C04</t>
  </si>
  <si>
    <r>
      <rPr>
        <sz val="11"/>
        <rFont val="Noto Sans CJK SC"/>
        <family val="2"/>
      </rPr>
      <t xml:space="preserve">남미 </t>
    </r>
    <r>
      <rPr>
        <sz val="11"/>
        <rFont val="Arial"/>
        <family val="2"/>
      </rPr>
      <t>(LATAM)</t>
    </r>
  </si>
  <si>
    <r>
      <rPr>
        <sz val="11"/>
        <rFont val="Arial"/>
        <family val="2"/>
      </rPr>
      <t>2024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2"/>
      </rPr>
      <t>+40%</t>
    </r>
  </si>
  <si>
    <t>C05</t>
  </si>
  <si>
    <r>
      <rPr>
        <sz val="11"/>
        <rFont val="Noto Sans CJK SC"/>
        <family val="2"/>
      </rPr>
      <t xml:space="preserve">아시아태평양 </t>
    </r>
    <r>
      <rPr>
        <sz val="11"/>
        <rFont val="Arial"/>
        <family val="2"/>
      </rPr>
      <t>(APAC)</t>
    </r>
  </si>
  <si>
    <r>
      <rPr>
        <sz val="11"/>
        <rFont val="Arial"/>
        <family val="2"/>
      </rPr>
      <t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2"/>
      </rPr>
      <t xml:space="preserve">$0.21. </t>
    </r>
    <r>
      <rPr>
        <sz val="11"/>
        <rFont val="Noto Sans CJK SC"/>
        <family val="2"/>
      </rPr>
      <t>일본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한국 등 나라별 값은 그래프에만 있어 확인 불가</t>
    </r>
  </si>
  <si>
    <t>C06</t>
  </si>
  <si>
    <t>유럽</t>
  </si>
  <si>
    <r>
      <rPr>
        <sz val="11"/>
        <rFont val="Arial"/>
        <family val="2"/>
      </rPr>
      <t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2"/>
      </rPr>
      <t>$0.36</t>
    </r>
  </si>
  <si>
    <t>C07</t>
  </si>
  <si>
    <t>슬롯</t>
  </si>
  <si>
    <r>
      <rPr>
        <sz val="11"/>
        <rFont val="Arial"/>
        <family val="2"/>
      </rPr>
      <t>2025</t>
    </r>
    <r>
      <rPr>
        <sz val="11"/>
        <rFont val="Noto Sans CJK SC"/>
        <family val="2"/>
      </rPr>
      <t>년 장르 중 가장 비쌈</t>
    </r>
  </si>
  <si>
    <t>C08</t>
  </si>
  <si>
    <t>C09</t>
  </si>
  <si>
    <t>C10</t>
  </si>
  <si>
    <t>iOS</t>
  </si>
  <si>
    <r>
      <rPr>
        <sz val="11"/>
        <rFont val="Noto Sans CJK SC"/>
        <family val="2"/>
      </rPr>
      <t xml:space="preserve">캐주얼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하이퍼캐주얼 포함</t>
    </r>
    <r>
      <rPr>
        <sz val="11"/>
        <rFont val="Arial"/>
        <family val="2"/>
      </rPr>
      <t>)</t>
    </r>
  </si>
  <si>
    <t>2024-02~2025-02</t>
  </si>
  <si>
    <r>
      <rPr>
        <sz val="11"/>
        <rFont val="Arial"/>
        <family val="2"/>
      </rPr>
      <t xml:space="preserve">Liftoff·Singular, 2025 Casual Gaming Apps Report — 'CPI by genre by platform' (Singular </t>
    </r>
    <r>
      <rPr>
        <sz val="11"/>
        <rFont val="Noto Sans CJK SC"/>
        <family val="2"/>
      </rPr>
      <t xml:space="preserve">데이터 </t>
    </r>
    <r>
      <rPr>
        <sz val="11"/>
        <rFont val="Arial"/>
        <family val="2"/>
      </rPr>
      <t xml:space="preserve">2024-02~2025-02) https://liftoff.ai/2025-casual-gaming-apps-report/ (2026-10-05 </t>
    </r>
    <r>
      <rPr>
        <sz val="11"/>
        <rFont val="Noto Sans CJK SC"/>
        <family val="2"/>
      </rPr>
      <t>조회</t>
    </r>
    <r>
      <rPr>
        <sz val="11"/>
        <rFont val="Arial"/>
        <family val="2"/>
      </rPr>
      <t>)</t>
    </r>
  </si>
  <si>
    <t>C11</t>
  </si>
  <si>
    <t>Android</t>
  </si>
  <si>
    <t>C12</t>
  </si>
  <si>
    <t>카지노</t>
  </si>
  <si>
    <t>C13</t>
  </si>
  <si>
    <r>
      <rPr>
        <sz val="11"/>
        <rFont val="Arial"/>
        <family val="2"/>
      </rPr>
      <t>2</t>
    </r>
    <r>
      <rPr>
        <sz val="11"/>
        <rFont val="Noto Sans CJK SC"/>
        <family val="2"/>
      </rPr>
      <t>차 인용</t>
    </r>
  </si>
  <si>
    <t>원문은 그래프 이미지라 직접 확인 못 함</t>
  </si>
  <si>
    <r>
      <rPr>
        <sz val="11"/>
        <rFont val="Arial"/>
        <family val="2"/>
      </rPr>
      <t xml:space="preserve">Mistplay </t>
    </r>
    <r>
      <rPr>
        <sz val="11"/>
        <rFont val="Noto Sans CJK SC"/>
        <family val="2"/>
      </rPr>
      <t>블로그</t>
    </r>
    <r>
      <rPr>
        <sz val="11"/>
        <rFont val="Arial"/>
        <family val="2"/>
      </rPr>
      <t xml:space="preserve">, How much does mobile user acquisition cost in 2026? (Liftoff 2025 </t>
    </r>
    <r>
      <rPr>
        <sz val="11"/>
        <rFont val="Noto Sans CJK SC"/>
        <family val="2"/>
      </rPr>
      <t>보고서 인용</t>
    </r>
    <r>
      <rPr>
        <sz val="11"/>
        <rFont val="Arial"/>
        <family val="2"/>
      </rPr>
      <t>) https://business.mistplay.com/resources/user-acquisition-cost</t>
    </r>
  </si>
  <si>
    <t>C14</t>
  </si>
  <si>
    <r>
      <rPr>
        <sz val="11"/>
        <rFont val="Arial"/>
        <family val="2"/>
      </rPr>
      <t xml:space="preserve">Statista </t>
    </r>
    <r>
      <rPr>
        <sz val="11"/>
        <rFont val="Noto Sans CJK SC"/>
        <family val="2"/>
      </rPr>
      <t>표의 열 이름이 안 보여</t>
    </r>
    <r>
      <rPr>
        <sz val="11"/>
        <rFont val="Arial"/>
        <family val="2"/>
      </rPr>
      <t xml:space="preserve">, </t>
    </r>
    <r>
      <rPr>
        <sz val="11"/>
        <rFont val="Noto Sans CJK SC"/>
        <family val="2"/>
      </rPr>
      <t>같은 표 캐주얼 줄</t>
    </r>
    <r>
      <rPr>
        <sz val="11"/>
        <rFont val="Arial"/>
        <family val="2"/>
      </rPr>
      <t>(0.14·1.41)</t>
    </r>
    <r>
      <rPr>
        <sz val="11"/>
        <rFont val="Noto Sans CJK SC"/>
        <family val="2"/>
      </rPr>
      <t xml:space="preserve">이 원문 </t>
    </r>
    <r>
      <rPr>
        <sz val="11"/>
        <rFont val="Arial"/>
        <family val="2"/>
      </rPr>
      <t xml:space="preserve">Android·iOS </t>
    </r>
    <r>
      <rPr>
        <sz val="11"/>
        <rFont val="Noto Sans CJK SC"/>
        <family val="2"/>
      </rPr>
      <t>값과 같은 것으로 열 순서를 판단</t>
    </r>
  </si>
  <si>
    <r>
      <rPr>
        <sz val="11"/>
        <rFont val="Arial"/>
        <family val="2"/>
      </rPr>
      <t>Statista, Cost per install (CPI) of gaming apps worldwide Feb 2024–Feb 2025, by genre and platform (</t>
    </r>
    <r>
      <rPr>
        <sz val="11"/>
        <rFont val="Noto Sans CJK SC"/>
        <family val="2"/>
      </rPr>
      <t>출처 표기</t>
    </r>
    <r>
      <rPr>
        <sz val="11"/>
        <rFont val="Arial"/>
        <family val="2"/>
      </rPr>
      <t>: Liftoff, 2025-04-29) https://www.statista.com/statistics/1241651/global-cpi-gaming-apps-genre-platform/</t>
    </r>
  </si>
  <si>
    <t>C15</t>
  </si>
  <si>
    <r>
      <rPr>
        <sz val="11"/>
        <rFont val="Arial"/>
        <family val="2"/>
      </rPr>
      <t>C14</t>
    </r>
    <r>
      <rPr>
        <sz val="11"/>
        <rFont val="Noto Sans CJK SC"/>
        <family val="2"/>
      </rPr>
      <t>와 같은 방법으로 열 순서 판단</t>
    </r>
  </si>
  <si>
    <t>C16</t>
  </si>
  <si>
    <r>
      <rPr>
        <sz val="11"/>
        <rFont val="Noto Sans CJK SC"/>
        <family val="2"/>
      </rPr>
      <t xml:space="preserve">요약 글에만 있음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원문 그래프 이미지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</si>
  <si>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>GameDev Reports, Liftoff &amp; Singular: Casual Games in 2025 (</t>
    </r>
    <r>
      <rPr>
        <sz val="11"/>
        <rFont val="Noto Sans CJK SC"/>
        <family val="2"/>
      </rPr>
      <t>요약</t>
    </r>
    <r>
      <rPr>
        <sz val="11"/>
        <rFont val="Arial"/>
        <family val="2"/>
      </rPr>
      <t>) https://gamedevreports.substack.com/p/liftoff-and-singular-casual-games</t>
    </r>
  </si>
  <si>
    <t>C17</t>
  </si>
  <si>
    <r>
      <rPr>
        <sz val="11"/>
        <rFont val="Noto Sans CJK SC"/>
        <family val="2"/>
      </rPr>
      <t>북미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남미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아시아 각각</t>
    </r>
  </si>
  <si>
    <r>
      <rPr>
        <sz val="11"/>
        <rFont val="Arial"/>
        <family val="2"/>
      </rPr>
      <t xml:space="preserve">iOS / Android </t>
    </r>
    <r>
      <rPr>
        <sz val="11"/>
        <rFont val="Noto Sans CJK SC"/>
        <family val="2"/>
      </rPr>
      <t>각각</t>
    </r>
  </si>
  <si>
    <t>퍼즐 등 장르 각각</t>
  </si>
  <si>
    <t>세 가지를 모두 나눈 공개 원문 값을 찾지 못함</t>
  </si>
  <si>
    <r>
      <rPr>
        <b/>
        <sz val="12"/>
        <rFont val="Noto Sans CJK SC"/>
        <family val="2"/>
      </rPr>
      <t>② 계산표 — 시나리오 조합</t>
    </r>
    <r>
      <rPr>
        <b/>
        <sz val="12"/>
        <rFont val="Arial"/>
        <family val="2"/>
      </rPr>
      <t>·</t>
    </r>
    <r>
      <rPr>
        <b/>
        <sz val="12"/>
        <rFont val="Noto Sans CJK SC"/>
        <family val="2"/>
      </rPr>
      <t>광고비는 분석자 가정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파란 글씨</t>
    </r>
    <r>
      <rPr>
        <b/>
        <sz val="12"/>
        <rFont val="Arial"/>
        <family val="2"/>
      </rPr>
      <t xml:space="preserve">, </t>
    </r>
    <r>
      <rPr>
        <b/>
        <sz val="12"/>
        <rFont val="Noto Sans CJK SC"/>
        <family val="2"/>
      </rPr>
      <t>바꿔 쓰는 칸</t>
    </r>
    <r>
      <rPr>
        <b/>
        <sz val="12"/>
        <rFont val="Arial"/>
        <family val="2"/>
      </rPr>
      <t xml:space="preserve">). </t>
    </r>
    <r>
      <rPr>
        <b/>
        <sz val="12"/>
        <rFont val="Noto Sans CJK SC"/>
        <family val="2"/>
      </rPr>
      <t xml:space="preserve">리텐션은 </t>
    </r>
    <r>
      <rPr>
        <b/>
        <sz val="12"/>
        <rFont val="Arial"/>
        <family val="2"/>
      </rPr>
      <t xml:space="preserve">'4-1 </t>
    </r>
    <r>
      <rPr>
        <b/>
        <sz val="12"/>
        <rFont val="Noto Sans CJK SC"/>
        <family val="2"/>
      </rPr>
      <t>지역 벤치마크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참조</t>
    </r>
    <r>
      <rPr>
        <b/>
        <sz val="12"/>
        <rFont val="Arial"/>
        <family val="2"/>
      </rPr>
      <t>)'</t>
    </r>
    <r>
      <rPr>
        <b/>
        <sz val="12"/>
        <rFont val="Noto Sans CJK SC"/>
        <family val="2"/>
      </rPr>
      <t>에서 수식으로 가져옴</t>
    </r>
  </si>
  <si>
    <t>시나리오</t>
  </si>
  <si>
    <r>
      <rPr>
        <b/>
        <sz val="11"/>
        <color rgb="FFFFFFFF"/>
        <rFont val="Noto Sans CJK SC"/>
        <family val="2"/>
      </rPr>
      <t xml:space="preserve">광고비 </t>
    </r>
    <r>
      <rPr>
        <b/>
        <sz val="11"/>
        <color rgb="FFFFFFFF"/>
        <rFont val="Arial"/>
        <family val="2"/>
      </rPr>
      <t>($)</t>
    </r>
  </si>
  <si>
    <r>
      <rPr>
        <b/>
        <sz val="11"/>
        <color rgb="FFFFFFFF"/>
        <rFont val="Arial"/>
        <family val="2"/>
      </rPr>
      <t xml:space="preserve">CPI </t>
    </r>
    <r>
      <rPr>
        <b/>
        <sz val="11"/>
        <color rgb="FFFFFFFF"/>
        <rFont val="Noto Sans CJK SC"/>
        <family val="2"/>
      </rPr>
      <t xml:space="preserve">출처 </t>
    </r>
    <r>
      <rPr>
        <b/>
        <sz val="11"/>
        <color rgb="FFFFFFFF"/>
        <rFont val="Arial"/>
        <family val="2"/>
      </rPr>
      <t>ID (A</t>
    </r>
    <r>
      <rPr>
        <b/>
        <sz val="11"/>
        <color rgb="FFFFFFFF"/>
        <rFont val="Noto Sans CJK SC"/>
        <family val="2"/>
      </rPr>
      <t>열에서 선택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</si>
  <si>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출처 </t>
    </r>
    <r>
      <rPr>
        <b/>
        <sz val="11"/>
        <color rgb="FFFFFFFF"/>
        <rFont val="Arial"/>
        <family val="2"/>
      </rPr>
      <t>CPI ($)</t>
    </r>
  </si>
  <si>
    <r>
      <rPr>
        <b/>
        <sz val="11"/>
        <color rgb="FFFFFFFF"/>
        <rFont val="Noto Sans CJK SC"/>
        <family val="2"/>
      </rPr>
      <t xml:space="preserve">직접 입력 </t>
    </r>
    <r>
      <rPr>
        <b/>
        <sz val="11"/>
        <color rgb="FFFFFFFF"/>
        <rFont val="Arial"/>
        <family val="2"/>
      </rPr>
      <t>CPI ($) (</t>
    </r>
    <r>
      <rPr>
        <b/>
        <sz val="11"/>
        <color rgb="FFFFFFFF"/>
        <rFont val="Noto Sans CJK SC"/>
        <family val="2"/>
      </rPr>
      <t>비우면 출처값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</si>
  <si>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쓰는 </t>
    </r>
    <r>
      <rPr>
        <b/>
        <sz val="11"/>
        <color rgb="FFFFFFFF"/>
        <rFont val="Arial"/>
        <family val="2"/>
      </rPr>
      <t>CPI ($)</t>
    </r>
  </si>
  <si>
    <t>설치 수</t>
  </si>
  <si>
    <t>리텐션 지역</t>
  </si>
  <si>
    <t>리텐션 구간</t>
  </si>
  <si>
    <r>
      <rPr>
        <b/>
        <sz val="11"/>
        <color rgb="FFFFFFFF"/>
        <rFont val="Arial"/>
        <family val="2"/>
      </rPr>
      <t>D1</t>
    </r>
    <r>
      <rPr>
        <b/>
        <sz val="11"/>
        <color rgb="FFFFFFFF"/>
        <rFont val="Noto Sans CJK SC"/>
        <family val="2"/>
      </rPr>
      <t>에 남는 사람</t>
    </r>
  </si>
  <si>
    <r>
      <rPr>
        <b/>
        <sz val="11"/>
        <color rgb="FFFFFFFF"/>
        <rFont val="Arial"/>
        <family val="2"/>
      </rPr>
      <t>D7</t>
    </r>
    <r>
      <rPr>
        <b/>
        <sz val="11"/>
        <color rgb="FFFFFFFF"/>
        <rFont val="Noto Sans CJK SC"/>
        <family val="2"/>
      </rPr>
      <t>에 남는 사람</t>
    </r>
  </si>
  <si>
    <r>
      <rPr>
        <b/>
        <sz val="11"/>
        <color rgb="FFFFFFFF"/>
        <rFont val="Arial"/>
        <family val="2"/>
      </rPr>
      <t>D30</t>
    </r>
    <r>
      <rPr>
        <b/>
        <sz val="11"/>
        <color rgb="FFFFFFFF"/>
        <rFont val="Noto Sans CJK SC"/>
        <family val="2"/>
      </rPr>
      <t>에 남는 사람</t>
    </r>
  </si>
  <si>
    <r>
      <rPr>
        <b/>
        <sz val="11"/>
        <color rgb="FFFFFFFF"/>
        <rFont val="Arial"/>
        <family val="2"/>
      </rPr>
      <t>D7</t>
    </r>
    <r>
      <rPr>
        <b/>
        <sz val="11"/>
        <color rgb="FFFFFFFF"/>
        <rFont val="Noto Sans CJK SC"/>
        <family val="2"/>
      </rPr>
      <t xml:space="preserve">에 </t>
    </r>
    <r>
      <rPr>
        <b/>
        <sz val="11"/>
        <color rgb="FFFFFFFF"/>
        <rFont val="Arial"/>
        <family val="2"/>
      </rPr>
      <t>100</t>
    </r>
    <r>
      <rPr>
        <b/>
        <sz val="11"/>
        <color rgb="FFFFFFFF"/>
        <rFont val="Noto Sans CJK SC"/>
        <family val="2"/>
      </rPr>
      <t xml:space="preserve">명 남기려면 필요한 광고비 </t>
    </r>
    <r>
      <rPr>
        <b/>
        <sz val="11"/>
        <color rgb="FFFFFFFF"/>
        <rFont val="Arial"/>
        <family val="2"/>
      </rPr>
      <t>($)</t>
    </r>
  </si>
  <si>
    <t>S1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</si>
  <si>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 xml:space="preserve">게임 전체 평균 </t>
    </r>
    <r>
      <rPr>
        <sz val="11"/>
        <rFont val="Arial"/>
        <family val="2"/>
      </rPr>
      <t xml:space="preserve">CPI · </t>
    </r>
    <r>
      <rPr>
        <sz val="11"/>
        <rFont val="Noto Sans CJK SC"/>
        <family val="2"/>
      </rPr>
      <t>보통 게임</t>
    </r>
    <r>
      <rPr>
        <sz val="11"/>
        <rFont val="Arial"/>
        <family val="2"/>
      </rPr>
      <t>(</t>
    </r>
    <r>
      <rPr>
        <sz val="11"/>
        <rFont val="Noto Sans CJK SC"/>
        <family val="2"/>
      </rPr>
      <t xml:space="preserve">중앙값 </t>
    </r>
    <r>
      <rPr>
        <sz val="11"/>
        <rFont val="Arial"/>
        <family val="2"/>
      </rPr>
      <t xml:space="preserve">P50) </t>
    </r>
    <r>
      <rPr>
        <sz val="11"/>
        <rFont val="Noto Sans CJK SC"/>
        <family val="2"/>
      </rPr>
      <t>리텐션</t>
    </r>
  </si>
  <si>
    <t>P50</t>
  </si>
  <si>
    <t>S2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</si>
  <si>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 xml:space="preserve">게임 전체 평균 </t>
    </r>
    <r>
      <rPr>
        <sz val="11"/>
        <rFont val="Arial"/>
        <family val="2"/>
      </rPr>
      <t xml:space="preserve">CPI · </t>
    </r>
    <r>
      <rPr>
        <sz val="11"/>
        <rFont val="Noto Sans CJK SC"/>
        <family val="2"/>
      </rPr>
      <t xml:space="preserve">상위 </t>
    </r>
    <r>
      <rPr>
        <sz val="11"/>
        <rFont val="Arial"/>
        <family val="2"/>
      </rPr>
      <t xml:space="preserve">10%(P90) </t>
    </r>
    <r>
      <rPr>
        <sz val="11"/>
        <rFont val="Noto Sans CJK SC"/>
        <family val="2"/>
      </rPr>
      <t>리텐션 — 잘 만든 게임 목표</t>
    </r>
  </si>
  <si>
    <t>P90</t>
  </si>
  <si>
    <t>S3</t>
  </si>
  <si>
    <r>
      <rPr>
        <sz val="11"/>
        <rFont val="Noto Sans CJK SC"/>
        <family val="2"/>
      </rPr>
      <t xml:space="preserve">남미 </t>
    </r>
    <r>
      <rPr>
        <sz val="11"/>
        <rFont val="Arial"/>
        <family val="2"/>
      </rPr>
      <t xml:space="preserve">· </t>
    </r>
    <r>
      <rPr>
        <sz val="11"/>
        <rFont val="Noto Sans CJK SC"/>
        <family val="2"/>
      </rPr>
      <t xml:space="preserve">게임 전체 평균 </t>
    </r>
    <r>
      <rPr>
        <sz val="11"/>
        <rFont val="Arial"/>
        <family val="2"/>
      </rPr>
      <t xml:space="preserve">CPI · P50 </t>
    </r>
    <r>
      <rPr>
        <sz val="11"/>
        <rFont val="Noto Sans CJK SC"/>
        <family val="2"/>
      </rPr>
      <t>리텐션</t>
    </r>
  </si>
  <si>
    <t>S4</t>
  </si>
  <si>
    <r>
      <rPr>
        <sz val="11"/>
        <rFont val="Noto Sans CJK SC"/>
        <family val="2"/>
      </rPr>
      <t xml:space="preserve">아시아태평양 </t>
    </r>
    <r>
      <rPr>
        <sz val="11"/>
        <rFont val="Arial"/>
        <family val="2"/>
      </rPr>
      <t xml:space="preserve">CPI · </t>
    </r>
    <r>
      <rPr>
        <sz val="11"/>
        <rFont val="Noto Sans CJK SC"/>
        <family val="2"/>
      </rPr>
      <t xml:space="preserve">아시아 </t>
    </r>
    <r>
      <rPr>
        <sz val="11"/>
        <rFont val="Arial"/>
        <family val="2"/>
      </rPr>
      <t xml:space="preserve">P50 </t>
    </r>
    <r>
      <rPr>
        <sz val="11"/>
        <rFont val="Noto Sans CJK SC"/>
        <family val="2"/>
      </rPr>
      <t xml:space="preserve">리텐션 </t>
    </r>
    <r>
      <rPr>
        <sz val="11"/>
        <rFont val="Arial"/>
        <family val="2"/>
      </rPr>
      <t>(APAC</t>
    </r>
    <r>
      <rPr>
        <sz val="11"/>
        <rFont val="Noto Sans CJK SC"/>
        <family val="2"/>
      </rPr>
      <t xml:space="preserve">과 </t>
    </r>
    <r>
      <rPr>
        <sz val="11"/>
        <rFont val="Arial"/>
        <family val="2"/>
      </rPr>
      <t>GameAnalytics '</t>
    </r>
    <r>
      <rPr>
        <sz val="11"/>
        <rFont val="Noto Sans CJK SC"/>
        <family val="2"/>
      </rPr>
      <t>아시아</t>
    </r>
    <r>
      <rPr>
        <sz val="11"/>
        <rFont val="Arial"/>
        <family val="2"/>
      </rPr>
      <t>'</t>
    </r>
    <r>
      <rPr>
        <sz val="11"/>
        <rFont val="Noto Sans CJK SC"/>
        <family val="2"/>
      </rPr>
      <t>는 범위가 조금 다름</t>
    </r>
    <r>
      <rPr>
        <sz val="11"/>
        <rFont val="Arial"/>
        <family val="2"/>
      </rPr>
      <t>)</t>
    </r>
  </si>
  <si>
    <t>S5</t>
  </si>
  <si>
    <r>
      <rPr>
        <sz val="11"/>
        <rFont val="Arial"/>
        <family val="2"/>
      </rPr>
      <t xml:space="preserve">iOS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2"/>
      </rPr>
      <t>CPI(</t>
    </r>
    <r>
      <rPr>
        <sz val="11"/>
        <rFont val="Noto Sans CJK SC"/>
        <family val="2"/>
      </rPr>
      <t>전 세계</t>
    </r>
    <r>
      <rPr>
        <sz val="11"/>
        <rFont val="Arial"/>
        <family val="2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2"/>
      </rPr>
      <t xml:space="preserve">P50 </t>
    </r>
    <r>
      <rPr>
        <sz val="11"/>
        <rFont val="Noto Sans CJK SC"/>
        <family val="2"/>
      </rPr>
      <t>리텐션 — 섞인 가정</t>
    </r>
  </si>
  <si>
    <t>S6</t>
  </si>
  <si>
    <r>
      <rPr>
        <sz val="11"/>
        <rFont val="Arial"/>
        <family val="2"/>
      </rPr>
      <t xml:space="preserve">Android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2"/>
      </rPr>
      <t>CPI(</t>
    </r>
    <r>
      <rPr>
        <sz val="11"/>
        <rFont val="Noto Sans CJK SC"/>
        <family val="2"/>
      </rPr>
      <t>전 세계</t>
    </r>
    <r>
      <rPr>
        <sz val="11"/>
        <rFont val="Arial"/>
        <family val="2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2"/>
      </rPr>
      <t xml:space="preserve">P50 </t>
    </r>
    <r>
      <rPr>
        <sz val="11"/>
        <rFont val="Noto Sans CJK SC"/>
        <family val="2"/>
      </rPr>
      <t>리텐션 — 섞인 가정</t>
    </r>
  </si>
  <si>
    <t>S7</t>
  </si>
  <si>
    <r>
      <rPr>
        <sz val="11"/>
        <rFont val="Arial"/>
        <family val="2"/>
      </rPr>
      <t xml:space="preserve">iOS 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>CPI(</t>
    </r>
    <r>
      <rPr>
        <sz val="11"/>
        <rFont val="Noto Sans CJK SC"/>
        <family val="2"/>
      </rPr>
      <t>전 세계</t>
    </r>
    <r>
      <rPr>
        <sz val="11"/>
        <rFont val="Arial"/>
        <family val="2"/>
      </rPr>
      <t>, 2</t>
    </r>
    <r>
      <rPr>
        <sz val="11"/>
        <rFont val="Noto Sans CJK SC"/>
        <family val="2"/>
      </rPr>
      <t>차 인용</t>
    </r>
    <r>
      <rPr>
        <sz val="11"/>
        <rFont val="Arial"/>
        <family val="2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2"/>
      </rPr>
      <t xml:space="preserve">P50 </t>
    </r>
    <r>
      <rPr>
        <sz val="11"/>
        <rFont val="Noto Sans CJK SC"/>
        <family val="2"/>
      </rPr>
      <t>리텐션 — 섞인 가정</t>
    </r>
  </si>
  <si>
    <t>S8</t>
  </si>
  <si>
    <r>
      <rPr>
        <sz val="11"/>
        <rFont val="Arial"/>
        <family val="2"/>
      </rPr>
      <t xml:space="preserve">Android 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2"/>
      </rPr>
      <t>CPI(</t>
    </r>
    <r>
      <rPr>
        <sz val="11"/>
        <rFont val="Noto Sans CJK SC"/>
        <family val="2"/>
      </rPr>
      <t>전 세계</t>
    </r>
    <r>
      <rPr>
        <sz val="11"/>
        <rFont val="Arial"/>
        <family val="2"/>
      </rPr>
      <t>, 2</t>
    </r>
    <r>
      <rPr>
        <sz val="11"/>
        <rFont val="Noto Sans CJK SC"/>
        <family val="2"/>
      </rPr>
      <t>차 인용</t>
    </r>
    <r>
      <rPr>
        <sz val="11"/>
        <rFont val="Arial"/>
        <family val="2"/>
      </rPr>
      <t xml:space="preserve">) + </t>
    </r>
    <r>
      <rPr>
        <sz val="11"/>
        <rFont val="Noto Sans CJK SC"/>
        <family val="2"/>
      </rPr>
      <t xml:space="preserve">북미 </t>
    </r>
    <r>
      <rPr>
        <sz val="11"/>
        <rFont val="Arial"/>
        <family val="2"/>
      </rPr>
      <t xml:space="preserve">P50 </t>
    </r>
    <r>
      <rPr>
        <sz val="11"/>
        <rFont val="Noto Sans CJK SC"/>
        <family val="2"/>
      </rPr>
      <t>리텐션 — 섞인 가정</t>
    </r>
  </si>
  <si>
    <r>
      <rPr>
        <i/>
        <sz val="11"/>
        <color rgb="FF595959"/>
        <rFont val="Noto Sans CJK SC"/>
        <family val="2"/>
      </rPr>
      <t>리텐션</t>
    </r>
    <r>
      <rPr>
        <i/>
        <sz val="11"/>
        <color rgb="FF595959"/>
        <rFont val="Arial"/>
        <family val="2"/>
      </rPr>
      <t xml:space="preserve">: '4-1 </t>
    </r>
    <r>
      <rPr>
        <i/>
        <sz val="11"/>
        <color rgb="FF595959"/>
        <rFont val="Noto Sans CJK SC"/>
        <family val="2"/>
      </rPr>
      <t>지역 벤치마크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 xml:space="preserve">)' = GameAnalytics 2026 </t>
    </r>
    <r>
      <rPr>
        <i/>
        <sz val="11"/>
        <color rgb="FF595959"/>
        <rFont val="Noto Sans CJK SC"/>
        <family val="2"/>
      </rPr>
      <t>보고서 지역 표</t>
    </r>
    <r>
      <rPr>
        <i/>
        <sz val="11"/>
        <color rgb="FF595959"/>
        <rFont val="Arial"/>
        <family val="2"/>
      </rPr>
      <t>(2025</t>
    </r>
    <r>
      <rPr>
        <i/>
        <sz val="11"/>
        <color rgb="FF595959"/>
        <rFont val="Noto Sans CJK SC"/>
        <family val="2"/>
      </rPr>
      <t>년 주간 데이터의 연평균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전 장르 합산</t>
    </r>
    <r>
      <rPr>
        <i/>
        <sz val="11"/>
        <color rgb="FF595959"/>
        <rFont val="Arial"/>
        <family val="2"/>
      </rPr>
      <t xml:space="preserve">). P50 = </t>
    </r>
    <r>
      <rPr>
        <i/>
        <sz val="11"/>
        <color rgb="FF595959"/>
        <rFont val="Noto Sans CJK SC"/>
        <family val="2"/>
      </rPr>
      <t>중앙값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보통 게임</t>
    </r>
    <r>
      <rPr>
        <i/>
        <sz val="11"/>
        <color rgb="FF595959"/>
        <rFont val="Arial"/>
        <family val="2"/>
      </rPr>
      <t xml:space="preserve">), P90 = </t>
    </r>
    <r>
      <rPr>
        <i/>
        <sz val="11"/>
        <color rgb="FF595959"/>
        <rFont val="Noto Sans CJK SC"/>
        <family val="2"/>
      </rPr>
      <t xml:space="preserve">상위 </t>
    </r>
    <r>
      <rPr>
        <i/>
        <sz val="11"/>
        <color rgb="FF595959"/>
        <rFont val="Arial"/>
        <family val="2"/>
      </rPr>
      <t xml:space="preserve">10%, P99 = </t>
    </r>
    <r>
      <rPr>
        <i/>
        <sz val="11"/>
        <color rgb="FF595959"/>
        <rFont val="Noto Sans CJK SC"/>
        <family val="2"/>
      </rPr>
      <t xml:space="preserve">상위 </t>
    </r>
    <r>
      <rPr>
        <i/>
        <sz val="11"/>
        <color rgb="FF595959"/>
        <rFont val="Arial"/>
        <family val="2"/>
      </rPr>
      <t xml:space="preserve">1%. </t>
    </r>
    <r>
      <rPr>
        <i/>
        <sz val="11"/>
        <color rgb="FF595959"/>
        <rFont val="Noto Sans CJK SC"/>
        <family val="2"/>
      </rPr>
      <t>동남아는 이 표에 없음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 xml:space="preserve">시장조사 </t>
    </r>
    <r>
      <rPr>
        <i/>
        <sz val="11"/>
        <color rgb="FF595959"/>
        <rFont val="Arial"/>
        <family val="2"/>
      </rPr>
      <t xml:space="preserve">2-7 </t>
    </r>
    <r>
      <rPr>
        <i/>
        <sz val="11"/>
        <color rgb="FF595959"/>
        <rFont val="Noto Sans CJK SC"/>
        <family val="2"/>
      </rPr>
      <t>참고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</si>
  <si>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Arial"/>
        <family val="2"/>
      </rPr>
      <t>D30: 4-1(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 xml:space="preserve">GameAnalytics 2026 </t>
    </r>
    <r>
      <rPr>
        <i/>
        <sz val="11"/>
        <color rgb="FF595959"/>
        <rFont val="Noto Sans CJK SC"/>
        <family val="2"/>
      </rPr>
      <t xml:space="preserve">값은 </t>
    </r>
    <r>
      <rPr>
        <i/>
        <sz val="11"/>
        <color rgb="FF595959"/>
        <rFont val="Arial"/>
        <family val="2"/>
      </rPr>
      <t>D30</t>
    </r>
    <r>
      <rPr>
        <i/>
        <sz val="11"/>
        <color rgb="FF595959"/>
        <rFont val="Noto Sans CJK SC"/>
        <family val="2"/>
      </rPr>
      <t>이라 그대로 씀</t>
    </r>
    <r>
      <rPr>
        <i/>
        <sz val="11"/>
        <color rgb="FF595959"/>
        <rFont val="Arial"/>
        <family val="2"/>
      </rPr>
      <t xml:space="preserve">. 2025 </t>
    </r>
    <r>
      <rPr>
        <i/>
        <sz val="11"/>
        <color rgb="FF595959"/>
        <rFont val="Noto Sans CJK SC"/>
        <family val="2"/>
      </rPr>
      <t>보고서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 xml:space="preserve">첨부 </t>
    </r>
    <r>
      <rPr>
        <i/>
        <sz val="11"/>
        <color rgb="FF595959"/>
        <rFont val="Arial"/>
        <family val="2"/>
      </rPr>
      <t>PDF)</t>
    </r>
    <r>
      <rPr>
        <i/>
        <sz val="11"/>
        <color rgb="FF595959"/>
        <rFont val="Noto Sans CJK SC"/>
        <family val="2"/>
      </rPr>
      <t xml:space="preserve">는 </t>
    </r>
    <r>
      <rPr>
        <i/>
        <sz val="11"/>
        <color rgb="FF595959"/>
        <rFont val="Arial"/>
        <family val="2"/>
      </rPr>
      <t>D28</t>
    </r>
    <r>
      <rPr>
        <i/>
        <sz val="11"/>
        <color rgb="FF595959"/>
        <rFont val="Noto Sans CJK SC"/>
        <family val="2"/>
      </rPr>
      <t>을 써서 직접 비교에 주의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</si>
  <si>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 xml:space="preserve">장르별 리텐션은 이 표에 섞지 않음 — </t>
    </r>
    <r>
      <rPr>
        <i/>
        <sz val="11"/>
        <color rgb="FF595959"/>
        <rFont val="Arial"/>
        <family val="2"/>
      </rPr>
      <t xml:space="preserve">'4-3 </t>
    </r>
    <r>
      <rPr>
        <i/>
        <sz val="11"/>
        <color rgb="FF595959"/>
        <rFont val="Noto Sans CJK SC"/>
        <family val="2"/>
      </rPr>
      <t>장르 판독 요약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>)'</t>
    </r>
    <r>
      <rPr>
        <i/>
        <sz val="11"/>
        <color rgb="FF595959"/>
        <rFont val="Noto Sans CJK SC"/>
        <family val="2"/>
      </rPr>
      <t>의 판독값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차트를 눈으로 읽은 값</t>
    </r>
    <r>
      <rPr>
        <i/>
        <sz val="11"/>
        <color rgb="FF595959"/>
        <rFont val="Arial"/>
        <family val="2"/>
      </rPr>
      <t xml:space="preserve">) </t>
    </r>
    <r>
      <rPr>
        <i/>
        <sz val="11"/>
        <color rgb="FF595959"/>
        <rFont val="Noto Sans CJK SC"/>
        <family val="2"/>
      </rPr>
      <t>참고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</si>
  <si>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광고 없이 들어오는 사람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오가닉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>은 계산에 넣지 않음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참고</t>
    </r>
    <r>
      <rPr>
        <i/>
        <sz val="11"/>
        <color rgb="FF595959"/>
        <rFont val="Arial"/>
        <family val="2"/>
      </rPr>
      <t xml:space="preserve">: Adjust 2025 </t>
    </r>
    <r>
      <rPr>
        <i/>
        <sz val="11"/>
        <color rgb="FF595959"/>
        <rFont val="Noto Sans CJK SC"/>
        <family val="2"/>
      </rPr>
      <t>게임 유료</t>
    </r>
    <r>
      <rPr>
        <i/>
        <sz val="11"/>
        <color rgb="FF595959"/>
        <rFont val="Arial"/>
        <family val="2"/>
      </rPr>
      <t>:</t>
    </r>
    <r>
      <rPr>
        <i/>
        <sz val="11"/>
        <color rgb="FF595959"/>
        <rFont val="Noto Sans CJK SC"/>
        <family val="2"/>
      </rPr>
      <t xml:space="preserve">오가닉 설치 비율 전 세계 중앙값 </t>
    </r>
    <r>
      <rPr>
        <i/>
        <sz val="11"/>
        <color rgb="FF595959"/>
        <rFont val="Arial"/>
        <family val="2"/>
      </rPr>
      <t>3.33 (2024</t>
    </r>
    <r>
      <rPr>
        <i/>
        <sz val="11"/>
        <color rgb="FF595959"/>
        <rFont val="Noto Sans CJK SC"/>
        <family val="2"/>
      </rPr>
      <t xml:space="preserve">년 </t>
    </r>
    <r>
      <rPr>
        <i/>
        <sz val="11"/>
        <color rgb="FF595959"/>
        <rFont val="Arial"/>
        <family val="2"/>
      </rPr>
      <t xml:space="preserve">2.07, p.16) — </t>
    </r>
    <r>
      <rPr>
        <i/>
        <sz val="11"/>
        <color rgb="FF595959"/>
        <rFont val="Noto Sans CJK SC"/>
        <family val="2"/>
      </rPr>
      <t>이 비율을 우리 게임에 그대로 쓸 근거는 없음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</si>
  <si>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 xml:space="preserve">참고 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투자 회수</t>
    </r>
    <r>
      <rPr>
        <i/>
        <sz val="11"/>
        <color rgb="FF595959"/>
        <rFont val="Arial"/>
        <family val="2"/>
      </rPr>
      <t xml:space="preserve">): Liftoff 2025 — </t>
    </r>
    <r>
      <rPr>
        <i/>
        <sz val="11"/>
        <color rgb="FF595959"/>
        <rFont val="Noto Sans CJK SC"/>
        <family val="2"/>
      </rPr>
      <t xml:space="preserve">캐주얼 게임의 </t>
    </r>
    <r>
      <rPr>
        <i/>
        <sz val="11"/>
        <color rgb="FF595959"/>
        <rFont val="Arial"/>
        <family val="2"/>
      </rPr>
      <t>30</t>
    </r>
    <r>
      <rPr>
        <i/>
        <sz val="11"/>
        <color rgb="FF595959"/>
        <rFont val="Noto Sans CJK SC"/>
        <family val="2"/>
      </rPr>
      <t>일 광고비 회수율</t>
    </r>
    <r>
      <rPr>
        <i/>
        <sz val="11"/>
        <color rgb="FF595959"/>
        <rFont val="Arial"/>
        <family val="2"/>
      </rPr>
      <t xml:space="preserve">(D30 ROAS) </t>
    </r>
    <r>
      <rPr>
        <i/>
        <sz val="11"/>
        <color rgb="FF595959"/>
        <rFont val="Noto Sans CJK SC"/>
        <family val="2"/>
      </rPr>
      <t xml:space="preserve">평균 </t>
    </r>
    <r>
      <rPr>
        <i/>
        <sz val="11"/>
        <color rgb="FF595959"/>
        <rFont val="Arial"/>
        <family val="2"/>
      </rPr>
      <t xml:space="preserve">iOS 47%, Android 15%. </t>
    </r>
    <r>
      <rPr>
        <i/>
        <sz val="11"/>
        <color rgb="FF595959"/>
        <rFont val="Noto Sans CJK SC"/>
        <family val="2"/>
      </rPr>
      <t xml:space="preserve">즉 보통은 </t>
    </r>
    <r>
      <rPr>
        <i/>
        <sz val="11"/>
        <color rgb="FF595959"/>
        <rFont val="Arial"/>
        <family val="2"/>
      </rPr>
      <t>30</t>
    </r>
    <r>
      <rPr>
        <i/>
        <sz val="11"/>
        <color rgb="FF595959"/>
        <rFont val="Noto Sans CJK SC"/>
        <family val="2"/>
      </rPr>
      <t>일 안에 광고비를 다 되찾지 못함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</si>
  <si>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 xml:space="preserve">광고비 </t>
    </r>
    <r>
      <rPr>
        <i/>
        <sz val="11"/>
        <color rgb="FF595959"/>
        <rFont val="Arial"/>
        <family val="2"/>
      </rPr>
      <t>$1,000</t>
    </r>
    <r>
      <rPr>
        <i/>
        <sz val="11"/>
        <color rgb="FF595959"/>
        <rFont val="Noto Sans CJK SC"/>
        <family val="2"/>
      </rPr>
      <t xml:space="preserve">과 시나리오 조합은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같은 돈으로 비교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하려는 분석자 가정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실제 </t>
    </r>
    <r>
      <rPr>
        <i/>
        <sz val="11"/>
        <color rgb="FF595959"/>
        <rFont val="Arial"/>
        <family val="2"/>
      </rPr>
      <t>CPI</t>
    </r>
    <r>
      <rPr>
        <i/>
        <sz val="11"/>
        <color rgb="FF595959"/>
        <rFont val="Noto Sans CJK SC"/>
        <family val="2"/>
      </rPr>
      <t>는 우리 게임 광고를 소액으로 돌려 보면 가장 정확하게 알 수 있음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</si>
  <si>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실제 게임별 광고비</t>
    </r>
    <r>
      <rPr>
        <i/>
        <sz val="11"/>
        <color rgb="FF595959"/>
        <rFont val="Arial"/>
        <family val="2"/>
      </rPr>
      <t>·CPI·</t>
    </r>
    <r>
      <rPr>
        <i/>
        <sz val="11"/>
        <color rgb="FF595959"/>
        <rFont val="Noto Sans CJK SC"/>
        <family val="2"/>
      </rPr>
      <t>설치 수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>비공개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대신 쓸 수 있는 공개 지표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위 </t>
    </r>
    <r>
      <rPr>
        <i/>
        <sz val="11"/>
        <color rgb="FF595959"/>
        <rFont val="Arial"/>
        <family val="2"/>
      </rPr>
      <t xml:space="preserve">CPI </t>
    </r>
    <r>
      <rPr>
        <i/>
        <sz val="11"/>
        <color rgb="FF595959"/>
        <rFont val="Noto Sans CJK SC"/>
        <family val="2"/>
      </rPr>
      <t>출처표</t>
    </r>
    <r>
      <rPr>
        <i/>
        <sz val="11"/>
        <color rgb="FF595959"/>
        <rFont val="Arial"/>
        <family val="2"/>
      </rPr>
      <t>, 4-1(</t>
    </r>
    <r>
      <rPr>
        <i/>
        <sz val="11"/>
        <color rgb="FF595959"/>
        <rFont val="Noto Sans CJK SC"/>
        <family val="2"/>
      </rPr>
      <t>참조</t>
    </r>
    <r>
      <rPr>
        <i/>
        <sz val="11"/>
        <color rgb="FF595959"/>
        <rFont val="Arial"/>
        <family val="2"/>
      </rPr>
      <t xml:space="preserve">) </t>
    </r>
    <r>
      <rPr>
        <i/>
        <sz val="11"/>
        <color rgb="FF595959"/>
        <rFont val="Noto Sans CJK SC"/>
        <family val="2"/>
      </rPr>
      <t>리텐션 구간</t>
    </r>
    <r>
      <rPr>
        <i/>
        <sz val="11"/>
        <color rgb="FF595959"/>
        <rFont val="Arial"/>
        <family val="2"/>
      </rPr>
      <t xml:space="preserve">, 3-3 AppBrain </t>
    </r>
    <r>
      <rPr>
        <i/>
        <sz val="11"/>
        <color rgb="FF595959"/>
        <rFont val="Noto Sans CJK SC"/>
        <family val="2"/>
      </rPr>
      <t>추정 설치 수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추정</t>
    </r>
    <r>
      <rPr>
        <i/>
        <sz val="11"/>
        <color rgb="FF595959"/>
        <rFont val="Arial"/>
        <family val="2"/>
      </rPr>
      <t>).</t>
    </r>
  </si>
  <si>
    <t>지표</t>
  </si>
  <si>
    <r>
      <rPr>
        <b/>
        <sz val="11"/>
        <color rgb="FFFFFFFF"/>
        <rFont val="Arial"/>
        <family val="2"/>
      </rPr>
      <t>P50 (</t>
    </r>
    <r>
      <rPr>
        <b/>
        <sz val="11"/>
        <color rgb="FFFFFFFF"/>
        <rFont val="Noto Sans CJK SC"/>
        <family val="2"/>
      </rPr>
      <t>중앙값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</si>
  <si>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P90 (</t>
    </r>
    <r>
      <rPr>
        <b/>
        <sz val="11"/>
        <color rgb="FFFFFFFF"/>
        <rFont val="Noto Sans CJK SC"/>
        <family val="2"/>
      </rPr>
      <t xml:space="preserve">상위 </t>
    </r>
    <r>
      <rPr>
        <b/>
        <sz val="11"/>
        <color rgb="FFFFFFFF"/>
        <rFont val="Arial"/>
        <family val="2"/>
      </rPr>
      <t>10%)</t>
    </r>
  </si>
  <si>
    <r>
      <rPr>
        <b/>
        <sz val="11"/>
        <color rgb="FFFFFFFF"/>
        <rFont val="Arial"/>
        <family val="2"/>
      </rPr>
      <t>P99 (</t>
    </r>
    <r>
      <rPr>
        <b/>
        <sz val="11"/>
        <color rgb="FFFFFFFF"/>
        <rFont val="Noto Sans CJK SC"/>
        <family val="2"/>
      </rPr>
      <t xml:space="preserve">상위 </t>
    </r>
    <r>
      <rPr>
        <b/>
        <sz val="11"/>
        <color rgb="FFFFFFFF"/>
        <rFont val="Arial"/>
        <family val="2"/>
      </rPr>
      <t>1%)</t>
    </r>
  </si>
  <si>
    <t>단위</t>
  </si>
  <si>
    <t>출처</t>
  </si>
  <si>
    <r>
      <rPr>
        <b/>
        <sz val="11"/>
        <color rgb="FF7F7F7F"/>
        <rFont val="Noto Sans CJK SC"/>
        <family val="2"/>
      </rPr>
      <t xml:space="preserve">참조용 복사본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</t>
    </r>
    <r>
      <rPr>
        <b/>
        <sz val="11"/>
        <color rgb="FF7F7F7F"/>
        <rFont val="Arial"/>
        <family val="2"/>
      </rPr>
      <t xml:space="preserve">: </t>
    </r>
    <r>
      <rPr>
        <b/>
        <sz val="11"/>
        <color rgb="FF7F7F7F"/>
        <rFont val="Noto Sans CJK SC"/>
        <family val="2"/>
      </rPr>
      <t>시장조사</t>
    </r>
    <r>
      <rPr>
        <b/>
        <sz val="11"/>
        <color rgb="FF7F7F7F"/>
        <rFont val="Arial"/>
        <family val="2"/>
      </rPr>
      <t xml:space="preserve">.xlsx › 4-2 </t>
    </r>
    <r>
      <rPr>
        <b/>
        <sz val="11"/>
        <color rgb="FF7F7F7F"/>
        <rFont val="Noto Sans CJK SC"/>
        <family val="2"/>
      </rPr>
      <t xml:space="preserve">지역 벤치마크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원본을 고치면 코드를 다시 실행해 두 파일을 함께 갱신</t>
    </r>
  </si>
  <si>
    <r>
      <rPr>
        <sz val="11"/>
        <rFont val="Arial"/>
        <family val="2"/>
      </rPr>
      <t xml:space="preserve">D1 </t>
    </r>
    <r>
      <rPr>
        <sz val="11"/>
        <rFont val="Noto Sans CJK SC"/>
        <family val="2"/>
      </rPr>
      <t>리텐션</t>
    </r>
  </si>
  <si>
    <t>%</t>
  </si>
  <si>
    <r>
      <rPr>
        <sz val="11"/>
        <rFont val="Arial"/>
        <family val="2"/>
      </rPr>
      <t xml:space="preserve">GameAnalytics 2026 </t>
    </r>
    <r>
      <rPr>
        <sz val="11"/>
        <rFont val="Noto Sans CJK SC"/>
        <family val="2"/>
      </rPr>
      <t xml:space="preserve">보고서 지역별 표 </t>
    </r>
    <r>
      <rPr>
        <sz val="11"/>
        <rFont val="Arial"/>
        <family val="2"/>
      </rPr>
      <t>(2025</t>
    </r>
    <r>
      <rPr>
        <sz val="11"/>
        <rFont val="Noto Sans CJK SC"/>
        <family val="2"/>
      </rPr>
      <t>년 주간 데이터의 연평균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</si>
  <si>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D7 </t>
    </r>
    <r>
      <rPr>
        <sz val="11"/>
        <rFont val="Noto Sans CJK SC"/>
        <family val="2"/>
      </rPr>
      <t>리텐션</t>
    </r>
  </si>
  <si>
    <r>
      <rPr>
        <sz val="11"/>
        <rFont val="Arial"/>
        <family val="2"/>
      </rPr>
      <t xml:space="preserve">D30 </t>
    </r>
    <r>
      <rPr>
        <sz val="11"/>
        <rFont val="Noto Sans CJK SC"/>
        <family val="2"/>
      </rPr>
      <t>리텐션</t>
    </r>
  </si>
  <si>
    <t>하루 플레이 시간</t>
  </si>
  <si>
    <t>분</t>
  </si>
  <si>
    <t>세션 길이</t>
  </si>
  <si>
    <t>회</t>
  </si>
  <si>
    <t>중미</t>
  </si>
  <si>
    <r>
      <rPr>
        <i/>
        <sz val="11"/>
        <color rgb="FF595959"/>
        <rFont val="Noto Sans CJK SC"/>
        <family val="2"/>
      </rPr>
      <t xml:space="preserve">참고 </t>
    </r>
    <r>
      <rPr>
        <i/>
        <sz val="11"/>
        <color rgb="FF595959"/>
        <rFont val="Arial"/>
        <family val="2"/>
      </rPr>
      <t>(2024</t>
    </r>
    <r>
      <rPr>
        <i/>
        <sz val="11"/>
        <color rgb="FF595959"/>
        <rFont val="Noto Sans CJK SC"/>
        <family val="2"/>
      </rPr>
      <t>년 데이터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중앙값</t>
    </r>
    <r>
      <rPr>
        <i/>
        <sz val="11"/>
        <color rgb="FF595959"/>
        <rFont val="Arial"/>
        <family val="2"/>
      </rPr>
      <t xml:space="preserve">): </t>
    </r>
    <r>
      <rPr>
        <i/>
        <sz val="11"/>
        <color rgb="FF595959"/>
        <rFont val="Noto Sans CJK SC"/>
        <family val="2"/>
      </rPr>
      <t xml:space="preserve">북미 </t>
    </r>
    <r>
      <rPr>
        <i/>
        <sz val="11"/>
        <color rgb="FF595959"/>
        <rFont val="Arial"/>
        <family val="2"/>
      </rPr>
      <t xml:space="preserve">D1 20.48% / D7 4.64% / D28 1.46%, </t>
    </r>
    <r>
      <rPr>
        <i/>
        <sz val="11"/>
        <color rgb="FF595959"/>
        <rFont val="Noto Sans CJK SC"/>
        <family val="2"/>
      </rPr>
      <t xml:space="preserve">남미 </t>
    </r>
    <r>
      <rPr>
        <i/>
        <sz val="11"/>
        <color rgb="FF595959"/>
        <rFont val="Arial"/>
        <family val="2"/>
      </rPr>
      <t xml:space="preserve">18.32% / 3.31% / 0.82%, </t>
    </r>
    <r>
      <rPr>
        <i/>
        <sz val="11"/>
        <color rgb="FF595959"/>
        <rFont val="Noto Sans CJK SC"/>
        <family val="2"/>
      </rPr>
      <t xml:space="preserve">중미 </t>
    </r>
    <r>
      <rPr>
        <i/>
        <sz val="11"/>
        <color rgb="FF595959"/>
        <rFont val="Arial"/>
        <family val="2"/>
      </rPr>
      <t xml:space="preserve">18.95% / 3.68% / 0.98%, </t>
    </r>
    <r>
      <rPr>
        <i/>
        <sz val="11"/>
        <color rgb="FF595959"/>
        <rFont val="Noto Sans CJK SC"/>
        <family val="2"/>
      </rPr>
      <t xml:space="preserve">아시아 </t>
    </r>
    <r>
      <rPr>
        <i/>
        <sz val="11"/>
        <color rgb="FF595959"/>
        <rFont val="Arial"/>
        <family val="2"/>
      </rPr>
      <t xml:space="preserve">17.57% / 3.14% / 0.75%, </t>
    </r>
    <r>
      <rPr>
        <i/>
        <sz val="11"/>
        <color rgb="FF595959"/>
        <rFont val="Noto Sans CJK SC"/>
        <family val="2"/>
      </rPr>
      <t xml:space="preserve">동남아 </t>
    </r>
    <r>
      <rPr>
        <i/>
        <sz val="11"/>
        <color rgb="FF595959"/>
        <rFont val="Arial"/>
        <family val="2"/>
      </rPr>
      <t xml:space="preserve">18.28% / 3.33% / 0.82% — GameAnalytics 2025 </t>
    </r>
    <r>
      <rPr>
        <i/>
        <sz val="11"/>
        <color rgb="FF595959"/>
        <rFont val="Noto Sans CJK SC"/>
        <family val="2"/>
      </rPr>
      <t>보고서</t>
    </r>
  </si>
  <si>
    <r>
      <rPr>
        <i/>
        <sz val="11"/>
        <color rgb="FF595959"/>
        <rFont val="Noto Sans CJK SC"/>
        <family val="2"/>
      </rPr>
      <t xml:space="preserve">멕시코가 </t>
    </r>
    <r>
      <rPr>
        <i/>
        <sz val="11"/>
        <color rgb="FF595959"/>
        <rFont val="Arial"/>
        <family val="2"/>
      </rPr>
      <t>GameAnalytics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중미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와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북미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중 어디에 속하는지는 보고서에서 확인되지 않았습니다</t>
    </r>
    <r>
      <rPr>
        <i/>
        <sz val="11"/>
        <color rgb="FF595959"/>
        <rFont val="Arial"/>
        <family val="2"/>
      </rPr>
      <t>.</t>
    </r>
  </si>
  <si>
    <r>
      <rPr>
        <b/>
        <sz val="13"/>
        <rFont val="Arial"/>
        <family val="2"/>
      </rPr>
      <t xml:space="preserve">GameAnalytics 2025 </t>
    </r>
    <r>
      <rPr>
        <b/>
        <sz val="13"/>
        <rFont val="Noto Sans CJK SC"/>
        <family val="2"/>
      </rPr>
      <t xml:space="preserve">보고서 </t>
    </r>
    <r>
      <rPr>
        <b/>
        <sz val="13"/>
        <rFont val="Arial"/>
        <family val="2"/>
      </rPr>
      <t xml:space="preserve">· </t>
    </r>
    <r>
      <rPr>
        <b/>
        <sz val="13"/>
        <rFont val="Noto Sans CJK SC"/>
        <family val="2"/>
      </rPr>
      <t xml:space="preserve">장르별 차트 판독값 </t>
    </r>
    <r>
      <rPr>
        <b/>
        <sz val="13"/>
        <rFont val="Arial"/>
        <family val="2"/>
      </rPr>
      <t>(2024</t>
    </r>
    <r>
      <rPr>
        <b/>
        <sz val="13"/>
        <rFont val="Noto Sans CJK SC"/>
        <family val="2"/>
      </rPr>
      <t>년 데이터</t>
    </r>
    <r>
      <rPr>
        <b/>
        <sz val="13"/>
        <rFont val="Arial"/>
        <family val="2"/>
      </rPr>
      <t xml:space="preserve">, </t>
    </r>
    <r>
      <rPr>
        <b/>
        <sz val="13"/>
        <rFont val="Noto Sans CJK SC"/>
        <family val="2"/>
      </rPr>
      <t>장르별 중앙값 게임</t>
    </r>
    <r>
      <rPr>
        <b/>
        <sz val="13"/>
        <rFont val="Arial"/>
        <family val="2"/>
      </rPr>
      <t xml:space="preserve">, </t>
    </r>
    <r>
      <rPr>
        <b/>
        <sz val="13"/>
        <rFont val="Noto Sans CJK SC"/>
        <family val="2"/>
      </rPr>
      <t>월별 코호트</t>
    </r>
    <r>
      <rPr>
        <b/>
        <sz val="13"/>
        <rFont val="Arial"/>
        <family val="2"/>
      </rPr>
      <t>)</t>
    </r>
  </si>
  <si>
    <r>
      <rPr>
        <b/>
        <sz val="11"/>
        <color rgb="FF7F7F7F"/>
        <rFont val="Noto Sans CJK SC"/>
        <family val="2"/>
      </rPr>
      <t xml:space="preserve">참조용 복사본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</t>
    </r>
    <r>
      <rPr>
        <b/>
        <sz val="11"/>
        <color rgb="FF7F7F7F"/>
        <rFont val="Arial"/>
        <family val="2"/>
      </rPr>
      <t xml:space="preserve">: </t>
    </r>
    <r>
      <rPr>
        <b/>
        <sz val="11"/>
        <color rgb="FF7F7F7F"/>
        <rFont val="Noto Sans CJK SC"/>
        <family val="2"/>
      </rPr>
      <t>시장조사</t>
    </r>
    <r>
      <rPr>
        <b/>
        <sz val="11"/>
        <color rgb="FF7F7F7F"/>
        <rFont val="Arial"/>
        <family val="2"/>
      </rPr>
      <t xml:space="preserve">.xlsx › 4-3 </t>
    </r>
    <r>
      <rPr>
        <b/>
        <sz val="11"/>
        <color rgb="FF7F7F7F"/>
        <rFont val="Noto Sans CJK SC"/>
        <family val="2"/>
      </rPr>
      <t xml:space="preserve">장르 차트 판독값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원본을 고치면 코드를 다시 실행해 두 파일을 함께 갱신</t>
    </r>
  </si>
  <si>
    <r>
      <rPr>
        <b/>
        <sz val="11"/>
        <color rgb="FFC00000"/>
        <rFont val="Noto Sans CJK SC"/>
        <family val="2"/>
      </rPr>
      <t>⚠ 차트 판독값</t>
    </r>
    <r>
      <rPr>
        <b/>
        <sz val="11"/>
        <color rgb="FFC00000"/>
        <rFont val="Arial"/>
        <family val="2"/>
      </rPr>
      <t>: PDF 17~20</t>
    </r>
    <r>
      <rPr>
        <b/>
        <sz val="11"/>
        <color rgb="FFC00000"/>
        <rFont val="Noto Sans CJK SC"/>
        <family val="2"/>
      </rPr>
      <t>쪽은 글자가 없는 그림</t>
    </r>
    <r>
      <rPr>
        <b/>
        <sz val="11"/>
        <color rgb="FFC00000"/>
        <rFont val="Arial"/>
        <family val="2"/>
      </rPr>
      <t>(</t>
    </r>
    <r>
      <rPr>
        <b/>
        <sz val="11"/>
        <color rgb="FFC00000"/>
        <rFont val="Noto Sans CJK SC"/>
        <family val="2"/>
      </rPr>
      <t>히트맵</t>
    </r>
    <r>
      <rPr>
        <b/>
        <sz val="11"/>
        <color rgb="FFC00000"/>
        <rFont val="Arial"/>
        <family val="2"/>
      </rPr>
      <t>)</t>
    </r>
    <r>
      <rPr>
        <b/>
        <sz val="11"/>
        <color rgb="FFC00000"/>
        <rFont val="Noto Sans CJK SC"/>
        <family val="2"/>
      </rPr>
      <t>이라</t>
    </r>
    <r>
      <rPr>
        <b/>
        <sz val="11"/>
        <color rgb="FFC00000"/>
        <rFont val="Arial"/>
        <family val="2"/>
      </rPr>
      <t xml:space="preserve">, </t>
    </r>
    <r>
      <rPr>
        <b/>
        <sz val="11"/>
        <color rgb="FFC00000"/>
        <rFont val="Noto Sans CJK SC"/>
        <family val="2"/>
      </rPr>
      <t>그림을 확대해 칸 안에 적힌 숫자를 눈으로 옮겨 적었습니다</t>
    </r>
    <r>
      <rPr>
        <b/>
        <sz val="11"/>
        <color rgb="FFC00000"/>
        <rFont val="Arial"/>
        <family val="2"/>
      </rPr>
      <t xml:space="preserve">. </t>
    </r>
    <r>
      <rPr>
        <b/>
        <sz val="11"/>
        <color rgb="FFC00000"/>
        <rFont val="Noto Sans CJK SC"/>
        <family val="2"/>
      </rPr>
      <t>공식 표</t>
    </r>
    <r>
      <rPr>
        <b/>
        <sz val="11"/>
        <color rgb="FFC00000"/>
        <rFont val="Arial"/>
        <family val="2"/>
      </rPr>
      <t xml:space="preserve">·API </t>
    </r>
    <r>
      <rPr>
        <b/>
        <sz val="11"/>
        <color rgb="FFC00000"/>
        <rFont val="Noto Sans CJK SC"/>
        <family val="2"/>
      </rPr>
      <t>값이 아닙니다</t>
    </r>
    <r>
      <rPr>
        <b/>
        <sz val="11"/>
        <color rgb="FFC00000"/>
        <rFont val="Arial"/>
        <family val="2"/>
      </rPr>
      <t xml:space="preserve">. </t>
    </r>
    <r>
      <rPr>
        <b/>
        <sz val="11"/>
        <color rgb="FFC00000"/>
        <rFont val="Noto Sans CJK SC"/>
        <family val="2"/>
      </rPr>
      <t>파란 글씨</t>
    </r>
    <r>
      <rPr>
        <b/>
        <sz val="11"/>
        <color rgb="FFC00000"/>
        <rFont val="Arial"/>
        <family val="2"/>
      </rPr>
      <t>=</t>
    </r>
    <r>
      <rPr>
        <b/>
        <sz val="11"/>
        <color rgb="FFC00000"/>
        <rFont val="Noto Sans CJK SC"/>
        <family val="2"/>
      </rPr>
      <t>판독값</t>
    </r>
    <r>
      <rPr>
        <b/>
        <sz val="11"/>
        <color rgb="FFC00000"/>
        <rFont val="Arial"/>
        <family val="2"/>
      </rPr>
      <t xml:space="preserve">, </t>
    </r>
    <r>
      <rPr>
        <b/>
        <sz val="11"/>
        <color rgb="FFC00000"/>
        <rFont val="Noto Sans CJK SC"/>
        <family val="2"/>
      </rPr>
      <t>검은 글씨</t>
    </r>
    <r>
      <rPr>
        <b/>
        <sz val="11"/>
        <color rgb="FFC00000"/>
        <rFont val="Arial"/>
        <family val="2"/>
      </rPr>
      <t>=</t>
    </r>
    <r>
      <rPr>
        <b/>
        <sz val="11"/>
        <color rgb="FFC00000"/>
        <rFont val="Noto Sans CJK SC"/>
        <family val="2"/>
      </rPr>
      <t>판독값으로 계산한 값</t>
    </r>
    <r>
      <rPr>
        <b/>
        <sz val="11"/>
        <color rgb="FFC00000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</si>
  <si>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출처</t>
    </r>
    <r>
      <rPr>
        <i/>
        <sz val="11"/>
        <color rgb="FF595959"/>
        <rFont val="Arial"/>
        <family val="2"/>
      </rPr>
      <t>: GameAnalytics, 2025 Mobile Gaming Benchmarks (2024</t>
    </r>
    <r>
      <rPr>
        <i/>
        <sz val="11"/>
        <color rgb="FF595959"/>
        <rFont val="Noto Sans CJK SC"/>
        <family val="2"/>
      </rPr>
      <t>년 데이터</t>
    </r>
    <r>
      <rPr>
        <i/>
        <sz val="11"/>
        <color rgb="FF595959"/>
        <rFont val="Arial"/>
        <family val="2"/>
      </rPr>
      <t>, 11,600</t>
    </r>
    <r>
      <rPr>
        <i/>
        <sz val="11"/>
        <color rgb="FF595959"/>
        <rFont val="Noto Sans CJK SC"/>
        <family val="2"/>
      </rPr>
      <t>개 게임</t>
    </r>
    <r>
      <rPr>
        <i/>
        <sz val="11"/>
        <color rgb="FF595959"/>
        <rFont val="Arial"/>
        <family val="2"/>
      </rPr>
      <t xml:space="preserve">) https://files.gameindustrylibrary.com/documents/mobile-gaming-benchmarks-2025.pdf — </t>
    </r>
    <r>
      <rPr>
        <i/>
        <sz val="11"/>
        <color rgb="FF595959"/>
        <rFont val="Noto Sans CJK SC"/>
        <family val="2"/>
      </rPr>
      <t xml:space="preserve">각 표 제목 옆에 </t>
    </r>
    <r>
      <rPr>
        <i/>
        <sz val="11"/>
        <color rgb="FF595959"/>
        <rFont val="Arial"/>
        <family val="2"/>
      </rPr>
      <t xml:space="preserve">PDF </t>
    </r>
    <r>
      <rPr>
        <i/>
        <sz val="11"/>
        <color rgb="FF595959"/>
        <rFont val="Noto Sans CJK SC"/>
        <family val="2"/>
      </rPr>
      <t>쪽수 표시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판독 방법</t>
    </r>
    <r>
      <rPr>
        <i/>
        <sz val="11"/>
        <color rgb="FF595959"/>
        <rFont val="Arial"/>
        <family val="2"/>
      </rPr>
      <t xml:space="preserve">: PDF </t>
    </r>
    <r>
      <rPr>
        <i/>
        <sz val="11"/>
        <color rgb="FF595959"/>
        <rFont val="Noto Sans CJK SC"/>
        <family val="2"/>
      </rPr>
      <t>안 원본 그림</t>
    </r>
    <r>
      <rPr>
        <i/>
        <sz val="11"/>
        <color rgb="FF595959"/>
        <rFont val="Arial"/>
        <family val="2"/>
      </rPr>
      <t>(1056×547</t>
    </r>
    <r>
      <rPr>
        <i/>
        <sz val="11"/>
        <color rgb="FF595959"/>
        <rFont val="Noto Sans CJK SC"/>
        <family val="2"/>
      </rPr>
      <t>픽셀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을 </t>
    </r>
    <r>
      <rPr>
        <i/>
        <sz val="11"/>
        <color rgb="FF595959"/>
        <rFont val="Arial"/>
        <family val="2"/>
      </rPr>
      <t>2</t>
    </r>
    <r>
      <rPr>
        <i/>
        <sz val="11"/>
        <color rgb="FF595959"/>
        <rFont val="Noto Sans CJK SC"/>
        <family val="2"/>
      </rPr>
      <t>배 확대해 전부 두 번 읽고 대조</t>
    </r>
    <r>
      <rPr>
        <i/>
        <sz val="11"/>
        <color rgb="FF595959"/>
        <rFont val="Arial"/>
        <family val="2"/>
      </rPr>
      <t>.</t>
    </r>
  </si>
  <si>
    <r>
      <rPr>
        <b/>
        <sz val="12"/>
        <color rgb="FF1F3864"/>
        <rFont val="Arial"/>
        <family val="2"/>
      </rPr>
      <t xml:space="preserve">D1 </t>
    </r>
    <r>
      <rPr>
        <b/>
        <sz val="12"/>
        <color rgb="FF1F3864"/>
        <rFont val="Noto Sans CJK SC"/>
        <family val="2"/>
      </rPr>
      <t xml:space="preserve">리텐션 </t>
    </r>
    <r>
      <rPr>
        <b/>
        <sz val="12"/>
        <color rgb="FF1F3864"/>
        <rFont val="Arial"/>
        <family val="2"/>
      </rPr>
      <t>(</t>
    </r>
    <r>
      <rPr>
        <b/>
        <sz val="12"/>
        <color rgb="FF1F3864"/>
        <rFont val="Noto Sans CJK SC"/>
        <family val="2"/>
      </rPr>
      <t>설치 다음날 다시 온 비율</t>
    </r>
    <r>
      <rPr>
        <b/>
        <sz val="12"/>
        <color rgb="FF1F3864"/>
        <rFont val="Arial"/>
        <family val="2"/>
      </rPr>
      <t>)  —  PDF 17</t>
    </r>
    <r>
      <rPr>
        <b/>
        <sz val="12"/>
        <color rgb="FF1F3864"/>
        <rFont val="Noto Sans CJK SC"/>
        <family val="2"/>
      </rPr>
      <t>쪽</t>
    </r>
  </si>
  <si>
    <r>
      <rPr>
        <b/>
        <sz val="11"/>
        <color rgb="FFFFFFFF"/>
        <rFont val="Noto Sans CJK SC"/>
        <family val="2"/>
      </rPr>
      <t>장르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보고서 표기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</si>
  <si>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>장르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한글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</si>
  <si>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1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</si>
  <si>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2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</si>
  <si>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3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</si>
  <si>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4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</si>
  <si>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5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</si>
  <si>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6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</si>
  <si>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7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</si>
  <si>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8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</si>
  <si>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9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</si>
  <si>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10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</si>
  <si>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11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</si>
  <si>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Arial"/>
        <family val="2"/>
      </rPr>
      <t>12</t>
    </r>
    <r>
      <rPr>
        <b/>
        <sz val="11"/>
        <color rgb="FFFFFFFF"/>
        <rFont val="Noto Sans CJK SC"/>
        <family val="2"/>
      </rPr>
      <t>월</t>
    </r>
  </si>
  <si>
    <r>
      <rPr>
        <b/>
        <sz val="11"/>
        <color rgb="FFFFFFFF"/>
        <rFont val="Noto Sans CJK SC"/>
        <family val="2"/>
      </rPr>
      <t>연평균</t>
    </r>
    <r>
      <rPr>
        <b/>
        <sz val="11"/>
        <color rgb="FFFFFFFF"/>
        <rFont val="Arial"/>
        <family val="2"/>
      </rPr>
      <t>*</t>
    </r>
  </si>
  <si>
    <t>최저 달</t>
  </si>
  <si>
    <t>최고 달</t>
  </si>
  <si>
    <r>
      <rPr>
        <b/>
        <sz val="11"/>
        <color rgb="FFFFFFFF"/>
        <rFont val="Noto Sans CJK SC"/>
        <family val="2"/>
      </rPr>
      <t>변동폭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최고−최저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</si>
  <si>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16</t>
    </r>
    <r>
      <rPr>
        <b/>
        <sz val="11"/>
        <color rgb="FFFFFFFF"/>
        <rFont val="Noto Sans CJK SC"/>
        <family val="2"/>
      </rPr>
      <t xml:space="preserve">개 장르 중 순위 </t>
    </r>
    <r>
      <rPr>
        <b/>
        <sz val="11"/>
        <color rgb="FFFFFFFF"/>
        <rFont val="Arial"/>
        <family val="2"/>
      </rPr>
      <t>(1=</t>
    </r>
    <r>
      <rPr>
        <b/>
        <sz val="11"/>
        <color rgb="FFFFFFFF"/>
        <rFont val="Noto Sans CJK SC"/>
        <family val="2"/>
      </rPr>
      <t>가장 높음</t>
    </r>
    <r>
      <rPr>
        <b/>
        <sz val="11"/>
        <color rgb="FFFFFFFF"/>
        <rFont val="Arial"/>
        <family val="2"/>
      </rPr>
      <t>)</t>
    </r>
  </si>
  <si>
    <t>액션</t>
  </si>
  <si>
    <t>어드벤처</t>
  </si>
  <si>
    <t>Arcade</t>
  </si>
  <si>
    <t>아케이드</t>
  </si>
  <si>
    <t>보드</t>
  </si>
  <si>
    <t>카드</t>
  </si>
  <si>
    <t>Casino</t>
  </si>
  <si>
    <t>Multiplayer</t>
  </si>
  <si>
    <t>멀티플레이</t>
  </si>
  <si>
    <t>Racing</t>
  </si>
  <si>
    <t>레이싱</t>
  </si>
  <si>
    <r>
      <rPr>
        <sz val="11"/>
        <rFont val="Noto Sans CJK SC"/>
        <family val="2"/>
      </rPr>
      <t>롤플레잉</t>
    </r>
    <r>
      <rPr>
        <sz val="11"/>
        <rFont val="Arial"/>
        <family val="2"/>
      </rPr>
      <t>(RPG)</t>
    </r>
  </si>
  <si>
    <t>Sports</t>
  </si>
  <si>
    <t>Trivia</t>
  </si>
  <si>
    <r>
      <rPr>
        <sz val="11"/>
        <rFont val="Noto Sans CJK SC"/>
        <family val="2"/>
      </rPr>
      <t>퀴즈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트리비아</t>
    </r>
    <r>
      <rPr>
        <sz val="11"/>
        <rFont val="Arial"/>
        <family val="2"/>
      </rPr>
      <t>)</t>
    </r>
  </si>
  <si>
    <t>Word</t>
  </si>
  <si>
    <t>단어</t>
  </si>
  <si>
    <r>
      <rPr>
        <b/>
        <sz val="12"/>
        <color rgb="FF1F3864"/>
        <rFont val="Arial"/>
        <family val="2"/>
      </rPr>
      <t xml:space="preserve">D7 </t>
    </r>
    <r>
      <rPr>
        <b/>
        <sz val="12"/>
        <color rgb="FF1F3864"/>
        <rFont val="Noto Sans CJK SC"/>
        <family val="2"/>
      </rPr>
      <t xml:space="preserve">리텐션 </t>
    </r>
    <r>
      <rPr>
        <b/>
        <sz val="12"/>
        <color rgb="FF1F3864"/>
        <rFont val="Arial"/>
        <family val="2"/>
      </rPr>
      <t>(7</t>
    </r>
    <r>
      <rPr>
        <b/>
        <sz val="12"/>
        <color rgb="FF1F3864"/>
        <rFont val="Noto Sans CJK SC"/>
        <family val="2"/>
      </rPr>
      <t>일째 다시 온 비율</t>
    </r>
    <r>
      <rPr>
        <b/>
        <sz val="12"/>
        <color rgb="FF1F3864"/>
        <rFont val="Arial"/>
        <family val="2"/>
      </rPr>
      <t>)  —  PDF 18</t>
    </r>
    <r>
      <rPr>
        <b/>
        <sz val="12"/>
        <color rgb="FF1F3864"/>
        <rFont val="Noto Sans CJK SC"/>
        <family val="2"/>
      </rPr>
      <t>쪽 위</t>
    </r>
  </si>
  <si>
    <r>
      <rPr>
        <b/>
        <sz val="12"/>
        <color rgb="FF1F3864"/>
        <rFont val="Arial"/>
        <family val="2"/>
      </rPr>
      <t xml:space="preserve">D28 </t>
    </r>
    <r>
      <rPr>
        <b/>
        <sz val="12"/>
        <color rgb="FF1F3864"/>
        <rFont val="Noto Sans CJK SC"/>
        <family val="2"/>
      </rPr>
      <t xml:space="preserve">리텐션 </t>
    </r>
    <r>
      <rPr>
        <b/>
        <sz val="12"/>
        <color rgb="FF1F3864"/>
        <rFont val="Arial"/>
        <family val="2"/>
      </rPr>
      <t>(28</t>
    </r>
    <r>
      <rPr>
        <b/>
        <sz val="12"/>
        <color rgb="FF1F3864"/>
        <rFont val="Noto Sans CJK SC"/>
        <family val="2"/>
      </rPr>
      <t>일째 다시 온 비율</t>
    </r>
    <r>
      <rPr>
        <b/>
        <sz val="12"/>
        <color rgb="FF1F3864"/>
        <rFont val="Arial"/>
        <family val="2"/>
      </rPr>
      <t>)  —  PDF 18</t>
    </r>
    <r>
      <rPr>
        <b/>
        <sz val="12"/>
        <color rgb="FF1F3864"/>
        <rFont val="Noto Sans CJK SC"/>
        <family val="2"/>
      </rPr>
      <t>쪽 아래</t>
    </r>
  </si>
  <si>
    <r>
      <rPr>
        <b/>
        <sz val="12"/>
        <color rgb="FF1F3864"/>
        <rFont val="Noto Sans CJK SC"/>
        <family val="2"/>
      </rPr>
      <t xml:space="preserve">하루 플레이 시간 </t>
    </r>
    <r>
      <rPr>
        <b/>
        <sz val="12"/>
        <color rgb="FF1F3864"/>
        <rFont val="Arial"/>
        <family val="2"/>
      </rPr>
      <t>(</t>
    </r>
    <r>
      <rPr>
        <b/>
        <sz val="12"/>
        <color rgb="FF1F3864"/>
        <rFont val="Noto Sans CJK SC"/>
        <family val="2"/>
      </rPr>
      <t>분</t>
    </r>
    <r>
      <rPr>
        <b/>
        <sz val="12"/>
        <color rgb="FF1F3864"/>
        <rFont val="Arial"/>
        <family val="2"/>
      </rPr>
      <t>)  —  PDF 19</t>
    </r>
    <r>
      <rPr>
        <b/>
        <sz val="12"/>
        <color rgb="FF1F3864"/>
        <rFont val="Noto Sans CJK SC"/>
        <family val="2"/>
      </rPr>
      <t>쪽 위</t>
    </r>
  </si>
  <si>
    <r>
      <rPr>
        <b/>
        <sz val="12"/>
        <color rgb="FF1F3864"/>
        <rFont val="Noto Sans CJK SC"/>
        <family val="2"/>
      </rPr>
      <t xml:space="preserve">세션 길이 </t>
    </r>
    <r>
      <rPr>
        <b/>
        <sz val="12"/>
        <color rgb="FF1F3864"/>
        <rFont val="Arial"/>
        <family val="2"/>
      </rPr>
      <t>(</t>
    </r>
    <r>
      <rPr>
        <b/>
        <sz val="12"/>
        <color rgb="FF1F3864"/>
        <rFont val="Noto Sans CJK SC"/>
        <family val="2"/>
      </rPr>
      <t>한 번 켰을 때 노는 시간</t>
    </r>
    <r>
      <rPr>
        <b/>
        <sz val="12"/>
        <color rgb="FF1F3864"/>
        <rFont val="Arial"/>
        <family val="2"/>
      </rPr>
      <t xml:space="preserve">, </t>
    </r>
    <r>
      <rPr>
        <b/>
        <sz val="12"/>
        <color rgb="FF1F3864"/>
        <rFont val="Noto Sans CJK SC"/>
        <family val="2"/>
      </rPr>
      <t>분</t>
    </r>
    <r>
      <rPr>
        <b/>
        <sz val="12"/>
        <color rgb="FF1F3864"/>
        <rFont val="Arial"/>
        <family val="2"/>
      </rPr>
      <t>)  —  PDF 19</t>
    </r>
    <r>
      <rPr>
        <b/>
        <sz val="12"/>
        <color rgb="FF1F3864"/>
        <rFont val="Noto Sans CJK SC"/>
        <family val="2"/>
      </rPr>
      <t>쪽 아래</t>
    </r>
  </si>
  <si>
    <r>
      <rPr>
        <b/>
        <sz val="12"/>
        <color rgb="FF1F3864"/>
        <rFont val="Noto Sans CJK SC"/>
        <family val="2"/>
      </rPr>
      <t xml:space="preserve">하루 세션 수 </t>
    </r>
    <r>
      <rPr>
        <b/>
        <sz val="12"/>
        <color rgb="FF1F3864"/>
        <rFont val="Arial"/>
        <family val="2"/>
      </rPr>
      <t>(</t>
    </r>
    <r>
      <rPr>
        <b/>
        <sz val="12"/>
        <color rgb="FF1F3864"/>
        <rFont val="Noto Sans CJK SC"/>
        <family val="2"/>
      </rPr>
      <t>하루에 켜는 횟수</t>
    </r>
    <r>
      <rPr>
        <b/>
        <sz val="12"/>
        <color rgb="FF1F3864"/>
        <rFont val="Arial"/>
        <family val="2"/>
      </rPr>
      <t xml:space="preserve">, </t>
    </r>
    <r>
      <rPr>
        <b/>
        <sz val="12"/>
        <color rgb="FF1F3864"/>
        <rFont val="Noto Sans CJK SC"/>
        <family val="2"/>
      </rPr>
      <t>회</t>
    </r>
    <r>
      <rPr>
        <b/>
        <sz val="12"/>
        <color rgb="FF1F3864"/>
        <rFont val="Arial"/>
        <family val="2"/>
      </rPr>
      <t>)  —  PDF 20</t>
    </r>
    <r>
      <rPr>
        <b/>
        <sz val="12"/>
        <color rgb="FF1F3864"/>
        <rFont val="Noto Sans CJK SC"/>
        <family val="2"/>
      </rPr>
      <t>쪽</t>
    </r>
  </si>
  <si>
    <r>
      <rPr>
        <i/>
        <sz val="11"/>
        <color rgb="FF595959"/>
        <rFont val="Arial"/>
        <family val="2"/>
      </rPr>
      <t xml:space="preserve">* </t>
    </r>
    <r>
      <rPr>
        <i/>
        <sz val="11"/>
        <color rgb="FF595959"/>
        <rFont val="Noto Sans CJK SC"/>
        <family val="2"/>
      </rPr>
      <t>연평균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최저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최고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변동폭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순위는 보고서에 있는 값이 아니라</t>
    </r>
    <r>
      <rPr>
        <i/>
        <sz val="11"/>
        <color rgb="FF595959"/>
        <rFont val="Arial"/>
        <family val="2"/>
      </rPr>
      <t>, 12</t>
    </r>
    <r>
      <rPr>
        <i/>
        <sz val="11"/>
        <color rgb="FF595959"/>
        <rFont val="Noto Sans CJK SC"/>
        <family val="2"/>
      </rPr>
      <t>개월 판독값으로 이 시트가 계산한 값입니다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단순 평균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</si>
  <si>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Noto Sans CJK SC"/>
        <family val="2"/>
      </rPr>
      <t xml:space="preserve">각 칸은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그 달에 처음 설치한 사람들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월별 코호트</t>
    </r>
    <r>
      <rPr>
        <i/>
        <sz val="11"/>
        <color rgb="FF595959"/>
        <rFont val="Arial"/>
        <family val="2"/>
      </rPr>
      <t xml:space="preserve">)' </t>
    </r>
    <r>
      <rPr>
        <i/>
        <sz val="11"/>
        <color rgb="FF595959"/>
        <rFont val="Noto Sans CJK SC"/>
        <family val="2"/>
      </rPr>
      <t>중 장르의 중앙값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가운데 순서</t>
    </r>
    <r>
      <rPr>
        <i/>
        <sz val="11"/>
        <color rgb="FF595959"/>
        <rFont val="Arial"/>
        <family val="2"/>
      </rPr>
      <t xml:space="preserve">) </t>
    </r>
    <r>
      <rPr>
        <i/>
        <sz val="11"/>
        <color rgb="FF595959"/>
        <rFont val="Noto Sans CJK SC"/>
        <family val="2"/>
      </rPr>
      <t>게임의 수치입니다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보고서 방법론</t>
    </r>
    <r>
      <rPr>
        <i/>
        <sz val="11"/>
        <color rgb="FF595959"/>
        <rFont val="Arial"/>
        <family val="2"/>
      </rPr>
      <t>(5</t>
    </r>
    <r>
      <rPr>
        <i/>
        <sz val="11"/>
        <color rgb="FF595959"/>
        <rFont val="Noto Sans CJK SC"/>
        <family val="2"/>
      </rPr>
      <t>쪽</t>
    </r>
    <r>
      <rPr>
        <i/>
        <sz val="11"/>
        <color rgb="FF595959"/>
        <rFont val="Arial"/>
        <family val="2"/>
      </rPr>
      <t xml:space="preserve">): </t>
    </r>
    <r>
      <rPr>
        <i/>
        <sz val="11"/>
        <color rgb="FF595959"/>
        <rFont val="Noto Sans CJK SC"/>
        <family val="2"/>
      </rPr>
      <t xml:space="preserve">장르 장은 중앙값 </t>
    </r>
    <r>
      <rPr>
        <i/>
        <sz val="11"/>
        <color rgb="FF595959"/>
        <rFont val="Arial"/>
        <family val="2"/>
      </rPr>
      <t xml:space="preserve">50% </t>
    </r>
    <r>
      <rPr>
        <i/>
        <sz val="11"/>
        <color rgb="FF595959"/>
        <rFont val="Noto Sans CJK SC"/>
        <family val="2"/>
      </rPr>
      <t>구간만 사용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</si>
  <si>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>차트 숫자는 반올림되어 표시됩니다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 xml:space="preserve">리텐션 소수 둘째 자리 </t>
    </r>
    <r>
      <rPr>
        <i/>
        <sz val="11"/>
        <color rgb="FF595959"/>
        <rFont val="Arial"/>
        <family val="2"/>
      </rPr>
      <t xml:space="preserve">%, </t>
    </r>
    <r>
      <rPr>
        <i/>
        <sz val="11"/>
        <color rgb="FF595959"/>
        <rFont val="Noto Sans CJK SC"/>
        <family val="2"/>
      </rPr>
      <t>시간 소수 첫째 자리 분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판독값의 정밀도도 그 이상은 아닙니다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</si>
  <si>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>D28</t>
    </r>
    <r>
      <rPr>
        <i/>
        <sz val="11"/>
        <color rgb="FF595959"/>
        <rFont val="Noto Sans CJK SC"/>
        <family val="2"/>
      </rPr>
      <t xml:space="preserve">은 </t>
    </r>
    <r>
      <rPr>
        <i/>
        <sz val="11"/>
        <color rgb="FF595959"/>
        <rFont val="Arial"/>
        <family val="2"/>
      </rPr>
      <t>28</t>
    </r>
    <r>
      <rPr>
        <i/>
        <sz val="11"/>
        <color rgb="FF595959"/>
        <rFont val="Noto Sans CJK SC"/>
        <family val="2"/>
      </rPr>
      <t>일째 기준입니다</t>
    </r>
    <r>
      <rPr>
        <i/>
        <sz val="11"/>
        <color rgb="FF595959"/>
        <rFont val="Arial"/>
        <family val="2"/>
      </rPr>
      <t xml:space="preserve">. 2026 </t>
    </r>
    <r>
      <rPr>
        <i/>
        <sz val="11"/>
        <color rgb="FF595959"/>
        <rFont val="Noto Sans CJK SC"/>
        <family val="2"/>
      </rPr>
      <t>보고서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다른 시트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>D30</t>
    </r>
    <r>
      <rPr>
        <i/>
        <sz val="11"/>
        <color rgb="FF595959"/>
        <rFont val="Noto Sans CJK SC"/>
        <family val="2"/>
      </rPr>
      <t>과 하루 차이가 있어 직접 비교에 주의하세요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</si>
  <si>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Noto Sans CJK SC"/>
        <family val="2"/>
      </rPr>
      <t xml:space="preserve">판독을 두 번 하면서 처음 읽은 값 </t>
    </r>
    <r>
      <rPr>
        <i/>
        <sz val="11"/>
        <color rgb="FF595959"/>
        <rFont val="Arial"/>
        <family val="2"/>
      </rPr>
      <t>5</t>
    </r>
    <r>
      <rPr>
        <i/>
        <sz val="11"/>
        <color rgb="FF595959"/>
        <rFont val="Noto Sans CJK SC"/>
        <family val="2"/>
      </rPr>
      <t>칸을 고쳤습니다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 xml:space="preserve">액션 </t>
    </r>
    <r>
      <rPr>
        <i/>
        <sz val="11"/>
        <color rgb="FF595959"/>
        <rFont val="Arial"/>
        <family val="2"/>
      </rPr>
      <t>D1 11</t>
    </r>
    <r>
      <rPr>
        <i/>
        <sz val="11"/>
        <color rgb="FF595959"/>
        <rFont val="Noto Sans CJK SC"/>
        <family val="2"/>
      </rPr>
      <t>월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카드 </t>
    </r>
    <r>
      <rPr>
        <i/>
        <sz val="11"/>
        <color rgb="FF595959"/>
        <rFont val="Arial"/>
        <family val="2"/>
      </rPr>
      <t>D1 11</t>
    </r>
    <r>
      <rPr>
        <i/>
        <sz val="11"/>
        <color rgb="FF595959"/>
        <rFont val="Noto Sans CJK SC"/>
        <family val="2"/>
      </rPr>
      <t>월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퀴즈 </t>
    </r>
    <r>
      <rPr>
        <i/>
        <sz val="11"/>
        <color rgb="FF595959"/>
        <rFont val="Arial"/>
        <family val="2"/>
      </rPr>
      <t>D7 7</t>
    </r>
    <r>
      <rPr>
        <i/>
        <sz val="11"/>
        <color rgb="FF595959"/>
        <rFont val="Noto Sans CJK SC"/>
        <family val="2"/>
      </rPr>
      <t>월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카드 </t>
    </r>
    <r>
      <rPr>
        <i/>
        <sz val="11"/>
        <color rgb="FF595959"/>
        <rFont val="Arial"/>
        <family val="2"/>
      </rPr>
      <t>D28 3</t>
    </r>
    <r>
      <rPr>
        <i/>
        <sz val="11"/>
        <color rgb="FF595959"/>
        <rFont val="Noto Sans CJK SC"/>
        <family val="2"/>
      </rPr>
      <t>월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카지노 플레이 시간 </t>
    </r>
    <r>
      <rPr>
        <i/>
        <sz val="11"/>
        <color rgb="FF595959"/>
        <rFont val="Arial"/>
        <family val="2"/>
      </rPr>
      <t>7</t>
    </r>
    <r>
      <rPr>
        <i/>
        <sz val="11"/>
        <color rgb="FF595959"/>
        <rFont val="Noto Sans CJK SC"/>
        <family val="2"/>
      </rPr>
      <t>월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그 밖의 칸은 두 번 모두 같은 값으로 읽혔습니다</t>
    </r>
    <r>
      <rPr>
        <i/>
        <sz val="11"/>
        <color rgb="FF595959"/>
        <rFont val="Arial"/>
        <family val="2"/>
      </rPr>
      <t>.</t>
    </r>
  </si>
  <si>
    <r>
      <rPr>
        <b/>
        <sz val="13"/>
        <rFont val="Noto Sans CJK SC"/>
        <family val="2"/>
      </rPr>
      <t xml:space="preserve">장르별 한눈에 보기 </t>
    </r>
    <r>
      <rPr>
        <b/>
        <sz val="13"/>
        <rFont val="Arial"/>
        <family val="2"/>
      </rPr>
      <t>(</t>
    </r>
    <r>
      <rPr>
        <b/>
        <sz val="13"/>
        <rFont val="Noto Sans CJK SC"/>
        <family val="2"/>
      </rPr>
      <t xml:space="preserve">차트 판독값의 </t>
    </r>
    <r>
      <rPr>
        <b/>
        <sz val="13"/>
        <rFont val="Arial"/>
        <family val="2"/>
      </rPr>
      <t>12</t>
    </r>
    <r>
      <rPr>
        <b/>
        <sz val="13"/>
        <rFont val="Noto Sans CJK SC"/>
        <family val="2"/>
      </rPr>
      <t>개월 평균</t>
    </r>
    <r>
      <rPr>
        <b/>
        <sz val="13"/>
        <rFont val="Arial"/>
        <family val="2"/>
      </rPr>
      <t>)</t>
    </r>
  </si>
  <si>
    <r>
      <rPr>
        <b/>
        <sz val="11"/>
        <color rgb="FF7F7F7F"/>
        <rFont val="Noto Sans CJK SC"/>
        <family val="2"/>
      </rPr>
      <t xml:space="preserve">참조용 복사본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</t>
    </r>
    <r>
      <rPr>
        <b/>
        <sz val="11"/>
        <color rgb="FF7F7F7F"/>
        <rFont val="Arial"/>
        <family val="2"/>
      </rPr>
      <t xml:space="preserve">: </t>
    </r>
    <r>
      <rPr>
        <b/>
        <sz val="11"/>
        <color rgb="FF7F7F7F"/>
        <rFont val="Noto Sans CJK SC"/>
        <family val="2"/>
      </rPr>
      <t>시장조사</t>
    </r>
    <r>
      <rPr>
        <b/>
        <sz val="11"/>
        <color rgb="FF7F7F7F"/>
        <rFont val="Arial"/>
        <family val="2"/>
      </rPr>
      <t xml:space="preserve">.xlsx › 4-4 </t>
    </r>
    <r>
      <rPr>
        <b/>
        <sz val="11"/>
        <color rgb="FF7F7F7F"/>
        <rFont val="Noto Sans CJK SC"/>
        <family val="2"/>
      </rPr>
      <t xml:space="preserve">장르 판독 요약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원본을 고치면 코드를 다시 실행해 두 파일을 함께 갱신</t>
    </r>
  </si>
  <si>
    <r>
      <rPr>
        <b/>
        <sz val="11"/>
        <color rgb="FFC00000"/>
        <rFont val="Noto Sans CJK SC"/>
        <family val="2"/>
      </rPr>
      <t xml:space="preserve">⚠ 모든 숫자는 </t>
    </r>
    <r>
      <rPr>
        <b/>
        <sz val="11"/>
        <color rgb="FFC00000"/>
        <rFont val="Arial"/>
        <family val="2"/>
      </rPr>
      <t xml:space="preserve">'4-2 </t>
    </r>
    <r>
      <rPr>
        <b/>
        <sz val="11"/>
        <color rgb="FFC00000"/>
        <rFont val="Noto Sans CJK SC"/>
        <family val="2"/>
      </rPr>
      <t>장르 차트 판독값</t>
    </r>
    <r>
      <rPr>
        <b/>
        <sz val="11"/>
        <color rgb="FFC00000"/>
        <rFont val="Arial"/>
        <family val="2"/>
      </rPr>
      <t>(</t>
    </r>
    <r>
      <rPr>
        <b/>
        <sz val="11"/>
        <color rgb="FFC00000"/>
        <rFont val="Noto Sans CJK SC"/>
        <family val="2"/>
      </rPr>
      <t>참조</t>
    </r>
    <r>
      <rPr>
        <b/>
        <sz val="11"/>
        <color rgb="FFC00000"/>
        <rFont val="Arial"/>
        <family val="2"/>
      </rPr>
      <t xml:space="preserve">)' </t>
    </r>
    <r>
      <rPr>
        <b/>
        <sz val="11"/>
        <color rgb="FFC00000"/>
        <rFont val="Noto Sans CJK SC"/>
        <family val="2"/>
      </rPr>
      <t>시트에서 자동으로 가져온 판독값 기반 계산입니다</t>
    </r>
    <r>
      <rPr>
        <b/>
        <sz val="11"/>
        <color rgb="FFC00000"/>
        <rFont val="Arial"/>
        <family val="2"/>
      </rPr>
      <t xml:space="preserve">. </t>
    </r>
    <r>
      <rPr>
        <b/>
        <sz val="11"/>
        <color rgb="FFC00000"/>
        <rFont val="Noto Sans CJK SC"/>
        <family val="2"/>
      </rPr>
      <t>순위</t>
    </r>
    <r>
      <rPr>
        <b/>
        <sz val="11"/>
        <color rgb="FFC00000"/>
        <rFont val="Arial"/>
        <family val="2"/>
      </rPr>
      <t>: 1</t>
    </r>
    <r>
      <rPr>
        <b/>
        <sz val="11"/>
        <color rgb="FFC00000"/>
        <rFont val="Noto Sans CJK SC"/>
        <family val="2"/>
      </rPr>
      <t>위</t>
    </r>
    <r>
      <rPr>
        <b/>
        <sz val="11"/>
        <color rgb="FFC00000"/>
        <rFont val="Arial"/>
        <family val="2"/>
      </rPr>
      <t>=16</t>
    </r>
    <r>
      <rPr>
        <b/>
        <sz val="11"/>
        <color rgb="FFC00000"/>
        <rFont val="Noto Sans CJK SC"/>
        <family val="2"/>
      </rPr>
      <t>개 장르 중 가장 높음</t>
    </r>
    <r>
      <rPr>
        <b/>
        <sz val="11"/>
        <color rgb="FFC00000"/>
        <rFont val="Arial"/>
        <family val="2"/>
      </rPr>
      <t>.</t>
    </r>
  </si>
  <si>
    <r>
      <rPr>
        <b/>
        <sz val="11"/>
        <color rgb="FFFFFFFF"/>
        <rFont val="Arial"/>
        <family val="2"/>
      </rPr>
      <t xml:space="preserve">D28 </t>
    </r>
    <r>
      <rPr>
        <b/>
        <sz val="11"/>
        <color rgb="FFFFFFFF"/>
        <rFont val="Noto Sans CJK SC"/>
        <family val="2"/>
      </rPr>
      <t>리텐션</t>
    </r>
  </si>
  <si>
    <r>
      <rPr>
        <b/>
        <sz val="11"/>
        <color rgb="FFFFFFFF"/>
        <rFont val="Noto Sans CJK SC"/>
        <family val="2"/>
      </rPr>
      <t xml:space="preserve">쉬운 해설 ① </t>
    </r>
    <r>
      <rPr>
        <b/>
        <sz val="11"/>
        <color rgb="FFFFFFFF"/>
        <rFont val="Arial"/>
        <family val="2"/>
      </rPr>
      <t>100</t>
    </r>
    <r>
      <rPr>
        <b/>
        <sz val="11"/>
        <color rgb="FFFFFFFF"/>
        <rFont val="Noto Sans CJK SC"/>
        <family val="2"/>
      </rPr>
      <t>명이 설치하면</t>
    </r>
  </si>
  <si>
    <t>쉬운 해설 ② 하루 노는 모습</t>
  </si>
  <si>
    <r>
      <rPr>
        <b/>
        <sz val="12"/>
        <rFont val="Noto Sans CJK SC"/>
        <family val="2"/>
      </rPr>
      <t>보고서 글</t>
    </r>
    <r>
      <rPr>
        <b/>
        <sz val="12"/>
        <rFont val="Arial"/>
        <family val="2"/>
      </rPr>
      <t>(17</t>
    </r>
    <r>
      <rPr>
        <b/>
        <sz val="12"/>
        <rFont val="Noto Sans CJK SC"/>
        <family val="2"/>
      </rPr>
      <t>쪽</t>
    </r>
    <r>
      <rPr>
        <b/>
        <sz val="12"/>
        <rFont val="Arial"/>
        <family val="2"/>
      </rPr>
      <t>·4</t>
    </r>
    <r>
      <rPr>
        <b/>
        <sz val="12"/>
        <rFont val="Noto Sans CJK SC"/>
        <family val="2"/>
      </rPr>
      <t>쪽</t>
    </r>
    <r>
      <rPr>
        <b/>
        <sz val="12"/>
        <rFont val="Arial"/>
        <family val="2"/>
      </rPr>
      <t>·12</t>
    </r>
    <r>
      <rPr>
        <b/>
        <sz val="12"/>
        <rFont val="Noto Sans CJK SC"/>
        <family val="2"/>
      </rPr>
      <t>쪽</t>
    </r>
    <r>
      <rPr>
        <b/>
        <sz val="12"/>
        <rFont val="Arial"/>
        <family val="2"/>
      </rPr>
      <t>)</t>
    </r>
    <r>
      <rPr>
        <b/>
        <sz val="12"/>
        <rFont val="Noto Sans CJK SC"/>
        <family val="2"/>
      </rPr>
      <t xml:space="preserve">과 판독값이 맞는지 확인 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자동 계산</t>
    </r>
    <r>
      <rPr>
        <b/>
        <sz val="12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</si>
  <si>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보고서가 글로 쓴 내용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요약</t>
    </r>
    <r>
      <rPr>
        <b/>
        <sz val="11"/>
        <color rgb="FFFFFFFF"/>
        <rFont val="Arial"/>
        <family val="2"/>
      </rPr>
      <t>)</t>
    </r>
  </si>
  <si>
    <t>판독값으로 확인한 결과</t>
  </si>
  <si>
    <r>
      <rPr>
        <sz val="11"/>
        <rFont val="Noto Sans CJK SC"/>
        <family val="2"/>
      </rPr>
      <t xml:space="preserve">아케이드는 </t>
    </r>
    <r>
      <rPr>
        <sz val="11"/>
        <rFont val="Arial"/>
        <family val="2"/>
      </rPr>
      <t>D1(</t>
    </r>
    <r>
      <rPr>
        <sz val="11"/>
        <rFont val="Noto Sans CJK SC"/>
        <family val="2"/>
      </rPr>
      <t>다음날</t>
    </r>
    <r>
      <rPr>
        <sz val="11"/>
        <rFont val="Arial"/>
        <family val="2"/>
      </rPr>
      <t xml:space="preserve">) </t>
    </r>
    <r>
      <rPr>
        <sz val="11"/>
        <rFont val="Noto Sans CJK SC"/>
        <family val="2"/>
      </rPr>
      <t xml:space="preserve">리텐션이 뛰어나다 </t>
    </r>
    <r>
      <rPr>
        <sz val="11"/>
        <rFont val="Arial"/>
        <family val="2"/>
      </rPr>
      <t>(17</t>
    </r>
    <r>
      <rPr>
        <sz val="11"/>
        <rFont val="Noto Sans CJK SC"/>
        <family val="2"/>
      </rPr>
      <t>쪽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</si>
  <si>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아케이드는 오래 붙잡는 힘이 약하다 </t>
    </r>
    <r>
      <rPr>
        <sz val="11"/>
        <rFont val="Arial"/>
        <family val="2"/>
      </rPr>
      <t>(17</t>
    </r>
    <r>
      <rPr>
        <sz val="11"/>
        <rFont val="Noto Sans CJK SC"/>
        <family val="2"/>
      </rPr>
      <t>쪽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</si>
  <si>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퍼즐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카지노는 </t>
    </r>
    <r>
      <rPr>
        <sz val="11"/>
        <rFont val="Arial"/>
        <family val="2"/>
      </rPr>
      <t xml:space="preserve">D1·D7·D28 </t>
    </r>
    <r>
      <rPr>
        <sz val="11"/>
        <rFont val="Noto Sans CJK SC"/>
        <family val="2"/>
      </rPr>
      <t xml:space="preserve">모두 강하다 </t>
    </r>
    <r>
      <rPr>
        <sz val="11"/>
        <rFont val="Arial"/>
        <family val="2"/>
      </rPr>
      <t>(17</t>
    </r>
    <r>
      <rPr>
        <sz val="11"/>
        <rFont val="Noto Sans CJK SC"/>
        <family val="2"/>
      </rPr>
      <t>쪽</t>
    </r>
    <r>
      <rPr>
        <sz val="11"/>
        <rFont val="Arial"/>
        <family val="2"/>
      </rPr>
      <t xml:space="preserve">) — D7·D28 </t>
    </r>
    <r>
      <rPr>
        <sz val="11"/>
        <rFont val="Noto Sans CJK SC"/>
        <family val="2"/>
      </rPr>
      <t>확인</t>
    </r>
  </si>
  <si>
    <r>
      <rPr>
        <sz val="11"/>
        <rFont val="Noto Sans CJK SC"/>
        <family val="2"/>
      </rPr>
      <t xml:space="preserve">같은 문장 — </t>
    </r>
    <r>
      <rPr>
        <sz val="11"/>
        <rFont val="Arial"/>
        <family val="2"/>
      </rPr>
      <t xml:space="preserve">D1 </t>
    </r>
    <r>
      <rPr>
        <sz val="11"/>
        <rFont val="Noto Sans CJK SC"/>
        <family val="2"/>
      </rPr>
      <t>확인</t>
    </r>
  </si>
  <si>
    <r>
      <rPr>
        <sz val="11"/>
        <rFont val="Noto Sans CJK SC"/>
        <family val="2"/>
      </rPr>
      <t xml:space="preserve">멀티플레이는 리텐션이 가장 낮다 </t>
    </r>
    <r>
      <rPr>
        <sz val="11"/>
        <rFont val="Arial"/>
        <family val="2"/>
      </rPr>
      <t>(17</t>
    </r>
    <r>
      <rPr>
        <sz val="11"/>
        <rFont val="Noto Sans CJK SC"/>
        <family val="2"/>
      </rPr>
      <t>쪽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</si>
  <si>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멀티플레이는 세션 길이가 가장 길다 </t>
    </r>
    <r>
      <rPr>
        <sz val="11"/>
        <rFont val="Arial"/>
        <family val="2"/>
      </rPr>
      <t>(17</t>
    </r>
    <r>
      <rPr>
        <sz val="11"/>
        <rFont val="Noto Sans CJK SC"/>
        <family val="2"/>
      </rPr>
      <t>쪽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</si>
  <si>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>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카드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퍼즐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카지노는 플레이 시간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 xml:space="preserve">세션 수도 높다 </t>
    </r>
    <r>
      <rPr>
        <sz val="11"/>
        <rFont val="Arial"/>
        <family val="2"/>
      </rPr>
      <t>(17</t>
    </r>
    <r>
      <rPr>
        <sz val="11"/>
        <rFont val="Noto Sans CJK SC"/>
        <family val="2"/>
      </rPr>
      <t>쪽</t>
    </r>
    <r>
      <rPr>
        <sz val="11"/>
        <rFont val="Arial"/>
        <family val="2"/>
      </rPr>
      <t>)</t>
    </r>
  </si>
  <si>
    <r>
      <rPr>
        <sz val="11"/>
        <rFont val="Noto Sans CJK SC"/>
        <family val="2"/>
      </rPr>
      <t xml:space="preserve">미드코어 게임은 하루 세션 수 중앙값이 </t>
    </r>
    <r>
      <rPr>
        <sz val="11"/>
        <rFont val="Arial"/>
        <family val="2"/>
      </rPr>
      <t>6~7</t>
    </r>
    <r>
      <rPr>
        <sz val="11"/>
        <rFont val="Noto Sans CJK SC"/>
        <family val="2"/>
      </rPr>
      <t xml:space="preserve">회 </t>
    </r>
    <r>
      <rPr>
        <sz val="11"/>
        <rFont val="Arial"/>
        <family val="2"/>
      </rPr>
      <t>(12</t>
    </r>
    <r>
      <rPr>
        <sz val="11"/>
        <rFont val="Noto Sans CJK SC"/>
        <family val="2"/>
      </rPr>
      <t>쪽</t>
    </r>
    <r>
      <rPr>
        <sz val="11"/>
        <rFont val="Arial"/>
        <family val="2"/>
      </rPr>
      <t>)</t>
    </r>
  </si>
  <si>
    <r>
      <rPr>
        <i/>
        <sz val="11"/>
        <color rgb="FF595959"/>
        <rFont val="Noto Sans CJK SC"/>
        <family val="2"/>
      </rPr>
      <t>보고서 본문</t>
    </r>
    <r>
      <rPr>
        <i/>
        <sz val="11"/>
        <color rgb="FF595959"/>
        <rFont val="Arial"/>
        <family val="2"/>
      </rPr>
      <t>(4</t>
    </r>
    <r>
      <rPr>
        <i/>
        <sz val="11"/>
        <color rgb="FF595959"/>
        <rFont val="Noto Sans CJK SC"/>
        <family val="2"/>
      </rPr>
      <t>쪽</t>
    </r>
    <r>
      <rPr>
        <i/>
        <sz val="11"/>
        <color rgb="FF595959"/>
        <rFont val="Arial"/>
        <family val="2"/>
      </rPr>
      <t>·11~12</t>
    </r>
    <r>
      <rPr>
        <i/>
        <sz val="11"/>
        <color rgb="FF595959"/>
        <rFont val="Noto Sans CJK SC"/>
        <family val="2"/>
      </rPr>
      <t>쪽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전체 게임</t>
    </r>
    <r>
      <rPr>
        <i/>
        <sz val="11"/>
        <color rgb="FF595959"/>
        <rFont val="Arial"/>
        <family val="2"/>
      </rPr>
      <t xml:space="preserve">' </t>
    </r>
    <r>
      <rPr>
        <i/>
        <sz val="11"/>
        <color rgb="FF595959"/>
        <rFont val="Noto Sans CJK SC"/>
        <family val="2"/>
      </rPr>
      <t>기준값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플레이 시간 중앙값 약 </t>
    </r>
    <r>
      <rPr>
        <i/>
        <sz val="11"/>
        <color rgb="FF595959"/>
        <rFont val="Arial"/>
        <family val="2"/>
      </rPr>
      <t>22</t>
    </r>
    <r>
      <rPr>
        <i/>
        <sz val="11"/>
        <color rgb="FF595959"/>
        <rFont val="Noto Sans CJK SC"/>
        <family val="2"/>
      </rPr>
      <t>분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세션 길이 중앙값 </t>
    </r>
    <r>
      <rPr>
        <i/>
        <sz val="11"/>
        <color rgb="FF595959"/>
        <rFont val="Arial"/>
        <family val="2"/>
      </rPr>
      <t>5~6</t>
    </r>
    <r>
      <rPr>
        <i/>
        <sz val="11"/>
        <color rgb="FF595959"/>
        <rFont val="Noto Sans CJK SC"/>
        <family val="2"/>
      </rPr>
      <t>분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하루 세션 수 중앙값 </t>
    </r>
    <r>
      <rPr>
        <i/>
        <sz val="11"/>
        <color rgb="FF595959"/>
        <rFont val="Arial"/>
        <family val="2"/>
      </rPr>
      <t>4</t>
    </r>
    <r>
      <rPr>
        <i/>
        <sz val="11"/>
        <color rgb="FF595959"/>
        <rFont val="Noto Sans CJK SC"/>
        <family val="2"/>
      </rPr>
      <t>회</t>
    </r>
    <r>
      <rPr>
        <i/>
        <sz val="11"/>
        <color rgb="FF595959"/>
        <rFont val="Arial"/>
        <family val="2"/>
      </rPr>
      <t xml:space="preserve">, D7 </t>
    </r>
    <r>
      <rPr>
        <i/>
        <sz val="11"/>
        <color rgb="FF595959"/>
        <rFont val="Noto Sans CJK SC"/>
        <family val="2"/>
      </rPr>
      <t xml:space="preserve">중앙값 </t>
    </r>
    <r>
      <rPr>
        <i/>
        <sz val="11"/>
        <color rgb="FF595959"/>
        <rFont val="Arial"/>
        <family val="2"/>
      </rPr>
      <t xml:space="preserve">3.42~3.94%. </t>
    </r>
    <r>
      <rPr>
        <i/>
        <sz val="11"/>
        <color rgb="FF595959"/>
        <rFont val="Noto Sans CJK SC"/>
        <family val="2"/>
      </rPr>
      <t xml:space="preserve">장르 표는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월별 코호트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라 계산 방식이 달라 위 장르 값과 바로 비교하지 마세요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</si>
  <si>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미드코어 </t>
    </r>
    <r>
      <rPr>
        <i/>
        <sz val="11"/>
        <color rgb="FF595959"/>
        <rFont val="Arial"/>
        <family val="2"/>
      </rPr>
      <t>6~7</t>
    </r>
    <r>
      <rPr>
        <i/>
        <sz val="11"/>
        <color rgb="FF595959"/>
        <rFont val="Noto Sans CJK SC"/>
        <family val="2"/>
      </rPr>
      <t>회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는 보고서 </t>
    </r>
    <r>
      <rPr>
        <i/>
        <sz val="11"/>
        <color rgb="FF595959"/>
        <rFont val="Arial"/>
        <family val="2"/>
      </rPr>
      <t>12</t>
    </r>
    <r>
      <rPr>
        <i/>
        <sz val="11"/>
        <color rgb="FF595959"/>
        <rFont val="Noto Sans CJK SC"/>
        <family val="2"/>
      </rPr>
      <t>쪽 문장입니다</t>
    </r>
    <r>
      <rPr>
        <i/>
        <sz val="11"/>
        <color rgb="FF595959"/>
        <rFont val="Arial"/>
        <family val="2"/>
      </rPr>
      <t>. 21</t>
    </r>
    <r>
      <rPr>
        <i/>
        <sz val="11"/>
        <color rgb="FF595959"/>
        <rFont val="Noto Sans CJK SC"/>
        <family val="2"/>
      </rPr>
      <t>쪽 화면에는 캐주얼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클래식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미드코어라는 별도 장르 묶음이 보이므로</t>
    </r>
    <r>
      <rPr>
        <i/>
        <sz val="11"/>
        <color rgb="FF595959"/>
        <rFont val="Arial"/>
        <family val="2"/>
      </rPr>
      <t>, 16</t>
    </r>
    <r>
      <rPr>
        <i/>
        <sz val="11"/>
        <color rgb="FF595959"/>
        <rFont val="Noto Sans CJK SC"/>
        <family val="2"/>
      </rPr>
      <t>개 장르 표와 분류 기준이 다를 수 있습니다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추정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</si>
  <si>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Noto Sans CJK SC"/>
        <family val="2"/>
      </rPr>
      <t xml:space="preserve">쉬운 해설의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명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은 판독값 </t>
    </r>
    <r>
      <rPr>
        <i/>
        <sz val="11"/>
        <color rgb="FF595959"/>
        <rFont val="Arial"/>
        <family val="2"/>
      </rPr>
      <t>%</t>
    </r>
    <r>
      <rPr>
        <i/>
        <sz val="11"/>
        <color rgb="FF595959"/>
        <rFont val="Noto Sans CJK SC"/>
        <family val="2"/>
      </rPr>
      <t xml:space="preserve">를 </t>
    </r>
    <r>
      <rPr>
        <i/>
        <sz val="11"/>
        <color rgb="FF595959"/>
        <rFont val="Arial"/>
        <family val="2"/>
      </rPr>
      <t>100</t>
    </r>
    <r>
      <rPr>
        <i/>
        <sz val="11"/>
        <color rgb="FF595959"/>
        <rFont val="Noto Sans CJK SC"/>
        <family val="2"/>
      </rPr>
      <t>명 기준으로 바꾼 것입니다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예</t>
    </r>
    <r>
      <rPr>
        <i/>
        <sz val="11"/>
        <color rgb="FF595959"/>
        <rFont val="Arial"/>
        <family val="2"/>
      </rPr>
      <t>: 6.72% → 100</t>
    </r>
    <r>
      <rPr>
        <i/>
        <sz val="11"/>
        <color rgb="FF595959"/>
        <rFont val="Noto Sans CJK SC"/>
        <family val="2"/>
      </rPr>
      <t xml:space="preserve">명 중 </t>
    </r>
    <r>
      <rPr>
        <i/>
        <sz val="11"/>
        <color rgb="FF595959"/>
        <rFont val="Arial"/>
        <family val="2"/>
      </rPr>
      <t>6.7</t>
    </r>
    <r>
      <rPr>
        <i/>
        <sz val="11"/>
        <color rgb="FF595959"/>
        <rFont val="Noto Sans CJK SC"/>
        <family val="2"/>
      </rPr>
      <t>명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 xml:space="preserve">소수점 사람은 </t>
    </r>
    <r>
      <rPr>
        <i/>
        <sz val="11"/>
        <color rgb="FF595959"/>
        <rFont val="Arial"/>
        <family val="2"/>
      </rPr>
      <t>'1,000</t>
    </r>
    <r>
      <rPr>
        <i/>
        <sz val="11"/>
        <color rgb="FF595959"/>
        <rFont val="Noto Sans CJK SC"/>
        <family val="2"/>
      </rPr>
      <t xml:space="preserve">명이면 </t>
    </r>
    <r>
      <rPr>
        <i/>
        <sz val="11"/>
        <color rgb="FF595959"/>
        <rFont val="Arial"/>
        <family val="2"/>
      </rPr>
      <t>67</t>
    </r>
    <r>
      <rPr>
        <i/>
        <sz val="11"/>
        <color rgb="FF595959"/>
        <rFont val="Noto Sans CJK SC"/>
        <family val="2"/>
      </rPr>
      <t>명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처럼 이해하면 됩니다</t>
    </r>
    <r>
      <rPr>
        <i/>
        <sz val="11"/>
        <color rgb="FF595959"/>
        <rFont val="Arial"/>
        <family val="2"/>
      </rPr>
      <t>.</t>
    </r>
  </si>
  <si>
    <r>
      <rPr>
        <b/>
        <sz val="11"/>
        <color rgb="FF7F7F7F"/>
        <rFont val="Noto Sans CJK SC"/>
        <family val="2"/>
      </rPr>
      <t xml:space="preserve">참조용 복사본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</t>
    </r>
    <r>
      <rPr>
        <b/>
        <sz val="11"/>
        <color rgb="FF7F7F7F"/>
        <rFont val="Arial"/>
        <family val="2"/>
      </rPr>
      <t xml:space="preserve">: </t>
    </r>
    <r>
      <rPr>
        <b/>
        <sz val="11"/>
        <color rgb="FF7F7F7F"/>
        <rFont val="Noto Sans CJK SC"/>
        <family val="2"/>
      </rPr>
      <t>시장조사</t>
    </r>
    <r>
      <rPr>
        <b/>
        <sz val="11"/>
        <color rgb="FF7F7F7F"/>
        <rFont val="Arial"/>
        <family val="2"/>
      </rPr>
      <t xml:space="preserve">.xlsx › 1-2 Google Play Top100 · </t>
    </r>
    <r>
      <rPr>
        <b/>
        <sz val="11"/>
        <color rgb="FF7F7F7F"/>
        <rFont val="Noto Sans CJK SC"/>
        <family val="2"/>
      </rPr>
      <t>원본을 고치면 코드를 다시 실행해 두 파일을 함께 갱신</t>
    </r>
  </si>
  <si>
    <t>스도쿠류</t>
  </si>
  <si>
    <t>Rovio</t>
  </si>
  <si>
    <t>Roblox Corporation</t>
  </si>
  <si>
    <t>Flow Games</t>
  </si>
  <si>
    <t>버스잼</t>
  </si>
  <si>
    <t>Cypher Games</t>
  </si>
  <si>
    <t>Amobear VN</t>
  </si>
  <si>
    <t>확인 필요</t>
  </si>
  <si>
    <t>JoyGame Studio</t>
  </si>
  <si>
    <t>Tripledot Studios</t>
  </si>
  <si>
    <t>Wildlife Studios</t>
  </si>
  <si>
    <t>건설</t>
  </si>
  <si>
    <t>PlaySimple</t>
  </si>
  <si>
    <t>스토리 결합</t>
  </si>
  <si>
    <t>Shycheese</t>
  </si>
  <si>
    <t>SayGames</t>
  </si>
  <si>
    <t>머지 요소</t>
  </si>
  <si>
    <t>ABI Games</t>
  </si>
  <si>
    <t>Playrix</t>
  </si>
  <si>
    <t>Easybrain</t>
  </si>
  <si>
    <t>Voodoo</t>
  </si>
  <si>
    <t>Rotatelab</t>
  </si>
  <si>
    <t>Supercent</t>
  </si>
  <si>
    <r>
      <rPr>
        <sz val="11"/>
        <rFont val="Noto Sans CJK SC"/>
        <family val="2"/>
      </rPr>
      <t>파괴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채굴</t>
    </r>
  </si>
  <si>
    <t>GOODROID</t>
  </si>
  <si>
    <t>io</t>
  </si>
  <si>
    <t>Amanotes</t>
  </si>
  <si>
    <t>리듬</t>
  </si>
  <si>
    <t>Lessmore</t>
  </si>
  <si>
    <t>Rollic Games</t>
  </si>
  <si>
    <t>Miniclip</t>
  </si>
  <si>
    <r>
      <rPr>
        <sz val="11"/>
        <rFont val="Noto Sans CJK SC"/>
        <family val="2"/>
      </rPr>
      <t xml:space="preserve">당구 </t>
    </r>
    <r>
      <rPr>
        <sz val="11"/>
        <rFont val="Arial"/>
        <family val="2"/>
      </rPr>
      <t>PvP</t>
    </r>
  </si>
  <si>
    <t>CrazyLabs</t>
  </si>
  <si>
    <t>러너</t>
  </si>
  <si>
    <r>
      <rPr>
        <sz val="11"/>
        <rFont val="Noto Sans CJK SC"/>
        <family val="2"/>
      </rPr>
      <t>직소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솔리테어 하이브리드</t>
    </r>
  </si>
  <si>
    <t>Combo Game</t>
  </si>
  <si>
    <t>Powerfantasy</t>
  </si>
  <si>
    <t>Ivy</t>
  </si>
  <si>
    <t>Metagame</t>
  </si>
  <si>
    <t>UUTEAM</t>
  </si>
  <si>
    <t>Guru Puzzle Game</t>
  </si>
  <si>
    <t>Loom Games</t>
  </si>
  <si>
    <t>KAYAC</t>
  </si>
  <si>
    <t>Neptune(Treeplla)</t>
  </si>
  <si>
    <t>방치형 슈터</t>
  </si>
  <si>
    <t>SYBO Games</t>
  </si>
  <si>
    <t>Agave Games</t>
  </si>
  <si>
    <t>RobTop Games</t>
  </si>
  <si>
    <t>플랫포머</t>
  </si>
  <si>
    <t>Mindful Daily Puzzles</t>
  </si>
  <si>
    <t>Leap Game Studios</t>
  </si>
  <si>
    <t>X-Flow</t>
  </si>
  <si>
    <t>CozyCraft</t>
  </si>
  <si>
    <t>헌팅</t>
  </si>
  <si>
    <t>Toca Boca</t>
  </si>
  <si>
    <t>키즈 라이프</t>
  </si>
  <si>
    <t>Innersloth</t>
  </si>
  <si>
    <t>소셜 디덕션</t>
  </si>
  <si>
    <r>
      <rPr>
        <sz val="11"/>
        <rFont val="Arial"/>
        <family val="2"/>
      </rPr>
      <t xml:space="preserve">IP </t>
    </r>
    <r>
      <rPr>
        <sz val="11"/>
        <rFont val="Noto Sans CJK SC"/>
        <family val="2"/>
      </rPr>
      <t>활용</t>
    </r>
  </si>
  <si>
    <t>Electronic Arts</t>
  </si>
  <si>
    <t>NimbleMind</t>
  </si>
  <si>
    <t>Pawprint Studio</t>
  </si>
  <si>
    <t>37GAMES</t>
  </si>
  <si>
    <t>좀비 테마</t>
  </si>
  <si>
    <r>
      <rPr>
        <sz val="11"/>
        <rFont val="Noto Sans CJK SC"/>
        <family val="2"/>
      </rPr>
      <t xml:space="preserve">디지털 </t>
    </r>
    <r>
      <rPr>
        <sz val="11"/>
        <rFont val="Arial"/>
        <family val="2"/>
      </rPr>
      <t>TCG</t>
    </r>
  </si>
  <si>
    <t>PeopleFun</t>
  </si>
  <si>
    <t>Wonderful Studio</t>
  </si>
  <si>
    <t>연상 퍼즐</t>
  </si>
  <si>
    <t>playducky.com</t>
  </si>
  <si>
    <t>물리 샌드박스</t>
  </si>
  <si>
    <t>홀 수집</t>
  </si>
  <si>
    <t>Tuyoo Games</t>
  </si>
  <si>
    <t>Mouse Games</t>
  </si>
  <si>
    <t>EVERFUN</t>
  </si>
  <si>
    <t>출처 페이지에서 해당 순위 누락</t>
  </si>
  <si>
    <t>Unico Studio</t>
  </si>
  <si>
    <t>Peak</t>
  </si>
  <si>
    <r>
      <rPr>
        <sz val="11"/>
        <rFont val="Arial"/>
        <family val="2"/>
      </rPr>
      <t xml:space="preserve">3D </t>
    </r>
    <r>
      <rPr>
        <sz val="11"/>
        <rFont val="Noto Sans CJK SC"/>
        <family val="2"/>
      </rPr>
      <t>트리플 매치</t>
    </r>
  </si>
  <si>
    <t>Gimica</t>
  </si>
  <si>
    <t>채굴</t>
  </si>
  <si>
    <t>Heseri Games</t>
  </si>
  <si>
    <t>진화 러너</t>
  </si>
  <si>
    <t>JindoBlu</t>
  </si>
  <si>
    <t>미니게임 모음</t>
  </si>
  <si>
    <t>Pleasure City</t>
  </si>
  <si>
    <t>Big Host Africa</t>
  </si>
  <si>
    <t>익스트랙션 슈터</t>
  </si>
  <si>
    <t>CanaryDroid</t>
  </si>
  <si>
    <t>Paradyme Games</t>
  </si>
  <si>
    <t>파괴 샌드박스</t>
  </si>
  <si>
    <t>Game District</t>
  </si>
  <si>
    <t>기타</t>
  </si>
  <si>
    <t>스트레스 해소</t>
  </si>
  <si>
    <t>Playdayy</t>
  </si>
  <si>
    <t>GreatPlay</t>
  </si>
  <si>
    <t>리얼머니 스킬게임</t>
  </si>
  <si>
    <t>주사위</t>
  </si>
  <si>
    <t>Ninja Kiwi</t>
  </si>
  <si>
    <r>
      <rPr>
        <b/>
        <sz val="11"/>
        <color rgb="FFFFFFFF"/>
        <rFont val="Noto Sans CJK SC"/>
        <family val="2"/>
      </rPr>
      <t xml:space="preserve">매출 </t>
    </r>
    <r>
      <rPr>
        <b/>
        <sz val="11"/>
        <color rgb="FFFFFFFF"/>
        <rFont val="Arial"/>
        <family val="2"/>
      </rPr>
      <t xml:space="preserve">Top100 </t>
    </r>
    <r>
      <rPr>
        <b/>
        <sz val="11"/>
        <color rgb="FFFFFFFF"/>
        <rFont val="Noto Sans CJK SC"/>
        <family val="2"/>
      </rPr>
      <t>수</t>
    </r>
  </si>
  <si>
    <t>매출 비율</t>
  </si>
  <si>
    <r>
      <rPr>
        <b/>
        <sz val="11"/>
        <color rgb="FFFFFFFF"/>
        <rFont val="Noto Sans CJK SC"/>
        <family val="2"/>
      </rPr>
      <t xml:space="preserve">무료 </t>
    </r>
    <r>
      <rPr>
        <b/>
        <sz val="11"/>
        <color rgb="FFFFFFFF"/>
        <rFont val="Arial"/>
        <family val="2"/>
      </rPr>
      <t xml:space="preserve">Top100 </t>
    </r>
    <r>
      <rPr>
        <b/>
        <sz val="11"/>
        <color rgb="FFFFFFFF"/>
        <rFont val="Noto Sans CJK SC"/>
        <family val="2"/>
      </rPr>
      <t xml:space="preserve">수 </t>
    </r>
    <r>
      <rPr>
        <b/>
        <sz val="11"/>
        <color rgb="FFFFFFFF"/>
        <rFont val="Arial"/>
        <family val="2"/>
      </rPr>
      <t>(1-2)</t>
    </r>
  </si>
  <si>
    <t>무료 비율</t>
  </si>
  <si>
    <r>
      <rPr>
        <b/>
        <sz val="11"/>
        <color rgb="FFFFFFFF"/>
        <rFont val="Noto Sans CJK SC"/>
        <family val="2"/>
      </rPr>
      <t xml:space="preserve">차이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매출</t>
    </r>
    <r>
      <rPr>
        <b/>
        <sz val="11"/>
        <color rgb="FFFFFFFF"/>
        <rFont val="Arial"/>
        <family val="2"/>
      </rPr>
      <t>-</t>
    </r>
    <r>
      <rPr>
        <b/>
        <sz val="11"/>
        <color rgb="FFFFFFFF"/>
        <rFont val="Noto Sans CJK SC"/>
        <family val="2"/>
      </rPr>
      <t>무료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</si>
  <si>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7F7F7F"/>
        <rFont val="Noto Sans CJK SC"/>
        <family val="2"/>
      </rPr>
      <t xml:space="preserve">참조용 복사본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</t>
    </r>
    <r>
      <rPr>
        <b/>
        <sz val="11"/>
        <color rgb="FF7F7F7F"/>
        <rFont val="Arial"/>
        <family val="2"/>
      </rPr>
      <t xml:space="preserve">: </t>
    </r>
    <r>
      <rPr>
        <b/>
        <sz val="11"/>
        <color rgb="FF7F7F7F"/>
        <rFont val="Noto Sans CJK SC"/>
        <family val="2"/>
      </rPr>
      <t>시장조사</t>
    </r>
    <r>
      <rPr>
        <b/>
        <sz val="11"/>
        <color rgb="FF7F7F7F"/>
        <rFont val="Arial"/>
        <family val="2"/>
      </rPr>
      <t xml:space="preserve">.xlsx › 3-2 </t>
    </r>
    <r>
      <rPr>
        <b/>
        <sz val="11"/>
        <color rgb="FF7F7F7F"/>
        <rFont val="Noto Sans CJK SC"/>
        <family val="2"/>
      </rPr>
      <t xml:space="preserve">매출 </t>
    </r>
    <r>
      <rPr>
        <b/>
        <sz val="11"/>
        <color rgb="FF7F7F7F"/>
        <rFont val="Arial"/>
        <family val="2"/>
      </rPr>
      <t xml:space="preserve">Top100 · </t>
    </r>
    <r>
      <rPr>
        <b/>
        <sz val="11"/>
        <color rgb="FF7F7F7F"/>
        <rFont val="Noto Sans CJK SC"/>
        <family val="2"/>
      </rPr>
      <t>원본을 고치면 코드를 다시 실행해 두 파일을 함께 갱신</t>
    </r>
  </si>
  <si>
    <r>
      <rPr>
        <b/>
        <sz val="11"/>
        <rFont val="Noto Sans CJK SC"/>
        <family val="2"/>
      </rPr>
      <t>하이퍼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하이브리드 캐주얼</t>
    </r>
  </si>
  <si>
    <r>
      <rPr>
        <b/>
        <sz val="11"/>
        <rFont val="Noto Sans CJK SC"/>
        <family val="2"/>
      </rPr>
      <t>카드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보드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카지노</t>
    </r>
  </si>
  <si>
    <r>
      <rPr>
        <b/>
        <sz val="11"/>
        <rFont val="Noto Sans CJK SC"/>
        <family val="2"/>
      </rPr>
      <t>액션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슈팅</t>
    </r>
  </si>
  <si>
    <r>
      <rPr>
        <b/>
        <sz val="11"/>
        <rFont val="Noto Sans CJK SC"/>
        <family val="2"/>
      </rPr>
      <t>파티</t>
    </r>
    <r>
      <rPr>
        <b/>
        <sz val="11"/>
        <rFont val="Arial"/>
        <family val="2"/>
      </rPr>
      <t>·</t>
    </r>
    <r>
      <rPr>
        <b/>
        <sz val="11"/>
        <rFont val="Noto Sans CJK SC"/>
        <family val="2"/>
      </rPr>
      <t>음악</t>
    </r>
  </si>
  <si>
    <r>
      <rPr>
        <b/>
        <sz val="11"/>
        <rFont val="Noto Sans CJK SC"/>
        <family val="2"/>
      </rPr>
      <t>기타</t>
    </r>
    <r>
      <rPr>
        <b/>
        <sz val="11"/>
        <rFont val="Arial"/>
        <family val="2"/>
      </rPr>
      <t>(UGC·</t>
    </r>
    <r>
      <rPr>
        <b/>
        <sz val="11"/>
        <rFont val="Noto Sans CJK SC"/>
        <family val="2"/>
      </rPr>
      <t>리워드</t>
    </r>
    <r>
      <rPr>
        <b/>
        <sz val="11"/>
        <rFont val="Arial"/>
        <family val="2"/>
      </rPr>
      <t>)</t>
    </r>
  </si>
  <si>
    <t>Scopely Explore</t>
  </si>
  <si>
    <t>FUNFLY</t>
  </si>
  <si>
    <t>Bandai Namco</t>
  </si>
  <si>
    <t>블라스트</t>
  </si>
  <si>
    <r>
      <rPr>
        <i/>
        <sz val="11"/>
        <color rgb="FF595959"/>
        <rFont val="Noto Sans CJK SC"/>
        <family val="2"/>
      </rPr>
      <t>출처</t>
    </r>
    <r>
      <rPr>
        <i/>
        <sz val="11"/>
        <color rgb="FF595959"/>
        <rFont val="Arial"/>
        <family val="2"/>
      </rPr>
      <t xml:space="preserve">: AppBrain Google Play Top Grossing Games United States https://www.appbrain.com/stats/google-play-rankings/top_grossing/game/us  ·  </t>
    </r>
    <r>
      <rPr>
        <i/>
        <sz val="11"/>
        <color rgb="FF595959"/>
        <rFont val="Noto Sans CJK SC"/>
        <family val="2"/>
      </rPr>
      <t xml:space="preserve">기준일 </t>
    </r>
    <r>
      <rPr>
        <i/>
        <sz val="11"/>
        <color rgb="FF595959"/>
        <rFont val="Arial"/>
        <family val="2"/>
      </rPr>
      <t xml:space="preserve">2026-10-04 (AppBrain </t>
    </r>
    <r>
      <rPr>
        <i/>
        <sz val="11"/>
        <color rgb="FF595959"/>
        <rFont val="Noto Sans CJK SC"/>
        <family val="2"/>
      </rPr>
      <t xml:space="preserve">페이지 </t>
    </r>
    <r>
      <rPr>
        <i/>
        <sz val="11"/>
        <color rgb="FF595959"/>
        <rFont val="Arial"/>
        <family val="2"/>
      </rPr>
      <t xml:space="preserve">'Last updated: October 4, 2026', 2026-10-05 </t>
    </r>
    <r>
      <rPr>
        <i/>
        <sz val="11"/>
        <color rgb="FF595959"/>
        <rFont val="Noto Sans CJK SC"/>
        <family val="2"/>
      </rPr>
      <t>조회</t>
    </r>
    <r>
      <rPr>
        <i/>
        <sz val="11"/>
        <color rgb="FF595959"/>
        <rFont val="Arial"/>
        <family val="2"/>
      </rPr>
      <t>)</t>
    </r>
  </si>
  <si>
    <t>Scorewarrior</t>
  </si>
  <si>
    <r>
      <rPr>
        <i/>
        <sz val="11"/>
        <color rgb="FF595959"/>
        <rFont val="Arial"/>
        <family val="2"/>
      </rPr>
      <t>26</t>
    </r>
    <r>
      <rPr>
        <i/>
        <sz val="11"/>
        <color rgb="FF595959"/>
        <rFont val="Noto Sans CJK SC"/>
        <family val="2"/>
      </rPr>
      <t>위</t>
    </r>
    <r>
      <rPr>
        <i/>
        <sz val="11"/>
        <color rgb="FF595959"/>
        <rFont val="Arial"/>
        <family val="2"/>
      </rPr>
      <t>·65</t>
    </r>
    <r>
      <rPr>
        <i/>
        <sz val="11"/>
        <color rgb="FF595959"/>
        <rFont val="Noto Sans CJK SC"/>
        <family val="2"/>
      </rPr>
      <t xml:space="preserve">위는 </t>
    </r>
    <r>
      <rPr>
        <i/>
        <sz val="11"/>
        <color rgb="FF595959"/>
        <rFont val="Arial"/>
        <family val="2"/>
      </rPr>
      <t xml:space="preserve">AppBrain </t>
    </r>
    <r>
      <rPr>
        <i/>
        <sz val="11"/>
        <color rgb="FF595959"/>
        <rFont val="Noto Sans CJK SC"/>
        <family val="2"/>
      </rPr>
      <t xml:space="preserve">목록에 줄이 없어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확인 불가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로 둠 </t>
    </r>
    <r>
      <rPr>
        <i/>
        <sz val="11"/>
        <color rgb="FF595959"/>
        <rFont val="Arial"/>
        <family val="2"/>
      </rPr>
      <t>(1-2 Google Play Top100</t>
    </r>
    <r>
      <rPr>
        <i/>
        <sz val="11"/>
        <color rgb="FF595959"/>
        <rFont val="Noto Sans CJK SC"/>
        <family val="2"/>
      </rPr>
      <t xml:space="preserve">의 </t>
    </r>
    <r>
      <rPr>
        <i/>
        <sz val="11"/>
        <color rgb="FF595959"/>
        <rFont val="Arial"/>
        <family val="2"/>
      </rPr>
      <t>80</t>
    </r>
    <r>
      <rPr>
        <i/>
        <sz val="11"/>
        <color rgb="FF595959"/>
        <rFont val="Noto Sans CJK SC"/>
        <family val="2"/>
      </rPr>
      <t>위와 같은 현상</t>
    </r>
    <r>
      <rPr>
        <i/>
        <sz val="11"/>
        <color rgb="FF595959"/>
        <rFont val="Arial"/>
        <family val="2"/>
      </rPr>
      <t>).</t>
    </r>
  </si>
  <si>
    <t>Omnilojo</t>
  </si>
  <si>
    <r>
      <rPr>
        <i/>
        <sz val="11"/>
        <color rgb="FF595959"/>
        <rFont val="Noto Sans CJK SC"/>
        <family val="2"/>
      </rPr>
      <t>장르 분류</t>
    </r>
    <r>
      <rPr>
        <i/>
        <sz val="11"/>
        <color rgb="FF595959"/>
        <rFont val="Arial"/>
        <family val="2"/>
      </rPr>
      <t>: 1-1·1-2</t>
    </r>
    <r>
      <rPr>
        <i/>
        <sz val="11"/>
        <color rgb="FF595959"/>
        <rFont val="Noto Sans CJK SC"/>
        <family val="2"/>
      </rPr>
      <t>에 이미 있는 게임은 같은 분류를 그대로 씀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>새 게임은 게임명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스토어 카테고리 기반 분석자 판단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확신이 낮으면 비고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확인 필요</t>
    </r>
    <r>
      <rPr>
        <i/>
        <sz val="11"/>
        <color rgb="FF595959"/>
        <rFont val="Arial"/>
        <family val="2"/>
      </rPr>
      <t xml:space="preserve">' + </t>
    </r>
    <r>
      <rPr>
        <i/>
        <sz val="11"/>
        <color rgb="FF595959"/>
        <rFont val="Noto Sans CJK SC"/>
        <family val="2"/>
      </rPr>
      <t>노란 칸</t>
    </r>
    <r>
      <rPr>
        <i/>
        <sz val="11"/>
        <color rgb="FF595959"/>
        <rFont val="Arial"/>
        <family val="2"/>
      </rPr>
      <t>.</t>
    </r>
  </si>
  <si>
    <t>TG Inc.</t>
  </si>
  <si>
    <r>
      <rPr>
        <i/>
        <sz val="11"/>
        <color rgb="FF595959"/>
        <rFont val="Noto Sans CJK SC"/>
        <family val="2"/>
      </rPr>
      <t>새로 생긴 세부 장르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>수집형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가챠</t>
    </r>
    <r>
      <rPr>
        <i/>
        <sz val="11"/>
        <color rgb="FF595959"/>
        <rFont val="Arial"/>
        <family val="2"/>
      </rPr>
      <t xml:space="preserve">) RPG · </t>
    </r>
    <r>
      <rPr>
        <i/>
        <sz val="11"/>
        <color rgb="FF595959"/>
        <rFont val="Noto Sans CJK SC"/>
        <family val="2"/>
      </rPr>
      <t xml:space="preserve">방치형 </t>
    </r>
    <r>
      <rPr>
        <i/>
        <sz val="11"/>
        <color rgb="FF595959"/>
        <rFont val="Arial"/>
        <family val="2"/>
      </rPr>
      <t xml:space="preserve">RPG · </t>
    </r>
    <r>
      <rPr>
        <i/>
        <sz val="11"/>
        <color rgb="FF595959"/>
        <rFont val="Noto Sans CJK SC"/>
        <family val="2"/>
      </rPr>
      <t xml:space="preserve">빙고 </t>
    </r>
    <r>
      <rPr>
        <i/>
        <sz val="11"/>
        <color rgb="FF595959"/>
        <rFont val="Arial"/>
        <family val="2"/>
      </rPr>
      <t xml:space="preserve">· </t>
    </r>
    <r>
      <rPr>
        <i/>
        <sz val="11"/>
        <color rgb="FF595959"/>
        <rFont val="Noto Sans CJK SC"/>
        <family val="2"/>
      </rPr>
      <t xml:space="preserve">포커 </t>
    </r>
    <r>
      <rPr>
        <i/>
        <sz val="11"/>
        <color rgb="FF595959"/>
        <rFont val="Arial"/>
        <family val="2"/>
      </rPr>
      <t xml:space="preserve">· </t>
    </r>
    <r>
      <rPr>
        <i/>
        <sz val="11"/>
        <color rgb="FF595959"/>
        <rFont val="Noto Sans CJK SC"/>
        <family val="2"/>
      </rPr>
      <t xml:space="preserve">골프 </t>
    </r>
    <r>
      <rPr>
        <i/>
        <sz val="11"/>
        <color rgb="FF595959"/>
        <rFont val="Arial"/>
        <family val="2"/>
      </rPr>
      <t xml:space="preserve">(1-4 </t>
    </r>
    <r>
      <rPr>
        <i/>
        <sz val="11"/>
        <color rgb="FF595959"/>
        <rFont val="Noto Sans CJK SC"/>
        <family val="2"/>
      </rPr>
      <t xml:space="preserve">세부 장르 시트에는 없음 — </t>
    </r>
    <r>
      <rPr>
        <i/>
        <sz val="11"/>
        <color rgb="FF595959"/>
        <rFont val="Arial"/>
        <family val="2"/>
      </rPr>
      <t>1-4</t>
    </r>
    <r>
      <rPr>
        <i/>
        <sz val="11"/>
        <color rgb="FF595959"/>
        <rFont val="Noto Sans CJK SC"/>
        <family val="2"/>
      </rPr>
      <t xml:space="preserve">는 </t>
    </r>
    <r>
      <rPr>
        <i/>
        <sz val="11"/>
        <color rgb="FF595959"/>
        <rFont val="Arial"/>
        <family val="2"/>
      </rPr>
      <t>1-1·1-2</t>
    </r>
    <r>
      <rPr>
        <i/>
        <sz val="11"/>
        <color rgb="FF595959"/>
        <rFont val="Noto Sans CJK SC"/>
        <family val="2"/>
      </rPr>
      <t>만 집계</t>
    </r>
    <r>
      <rPr>
        <i/>
        <sz val="11"/>
        <color rgb="FF595959"/>
        <rFont val="Arial"/>
        <family val="2"/>
      </rPr>
      <t>).</t>
    </r>
  </si>
  <si>
    <t>Plarium</t>
  </si>
  <si>
    <r>
      <rPr>
        <i/>
        <sz val="11"/>
        <color rgb="FF595959"/>
        <rFont val="Arial"/>
        <family val="2"/>
      </rPr>
      <t xml:space="preserve">'3-1 </t>
    </r>
    <r>
      <rPr>
        <i/>
        <sz val="11"/>
        <color rgb="FF595959"/>
        <rFont val="Noto Sans CJK SC"/>
        <family val="2"/>
      </rPr>
      <t>매출 순위 원자료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의 미국 </t>
    </r>
    <r>
      <rPr>
        <i/>
        <sz val="11"/>
        <color rgb="FF595959"/>
        <rFont val="Arial"/>
        <family val="2"/>
      </rPr>
      <t>Top10(2026-10-03)</t>
    </r>
    <r>
      <rPr>
        <i/>
        <sz val="11"/>
        <color rgb="FF595959"/>
        <rFont val="Noto Sans CJK SC"/>
        <family val="2"/>
      </rPr>
      <t>과 순서가 조금 다름 — 하루 차이</t>
    </r>
    <r>
      <rPr>
        <i/>
        <sz val="11"/>
        <color rgb="FF595959"/>
        <rFont val="Arial"/>
        <family val="2"/>
      </rPr>
      <t>. 3-1</t>
    </r>
    <r>
      <rPr>
        <i/>
        <sz val="11"/>
        <color rgb="FF595959"/>
        <rFont val="Noto Sans CJK SC"/>
        <family val="2"/>
      </rPr>
      <t>은 그대로 둠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</si>
  <si>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 xml:space="preserve">App Store </t>
    </r>
    <r>
      <rPr>
        <i/>
        <sz val="11"/>
        <color rgb="FF595959"/>
        <rFont val="Noto Sans CJK SC"/>
        <family val="2"/>
      </rPr>
      <t>매출 순위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>이번 단계 미조사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후보 공개 출처 — </t>
    </r>
    <r>
      <rPr>
        <i/>
        <sz val="11"/>
        <color rgb="FF595959"/>
        <rFont val="Arial"/>
        <family val="2"/>
      </rPr>
      <t>AppBrain App Store ranking https://www.appbrain.com/stats/appstore-rankings (</t>
    </r>
    <r>
      <rPr>
        <i/>
        <sz val="11"/>
        <color rgb="FF595959"/>
        <rFont val="Noto Sans CJK SC"/>
        <family val="2"/>
      </rPr>
      <t>다음 단계 확인 필요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</si>
  <si>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Noto Sans CJK SC"/>
        <family val="2"/>
      </rPr>
      <t xml:space="preserve">무료 비율 열은 </t>
    </r>
    <r>
      <rPr>
        <i/>
        <sz val="11"/>
        <color rgb="FF595959"/>
        <rFont val="Arial"/>
        <family val="2"/>
      </rPr>
      <t>1-2(</t>
    </r>
    <r>
      <rPr>
        <i/>
        <sz val="11"/>
        <color rgb="FF595959"/>
        <rFont val="Noto Sans CJK SC"/>
        <family val="2"/>
      </rPr>
      <t xml:space="preserve">같은 날 </t>
    </r>
    <r>
      <rPr>
        <i/>
        <sz val="11"/>
        <color rgb="FF595959"/>
        <rFont val="Arial"/>
        <family val="2"/>
      </rPr>
      <t xml:space="preserve">2026-10-04 </t>
    </r>
    <r>
      <rPr>
        <i/>
        <sz val="11"/>
        <color rgb="FF595959"/>
        <rFont val="Noto Sans CJK SC"/>
        <family val="2"/>
      </rPr>
      <t xml:space="preserve">미국 무료 </t>
    </r>
    <r>
      <rPr>
        <i/>
        <sz val="11"/>
        <color rgb="FF595959"/>
        <rFont val="Arial"/>
        <family val="2"/>
      </rPr>
      <t>Top100)</t>
    </r>
    <r>
      <rPr>
        <i/>
        <sz val="11"/>
        <color rgb="FF595959"/>
        <rFont val="Noto Sans CJK SC"/>
        <family val="2"/>
      </rPr>
      <t>를 수식으로 세어 비교한 것</t>
    </r>
    <r>
      <rPr>
        <i/>
        <sz val="11"/>
        <color rgb="FF595959"/>
        <rFont val="Arial"/>
        <family val="2"/>
      </rPr>
      <t>.</t>
    </r>
  </si>
  <si>
    <t>Playtika Santa Monica</t>
  </si>
  <si>
    <t>SciPlay</t>
  </si>
  <si>
    <t>37GAMES GLOBAL</t>
  </si>
  <si>
    <t>Product Madness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</si>
  <si>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2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2"/>
      </rPr>
      <t>26</t>
    </r>
    <r>
      <rPr>
        <sz val="11"/>
        <rFont val="Noto Sans CJK SC"/>
        <family val="2"/>
      </rPr>
      <t>위 없음</t>
    </r>
    <r>
      <rPr>
        <sz val="11"/>
        <rFont val="Arial"/>
        <family val="2"/>
      </rPr>
      <t>)</t>
    </r>
  </si>
  <si>
    <t>출처 페이지 누락</t>
  </si>
  <si>
    <r>
      <rPr>
        <sz val="11"/>
        <rFont val="Noto Sans CJK SC"/>
        <family val="2"/>
      </rPr>
      <t>기지 건설</t>
    </r>
    <r>
      <rPr>
        <sz val="11"/>
        <rFont val="Arial"/>
        <family val="2"/>
      </rPr>
      <t>·</t>
    </r>
    <r>
      <rPr>
        <sz val="11"/>
        <rFont val="Noto Sans CJK SC"/>
        <family val="2"/>
      </rPr>
      <t>공성</t>
    </r>
  </si>
  <si>
    <t>BOLTRAY GAMES</t>
  </si>
  <si>
    <t>SpinX Games</t>
  </si>
  <si>
    <t>COGNOSPHERE</t>
  </si>
  <si>
    <t>Supertreat (Playtika)</t>
  </si>
  <si>
    <t>Kuro Games</t>
  </si>
  <si>
    <t>Cedar Games Studio</t>
  </si>
  <si>
    <r>
      <rPr>
        <sz val="11"/>
        <rFont val="Noto Sans CJK SC"/>
        <family val="2"/>
      </rPr>
      <t>매치</t>
    </r>
    <r>
      <rPr>
        <sz val="11"/>
        <rFont val="Arial"/>
        <family val="2"/>
      </rPr>
      <t xml:space="preserve">3 </t>
    </r>
    <r>
      <rPr>
        <sz val="11"/>
        <rFont val="Noto Sans CJK SC"/>
        <family val="2"/>
      </rPr>
      <t>결합</t>
    </r>
  </si>
  <si>
    <t>Homa</t>
  </si>
  <si>
    <t>요리 테마</t>
  </si>
  <si>
    <t>Happibits Game</t>
  </si>
  <si>
    <t>VERTEX GAMES</t>
  </si>
  <si>
    <t>Wooga</t>
  </si>
  <si>
    <t>Wizards of the Coast</t>
  </si>
  <si>
    <t>Magmatic Games</t>
  </si>
  <si>
    <t>Level Infinite</t>
  </si>
  <si>
    <t>슈팅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</si>
  <si>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2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2"/>
      </rPr>
      <t>65</t>
    </r>
    <r>
      <rPr>
        <sz val="11"/>
        <rFont val="Noto Sans CJK SC"/>
        <family val="2"/>
      </rPr>
      <t>위 없음</t>
    </r>
    <r>
      <rPr>
        <sz val="11"/>
        <rFont val="Arial"/>
        <family val="2"/>
      </rPr>
      <t>)</t>
    </r>
  </si>
  <si>
    <t>ABI GAMES</t>
  </si>
  <si>
    <t>Century Games Innovation</t>
  </si>
  <si>
    <t>KONAMI</t>
  </si>
  <si>
    <t>Mojang</t>
  </si>
  <si>
    <t>유료 앱</t>
  </si>
  <si>
    <t>VoyagerOne IE</t>
  </si>
  <si>
    <t>olleyo</t>
  </si>
  <si>
    <t>게임 방식 확인 안 됨</t>
  </si>
  <si>
    <t>FARLIGHT</t>
  </si>
  <si>
    <t>Playtika</t>
  </si>
  <si>
    <t>Aviva Sun</t>
  </si>
  <si>
    <t>루도</t>
  </si>
  <si>
    <t>Sparks Info</t>
  </si>
  <si>
    <t>Aniplex</t>
  </si>
  <si>
    <t>NEXTERS GLOBAL</t>
  </si>
  <si>
    <t>LilithGames</t>
  </si>
  <si>
    <t>Hitapps Games</t>
  </si>
  <si>
    <t>VOODOO</t>
  </si>
  <si>
    <t>Candivore</t>
  </si>
  <si>
    <t>PvP</t>
  </si>
  <si>
    <r>
      <rPr>
        <b/>
        <sz val="12"/>
        <rFont val="Noto Sans CJK SC"/>
        <family val="2"/>
      </rPr>
      <t>미국 구글 플레이</t>
    </r>
    <r>
      <rPr>
        <b/>
        <sz val="12"/>
        <rFont val="Arial"/>
        <family val="2"/>
      </rPr>
      <t xml:space="preserve">: </t>
    </r>
    <r>
      <rPr>
        <b/>
        <sz val="12"/>
        <rFont val="Noto Sans CJK SC"/>
        <family val="2"/>
      </rPr>
      <t xml:space="preserve">매출 순위 </t>
    </r>
    <r>
      <rPr>
        <b/>
        <sz val="12"/>
        <rFont val="Arial"/>
        <family val="2"/>
      </rPr>
      <t xml:space="preserve">vs </t>
    </r>
    <r>
      <rPr>
        <b/>
        <sz val="12"/>
        <rFont val="Noto Sans CJK SC"/>
        <family val="2"/>
      </rPr>
      <t>무료</t>
    </r>
    <r>
      <rPr>
        <b/>
        <sz val="12"/>
        <rFont val="Arial"/>
        <family val="2"/>
      </rPr>
      <t>(</t>
    </r>
    <r>
      <rPr>
        <b/>
        <sz val="12"/>
        <rFont val="Noto Sans CJK SC"/>
        <family val="2"/>
      </rPr>
      <t>다운로드</t>
    </r>
    <r>
      <rPr>
        <b/>
        <sz val="12"/>
        <rFont val="Arial"/>
        <family val="2"/>
      </rPr>
      <t xml:space="preserve">) </t>
    </r>
    <r>
      <rPr>
        <b/>
        <sz val="12"/>
        <rFont val="Noto Sans CJK SC"/>
        <family val="2"/>
      </rPr>
      <t>순위 — 같은 날</t>
    </r>
    <r>
      <rPr>
        <b/>
        <sz val="12"/>
        <rFont val="Arial"/>
        <family val="2"/>
      </rPr>
      <t xml:space="preserve">(2026-10-04) </t>
    </r>
    <r>
      <rPr>
        <b/>
        <sz val="12"/>
        <rFont val="Noto Sans CJK SC"/>
        <family val="2"/>
      </rPr>
      <t>두 차트를 합친 목록</t>
    </r>
  </si>
  <si>
    <r>
      <rPr>
        <b/>
        <sz val="11"/>
        <color rgb="FF7F7F7F"/>
        <rFont val="Noto Sans CJK SC"/>
        <family val="2"/>
      </rPr>
      <t xml:space="preserve">참조용 복사본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</t>
    </r>
    <r>
      <rPr>
        <b/>
        <sz val="11"/>
        <color rgb="FF7F7F7F"/>
        <rFont val="Arial"/>
        <family val="2"/>
      </rPr>
      <t xml:space="preserve">: </t>
    </r>
    <r>
      <rPr>
        <b/>
        <sz val="11"/>
        <color rgb="FF7F7F7F"/>
        <rFont val="Noto Sans CJK SC"/>
        <family val="2"/>
      </rPr>
      <t>시장조사</t>
    </r>
    <r>
      <rPr>
        <b/>
        <sz val="11"/>
        <color rgb="FF7F7F7F"/>
        <rFont val="Arial"/>
        <family val="2"/>
      </rPr>
      <t xml:space="preserve">.xlsx › 3-3 </t>
    </r>
    <r>
      <rPr>
        <b/>
        <sz val="11"/>
        <color rgb="FF7F7F7F"/>
        <rFont val="Noto Sans CJK SC"/>
        <family val="2"/>
      </rPr>
      <t>매출</t>
    </r>
    <r>
      <rPr>
        <b/>
        <sz val="11"/>
        <color rgb="FF7F7F7F"/>
        <rFont val="Arial"/>
        <family val="2"/>
      </rPr>
      <t>-</t>
    </r>
    <r>
      <rPr>
        <b/>
        <sz val="11"/>
        <color rgb="FF7F7F7F"/>
        <rFont val="Noto Sans CJK SC"/>
        <family val="2"/>
      </rPr>
      <t xml:space="preserve">다운로드 비교 </t>
    </r>
    <r>
      <rPr>
        <b/>
        <sz val="11"/>
        <color rgb="FF7F7F7F"/>
        <rFont val="Arial"/>
        <family val="2"/>
      </rPr>
      <t xml:space="preserve">· </t>
    </r>
    <r>
      <rPr>
        <b/>
        <sz val="11"/>
        <color rgb="FF7F7F7F"/>
        <rFont val="Noto Sans CJK SC"/>
        <family val="2"/>
      </rPr>
      <t>원본을 고치면 코드를 다시 실행해 두 파일을 함께 갱신</t>
    </r>
  </si>
  <si>
    <r>
      <rPr>
        <b/>
        <sz val="11"/>
        <rFont val="Noto Sans CJK SC"/>
        <family val="2"/>
      </rPr>
      <t xml:space="preserve">매출 </t>
    </r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>높음</t>
    </r>
    <r>
      <rPr>
        <b/>
        <sz val="11"/>
        <rFont val="Arial"/>
        <family val="2"/>
      </rPr>
      <t xml:space="preserve">' </t>
    </r>
    <r>
      <rPr>
        <b/>
        <sz val="11"/>
        <rFont val="Noto Sans CJK SC"/>
        <family val="2"/>
      </rPr>
      <t xml:space="preserve">기준 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매출 순위가 이 숫자 이내</t>
    </r>
    <r>
      <rPr>
        <b/>
        <sz val="11"/>
        <rFont val="Arial"/>
        <family val="2"/>
      </rPr>
      <t>)</t>
    </r>
  </si>
  <si>
    <r>
      <rPr>
        <i/>
        <sz val="11"/>
        <color rgb="FF595959"/>
        <rFont val="Noto Sans CJK SC"/>
        <family val="2"/>
      </rPr>
      <t xml:space="preserve">← 파란 글씨 </t>
    </r>
    <r>
      <rPr>
        <i/>
        <sz val="11"/>
        <color rgb="FF595959"/>
        <rFont val="Arial"/>
        <family val="2"/>
      </rPr>
      <t xml:space="preserve">= </t>
    </r>
    <r>
      <rPr>
        <i/>
        <sz val="11"/>
        <color rgb="FF595959"/>
        <rFont val="Noto Sans CJK SC"/>
        <family val="2"/>
      </rPr>
      <t>바꿀 수 있는 가정값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분석자 제안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 xml:space="preserve">바꾸면 </t>
    </r>
    <r>
      <rPr>
        <i/>
        <sz val="11"/>
        <color rgb="FF595959"/>
        <rFont val="Arial"/>
        <family val="2"/>
      </rPr>
      <t>H</t>
    </r>
    <r>
      <rPr>
        <i/>
        <sz val="11"/>
        <color rgb="FF595959"/>
        <rFont val="Noto Sans CJK SC"/>
        <family val="2"/>
      </rPr>
      <t>열 분류가 자동으로 바뀜</t>
    </r>
  </si>
  <si>
    <r>
      <rPr>
        <b/>
        <sz val="11"/>
        <rFont val="Noto Sans CJK SC"/>
        <family val="2"/>
      </rPr>
      <t xml:space="preserve">다운로드 </t>
    </r>
    <r>
      <rPr>
        <b/>
        <sz val="11"/>
        <rFont val="Arial"/>
        <family val="2"/>
      </rPr>
      <t>'</t>
    </r>
    <r>
      <rPr>
        <b/>
        <sz val="11"/>
        <rFont val="Noto Sans CJK SC"/>
        <family val="2"/>
      </rPr>
      <t>높음</t>
    </r>
    <r>
      <rPr>
        <b/>
        <sz val="11"/>
        <rFont val="Arial"/>
        <family val="2"/>
      </rPr>
      <t xml:space="preserve">' </t>
    </r>
    <r>
      <rPr>
        <b/>
        <sz val="11"/>
        <rFont val="Noto Sans CJK SC"/>
        <family val="2"/>
      </rPr>
      <t xml:space="preserve">기준 </t>
    </r>
    <r>
      <rPr>
        <b/>
        <sz val="11"/>
        <rFont val="Arial"/>
        <family val="2"/>
      </rPr>
      <t>(</t>
    </r>
    <r>
      <rPr>
        <b/>
        <sz val="11"/>
        <rFont val="Noto Sans CJK SC"/>
        <family val="2"/>
      </rPr>
      <t>무료 순위가 이 숫자 이내</t>
    </r>
    <r>
      <rPr>
        <b/>
        <sz val="11"/>
        <rFont val="Arial"/>
        <family val="2"/>
      </rPr>
      <t>)</t>
    </r>
  </si>
  <si>
    <t>매출 순위</t>
  </si>
  <si>
    <t>무료 순위</t>
  </si>
  <si>
    <r>
      <rPr>
        <b/>
        <sz val="11"/>
        <color rgb="FFFFFFFF"/>
        <rFont val="Arial"/>
        <family val="2"/>
      </rPr>
      <t xml:space="preserve">AppBrain </t>
    </r>
    <r>
      <rPr>
        <b/>
        <sz val="11"/>
        <color rgb="FFFFFFFF"/>
        <rFont val="Noto Sans CJK SC"/>
        <family val="2"/>
      </rPr>
      <t xml:space="preserve">추정 누적 설치 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추정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</si>
  <si>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추정 설치 구간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</si>
  <si>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 xml:space="preserve">Google Play </t>
    </r>
    <r>
      <rPr>
        <b/>
        <sz val="11"/>
        <color rgb="FFFFFFFF"/>
        <rFont val="Noto Sans CJK SC"/>
        <family val="2"/>
      </rPr>
      <t>공식 설치 구간</t>
    </r>
  </si>
  <si>
    <r>
      <rPr>
        <b/>
        <sz val="11"/>
        <color rgb="FFFFFFFF"/>
        <rFont val="Noto Sans CJK SC"/>
        <family val="2"/>
      </rPr>
      <t xml:space="preserve">출시일 </t>
    </r>
    <r>
      <rPr>
        <b/>
        <sz val="11"/>
        <color rgb="FFFFFFFF"/>
        <rFont val="Arial"/>
        <family val="2"/>
      </rPr>
      <t xml:space="preserve">(Google Play </t>
    </r>
    <r>
      <rPr>
        <b/>
        <sz val="11"/>
        <color rgb="FFFFFFFF"/>
        <rFont val="Noto Sans CJK SC"/>
        <family val="2"/>
      </rPr>
      <t>등록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</si>
  <si>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  <family val="2"/>
      </rPr>
      <t xml:space="preserve">분류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수식</t>
    </r>
    <r>
      <rPr>
        <b/>
        <sz val="11"/>
        <color rgb="FFFFFFFF"/>
        <rFont val="Arial"/>
        <family val="2"/>
      </rPr>
      <t>)</t>
    </r>
  </si>
  <si>
    <t>분류</t>
  </si>
  <si>
    <t>미조사</t>
  </si>
  <si>
    <t>① 둘 다 높음</t>
  </si>
  <si>
    <t>많이 받고 돈도 많이 버는 게임</t>
  </si>
  <si>
    <t>② 매출만 높음</t>
  </si>
  <si>
    <r>
      <rPr>
        <sz val="11"/>
        <rFont val="Noto Sans CJK SC"/>
        <family val="2"/>
      </rPr>
      <t xml:space="preserve">받는 사람은 적어도 결제를 많이 하는 게임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인앱 결제형</t>
    </r>
    <r>
      <rPr>
        <sz val="11"/>
        <rFont val="Arial"/>
        <family val="2"/>
      </rPr>
      <t>)</t>
    </r>
  </si>
  <si>
    <t>③ 다운로드만 높음</t>
  </si>
  <si>
    <r>
      <rPr>
        <sz val="11"/>
        <rFont val="Noto Sans CJK SC"/>
        <family val="2"/>
      </rPr>
      <t xml:space="preserve">많이 받지만 결제 순위는 낮은 게임 — 광고 수익형일 가능성 </t>
    </r>
    <r>
      <rPr>
        <sz val="11"/>
        <rFont val="Arial"/>
        <family val="2"/>
      </rPr>
      <t>(</t>
    </r>
    <r>
      <rPr>
        <sz val="11"/>
        <rFont val="Noto Sans CJK SC"/>
        <family val="2"/>
      </rPr>
      <t>추정</t>
    </r>
    <r>
      <rPr>
        <sz val="11"/>
        <rFont val="Arial"/>
        <family val="2"/>
      </rPr>
      <t>)</t>
    </r>
  </si>
  <si>
    <t>④ 둘 다 기준 밖</t>
  </si>
  <si>
    <r>
      <rPr>
        <sz val="11"/>
        <rFont val="Noto Sans CJK SC"/>
        <family val="2"/>
      </rPr>
      <t xml:space="preserve">두 차트 </t>
    </r>
    <r>
      <rPr>
        <sz val="11"/>
        <rFont val="Arial"/>
        <family val="2"/>
      </rPr>
      <t xml:space="preserve">Top100 </t>
    </r>
    <r>
      <rPr>
        <sz val="11"/>
        <rFont val="Noto Sans CJK SC"/>
        <family val="2"/>
      </rPr>
      <t>안이지만 기준 순위 밖</t>
    </r>
  </si>
  <si>
    <r>
      <rPr>
        <i/>
        <sz val="11"/>
        <color rgb="FF595959"/>
        <rFont val="Noto Sans CJK SC"/>
        <family val="2"/>
      </rPr>
      <t>출처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매출 순위 — </t>
    </r>
    <r>
      <rPr>
        <i/>
        <sz val="11"/>
        <color rgb="FF595959"/>
        <rFont val="Arial"/>
        <family val="2"/>
      </rPr>
      <t xml:space="preserve">AppBrain Google Play Top Grossing Games United States https://www.appbrain.com/stats/google-play-rankings/top_grossing/game/us / </t>
    </r>
    <r>
      <rPr>
        <i/>
        <sz val="11"/>
        <color rgb="FF595959"/>
        <rFont val="Noto Sans CJK SC"/>
        <family val="2"/>
      </rPr>
      <t xml:space="preserve">무료 순위 — </t>
    </r>
    <r>
      <rPr>
        <i/>
        <sz val="11"/>
        <color rgb="FF595959"/>
        <rFont val="Arial"/>
        <family val="2"/>
      </rPr>
      <t>AppBrain Google Play Top Free Games United States https://www.appbrain.com/stats/google-play-rankings/top_free/game/us (</t>
    </r>
    <r>
      <rPr>
        <i/>
        <sz val="11"/>
        <color rgb="FF595959"/>
        <rFont val="Noto Sans CJK SC"/>
        <family val="2"/>
      </rPr>
      <t xml:space="preserve">둘 다 </t>
    </r>
    <r>
      <rPr>
        <i/>
        <sz val="11"/>
        <color rgb="FF595959"/>
        <rFont val="Arial"/>
        <family val="2"/>
      </rPr>
      <t>2026-10-04, 1-2</t>
    </r>
    <r>
      <rPr>
        <i/>
        <sz val="11"/>
        <color rgb="FF595959"/>
        <rFont val="Noto Sans CJK SC"/>
        <family val="2"/>
      </rPr>
      <t>와 같은 날 같은 목록</t>
    </r>
    <r>
      <rPr>
        <i/>
        <sz val="11"/>
        <color rgb="FF595959"/>
        <rFont val="Arial"/>
        <family val="2"/>
      </rPr>
      <t>)</t>
    </r>
  </si>
  <si>
    <t>50,000,000+</t>
  </si>
  <si>
    <r>
      <rPr>
        <sz val="11"/>
        <rFont val="Arial"/>
        <family val="2"/>
      </rPr>
      <t xml:space="preserve">2025-02 (Google Play </t>
    </r>
    <r>
      <rPr>
        <sz val="11"/>
        <rFont val="Noto Sans CJK SC"/>
        <family val="2"/>
      </rPr>
      <t>등록 월</t>
    </r>
    <r>
      <rPr>
        <sz val="11"/>
        <rFont val="Arial"/>
        <family val="2"/>
      </rPr>
      <t>)</t>
    </r>
  </si>
  <si>
    <r>
      <rPr>
        <sz val="11"/>
        <rFont val="Arial"/>
        <family val="2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2"/>
      </rPr>
      <t>https://www.appbrain.com/app/kingshot/com.run.tower.defense (</t>
    </r>
    <r>
      <rPr>
        <sz val="11"/>
        <rFont val="Noto Sans CJK SC"/>
        <family val="2"/>
      </rPr>
      <t xml:space="preserve">페이지 갱신 </t>
    </r>
    <r>
      <rPr>
        <sz val="11"/>
        <rFont val="Arial"/>
        <family val="2"/>
      </rPr>
      <t>2026-09-20)</t>
    </r>
  </si>
  <si>
    <r>
      <rPr>
        <i/>
        <sz val="11"/>
        <color rgb="FF595959"/>
        <rFont val="Arial"/>
        <family val="2"/>
      </rPr>
      <t xml:space="preserve">'-' = </t>
    </r>
    <r>
      <rPr>
        <i/>
        <sz val="11"/>
        <color rgb="FF595959"/>
        <rFont val="Noto Sans CJK SC"/>
        <family val="2"/>
      </rPr>
      <t xml:space="preserve">그 차트 </t>
    </r>
    <r>
      <rPr>
        <i/>
        <sz val="11"/>
        <color rgb="FF595959"/>
        <rFont val="Arial"/>
        <family val="2"/>
      </rPr>
      <t xml:space="preserve">Top100 </t>
    </r>
    <r>
      <rPr>
        <i/>
        <sz val="11"/>
        <color rgb="FF595959"/>
        <rFont val="Noto Sans CJK SC"/>
        <family val="2"/>
      </rPr>
      <t>밖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 xml:space="preserve">또는 </t>
    </r>
    <r>
      <rPr>
        <i/>
        <sz val="11"/>
        <color rgb="FF595959"/>
        <rFont val="Arial"/>
        <family val="2"/>
      </rPr>
      <t xml:space="preserve">AppBrain </t>
    </r>
    <r>
      <rPr>
        <i/>
        <sz val="11"/>
        <color rgb="FF595959"/>
        <rFont val="Noto Sans CJK SC"/>
        <family val="2"/>
      </rPr>
      <t>목록 누락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매출 </t>
    </r>
    <r>
      <rPr>
        <i/>
        <sz val="11"/>
        <color rgb="FF595959"/>
        <rFont val="Arial"/>
        <family val="2"/>
      </rPr>
      <t>26·65</t>
    </r>
    <r>
      <rPr>
        <i/>
        <sz val="11"/>
        <color rgb="FF595959"/>
        <rFont val="Noto Sans CJK SC"/>
        <family val="2"/>
      </rPr>
      <t>위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 xml:space="preserve">무료 </t>
    </r>
    <r>
      <rPr>
        <i/>
        <sz val="11"/>
        <color rgb="FF595959"/>
        <rFont val="Arial"/>
        <family val="2"/>
      </rPr>
      <t>80</t>
    </r>
    <r>
      <rPr>
        <i/>
        <sz val="11"/>
        <color rgb="FF595959"/>
        <rFont val="Noto Sans CJK SC"/>
        <family val="2"/>
      </rPr>
      <t>위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순위 숫자만 비교함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</si>
  <si>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>D</t>
    </r>
    <r>
      <rPr>
        <i/>
        <sz val="11"/>
        <color rgb="FF595959"/>
        <rFont val="Noto Sans CJK SC"/>
        <family val="2"/>
      </rPr>
      <t xml:space="preserve">열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추정 누적 설치 수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 xml:space="preserve">는 </t>
    </r>
    <r>
      <rPr>
        <i/>
        <sz val="11"/>
        <color rgb="FF595959"/>
        <rFont val="Arial"/>
        <family val="2"/>
      </rPr>
      <t>AppBrain</t>
    </r>
    <r>
      <rPr>
        <i/>
        <sz val="11"/>
        <color rgb="FF595959"/>
        <rFont val="Noto Sans CJK SC"/>
        <family val="2"/>
      </rPr>
      <t>이 공개한 추정치</t>
    </r>
    <r>
      <rPr>
        <i/>
        <sz val="11"/>
        <color rgb="FF595959"/>
        <rFont val="Arial"/>
        <family val="2"/>
      </rPr>
      <t xml:space="preserve">(Installs </t>
    </r>
    <r>
      <rPr>
        <i/>
        <sz val="11"/>
        <color rgb="FF595959"/>
        <rFont val="Noto Sans CJK SC"/>
        <family val="2"/>
      </rPr>
      <t>열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이며 </t>
    </r>
    <r>
      <rPr>
        <i/>
        <sz val="11"/>
        <color rgb="FF595959"/>
        <rFont val="Arial"/>
        <family val="2"/>
      </rPr>
      <t xml:space="preserve">Google Play </t>
    </r>
    <r>
      <rPr>
        <i/>
        <sz val="11"/>
        <color rgb="FF595959"/>
        <rFont val="Noto Sans CJK SC"/>
        <family val="2"/>
      </rPr>
      <t>공식 숫자가 아님</t>
    </r>
    <r>
      <rPr>
        <i/>
        <sz val="11"/>
        <color rgb="FF595959"/>
        <rFont val="Arial"/>
        <family val="2"/>
      </rPr>
      <t>. E</t>
    </r>
    <r>
      <rPr>
        <i/>
        <sz val="11"/>
        <color rgb="FF595959"/>
        <rFont val="Noto Sans CJK SC"/>
        <family val="2"/>
      </rPr>
      <t xml:space="preserve">열은 그 추정치를 </t>
    </r>
    <r>
      <rPr>
        <i/>
        <sz val="11"/>
        <color rgb="FF595959"/>
        <rFont val="Arial"/>
        <family val="2"/>
      </rPr>
      <t>Google Play</t>
    </r>
    <r>
      <rPr>
        <i/>
        <sz val="11"/>
        <color rgb="FF595959"/>
        <rFont val="Noto Sans CJK SC"/>
        <family val="2"/>
      </rPr>
      <t>식 구간으로 나눈 것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역시 추정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</si>
  <si>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Arial"/>
        <family val="2"/>
      </rPr>
      <t>F·G</t>
    </r>
    <r>
      <rPr>
        <i/>
        <sz val="11"/>
        <color rgb="FF595959"/>
        <rFont val="Noto Sans CJK SC"/>
        <family val="2"/>
      </rPr>
      <t>열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공식 설치 구간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출시일</t>
    </r>
    <r>
      <rPr>
        <i/>
        <sz val="11"/>
        <color rgb="FF595959"/>
        <rFont val="Arial"/>
        <family val="2"/>
      </rPr>
      <t>)</t>
    </r>
    <r>
      <rPr>
        <i/>
        <sz val="11"/>
        <color rgb="FF595959"/>
        <rFont val="Noto Sans CJK SC"/>
        <family val="2"/>
      </rPr>
      <t xml:space="preserve">은 게임별 상세 페이지를 하나씩 열어야 해서 이번에는 </t>
    </r>
    <r>
      <rPr>
        <i/>
        <sz val="11"/>
        <color rgb="FF595959"/>
        <rFont val="Arial"/>
        <family val="2"/>
      </rPr>
      <t>Kingshot 1</t>
    </r>
    <r>
      <rPr>
        <i/>
        <sz val="11"/>
        <color rgb="FF595959"/>
        <rFont val="Noto Sans CJK SC"/>
        <family val="2"/>
      </rPr>
      <t>개만 확인</t>
    </r>
    <r>
      <rPr>
        <i/>
        <sz val="11"/>
        <color rgb="FF595959"/>
        <rFont val="Arial"/>
        <family val="2"/>
      </rPr>
      <t xml:space="preserve">. </t>
    </r>
    <r>
      <rPr>
        <i/>
        <sz val="11"/>
        <color rgb="FF595959"/>
        <rFont val="Noto Sans CJK SC"/>
        <family val="2"/>
      </rPr>
      <t xml:space="preserve">나머지는 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미조사</t>
    </r>
    <r>
      <rPr>
        <i/>
        <sz val="11"/>
        <color rgb="FF595959"/>
        <rFont val="Arial"/>
        <family val="2"/>
      </rPr>
      <t>'(</t>
    </r>
    <r>
      <rPr>
        <i/>
        <sz val="11"/>
        <color rgb="FF595959"/>
        <rFont val="Noto Sans CJK SC"/>
        <family val="2"/>
      </rPr>
      <t>다음 단계</t>
    </r>
    <r>
      <rPr>
        <i/>
        <sz val="11"/>
        <color rgb="FF595959"/>
        <rFont val="Arial"/>
        <family val="2"/>
      </rPr>
      <t>).</t>
    </r>
  </si>
  <si>
    <r>
      <rPr>
        <i/>
        <sz val="11"/>
        <color rgb="FF595959"/>
        <rFont val="Noto Sans CJK SC"/>
        <family val="2"/>
      </rPr>
      <t>실제 매출액</t>
    </r>
    <r>
      <rPr>
        <i/>
        <sz val="11"/>
        <color rgb="FF595959"/>
        <rFont val="Arial"/>
        <family val="2"/>
      </rPr>
      <t>·</t>
    </r>
    <r>
      <rPr>
        <i/>
        <sz val="11"/>
        <color rgb="FF595959"/>
        <rFont val="Noto Sans CJK SC"/>
        <family val="2"/>
      </rPr>
      <t>실제 다운로드 수</t>
    </r>
    <r>
      <rPr>
        <i/>
        <sz val="11"/>
        <color rgb="FF595959"/>
        <rFont val="Arial"/>
        <family val="2"/>
      </rPr>
      <t xml:space="preserve">: </t>
    </r>
    <r>
      <rPr>
        <i/>
        <sz val="11"/>
        <color rgb="FF595959"/>
        <rFont val="Noto Sans CJK SC"/>
        <family val="2"/>
      </rPr>
      <t xml:space="preserve">비공개 </t>
    </r>
    <r>
      <rPr>
        <i/>
        <sz val="11"/>
        <color rgb="FF595959"/>
        <rFont val="Arial"/>
        <family val="2"/>
      </rPr>
      <t>(</t>
    </r>
    <r>
      <rPr>
        <i/>
        <sz val="11"/>
        <color rgb="FF595959"/>
        <rFont val="Noto Sans CJK SC"/>
        <family val="2"/>
      </rPr>
      <t>공개 출처 없음</t>
    </r>
    <r>
      <rPr>
        <i/>
        <sz val="11"/>
        <color rgb="FF595959"/>
        <rFont val="Arial"/>
        <family val="2"/>
      </rPr>
      <t xml:space="preserve">). </t>
    </r>
    <r>
      <rPr>
        <i/>
        <sz val="11"/>
        <color rgb="FF595959"/>
        <rFont val="Noto Sans CJK SC"/>
        <family val="2"/>
      </rPr>
      <t>이 표는 순위와 공개 추정치로만 비교함</t>
    </r>
    <r>
      <rPr>
        <i/>
        <sz val="11"/>
        <color rgb="FF595959"/>
        <rFont val="Arial"/>
        <family val="2"/>
      </rPr>
      <t>.</t>
    </r>
  </si>
  <si>
    <r>
      <rPr>
        <i/>
        <sz val="11"/>
        <color rgb="FF595959"/>
        <rFont val="Arial"/>
        <family val="2"/>
      </rPr>
      <t>③ '</t>
    </r>
    <r>
      <rPr>
        <i/>
        <sz val="11"/>
        <color rgb="FF595959"/>
        <rFont val="Noto Sans CJK SC"/>
        <family val="2"/>
      </rPr>
      <t>광고 수익형</t>
    </r>
    <r>
      <rPr>
        <i/>
        <sz val="11"/>
        <color rgb="FF595959"/>
        <rFont val="Arial"/>
        <family val="2"/>
      </rPr>
      <t>'</t>
    </r>
    <r>
      <rPr>
        <i/>
        <sz val="11"/>
        <color rgb="FF595959"/>
        <rFont val="Noto Sans CJK SC"/>
        <family val="2"/>
      </rPr>
      <t>은 순위 패턴에서 나온 추정이며</t>
    </r>
    <r>
      <rPr>
        <i/>
        <sz val="11"/>
        <color rgb="FF595959"/>
        <rFont val="Arial"/>
        <family val="2"/>
      </rPr>
      <t xml:space="preserve">, </t>
    </r>
    <r>
      <rPr>
        <i/>
        <sz val="11"/>
        <color rgb="FF595959"/>
        <rFont val="Noto Sans CJK SC"/>
        <family val="2"/>
      </rPr>
      <t>실제 수익 구조는 게임별 확인이 필요함</t>
    </r>
    <r>
      <rPr>
        <i/>
        <sz val="11"/>
        <color rgb="FF595959"/>
        <rFont val="Arial"/>
        <family val="2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</si>
</sst>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\$0.00"/>
    <numFmt numFmtId="178" formatCode="\$#,##0"/>
    <numFmt numFmtId="179" formatCode="0%;\-0%;0%"/>
  </numFmts>
  <fonts count="34">
    <font>
      <sz val="11"/>
      <color theme="1"/>
      <name val="Calibri"/>
      <family val="2"/>
      <charset val="1"/>
    </font>
    <font>
      <b/>
      <sz val="14"/>
      <name val="Noto Sans CJK SC"/>
      <family val="2"/>
    </font>
    <font>
      <b/>
      <sz val="14"/>
      <name val="Arial"/>
      <family val="2"/>
    </font>
    <font>
      <sz val="11"/>
      <color rgb="FF595959"/>
      <name val="Noto Sans CJK SC"/>
      <family val="2"/>
    </font>
    <font>
      <sz val="11"/>
      <color rgb="FF595959"/>
      <name val="Arial"/>
      <family val="2"/>
    </font>
    <font>
      <b/>
      <sz val="11"/>
      <color rgb="FFFFFFFF"/>
      <name val="Noto Sans CJK SC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00"/>
      <name val="Noto Sans CJK SC"/>
      <family val="2"/>
    </font>
    <font>
      <u/>
      <sz val="11"/>
      <color rgb="FF0563C1"/>
      <name val="Arial"/>
      <family val="2"/>
    </font>
    <font>
      <i/>
      <sz val="11"/>
      <color rgb="FF808080"/>
      <name val="Arial"/>
      <family val="2"/>
    </font>
    <font>
      <i/>
      <sz val="11"/>
      <color rgb="FF808080"/>
      <name val="Noto Sans CJK SC"/>
      <family val="2"/>
    </font>
    <font>
      <b/>
      <sz val="11"/>
      <name val="Noto Sans CJK SC"/>
      <family val="2"/>
    </font>
    <font>
      <sz val="11"/>
      <name val="Noto Sans CJK SC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i/>
      <sz val="11"/>
      <color rgb="FF595959"/>
      <name val="Noto Sans CJK SC"/>
      <family val="2"/>
    </font>
    <font>
      <i/>
      <sz val="11"/>
      <color rgb="FF595959"/>
      <name val="Arial"/>
      <family val="2"/>
    </font>
    <font>
      <sz val="11"/>
      <color rgb="FFC00000"/>
      <name val="Arial"/>
      <family val="2"/>
    </font>
    <font>
      <b/>
      <sz val="12"/>
      <name val="Noto Sans CJK SC"/>
      <family val="2"/>
    </font>
    <font>
      <b/>
      <sz val="12"/>
      <name val="Arial"/>
      <family val="2"/>
    </font>
    <font>
      <sz val="11"/>
      <color rgb="FF0000FF"/>
      <name val="Noto Sans CJK SC"/>
      <family val="2"/>
    </font>
    <font>
      <b/>
      <sz val="13"/>
      <name val="Noto Sans CJK SC"/>
      <family val="2"/>
    </font>
    <font>
      <b/>
      <sz val="13"/>
      <name val="Arial"/>
      <family val="2"/>
    </font>
    <font>
      <b/>
      <sz val="11"/>
      <color rgb="FFC00000"/>
      <name val="Noto Sans CJK SC"/>
      <family val="2"/>
    </font>
    <font>
      <b/>
      <sz val="11"/>
      <color rgb="FFC00000"/>
      <name val="Arial"/>
      <family val="2"/>
    </font>
    <font>
      <b/>
      <sz val="11"/>
      <color rgb="FF0000FF"/>
      <name val="Arial"/>
      <family val="2"/>
    </font>
    <font>
      <b/>
      <sz val="11"/>
      <color rgb="FF0000FF"/>
      <name val="Noto Sans CJK SC"/>
      <family val="2"/>
    </font>
    <font>
      <b/>
      <sz val="11"/>
      <color rgb="FF7F7F7F"/>
      <name val="Noto Sans CJK SC"/>
      <family val="2"/>
    </font>
    <font>
      <b/>
      <sz val="11"/>
      <color rgb="FF7F7F7F"/>
      <name val="Arial"/>
      <family val="2"/>
    </font>
    <font>
      <b/>
      <sz val="12"/>
      <color rgb="FF1F3864"/>
      <name val="Arial"/>
      <family val="2"/>
    </font>
    <font>
      <b/>
      <sz val="12"/>
      <color rgb="FF1F3864"/>
      <name val="Noto Sans CJK SC"/>
      <family val="2"/>
    </font>
    <font>
      <sz val="8"/>
      <name val="나눔명조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A7A"/>
        <bgColor rgb="FF008080"/>
      </patternFill>
    </fill>
    <fill>
      <patternFill patternType="solid">
        <fgColor rgb="FFBF9000"/>
        <bgColor rgb="FFFF6600"/>
      </patternFill>
    </fill>
    <fill>
      <patternFill patternType="solid">
        <fgColor rgb="FFA6A6A6"/>
        <bgColor rgb="FFBFBFBF"/>
      </patternFill>
    </fill>
    <fill>
      <patternFill patternType="solid">
        <fgColor rgb="FFFFF2CC"/>
        <bgColor rgb="FFFCE4D6"/>
      </patternFill>
    </fill>
    <fill>
      <patternFill patternType="solid">
        <fgColor rgb="FFC6EFCE"/>
        <bgColor rgb="FFE2EFDA"/>
      </patternFill>
    </fill>
    <fill>
      <patternFill patternType="solid">
        <fgColor rgb="FFEDEDED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14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" fillId="0" borderId="0" xfId="0" applyFont="1"/>
    <xf numFmtId="0" fontId="3" fillId="0" borderId="0" xfId="0" applyFont="1"/>
    <xf numFmtId="0" fontId="5" fillId="2" borderId="0" xfId="0" applyFont="1" applyFill="1"/>
    <xf numFmtId="0" fontId="6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 wrapText="1"/>
    </xf>
    <xf numFmtId="0" fontId="15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15" fillId="0" borderId="1" xfId="0" applyFont="1" applyBorder="1"/>
    <xf numFmtId="0" fontId="13" fillId="0" borderId="1" xfId="0" applyFont="1" applyBorder="1" applyAlignment="1">
      <alignment vertical="top" wrapText="1"/>
    </xf>
    <xf numFmtId="0" fontId="14" fillId="0" borderId="1" xfId="0" applyFont="1" applyBorder="1" applyAlignment="1">
      <alignment vertical="top" wrapText="1"/>
    </xf>
    <xf numFmtId="0" fontId="5" fillId="2" borderId="0" xfId="0" applyFont="1" applyFill="1" applyAlignment="1">
      <alignment horizontal="center" vertical="center" wrapText="1"/>
    </xf>
    <xf numFmtId="0" fontId="16" fillId="8" borderId="1" xfId="0" applyFont="1" applyFill="1" applyBorder="1" applyAlignment="1">
      <alignment vertical="top" wrapText="1"/>
    </xf>
    <xf numFmtId="9" fontId="16" fillId="8" borderId="1" xfId="0" applyNumberFormat="1" applyFont="1" applyFill="1" applyBorder="1" applyAlignment="1">
      <alignment vertical="top" wrapText="1"/>
    </xf>
    <xf numFmtId="0" fontId="17" fillId="0" borderId="0" xfId="0" applyFont="1"/>
    <xf numFmtId="0" fontId="6" fillId="2" borderId="0" xfId="0" applyFont="1" applyFill="1" applyAlignment="1">
      <alignment horizontal="center" vertical="center" wrapText="1"/>
    </xf>
    <xf numFmtId="0" fontId="15" fillId="0" borderId="1" xfId="0" applyFont="1" applyBorder="1" applyAlignment="1">
      <alignment horizontal="left"/>
    </xf>
    <xf numFmtId="0" fontId="14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3" fontId="16" fillId="0" borderId="1" xfId="0" applyNumberFormat="1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/>
    </xf>
    <xf numFmtId="0" fontId="15" fillId="0" borderId="1" xfId="0" applyFont="1" applyBorder="1" applyAlignment="1">
      <alignment vertical="top" wrapText="1"/>
    </xf>
    <xf numFmtId="0" fontId="19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8" fillId="0" borderId="0" xfId="0" applyFont="1"/>
    <xf numFmtId="0" fontId="14" fillId="0" borderId="1" xfId="0" applyFont="1" applyBorder="1" applyAlignment="1">
      <alignment horizontal="left"/>
    </xf>
    <xf numFmtId="0" fontId="16" fillId="9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20" fillId="0" borderId="0" xfId="0" applyFont="1"/>
    <xf numFmtId="0" fontId="5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 wrapText="1"/>
    </xf>
    <xf numFmtId="0" fontId="12" fillId="0" borderId="1" xfId="0" applyFont="1" applyBorder="1"/>
    <xf numFmtId="0" fontId="14" fillId="0" borderId="1" xfId="0" applyFont="1" applyBorder="1"/>
    <xf numFmtId="9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vertical="top"/>
    </xf>
    <xf numFmtId="0" fontId="13" fillId="2" borderId="1" xfId="0" applyFont="1" applyFill="1" applyBorder="1" applyAlignment="1">
      <alignment vertical="top" wrapText="1"/>
    </xf>
    <xf numFmtId="0" fontId="14" fillId="2" borderId="1" xfId="0" applyFont="1" applyFill="1" applyBorder="1" applyAlignment="1">
      <alignment vertical="top" wrapText="1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0" fontId="14" fillId="0" borderId="1" xfId="0" applyNumberFormat="1" applyFont="1" applyBorder="1" applyAlignment="1">
      <alignment horizontal="center" vertical="center" wrapText="1"/>
    </xf>
    <xf numFmtId="177" fontId="16" fillId="0" borderId="1" xfId="0" applyNumberFormat="1" applyFont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0" fontId="22" fillId="8" borderId="1" xfId="0" applyFont="1" applyFill="1" applyBorder="1" applyAlignment="1">
      <alignment horizontal="center" vertical="center" wrapText="1"/>
    </xf>
    <xf numFmtId="177" fontId="16" fillId="8" borderId="1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5" fillId="0" borderId="0" xfId="0" applyFont="1"/>
    <xf numFmtId="0" fontId="15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176" fontId="14" fillId="0" borderId="1" xfId="0" applyNumberFormat="1" applyFont="1" applyBorder="1" applyAlignment="1">
      <alignment horizontal="center" vertical="center" wrapText="1"/>
    </xf>
    <xf numFmtId="2" fontId="14" fillId="0" borderId="1" xfId="0" applyNumberFormat="1" applyFont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21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9" fontId="27" fillId="8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vertical="top"/>
    </xf>
    <xf numFmtId="0" fontId="13" fillId="0" borderId="1" xfId="0" applyFont="1" applyBorder="1" applyAlignment="1">
      <alignment vertical="top"/>
    </xf>
    <xf numFmtId="0" fontId="12" fillId="0" borderId="1" xfId="0" applyFont="1" applyBorder="1" applyAlignment="1">
      <alignment vertical="top"/>
    </xf>
    <xf numFmtId="9" fontId="14" fillId="0" borderId="1" xfId="0" applyNumberFormat="1" applyFont="1" applyBorder="1" applyAlignment="1">
      <alignment vertical="top"/>
    </xf>
    <xf numFmtId="0" fontId="15" fillId="0" borderId="0" xfId="0" applyFont="1"/>
    <xf numFmtId="0" fontId="27" fillId="8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top"/>
    </xf>
    <xf numFmtId="0" fontId="14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0" fontId="12" fillId="0" borderId="0" xfId="0" applyFont="1"/>
    <xf numFmtId="0" fontId="13" fillId="8" borderId="0" xfId="0" applyFont="1" applyFill="1"/>
    <xf numFmtId="0" fontId="14" fillId="8" borderId="0" xfId="0" applyFont="1" applyFill="1"/>
    <xf numFmtId="177" fontId="15" fillId="0" borderId="1" xfId="0" applyNumberFormat="1" applyFont="1" applyBorder="1" applyAlignment="1">
      <alignment horizontal="center" vertical="top"/>
    </xf>
    <xf numFmtId="0" fontId="13" fillId="0" borderId="1" xfId="0" applyFont="1" applyBorder="1" applyAlignment="1">
      <alignment horizontal="center" vertical="top"/>
    </xf>
    <xf numFmtId="0" fontId="13" fillId="8" borderId="1" xfId="0" applyFont="1" applyFill="1" applyBorder="1" applyAlignment="1">
      <alignment vertical="top"/>
    </xf>
    <xf numFmtId="177" fontId="15" fillId="8" borderId="1" xfId="0" applyNumberFormat="1" applyFont="1" applyFill="1" applyBorder="1" applyAlignment="1">
      <alignment horizontal="center" vertical="top"/>
    </xf>
    <xf numFmtId="0" fontId="14" fillId="8" borderId="1" xfId="0" applyFont="1" applyFill="1" applyBorder="1" applyAlignment="1">
      <alignment vertical="top"/>
    </xf>
    <xf numFmtId="177" fontId="12" fillId="8" borderId="1" xfId="0" applyNumberFormat="1" applyFont="1" applyFill="1" applyBorder="1" applyAlignment="1">
      <alignment horizontal="center" vertical="top"/>
    </xf>
    <xf numFmtId="0" fontId="13" fillId="8" borderId="1" xfId="0" applyFont="1" applyFill="1" applyBorder="1" applyAlignment="1">
      <alignment horizontal="center" vertical="top"/>
    </xf>
    <xf numFmtId="178" fontId="27" fillId="8" borderId="1" xfId="0" applyNumberFormat="1" applyFont="1" applyFill="1" applyBorder="1" applyAlignment="1">
      <alignment horizontal="center" vertical="center"/>
    </xf>
    <xf numFmtId="177" fontId="14" fillId="0" borderId="1" xfId="0" applyNumberFormat="1" applyFont="1" applyBorder="1" applyAlignment="1">
      <alignment horizontal="center" vertical="top"/>
    </xf>
    <xf numFmtId="177" fontId="27" fillId="8" borderId="1" xfId="0" applyNumberFormat="1" applyFon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top"/>
    </xf>
    <xf numFmtId="10" fontId="0" fillId="0" borderId="0" xfId="0" applyNumberFormat="1" applyAlignment="1">
      <alignment horizontal="center" vertical="top"/>
    </xf>
    <xf numFmtId="3" fontId="0" fillId="0" borderId="0" xfId="0" applyNumberFormat="1" applyAlignment="1">
      <alignment horizontal="center" vertical="top"/>
    </xf>
    <xf numFmtId="178" fontId="0" fillId="0" borderId="0" xfId="0" applyNumberFormat="1" applyAlignment="1">
      <alignment horizontal="center" vertical="top"/>
    </xf>
    <xf numFmtId="0" fontId="29" fillId="10" borderId="0" xfId="0" applyFont="1" applyFill="1"/>
    <xf numFmtId="10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/>
    </xf>
    <xf numFmtId="0" fontId="24" fillId="0" borderId="0" xfId="0" applyFont="1"/>
    <xf numFmtId="0" fontId="31" fillId="0" borderId="0" xfId="0" applyFont="1"/>
    <xf numFmtId="0" fontId="13" fillId="0" borderId="1" xfId="0" applyFont="1" applyBorder="1"/>
    <xf numFmtId="10" fontId="15" fillId="0" borderId="1" xfId="0" applyNumberFormat="1" applyFont="1" applyBorder="1" applyAlignment="1">
      <alignment horizontal="center"/>
    </xf>
    <xf numFmtId="10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32" fillId="0" borderId="0" xfId="0" applyFont="1"/>
    <xf numFmtId="176" fontId="16" fillId="0" borderId="1" xfId="0" applyNumberFormat="1" applyFont="1" applyBorder="1" applyAlignment="1">
      <alignment horizontal="center"/>
    </xf>
    <xf numFmtId="176" fontId="15" fillId="0" borderId="1" xfId="0" applyNumberFormat="1" applyFont="1" applyBorder="1" applyAlignment="1">
      <alignment horizontal="center"/>
    </xf>
    <xf numFmtId="176" fontId="14" fillId="0" borderId="1" xfId="0" applyNumberFormat="1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2" fontId="14" fillId="0" borderId="1" xfId="0" applyNumberFormat="1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8" borderId="1" xfId="0" applyFont="1" applyFill="1" applyBorder="1"/>
    <xf numFmtId="0" fontId="13" fillId="8" borderId="1" xfId="0" applyFont="1" applyFill="1" applyBorder="1"/>
    <xf numFmtId="179" fontId="14" fillId="0" borderId="1" xfId="0" applyNumberFormat="1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8" fillId="8" borderId="0" xfId="0" applyFont="1" applyFill="1"/>
    <xf numFmtId="0" fontId="27" fillId="8" borderId="1" xfId="0" applyFont="1" applyFill="1" applyBorder="1" applyAlignment="1">
      <alignment horizontal="center"/>
    </xf>
    <xf numFmtId="3" fontId="14" fillId="8" borderId="1" xfId="0" applyNumberFormat="1" applyFont="1" applyFill="1" applyBorder="1" applyAlignment="1">
      <alignment vertical="top"/>
    </xf>
  </cellXfs>
  <cellStyles count="1">
    <cellStyle name="표준" xfId="0" builtinId="0"/>
  </cellStyles>
  <dxfs count="12"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1F7A7A"/>
      <rgbColor rgb="FFBFBFBF"/>
      <rgbColor rgb="FF808080"/>
      <rgbColor rgb="FFA6A6A6"/>
      <rgbColor rgb="FF993366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9F9F9"/>
      <rgbColor rgb="FF99CCFF"/>
      <rgbColor rgb="FFFF99CC"/>
      <rgbColor rgb="FFCC99FF"/>
      <rgbColor rgb="FFFCE4D6"/>
      <rgbColor rgb="FF4F81BD"/>
      <rgbColor rgb="FF33CCCC"/>
      <rgbColor rgb="FF99CC00"/>
      <rgbColor rgb="FFFFCC00"/>
      <rgbColor rgb="FFBF90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게임별 성공 점수 (100점 만점)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'1-2 성공 점수표'!$X$2</c:f>
              <c:strCache>
                <c:ptCount val="1"/>
                <c:pt idx="0">
                  <c:v>총점 /100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ko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'1-2 성공 점수표'!$A$3:$A$14</c:f>
              <c:strCache>
                <c:ptCount val="12"/>
                <c:pt idx="0">
                  <c:v>Meowdoku</c:v>
                </c:pt>
                <c:pt idx="1">
                  <c:v>Rotate Rings</c:v>
                </c:pt>
                <c:pt idx="2">
                  <c:v>Block Blast!</c:v>
                </c:pt>
                <c:pt idx="3">
                  <c:v>Magic Sort!</c:v>
                </c:pt>
                <c:pt idx="4">
                  <c:v>Bus Fever Party!</c:v>
                </c:pt>
                <c:pt idx="5">
                  <c:v>Royal Match</c:v>
                </c:pt>
                <c:pt idx="6">
                  <c:v>Gossip Harbor</c:v>
                </c:pt>
                <c:pt idx="7">
                  <c:v>MONOPOLY GO!</c:v>
                </c:pt>
                <c:pt idx="8">
                  <c:v>Whiteout Survival</c:v>
                </c:pt>
                <c:pt idx="9">
                  <c:v>Free Fire</c:v>
                </c:pt>
                <c:pt idx="10">
                  <c:v>치이카와 포켓</c:v>
                </c:pt>
                <c:pt idx="11">
                  <c:v>후더덕 서바이벌</c:v>
                </c:pt>
              </c:strCache>
            </c:strRef>
          </c:cat>
          <c:val>
            <c:numRef>
              <c:f>'1-2 성공 점수표'!$X$3:$X$14</c:f>
              <c:numCache>
                <c:formatCode>0.0</c:formatCode>
                <c:ptCount val="12"/>
                <c:pt idx="0">
                  <c:v>54.724989021918859</c:v>
                </c:pt>
                <c:pt idx="1">
                  <c:v>50.911992670239776</c:v>
                </c:pt>
                <c:pt idx="2">
                  <c:v>70.166666666666671</c:v>
                </c:pt>
                <c:pt idx="3">
                  <c:v>63.932724967479857</c:v>
                </c:pt>
                <c:pt idx="4">
                  <c:v>51.48855590267668</c:v>
                </c:pt>
                <c:pt idx="5">
                  <c:v>82.580756465251227</c:v>
                </c:pt>
                <c:pt idx="6">
                  <c:v>75.804738554537437</c:v>
                </c:pt>
                <c:pt idx="7">
                  <c:v>65.460620904483974</c:v>
                </c:pt>
                <c:pt idx="8">
                  <c:v>61.083333333333329</c:v>
                </c:pt>
                <c:pt idx="9">
                  <c:v>71.674999999999997</c:v>
                </c:pt>
                <c:pt idx="10">
                  <c:v>35.438555902676683</c:v>
                </c:pt>
                <c:pt idx="11">
                  <c:v>46.220326003573106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D9-1843-8925-FC8F83AF9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867275"/>
        <c:axId val="58618056"/>
      </c:barChart>
      <c:catAx>
        <c:axId val="968672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US"/>
          </a:p>
        </c:txPr>
        <c:crossAx val="58618056"/>
        <c:crosses val="autoZero"/>
        <c:auto val="1"/>
        <c:lblAlgn val="ctr"/>
        <c:lblOffset val="100"/>
        <c:noMultiLvlLbl val="0"/>
      </c:catAx>
      <c:valAx>
        <c:axId val="5861805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US"/>
          </a:p>
        </c:txPr>
        <c:crossAx val="968672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27720</xdr:rowOff>
    </xdr:from>
    <xdr:to>
      <xdr:col>7</xdr:col>
      <xdr:colOff>136080</xdr:colOff>
      <xdr:row>36</xdr:row>
      <xdr:rowOff>122760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04040"/>
  </sheetPr>
  <dimension ref="A1:E27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/>
  <cols>
    <col min="1" max="1" width="16" customWidth="1"/>
    <col min="2" max="2" width="30" customWidth="1"/>
    <col min="3" max="3" width="58" customWidth="1"/>
    <col min="4" max="4" width="8" customWidth="1"/>
    <col min="5" max="5" width="44" customWidth="1"/>
  </cols>
  <sheetData>
    <row r="1" spans="1:5" ht="18">
      <c r="A1" s="6" t="s">
        <v>0</v>
      </c>
    </row>
    <row r="2" spans="1:5">
      <c r="A2" s="7" t="s">
        <v>1</v>
      </c>
    </row>
    <row r="4" spans="1:5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</row>
    <row r="5" spans="1:5" ht="16">
      <c r="A5" s="9" t="s">
        <v>7</v>
      </c>
      <c r="B5" s="10" t="s">
        <v>8</v>
      </c>
      <c r="C5" s="11" t="s">
        <v>9</v>
      </c>
      <c r="D5" s="11" t="s">
        <v>10</v>
      </c>
      <c r="E5" s="10"/>
    </row>
    <row r="6" spans="1:5" ht="16">
      <c r="A6" s="9" t="s">
        <v>7</v>
      </c>
      <c r="B6" s="12" t="s">
        <v>11</v>
      </c>
      <c r="C6" s="11" t="s">
        <v>12</v>
      </c>
      <c r="D6" s="11" t="s">
        <v>10</v>
      </c>
      <c r="E6" s="10"/>
    </row>
    <row r="7" spans="1:5" ht="16">
      <c r="A7" s="13" t="s">
        <v>13</v>
      </c>
      <c r="B7" s="12" t="s">
        <v>14</v>
      </c>
      <c r="C7" s="11" t="s">
        <v>15</v>
      </c>
      <c r="D7" s="11" t="s">
        <v>10</v>
      </c>
      <c r="E7" s="10"/>
    </row>
    <row r="8" spans="1:5" ht="16">
      <c r="A8" s="13" t="s">
        <v>13</v>
      </c>
      <c r="B8" s="12" t="s">
        <v>16</v>
      </c>
      <c r="C8" s="10" t="s">
        <v>17</v>
      </c>
      <c r="D8" s="11" t="s">
        <v>10</v>
      </c>
      <c r="E8" s="10"/>
    </row>
    <row r="9" spans="1:5" ht="16">
      <c r="A9" s="13" t="s">
        <v>13</v>
      </c>
      <c r="B9" s="12" t="s">
        <v>18</v>
      </c>
      <c r="C9" s="11" t="s">
        <v>19</v>
      </c>
      <c r="D9" s="11" t="s">
        <v>10</v>
      </c>
      <c r="E9" s="10"/>
    </row>
    <row r="10" spans="1:5" ht="16">
      <c r="A10" s="13" t="s">
        <v>13</v>
      </c>
      <c r="B10" s="12" t="s">
        <v>20</v>
      </c>
      <c r="C10" s="10" t="s">
        <v>21</v>
      </c>
      <c r="D10" s="11" t="s">
        <v>10</v>
      </c>
      <c r="E10" s="10"/>
    </row>
    <row r="11" spans="1:5" ht="16">
      <c r="A11" s="13" t="s">
        <v>13</v>
      </c>
      <c r="B11" s="12" t="s">
        <v>22</v>
      </c>
      <c r="C11" s="11" t="s">
        <v>23</v>
      </c>
      <c r="D11" s="11" t="s">
        <v>10</v>
      </c>
      <c r="E11" s="10"/>
    </row>
    <row r="12" spans="1:5" ht="16">
      <c r="A12" s="13" t="s">
        <v>13</v>
      </c>
      <c r="B12" s="12" t="s">
        <v>24</v>
      </c>
      <c r="C12" s="10" t="s">
        <v>25</v>
      </c>
      <c r="D12" s="11" t="s">
        <v>10</v>
      </c>
      <c r="E12" s="10"/>
    </row>
    <row r="13" spans="1:5" ht="16">
      <c r="A13" s="13" t="s">
        <v>13</v>
      </c>
      <c r="B13" s="12" t="s">
        <v>26</v>
      </c>
      <c r="C13" s="11" t="s">
        <v>27</v>
      </c>
      <c r="D13" s="11" t="s">
        <v>10</v>
      </c>
      <c r="E13" s="10"/>
    </row>
    <row r="14" spans="1:5">
      <c r="A14" s="14" t="s">
        <v>28</v>
      </c>
      <c r="B14" s="12" t="s">
        <v>29</v>
      </c>
      <c r="C14" s="11" t="s">
        <v>30</v>
      </c>
      <c r="D14" s="11" t="s">
        <v>10</v>
      </c>
      <c r="E14" s="10"/>
    </row>
    <row r="15" spans="1:5">
      <c r="A15" s="14" t="s">
        <v>28</v>
      </c>
      <c r="B15" s="12" t="s">
        <v>31</v>
      </c>
      <c r="C15" s="11" t="s">
        <v>32</v>
      </c>
      <c r="D15" s="11" t="s">
        <v>10</v>
      </c>
      <c r="E15" s="10"/>
    </row>
    <row r="16" spans="1:5">
      <c r="A16" s="14" t="s">
        <v>28</v>
      </c>
      <c r="B16" s="12" t="s">
        <v>33</v>
      </c>
      <c r="C16" s="11" t="s">
        <v>34</v>
      </c>
      <c r="D16" s="11" t="s">
        <v>10</v>
      </c>
      <c r="E16" s="10"/>
    </row>
    <row r="17" spans="1:5" ht="30">
      <c r="A17" s="14" t="s">
        <v>28</v>
      </c>
      <c r="B17" s="12" t="s">
        <v>35</v>
      </c>
      <c r="C17" s="11" t="s">
        <v>36</v>
      </c>
      <c r="D17" s="11" t="s">
        <v>10</v>
      </c>
      <c r="E17" s="10" t="s">
        <v>37</v>
      </c>
    </row>
    <row r="18" spans="1:5" ht="30">
      <c r="A18" s="15" t="s">
        <v>38</v>
      </c>
      <c r="B18" s="12" t="s">
        <v>39</v>
      </c>
      <c r="C18" s="11" t="s">
        <v>40</v>
      </c>
      <c r="D18" s="11" t="s">
        <v>10</v>
      </c>
      <c r="E18" s="10" t="s">
        <v>37</v>
      </c>
    </row>
    <row r="19" spans="1:5" ht="16">
      <c r="A19" s="15" t="s">
        <v>38</v>
      </c>
      <c r="B19" s="16" t="s">
        <v>41</v>
      </c>
      <c r="C19" s="17" t="s">
        <v>42</v>
      </c>
      <c r="D19" s="17" t="s">
        <v>43</v>
      </c>
      <c r="E19" s="17" t="s">
        <v>44</v>
      </c>
    </row>
    <row r="20" spans="1:5" ht="16">
      <c r="A20" s="15" t="s">
        <v>38</v>
      </c>
      <c r="B20" s="16" t="s">
        <v>45</v>
      </c>
      <c r="C20" s="17" t="s">
        <v>46</v>
      </c>
      <c r="D20" s="17" t="s">
        <v>43</v>
      </c>
      <c r="E20" s="17" t="s">
        <v>44</v>
      </c>
    </row>
    <row r="21" spans="1:5" ht="16">
      <c r="A21" s="15" t="s">
        <v>38</v>
      </c>
      <c r="B21" s="16" t="s">
        <v>47</v>
      </c>
      <c r="C21" s="17" t="s">
        <v>48</v>
      </c>
      <c r="D21" s="17" t="s">
        <v>43</v>
      </c>
      <c r="E21" s="17" t="s">
        <v>44</v>
      </c>
    </row>
    <row r="22" spans="1:5" ht="16">
      <c r="A22" s="18" t="s">
        <v>49</v>
      </c>
      <c r="B22" s="12" t="s">
        <v>50</v>
      </c>
      <c r="C22" s="10" t="s">
        <v>51</v>
      </c>
      <c r="D22" s="11" t="s">
        <v>10</v>
      </c>
      <c r="E22" s="11" t="s">
        <v>52</v>
      </c>
    </row>
    <row r="23" spans="1:5" ht="16">
      <c r="A23" s="18" t="s">
        <v>49</v>
      </c>
      <c r="B23" s="12" t="s">
        <v>53</v>
      </c>
      <c r="C23" s="10" t="s">
        <v>54</v>
      </c>
      <c r="D23" s="11" t="s">
        <v>10</v>
      </c>
      <c r="E23" s="11" t="s">
        <v>55</v>
      </c>
    </row>
    <row r="24" spans="1:5" ht="16">
      <c r="A24" s="18" t="s">
        <v>49</v>
      </c>
      <c r="B24" s="12" t="s">
        <v>56</v>
      </c>
      <c r="C24" s="10" t="s">
        <v>57</v>
      </c>
      <c r="D24" s="11" t="s">
        <v>10</v>
      </c>
      <c r="E24" s="11" t="s">
        <v>58</v>
      </c>
    </row>
    <row r="25" spans="1:5" ht="16">
      <c r="A25" s="18" t="s">
        <v>49</v>
      </c>
      <c r="B25" s="12" t="s">
        <v>59</v>
      </c>
      <c r="C25" s="10" t="s">
        <v>60</v>
      </c>
      <c r="D25" s="11" t="s">
        <v>10</v>
      </c>
      <c r="E25" s="11" t="s">
        <v>61</v>
      </c>
    </row>
    <row r="26" spans="1:5" ht="16">
      <c r="A26" s="18" t="s">
        <v>49</v>
      </c>
      <c r="B26" s="12" t="s">
        <v>62</v>
      </c>
      <c r="C26" s="10" t="s">
        <v>63</v>
      </c>
      <c r="D26" s="11" t="s">
        <v>10</v>
      </c>
      <c r="E26" s="11" t="s">
        <v>64</v>
      </c>
    </row>
    <row r="27" spans="1:5" ht="16">
      <c r="A27" s="18" t="s">
        <v>49</v>
      </c>
      <c r="B27" s="12" t="s">
        <v>65</v>
      </c>
      <c r="C27" s="10" t="s">
        <v>66</v>
      </c>
      <c r="D27" s="11" t="s">
        <v>10</v>
      </c>
      <c r="E27" s="11" t="s">
        <v>67</v>
      </c>
    </row>
  </sheetData>
  <phoneticPr fontId="33" type="noConversion"/>
  <hyperlinks>
    <hyperlink ref="B6" location="'0-1 개요'!A1" display="0-1 개요" xr:uid="{00000000-0004-0000-0000-000000000000}"/>
    <hyperlink ref="B7" location="'1-1 점수 기준'!A1" display="1-1 점수 기준" xr:uid="{00000000-0004-0000-0000-000001000000}"/>
    <hyperlink ref="B8" location="'1-2 성공 점수표'!A1" display="1-2 성공 점수표" xr:uid="{00000000-0004-0000-0000-000002000000}"/>
    <hyperlink ref="B9" location="'1-3 성적표 카드'!A1" display="1-3 성적표 카드" xr:uid="{00000000-0004-0000-0000-000003000000}"/>
    <hyperlink ref="B10" location="'1-4 성공 비결 해부'!A1" display="1-4 성공 비결 해부" xr:uid="{00000000-0004-0000-0000-000004000000}"/>
    <hyperlink ref="B11" location="'1-5 성공 비결 확장'!A1" display="1-5 성공 비결 확장" xr:uid="{00000000-0004-0000-0000-000005000000}"/>
    <hyperlink ref="B12" location="'1-6 공통점 분석'!A1" display="1-6 공통점 분석" xr:uid="{00000000-0004-0000-0000-000006000000}"/>
    <hyperlink ref="B13" location="'1-7 성공 공식 TOP5'!A1" display="1-7 성공 공식 TOP5" xr:uid="{00000000-0004-0000-0000-000007000000}"/>
    <hyperlink ref="B14" location="'2-1 MVP 명세'!A1" display="2-1 MVP 명세" xr:uid="{00000000-0004-0000-0000-000008000000}"/>
    <hyperlink ref="B15" location="'2-2 MVP 검증 목표'!A1" display="2-2 MVP 검증 목표" xr:uid="{00000000-0004-0000-0000-000009000000}"/>
    <hyperlink ref="B16" location="'2-3 장르 연결(추정)'!A1" display="2-3 장르 연결(추정)" xr:uid="{00000000-0004-0000-0000-00000A000000}"/>
    <hyperlink ref="B17" location="'2-4 2인 개발 MVP 판단'!A1" display="2-4 2인 개발 MVP 판단" xr:uid="{00000000-0004-0000-0000-00000B000000}"/>
    <hyperlink ref="B18" location="'3-1 광고 대비 유입'!A1" display="3-1 광고 대비 유입" xr:uid="{00000000-0004-0000-0000-00000C000000}"/>
    <hyperlink ref="B22" location="'4-1 지역 벤치마크(참조)'!A1" display="4-1 지역 벤치마크(참조)" xr:uid="{00000000-0004-0000-0000-00000D000000}"/>
    <hyperlink ref="B23" location="'4-2 장르 차트 판독값(참조)'!A1" display="4-2 장르 차트 판독값(참조)" xr:uid="{00000000-0004-0000-0000-00000E000000}"/>
    <hyperlink ref="B24" location="'4-3 장르 판독 요약(참조)'!A1" display="4-3 장르 판독 요약(참조)" xr:uid="{00000000-0004-0000-0000-00000F000000}"/>
    <hyperlink ref="B25" location="'4-4 Google Play Top100(참조)'!A1" display="4-4 Google Play Top100(참조)" xr:uid="{00000000-0004-0000-0000-000010000000}"/>
    <hyperlink ref="B26" location="'4-5 매출 Top100(참조)'!A1" display="4-5 매출 Top100(참조)" xr:uid="{00000000-0004-0000-0000-000011000000}"/>
    <hyperlink ref="B27" location="'4-6 매출-다운로드 비교(참조)'!A1" display="4-6 매출-다운로드 비교(참조)" xr:uid="{00000000-0004-0000-0000-000012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04040"/>
  </sheetPr>
  <dimension ref="A1:B20"/>
  <sheetViews>
    <sheetView zoomScaleNormal="100" workbookViewId="0"/>
  </sheetViews>
  <sheetFormatPr baseColWidth="10" defaultColWidth="8.6640625" defaultRowHeight="15"/>
  <cols>
    <col min="1" max="1" width="20" customWidth="1"/>
    <col min="2" max="2" width="110" customWidth="1"/>
  </cols>
  <sheetData>
    <row r="1" spans="1:2" ht="18">
      <c r="A1" s="6" t="s">
        <v>68</v>
      </c>
    </row>
    <row r="3" spans="1:2">
      <c r="A3" s="8" t="s">
        <v>69</v>
      </c>
      <c r="B3" s="8" t="s">
        <v>70</v>
      </c>
    </row>
    <row r="4" spans="1:2">
      <c r="A4" s="19" t="s">
        <v>71</v>
      </c>
      <c r="B4" s="20" t="s">
        <v>72</v>
      </c>
    </row>
    <row r="5" spans="1:2">
      <c r="A5" s="21" t="s">
        <v>73</v>
      </c>
      <c r="B5" s="22" t="s">
        <v>74</v>
      </c>
    </row>
    <row r="6" spans="1:2" ht="30">
      <c r="A6" s="21" t="s">
        <v>75</v>
      </c>
      <c r="B6" s="22" t="s">
        <v>76</v>
      </c>
    </row>
    <row r="7" spans="1:2">
      <c r="A7" s="21" t="s">
        <v>77</v>
      </c>
      <c r="B7" s="22" t="s">
        <v>78</v>
      </c>
    </row>
    <row r="8" spans="1:2" ht="30">
      <c r="A8" s="21" t="s">
        <v>79</v>
      </c>
      <c r="B8" s="22" t="s">
        <v>80</v>
      </c>
    </row>
    <row r="9" spans="1:2">
      <c r="A9" s="19" t="s">
        <v>81</v>
      </c>
      <c r="B9" s="20" t="s">
        <v>82</v>
      </c>
    </row>
    <row r="10" spans="1:2">
      <c r="A10" s="19" t="s">
        <v>83</v>
      </c>
      <c r="B10" s="20" t="s">
        <v>84</v>
      </c>
    </row>
    <row r="11" spans="1:2" ht="30">
      <c r="A11" s="19" t="s">
        <v>85</v>
      </c>
      <c r="B11" s="20" t="s">
        <v>86</v>
      </c>
    </row>
    <row r="12" spans="1:2" ht="75">
      <c r="A12" s="19" t="s">
        <v>87</v>
      </c>
      <c r="B12" s="22" t="s">
        <v>88</v>
      </c>
    </row>
    <row r="13" spans="1:2" ht="30">
      <c r="A13" s="21" t="s">
        <v>89</v>
      </c>
      <c r="B13" s="22" t="s">
        <v>90</v>
      </c>
    </row>
    <row r="14" spans="1:2" ht="30">
      <c r="A14" s="21" t="s">
        <v>91</v>
      </c>
      <c r="B14" s="22" t="s">
        <v>92</v>
      </c>
    </row>
    <row r="15" spans="1:2" ht="30">
      <c r="A15" s="19" t="s">
        <v>93</v>
      </c>
      <c r="B15" s="22" t="s">
        <v>94</v>
      </c>
    </row>
    <row r="16" spans="1:2" ht="30">
      <c r="A16" s="19" t="s">
        <v>95</v>
      </c>
      <c r="B16" s="20" t="s">
        <v>96</v>
      </c>
    </row>
    <row r="17" spans="1:2" ht="60">
      <c r="A17" s="23" t="s">
        <v>97</v>
      </c>
      <c r="B17" s="24" t="s">
        <v>98</v>
      </c>
    </row>
    <row r="18" spans="1:2" ht="30">
      <c r="A18" s="23" t="s">
        <v>99</v>
      </c>
      <c r="B18" s="24" t="s">
        <v>100</v>
      </c>
    </row>
    <row r="19" spans="1:2" ht="60">
      <c r="A19" s="23" t="s">
        <v>101</v>
      </c>
      <c r="B19" s="25" t="s">
        <v>102</v>
      </c>
    </row>
    <row r="20" spans="1:2" ht="30">
      <c r="A20" s="23" t="s">
        <v>103</v>
      </c>
      <c r="B20" s="24" t="s">
        <v>104</v>
      </c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C18"/>
  <sheetViews>
    <sheetView zoomScaleNormal="100" workbookViewId="0"/>
  </sheetViews>
  <sheetFormatPr baseColWidth="10" defaultColWidth="8.6640625" defaultRowHeight="15"/>
  <cols>
    <col min="1" max="1" width="28" customWidth="1"/>
    <col min="2" max="2" width="10" customWidth="1"/>
    <col min="3" max="3" width="80" customWidth="1"/>
  </cols>
  <sheetData>
    <row r="1" spans="1:3" ht="16">
      <c r="A1" s="26" t="s">
        <v>69</v>
      </c>
      <c r="B1" s="26" t="s">
        <v>105</v>
      </c>
      <c r="C1" s="26" t="s">
        <v>106</v>
      </c>
    </row>
    <row r="2" spans="1:3">
      <c r="A2" s="24" t="s">
        <v>107</v>
      </c>
      <c r="B2" s="27">
        <v>25</v>
      </c>
      <c r="C2" s="25" t="s">
        <v>108</v>
      </c>
    </row>
    <row r="3" spans="1:3">
      <c r="A3" s="24" t="s">
        <v>109</v>
      </c>
      <c r="B3" s="27">
        <v>25</v>
      </c>
      <c r="C3" s="25" t="s">
        <v>110</v>
      </c>
    </row>
    <row r="4" spans="1:3">
      <c r="A4" s="24" t="s">
        <v>111</v>
      </c>
      <c r="B4" s="27">
        <v>15</v>
      </c>
      <c r="C4" s="25" t="s">
        <v>112</v>
      </c>
    </row>
    <row r="5" spans="1:3">
      <c r="A5" s="24" t="s">
        <v>113</v>
      </c>
      <c r="B5" s="27">
        <v>15</v>
      </c>
      <c r="C5" s="24" t="s">
        <v>114</v>
      </c>
    </row>
    <row r="6" spans="1:3">
      <c r="A6" s="24" t="s">
        <v>115</v>
      </c>
      <c r="B6" s="27">
        <v>10</v>
      </c>
      <c r="C6" s="24" t="s">
        <v>116</v>
      </c>
    </row>
    <row r="7" spans="1:3">
      <c r="A7" s="24" t="s">
        <v>117</v>
      </c>
      <c r="B7" s="27">
        <v>10</v>
      </c>
      <c r="C7" s="25" t="s">
        <v>118</v>
      </c>
    </row>
    <row r="8" spans="1:3">
      <c r="A8" s="24" t="s">
        <v>119</v>
      </c>
      <c r="B8" s="28">
        <v>0.6</v>
      </c>
      <c r="C8" s="24" t="s">
        <v>120</v>
      </c>
    </row>
    <row r="9" spans="1:3">
      <c r="A9" s="24" t="s">
        <v>121</v>
      </c>
      <c r="B9" s="27">
        <v>2026</v>
      </c>
      <c r="C9" s="24" t="s">
        <v>122</v>
      </c>
    </row>
    <row r="10" spans="1:3">
      <c r="A10" s="25" t="s">
        <v>123</v>
      </c>
      <c r="B10" s="27">
        <v>80</v>
      </c>
      <c r="C10" s="24" t="s">
        <v>124</v>
      </c>
    </row>
    <row r="11" spans="1:3">
      <c r="A11" s="25" t="s">
        <v>125</v>
      </c>
      <c r="B11" s="27">
        <v>70</v>
      </c>
      <c r="C11" s="24" t="s">
        <v>126</v>
      </c>
    </row>
    <row r="12" spans="1:3">
      <c r="A12" s="25" t="s">
        <v>127</v>
      </c>
      <c r="B12" s="27">
        <v>60</v>
      </c>
      <c r="C12" s="24" t="s">
        <v>128</v>
      </c>
    </row>
    <row r="13" spans="1:3">
      <c r="A13" s="25" t="s">
        <v>129</v>
      </c>
      <c r="B13" s="27">
        <v>10</v>
      </c>
      <c r="C13" s="24" t="s">
        <v>130</v>
      </c>
    </row>
    <row r="14" spans="1:3">
      <c r="A14" s="25" t="s">
        <v>131</v>
      </c>
      <c r="B14" s="27">
        <v>7</v>
      </c>
      <c r="C14" s="24" t="s">
        <v>132</v>
      </c>
    </row>
    <row r="15" spans="1:3">
      <c r="A15" s="25" t="s">
        <v>133</v>
      </c>
      <c r="B15" s="27">
        <v>4</v>
      </c>
      <c r="C15" s="24" t="s">
        <v>134</v>
      </c>
    </row>
    <row r="16" spans="1:3">
      <c r="A16" s="25" t="s">
        <v>135</v>
      </c>
      <c r="B16" s="27">
        <v>1</v>
      </c>
      <c r="C16" s="24" t="s">
        <v>136</v>
      </c>
    </row>
    <row r="18" spans="1:1">
      <c r="A18" s="29" t="s">
        <v>137</v>
      </c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Z18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8.6640625" defaultRowHeight="15"/>
  <cols>
    <col min="1" max="1" width="18" customWidth="1"/>
    <col min="2" max="2" width="16" customWidth="1"/>
    <col min="3" max="3" width="20" customWidth="1"/>
    <col min="4" max="13" width="9" customWidth="1"/>
    <col min="14" max="14" width="14" customWidth="1"/>
    <col min="15" max="23" width="9" customWidth="1"/>
    <col min="24" max="24" width="10" customWidth="1"/>
    <col min="25" max="25" width="11" customWidth="1"/>
    <col min="26" max="26" width="9" customWidth="1"/>
  </cols>
  <sheetData>
    <row r="1" spans="1:26" ht="29.75" customHeight="1">
      <c r="A1" s="26"/>
      <c r="B1" s="26"/>
      <c r="C1" s="26"/>
      <c r="D1" s="5" t="s">
        <v>138</v>
      </c>
      <c r="E1" s="5"/>
      <c r="F1" s="5"/>
      <c r="G1" s="5"/>
      <c r="H1" s="5"/>
      <c r="I1" s="5"/>
      <c r="J1" s="5" t="s">
        <v>139</v>
      </c>
      <c r="K1" s="5"/>
      <c r="L1" s="5"/>
      <c r="M1" s="5"/>
      <c r="N1" s="5" t="s">
        <v>140</v>
      </c>
      <c r="O1" s="5"/>
      <c r="P1" s="5"/>
      <c r="Q1" s="5"/>
      <c r="R1" s="5" t="s">
        <v>141</v>
      </c>
      <c r="S1" s="5"/>
      <c r="T1" s="5"/>
      <c r="U1" s="5"/>
      <c r="V1" s="5"/>
      <c r="W1" s="5"/>
      <c r="X1" s="5"/>
      <c r="Y1" s="5"/>
      <c r="Z1" s="5"/>
    </row>
    <row r="2" spans="1:26" ht="31.5" customHeight="1">
      <c r="A2" s="26" t="s">
        <v>142</v>
      </c>
      <c r="B2" s="26" t="s">
        <v>143</v>
      </c>
      <c r="C2" s="26" t="s">
        <v>144</v>
      </c>
      <c r="D2" s="26" t="s">
        <v>145</v>
      </c>
      <c r="E2" s="26" t="s">
        <v>146</v>
      </c>
      <c r="F2" s="26" t="s">
        <v>147</v>
      </c>
      <c r="G2" s="26" t="s">
        <v>148</v>
      </c>
      <c r="H2" s="26" t="s">
        <v>149</v>
      </c>
      <c r="I2" s="26" t="s">
        <v>150</v>
      </c>
      <c r="J2" s="26" t="s">
        <v>145</v>
      </c>
      <c r="K2" s="26" t="s">
        <v>147</v>
      </c>
      <c r="L2" s="26" t="s">
        <v>149</v>
      </c>
      <c r="M2" s="26" t="s">
        <v>150</v>
      </c>
      <c r="N2" s="26" t="s">
        <v>151</v>
      </c>
      <c r="O2" s="26" t="s">
        <v>152</v>
      </c>
      <c r="P2" s="26" t="s">
        <v>153</v>
      </c>
      <c r="Q2" s="30" t="s">
        <v>154</v>
      </c>
      <c r="R2" s="26" t="s">
        <v>155</v>
      </c>
      <c r="S2" s="26" t="s">
        <v>156</v>
      </c>
      <c r="T2" s="26" t="s">
        <v>157</v>
      </c>
      <c r="U2" s="26" t="s">
        <v>158</v>
      </c>
      <c r="V2" s="26" t="s">
        <v>159</v>
      </c>
      <c r="W2" s="26" t="s">
        <v>160</v>
      </c>
      <c r="X2" s="26" t="s">
        <v>161</v>
      </c>
      <c r="Y2" s="26" t="s">
        <v>162</v>
      </c>
      <c r="Z2" s="26" t="s">
        <v>163</v>
      </c>
    </row>
    <row r="3" spans="1:26">
      <c r="A3" s="31" t="s">
        <v>164</v>
      </c>
      <c r="B3" s="32" t="s">
        <v>165</v>
      </c>
      <c r="C3" s="33" t="s">
        <v>166</v>
      </c>
      <c r="D3" s="34">
        <v>2</v>
      </c>
      <c r="E3" s="34">
        <v>1</v>
      </c>
      <c r="F3" s="34">
        <v>4</v>
      </c>
      <c r="G3" s="34">
        <v>39</v>
      </c>
      <c r="H3" s="34">
        <v>1</v>
      </c>
      <c r="I3" s="34">
        <v>18</v>
      </c>
      <c r="J3" s="34"/>
      <c r="K3" s="34"/>
      <c r="L3" s="34"/>
      <c r="M3" s="34"/>
      <c r="N3" s="35">
        <v>21000000</v>
      </c>
      <c r="O3" s="34">
        <v>4.7</v>
      </c>
      <c r="P3" s="34">
        <v>2026</v>
      </c>
      <c r="Q3" s="34" t="s">
        <v>167</v>
      </c>
      <c r="R3" s="36">
        <f>'1-1 점수 기준'!$B$2*('1-1 점수 기준'!$B$8*IF(COUNT(D3:I3)=0,0,(101-MIN(D3:I3))/100)+(1-'1-1 점수 기준'!$B$8)*(COUNT(D3:I3)*101-SUM(D3:I3))/100/6)</f>
        <v>24.016666666666666</v>
      </c>
      <c r="S3" s="36">
        <f>'1-1 점수 기준'!$B$3*('1-1 점수 기준'!$B$8*IF(COUNT(J3:M3)=0,0,(101-MIN(J3:M3))/100)+(1-'1-1 점수 기준'!$B$8)*(COUNT(J3:M3)*101-SUM(J3:M3))/100/4)</f>
        <v>0</v>
      </c>
      <c r="T3" s="36">
        <f>'1-1 점수 기준'!$B$4*MAX(0,MIN(1,LOG10(N3/100000)/4))</f>
        <v>8.7083223552521964</v>
      </c>
      <c r="U3" s="36">
        <f>'1-1 점수 기준'!$B$5*IF(O3="",0.5,MAX(0,MIN(1,(O3-3.5)/1.5)))</f>
        <v>12.000000000000002</v>
      </c>
      <c r="V3" s="36">
        <f>'1-1 점수 기준'!$B$6*MAX(0,MIN(1,('1-1 점수 기준'!$B$9-P3)/5))</f>
        <v>0</v>
      </c>
      <c r="W3" s="36">
        <f>'1-1 점수 기준'!$B$7*INDEX('1-1 점수 기준'!$B$13:$B$16,MATCH("MVP 규모 "&amp;Q3&amp;" 점수",'1-1 점수 기준'!$A$13:$A$16,0))/10</f>
        <v>10</v>
      </c>
      <c r="X3" s="37">
        <f t="shared" ref="X3:X14" si="0">SUM(R3:W3)</f>
        <v>54.724989021918859</v>
      </c>
      <c r="Y3" s="33" t="str">
        <f>IF(X3&gt;='1-1 점수 기준'!$B$10,"A+ 전설",IF(X3&gt;='1-1 점수 기준'!$B$11,"A 강자",IF(X3&gt;='1-1 점수 기준'!$B$12,"B 유망","C 도전자")))</f>
        <v>C 도전자</v>
      </c>
      <c r="Z3" s="33">
        <f t="shared" ref="Z3:Z14" si="1">RANK(X3,$X$3:$X$14)</f>
        <v>8</v>
      </c>
    </row>
    <row r="4" spans="1:26">
      <c r="A4" s="31" t="s">
        <v>168</v>
      </c>
      <c r="B4" s="32" t="s">
        <v>169</v>
      </c>
      <c r="C4" s="33" t="s">
        <v>170</v>
      </c>
      <c r="D4" s="34">
        <v>1</v>
      </c>
      <c r="E4" s="34">
        <v>2</v>
      </c>
      <c r="F4" s="34">
        <v>8</v>
      </c>
      <c r="G4" s="34"/>
      <c r="H4" s="34">
        <v>2</v>
      </c>
      <c r="I4" s="34">
        <v>5</v>
      </c>
      <c r="J4" s="34"/>
      <c r="K4" s="34"/>
      <c r="L4" s="34"/>
      <c r="M4" s="34"/>
      <c r="N4" s="35">
        <v>1900000</v>
      </c>
      <c r="O4" s="34">
        <v>4.8</v>
      </c>
      <c r="P4" s="34">
        <v>2026</v>
      </c>
      <c r="Q4" s="34" t="s">
        <v>167</v>
      </c>
      <c r="R4" s="36">
        <f>'1-1 점수 기준'!$B$2*('1-1 점수 기준'!$B$8*IF(COUNT(D4:I4)=0,0,(101-MIN(D4:I4))/100)+(1-'1-1 점수 기준'!$B$8)*(COUNT(D4:I4)*101-SUM(D4:I4))/100/6)</f>
        <v>23.116666666666667</v>
      </c>
      <c r="S4" s="36">
        <f>'1-1 점수 기준'!$B$3*('1-1 점수 기준'!$B$8*IF(COUNT(J4:M4)=0,0,(101-MIN(J4:M4))/100)+(1-'1-1 점수 기준'!$B$8)*(COUNT(J4:M4)*101-SUM(J4:M4))/100/4)</f>
        <v>0</v>
      </c>
      <c r="T4" s="36">
        <f>'1-1 점수 기준'!$B$4*MAX(0,MIN(1,LOG10(N4/100000)/4))</f>
        <v>4.7953260035731082</v>
      </c>
      <c r="U4" s="36">
        <f>'1-1 점수 기준'!$B$5*IF(O4="",0.5,MAX(0,MIN(1,(O4-3.5)/1.5)))</f>
        <v>12.999999999999998</v>
      </c>
      <c r="V4" s="36">
        <f>'1-1 점수 기준'!$B$6*MAX(0,MIN(1,('1-1 점수 기준'!$B$9-P4)/5))</f>
        <v>0</v>
      </c>
      <c r="W4" s="36">
        <f>'1-1 점수 기준'!$B$7*INDEX('1-1 점수 기준'!$B$13:$B$16,MATCH("MVP 규모 "&amp;Q4&amp;" 점수",'1-1 점수 기준'!$A$13:$A$16,0))/10</f>
        <v>10</v>
      </c>
      <c r="X4" s="37">
        <f t="shared" si="0"/>
        <v>50.911992670239776</v>
      </c>
      <c r="Y4" s="33" t="str">
        <f>IF(X4&gt;='1-1 점수 기준'!$B$10,"A+ 전설",IF(X4&gt;='1-1 점수 기준'!$B$11,"A 강자",IF(X4&gt;='1-1 점수 기준'!$B$12,"B 유망","C 도전자")))</f>
        <v>C 도전자</v>
      </c>
      <c r="Z4" s="33">
        <f t="shared" si="1"/>
        <v>10</v>
      </c>
    </row>
    <row r="5" spans="1:26">
      <c r="A5" s="31" t="s">
        <v>171</v>
      </c>
      <c r="B5" s="32" t="s">
        <v>172</v>
      </c>
      <c r="C5" s="33" t="s">
        <v>173</v>
      </c>
      <c r="D5" s="34">
        <v>7</v>
      </c>
      <c r="E5" s="34">
        <v>7</v>
      </c>
      <c r="F5" s="34">
        <v>9</v>
      </c>
      <c r="G5" s="34">
        <v>4</v>
      </c>
      <c r="H5" s="34">
        <v>3</v>
      </c>
      <c r="I5" s="34">
        <v>8</v>
      </c>
      <c r="J5" s="34"/>
      <c r="K5" s="34"/>
      <c r="L5" s="34"/>
      <c r="M5" s="34"/>
      <c r="N5" s="35">
        <v>1100000000</v>
      </c>
      <c r="O5" s="34">
        <v>4.8</v>
      </c>
      <c r="P5" s="34">
        <v>2022</v>
      </c>
      <c r="Q5" s="34" t="s">
        <v>167</v>
      </c>
      <c r="R5" s="36">
        <f>'1-1 점수 기준'!$B$2*('1-1 점수 기준'!$B$8*IF(COUNT(D5:I5)=0,0,(101-MIN(D5:I5))/100)+(1-'1-1 점수 기준'!$B$8)*(COUNT(D5:I5)*101-SUM(D5:I5))/100/6)</f>
        <v>24.166666666666668</v>
      </c>
      <c r="S5" s="36">
        <f>'1-1 점수 기준'!$B$3*('1-1 점수 기준'!$B$8*IF(COUNT(J5:M5)=0,0,(101-MIN(J5:M5))/100)+(1-'1-1 점수 기준'!$B$8)*(COUNT(J5:M5)*101-SUM(J5:M5))/100/4)</f>
        <v>0</v>
      </c>
      <c r="T5" s="36">
        <f>'1-1 점수 기준'!$B$4*MAX(0,MIN(1,LOG10(N5/100000)/4))</f>
        <v>15</v>
      </c>
      <c r="U5" s="36">
        <f>'1-1 점수 기준'!$B$5*IF(O5="",0.5,MAX(0,MIN(1,(O5-3.5)/1.5)))</f>
        <v>12.999999999999998</v>
      </c>
      <c r="V5" s="36">
        <f>'1-1 점수 기준'!$B$6*MAX(0,MIN(1,('1-1 점수 기준'!$B$9-P5)/5))</f>
        <v>8</v>
      </c>
      <c r="W5" s="36">
        <f>'1-1 점수 기준'!$B$7*INDEX('1-1 점수 기준'!$B$13:$B$16,MATCH("MVP 규모 "&amp;Q5&amp;" 점수",'1-1 점수 기준'!$A$13:$A$16,0))/10</f>
        <v>10</v>
      </c>
      <c r="X5" s="37">
        <f t="shared" si="0"/>
        <v>70.166666666666671</v>
      </c>
      <c r="Y5" s="33" t="str">
        <f>IF(X5&gt;='1-1 점수 기준'!$B$10,"A+ 전설",IF(X5&gt;='1-1 점수 기준'!$B$11,"A 강자",IF(X5&gt;='1-1 점수 기준'!$B$12,"B 유망","C 도전자")))</f>
        <v>A 강자</v>
      </c>
      <c r="Z5" s="33">
        <f t="shared" si="1"/>
        <v>4</v>
      </c>
    </row>
    <row r="6" spans="1:26">
      <c r="A6" s="31" t="s">
        <v>174</v>
      </c>
      <c r="B6" s="32" t="s">
        <v>175</v>
      </c>
      <c r="C6" s="33" t="s">
        <v>170</v>
      </c>
      <c r="D6" s="34">
        <v>11</v>
      </c>
      <c r="E6" s="34">
        <v>4</v>
      </c>
      <c r="F6" s="34">
        <v>50</v>
      </c>
      <c r="G6" s="34">
        <v>33</v>
      </c>
      <c r="H6" s="34">
        <v>36</v>
      </c>
      <c r="I6" s="34">
        <v>7</v>
      </c>
      <c r="J6" s="34">
        <v>56</v>
      </c>
      <c r="K6" s="34"/>
      <c r="L6" s="34"/>
      <c r="M6" s="34"/>
      <c r="N6" s="35">
        <v>40000000</v>
      </c>
      <c r="O6" s="34">
        <v>4.5</v>
      </c>
      <c r="P6" s="34">
        <v>2024</v>
      </c>
      <c r="Q6" s="34" t="s">
        <v>167</v>
      </c>
      <c r="R6" s="36">
        <f>'1-1 점수 기준'!$B$2*('1-1 점수 기준'!$B$8*IF(COUNT(D6:I6)=0,0,(101-MIN(D6:I6))/100)+(1-'1-1 점수 기준'!$B$8)*(COUNT(D6:I6)*101-SUM(D6:I6))/100/6)</f>
        <v>22.299999999999997</v>
      </c>
      <c r="S6" s="36">
        <f>'1-1 점수 기준'!$B$3*('1-1 점수 기준'!$B$8*IF(COUNT(J6:M6)=0,0,(101-MIN(J6:M6))/100)+(1-'1-1 점수 기준'!$B$8)*(COUNT(J6:M6)*101-SUM(J6:M6))/100/4)</f>
        <v>7.875</v>
      </c>
      <c r="T6" s="36">
        <f>'1-1 점수 기준'!$B$4*MAX(0,MIN(1,LOG10(N6/100000)/4))</f>
        <v>9.7577249674798594</v>
      </c>
      <c r="U6" s="36">
        <f>'1-1 점수 기준'!$B$5*IF(O6="",0.5,MAX(0,MIN(1,(O6-3.5)/1.5)))</f>
        <v>10</v>
      </c>
      <c r="V6" s="36">
        <f>'1-1 점수 기준'!$B$6*MAX(0,MIN(1,('1-1 점수 기준'!$B$9-P6)/5))</f>
        <v>4</v>
      </c>
      <c r="W6" s="36">
        <f>'1-1 점수 기준'!$B$7*INDEX('1-1 점수 기준'!$B$13:$B$16,MATCH("MVP 규모 "&amp;Q6&amp;" 점수",'1-1 점수 기준'!$A$13:$A$16,0))/10</f>
        <v>10</v>
      </c>
      <c r="X6" s="37">
        <f t="shared" si="0"/>
        <v>63.932724967479857</v>
      </c>
      <c r="Y6" s="33" t="str">
        <f>IF(X6&gt;='1-1 점수 기준'!$B$10,"A+ 전설",IF(X6&gt;='1-1 점수 기준'!$B$11,"A 강자",IF(X6&gt;='1-1 점수 기준'!$B$12,"B 유망","C 도전자")))</f>
        <v>B 유망</v>
      </c>
      <c r="Z6" s="33">
        <f t="shared" si="1"/>
        <v>6</v>
      </c>
    </row>
    <row r="7" spans="1:26">
      <c r="A7" s="31" t="s">
        <v>176</v>
      </c>
      <c r="B7" s="32" t="s">
        <v>177</v>
      </c>
      <c r="C7" s="33" t="s">
        <v>178</v>
      </c>
      <c r="D7" s="34">
        <v>8</v>
      </c>
      <c r="E7" s="34">
        <v>6</v>
      </c>
      <c r="F7" s="34">
        <v>3</v>
      </c>
      <c r="G7" s="34">
        <v>2</v>
      </c>
      <c r="H7" s="34">
        <v>10</v>
      </c>
      <c r="I7" s="34">
        <v>38</v>
      </c>
      <c r="J7" s="34"/>
      <c r="K7" s="34"/>
      <c r="L7" s="34"/>
      <c r="M7" s="34"/>
      <c r="N7" s="35">
        <v>11000000</v>
      </c>
      <c r="O7" s="34">
        <v>4.3</v>
      </c>
      <c r="P7" s="34">
        <v>2025</v>
      </c>
      <c r="Q7" s="34" t="s">
        <v>167</v>
      </c>
      <c r="R7" s="36">
        <f>'1-1 점수 기준'!$B$2*('1-1 점수 기준'!$B$8*IF(COUNT(D7:I7)=0,0,(101-MIN(D7:I7))/100)+(1-'1-1 점수 기준'!$B$8)*(COUNT(D7:I7)*101-SUM(D7:I7))/100/6)</f>
        <v>23.833333333333336</v>
      </c>
      <c r="S7" s="36">
        <f>'1-1 점수 기준'!$B$3*('1-1 점수 기준'!$B$8*IF(COUNT(J7:M7)=0,0,(101-MIN(J7:M7))/100)+(1-'1-1 점수 기준'!$B$8)*(COUNT(J7:M7)*101-SUM(J7:M7))/100/4)</f>
        <v>0</v>
      </c>
      <c r="T7" s="36">
        <f>'1-1 점수 기준'!$B$4*MAX(0,MIN(1,LOG10(N7/100000)/4))</f>
        <v>7.6552225693433433</v>
      </c>
      <c r="U7" s="36">
        <f>'1-1 점수 기준'!$B$5*IF(O7="",0.5,MAX(0,MIN(1,(O7-3.5)/1.5)))</f>
        <v>7.9999999999999982</v>
      </c>
      <c r="V7" s="36">
        <f>'1-1 점수 기준'!$B$6*MAX(0,MIN(1,('1-1 점수 기준'!$B$9-P7)/5))</f>
        <v>2</v>
      </c>
      <c r="W7" s="36">
        <f>'1-1 점수 기준'!$B$7*INDEX('1-1 점수 기준'!$B$13:$B$16,MATCH("MVP 규모 "&amp;Q7&amp;" 점수",'1-1 점수 기준'!$A$13:$A$16,0))/10</f>
        <v>10</v>
      </c>
      <c r="X7" s="37">
        <f t="shared" si="0"/>
        <v>51.48855590267668</v>
      </c>
      <c r="Y7" s="33" t="str">
        <f>IF(X7&gt;='1-1 점수 기준'!$B$10,"A+ 전설",IF(X7&gt;='1-1 점수 기준'!$B$11,"A 강자",IF(X7&gt;='1-1 점수 기준'!$B$12,"B 유망","C 도전자")))</f>
        <v>C 도전자</v>
      </c>
      <c r="Z7" s="33">
        <f t="shared" si="1"/>
        <v>9</v>
      </c>
    </row>
    <row r="8" spans="1:26">
      <c r="A8" s="31" t="s">
        <v>179</v>
      </c>
      <c r="B8" s="32" t="s">
        <v>180</v>
      </c>
      <c r="C8" s="33" t="s">
        <v>181</v>
      </c>
      <c r="D8" s="34">
        <v>42</v>
      </c>
      <c r="E8" s="34">
        <v>25</v>
      </c>
      <c r="F8" s="34"/>
      <c r="G8" s="34"/>
      <c r="H8" s="34">
        <v>16</v>
      </c>
      <c r="I8" s="34">
        <v>21</v>
      </c>
      <c r="J8" s="34">
        <v>4</v>
      </c>
      <c r="K8" s="34">
        <v>7</v>
      </c>
      <c r="L8" s="34">
        <v>23</v>
      </c>
      <c r="M8" s="34">
        <v>14</v>
      </c>
      <c r="N8" s="35">
        <v>370000000</v>
      </c>
      <c r="O8" s="34">
        <v>4.5999999999999996</v>
      </c>
      <c r="P8" s="34">
        <v>2021</v>
      </c>
      <c r="Q8" s="34" t="s">
        <v>182</v>
      </c>
      <c r="R8" s="36">
        <f>'1-1 점수 기준'!$B$2*('1-1 점수 기준'!$B$8*IF(COUNT(D8:I8)=0,0,(101-MIN(D8:I8))/100)+(1-'1-1 점수 기준'!$B$8)*(COUNT(D8:I8)*101-SUM(D8:I8))/100/6)</f>
        <v>17.75</v>
      </c>
      <c r="S8" s="36">
        <f>'1-1 점수 기준'!$B$3*('1-1 점수 기준'!$B$8*IF(COUNT(J8:M8)=0,0,(101-MIN(J8:M8))/100)+(1-'1-1 점수 기준'!$B$8)*(COUNT(J8:M8)*101-SUM(J8:M8))/100/4)</f>
        <v>23.45</v>
      </c>
      <c r="T8" s="36">
        <f>'1-1 점수 기준'!$B$4*MAX(0,MIN(1,LOG10(N8/100000)/4))</f>
        <v>13.380756465251231</v>
      </c>
      <c r="U8" s="36">
        <f>'1-1 점수 기준'!$B$5*IF(O8="",0.5,MAX(0,MIN(1,(O8-3.5)/1.5)))</f>
        <v>10.999999999999996</v>
      </c>
      <c r="V8" s="36">
        <f>'1-1 점수 기준'!$B$6*MAX(0,MIN(1,('1-1 점수 기준'!$B$9-P8)/5))</f>
        <v>10</v>
      </c>
      <c r="W8" s="36">
        <f>'1-1 점수 기준'!$B$7*INDEX('1-1 점수 기준'!$B$13:$B$16,MATCH("MVP 규모 "&amp;Q8&amp;" 점수",'1-1 점수 기준'!$A$13:$A$16,0))/10</f>
        <v>7</v>
      </c>
      <c r="X8" s="37">
        <f t="shared" si="0"/>
        <v>82.580756465251227</v>
      </c>
      <c r="Y8" s="33" t="str">
        <f>IF(X8&gt;='1-1 점수 기준'!$B$10,"A+ 전설",IF(X8&gt;='1-1 점수 기준'!$B$11,"A 강자",IF(X8&gt;='1-1 점수 기준'!$B$12,"B 유망","C 도전자")))</f>
        <v>A+ 전설</v>
      </c>
      <c r="Z8" s="33">
        <f t="shared" si="1"/>
        <v>1</v>
      </c>
    </row>
    <row r="9" spans="1:26">
      <c r="A9" s="31" t="s">
        <v>183</v>
      </c>
      <c r="B9" s="32" t="s">
        <v>184</v>
      </c>
      <c r="C9" s="33" t="s">
        <v>185</v>
      </c>
      <c r="D9" s="34">
        <v>17</v>
      </c>
      <c r="E9" s="34">
        <v>13</v>
      </c>
      <c r="F9" s="34"/>
      <c r="G9" s="34">
        <v>25</v>
      </c>
      <c r="H9" s="34">
        <v>8</v>
      </c>
      <c r="I9" s="34">
        <v>20</v>
      </c>
      <c r="J9" s="34">
        <v>5</v>
      </c>
      <c r="K9" s="34">
        <v>4</v>
      </c>
      <c r="L9" s="34">
        <v>16</v>
      </c>
      <c r="M9" s="34">
        <v>12</v>
      </c>
      <c r="N9" s="35">
        <v>91000000</v>
      </c>
      <c r="O9" s="34">
        <v>4.3</v>
      </c>
      <c r="P9" s="34">
        <v>2022</v>
      </c>
      <c r="Q9" s="34" t="s">
        <v>186</v>
      </c>
      <c r="R9" s="36">
        <f>'1-1 점수 기준'!$B$2*('1-1 점수 기준'!$B$8*IF(COUNT(D9:I9)=0,0,(101-MIN(D9:I9))/100)+(1-'1-1 점수 기준'!$B$8)*(COUNT(D9:I9)*101-SUM(D9:I9))/100/6)</f>
        <v>20.983333333333338</v>
      </c>
      <c r="S9" s="36">
        <f>'1-1 점수 기준'!$B$3*('1-1 점수 기준'!$B$8*IF(COUNT(J9:M9)=0,0,(101-MIN(J9:M9))/100)+(1-'1-1 점수 기준'!$B$8)*(COUNT(J9:M9)*101-SUM(J9:M9))/100/4)</f>
        <v>23.725000000000001</v>
      </c>
      <c r="T9" s="36">
        <f>'1-1 점수 기준'!$B$4*MAX(0,MIN(1,LOG10(N9/100000)/4))</f>
        <v>11.096405221204101</v>
      </c>
      <c r="U9" s="36">
        <f>'1-1 점수 기준'!$B$5*IF(O9="",0.5,MAX(0,MIN(1,(O9-3.5)/1.5)))</f>
        <v>7.9999999999999982</v>
      </c>
      <c r="V9" s="36">
        <f>'1-1 점수 기준'!$B$6*MAX(0,MIN(1,('1-1 점수 기준'!$B$9-P9)/5))</f>
        <v>8</v>
      </c>
      <c r="W9" s="36">
        <f>'1-1 점수 기준'!$B$7*INDEX('1-1 점수 기준'!$B$13:$B$16,MATCH("MVP 규모 "&amp;Q9&amp;" 점수",'1-1 점수 기준'!$A$13:$A$16,0))/10</f>
        <v>4</v>
      </c>
      <c r="X9" s="37">
        <f t="shared" si="0"/>
        <v>75.804738554537437</v>
      </c>
      <c r="Y9" s="33" t="str">
        <f>IF(X9&gt;='1-1 점수 기준'!$B$10,"A+ 전설",IF(X9&gt;='1-1 점수 기준'!$B$11,"A 강자",IF(X9&gt;='1-1 점수 기준'!$B$12,"B 유망","C 도전자")))</f>
        <v>A 강자</v>
      </c>
      <c r="Z9" s="33">
        <f t="shared" si="1"/>
        <v>2</v>
      </c>
    </row>
    <row r="10" spans="1:26">
      <c r="A10" s="31" t="s">
        <v>187</v>
      </c>
      <c r="B10" s="32" t="s">
        <v>188</v>
      </c>
      <c r="C10" s="33" t="s">
        <v>189</v>
      </c>
      <c r="D10" s="34">
        <v>26</v>
      </c>
      <c r="E10" s="34">
        <v>21</v>
      </c>
      <c r="F10" s="34"/>
      <c r="G10" s="34"/>
      <c r="H10" s="34"/>
      <c r="I10" s="34"/>
      <c r="J10" s="34">
        <v>1</v>
      </c>
      <c r="K10" s="34">
        <v>73</v>
      </c>
      <c r="L10" s="34"/>
      <c r="M10" s="34"/>
      <c r="N10" s="35">
        <v>130000000</v>
      </c>
      <c r="O10" s="34">
        <v>4.5999999999999996</v>
      </c>
      <c r="P10" s="34">
        <v>2023</v>
      </c>
      <c r="Q10" s="34" t="s">
        <v>186</v>
      </c>
      <c r="R10" s="36">
        <f>'1-1 점수 기준'!$B$2*('1-1 점수 기준'!$B$8*IF(COUNT(D10:I10)=0,0,(101-MIN(D10:I10))/100)+(1-'1-1 점수 기준'!$B$8)*(COUNT(D10:I10)*101-SUM(D10:I10))/100/6)</f>
        <v>14.583333333333332</v>
      </c>
      <c r="S10" s="36">
        <f>'1-1 점수 기준'!$B$3*('1-1 점수 기준'!$B$8*IF(COUNT(J10:M10)=0,0,(101-MIN(J10:M10))/100)+(1-'1-1 점수 기준'!$B$8)*(COUNT(J10:M10)*101-SUM(J10:M10))/100/4)</f>
        <v>18.2</v>
      </c>
      <c r="T10" s="36">
        <f>'1-1 점수 기준'!$B$4*MAX(0,MIN(1,LOG10(N10/100000)/4))</f>
        <v>11.677287571150639</v>
      </c>
      <c r="U10" s="36">
        <f>'1-1 점수 기준'!$B$5*IF(O10="",0.5,MAX(0,MIN(1,(O10-3.5)/1.5)))</f>
        <v>10.999999999999996</v>
      </c>
      <c r="V10" s="36">
        <f>'1-1 점수 기준'!$B$6*MAX(0,MIN(1,('1-1 점수 기준'!$B$9-P10)/5))</f>
        <v>6</v>
      </c>
      <c r="W10" s="36">
        <f>'1-1 점수 기준'!$B$7*INDEX('1-1 점수 기준'!$B$13:$B$16,MATCH("MVP 규모 "&amp;Q10&amp;" 점수",'1-1 점수 기준'!$A$13:$A$16,0))/10</f>
        <v>4</v>
      </c>
      <c r="X10" s="37">
        <f t="shared" si="0"/>
        <v>65.460620904483974</v>
      </c>
      <c r="Y10" s="33" t="str">
        <f>IF(X10&gt;='1-1 점수 기준'!$B$10,"A+ 전설",IF(X10&gt;='1-1 점수 기준'!$B$11,"A 강자",IF(X10&gt;='1-1 점수 기준'!$B$12,"B 유망","C 도전자")))</f>
        <v>B 유망</v>
      </c>
      <c r="Z10" s="33">
        <f t="shared" si="1"/>
        <v>5</v>
      </c>
    </row>
    <row r="11" spans="1:26">
      <c r="A11" s="31" t="s">
        <v>190</v>
      </c>
      <c r="B11" s="32" t="s">
        <v>191</v>
      </c>
      <c r="C11" s="33" t="s">
        <v>192</v>
      </c>
      <c r="D11" s="34">
        <v>63</v>
      </c>
      <c r="E11" s="34"/>
      <c r="F11" s="34"/>
      <c r="G11" s="34"/>
      <c r="H11" s="34">
        <v>28</v>
      </c>
      <c r="I11" s="34">
        <v>48</v>
      </c>
      <c r="J11" s="34">
        <v>10</v>
      </c>
      <c r="K11" s="34">
        <v>23</v>
      </c>
      <c r="L11" s="34">
        <v>9</v>
      </c>
      <c r="M11" s="34">
        <v>6</v>
      </c>
      <c r="N11" s="35">
        <v>100000000</v>
      </c>
      <c r="O11" s="34">
        <v>4.0999999999999996</v>
      </c>
      <c r="P11" s="34">
        <v>2023</v>
      </c>
      <c r="Q11" s="34" t="s">
        <v>193</v>
      </c>
      <c r="R11" s="36">
        <f>'1-1 점수 기준'!$B$2*('1-1 점수 기준'!$B$8*IF(COUNT(D11:I11)=0,0,(101-MIN(D11:I11))/100)+(1-'1-1 점수 기준'!$B$8)*(COUNT(D11:I11)*101-SUM(D11:I11))/100/6)</f>
        <v>13.683333333333334</v>
      </c>
      <c r="S11" s="36">
        <f>'1-1 점수 기준'!$B$3*('1-1 점수 기준'!$B$8*IF(COUNT(J11:M11)=0,0,(101-MIN(J11:M11))/100)+(1-'1-1 점수 기준'!$B$8)*(COUNT(J11:M11)*101-SUM(J11:M11))/100/4)</f>
        <v>23.15</v>
      </c>
      <c r="T11" s="36">
        <f>'1-1 점수 기준'!$B$4*MAX(0,MIN(1,LOG10(N11/100000)/4))</f>
        <v>11.25</v>
      </c>
      <c r="U11" s="36">
        <f>'1-1 점수 기준'!$B$5*IF(O11="",0.5,MAX(0,MIN(1,(O11-3.5)/1.5)))</f>
        <v>5.9999999999999964</v>
      </c>
      <c r="V11" s="36">
        <f>'1-1 점수 기준'!$B$6*MAX(0,MIN(1,('1-1 점수 기준'!$B$9-P11)/5))</f>
        <v>6</v>
      </c>
      <c r="W11" s="36">
        <f>'1-1 점수 기준'!$B$7*INDEX('1-1 점수 기준'!$B$13:$B$16,MATCH("MVP 규모 "&amp;Q11&amp;" 점수",'1-1 점수 기준'!$A$13:$A$16,0))/10</f>
        <v>1</v>
      </c>
      <c r="X11" s="37">
        <f t="shared" si="0"/>
        <v>61.083333333333329</v>
      </c>
      <c r="Y11" s="33" t="str">
        <f>IF(X11&gt;='1-1 점수 기준'!$B$10,"A+ 전설",IF(X11&gt;='1-1 점수 기준'!$B$11,"A 강자",IF(X11&gt;='1-1 점수 기준'!$B$12,"B 유망","C 도전자")))</f>
        <v>B 유망</v>
      </c>
      <c r="Z11" s="33">
        <f t="shared" si="1"/>
        <v>7</v>
      </c>
    </row>
    <row r="12" spans="1:26">
      <c r="A12" s="31" t="s">
        <v>194</v>
      </c>
      <c r="B12" s="32" t="s">
        <v>195</v>
      </c>
      <c r="C12" s="33" t="s">
        <v>196</v>
      </c>
      <c r="D12" s="34">
        <v>97</v>
      </c>
      <c r="E12" s="34"/>
      <c r="F12" s="34">
        <v>2</v>
      </c>
      <c r="G12" s="34">
        <v>3</v>
      </c>
      <c r="H12" s="34"/>
      <c r="I12" s="34"/>
      <c r="J12" s="34">
        <v>22</v>
      </c>
      <c r="K12" s="34">
        <v>1</v>
      </c>
      <c r="L12" s="34"/>
      <c r="M12" s="34"/>
      <c r="N12" s="35">
        <v>2200000000</v>
      </c>
      <c r="O12" s="34">
        <v>4.3</v>
      </c>
      <c r="P12" s="34">
        <v>2017</v>
      </c>
      <c r="Q12" s="34" t="s">
        <v>193</v>
      </c>
      <c r="R12" s="36">
        <f>'1-1 점수 기준'!$B$2*('1-1 점수 기준'!$B$8*IF(COUNT(D12:I12)=0,0,(101-MIN(D12:I12))/100)+(1-'1-1 점수 기준'!$B$8)*(COUNT(D12:I12)*101-SUM(D12:I12))/100/6)</f>
        <v>18.2</v>
      </c>
      <c r="S12" s="36">
        <f>'1-1 점수 기준'!$B$3*('1-1 점수 기준'!$B$8*IF(COUNT(J12:M12)=0,0,(101-MIN(J12:M12))/100)+(1-'1-1 점수 기준'!$B$8)*(COUNT(J12:M12)*101-SUM(J12:M12))/100/4)</f>
        <v>19.475000000000001</v>
      </c>
      <c r="T12" s="36">
        <f>'1-1 점수 기준'!$B$4*MAX(0,MIN(1,LOG10(N12/100000)/4))</f>
        <v>15</v>
      </c>
      <c r="U12" s="36">
        <f>'1-1 점수 기준'!$B$5*IF(O12="",0.5,MAX(0,MIN(1,(O12-3.5)/1.5)))</f>
        <v>7.9999999999999982</v>
      </c>
      <c r="V12" s="36">
        <f>'1-1 점수 기준'!$B$6*MAX(0,MIN(1,('1-1 점수 기준'!$B$9-P12)/5))</f>
        <v>10</v>
      </c>
      <c r="W12" s="36">
        <f>'1-1 점수 기준'!$B$7*INDEX('1-1 점수 기준'!$B$13:$B$16,MATCH("MVP 규모 "&amp;Q12&amp;" 점수",'1-1 점수 기준'!$A$13:$A$16,0))/10</f>
        <v>1</v>
      </c>
      <c r="X12" s="37">
        <f t="shared" si="0"/>
        <v>71.674999999999997</v>
      </c>
      <c r="Y12" s="33" t="str">
        <f>IF(X12&gt;='1-1 점수 기준'!$B$10,"A+ 전설",IF(X12&gt;='1-1 점수 기준'!$B$11,"A 강자",IF(X12&gt;='1-1 점수 기준'!$B$12,"B 유망","C 도전자")))</f>
        <v>A 강자</v>
      </c>
      <c r="Z12" s="33">
        <f t="shared" si="1"/>
        <v>3</v>
      </c>
    </row>
    <row r="13" spans="1:26">
      <c r="A13" s="38" t="s">
        <v>197</v>
      </c>
      <c r="B13" s="32" t="s">
        <v>198</v>
      </c>
      <c r="C13" s="33" t="s">
        <v>199</v>
      </c>
      <c r="D13" s="34"/>
      <c r="E13" s="34"/>
      <c r="F13" s="34"/>
      <c r="G13" s="34"/>
      <c r="H13" s="34">
        <v>20</v>
      </c>
      <c r="I13" s="34">
        <v>39</v>
      </c>
      <c r="J13" s="34"/>
      <c r="K13" s="34"/>
      <c r="L13" s="34">
        <v>81</v>
      </c>
      <c r="M13" s="34"/>
      <c r="N13" s="35">
        <v>1100000</v>
      </c>
      <c r="O13" s="34"/>
      <c r="P13" s="34">
        <v>2025</v>
      </c>
      <c r="Q13" s="34" t="s">
        <v>186</v>
      </c>
      <c r="R13" s="36">
        <f>'1-1 점수 기준'!$B$2*('1-1 점수 기준'!$B$8*IF(COUNT(D13:I13)=0,0,(101-MIN(D13:I13))/100)+(1-'1-1 점수 기준'!$B$8)*(COUNT(D13:I13)*101-SUM(D13:I13))/100/6)</f>
        <v>14.533333333333335</v>
      </c>
      <c r="S13" s="36">
        <f>'1-1 점수 기준'!$B$3*('1-1 점수 기준'!$B$8*IF(COUNT(J13:M13)=0,0,(101-MIN(J13:M13))/100)+(1-'1-1 점수 기준'!$B$8)*(COUNT(J13:M13)*101-SUM(J13:M13))/100/4)</f>
        <v>3.4999999999999996</v>
      </c>
      <c r="T13" s="36">
        <f>'1-1 점수 기준'!$B$4*MAX(0,MIN(1,LOG10(N13/100000)/4))</f>
        <v>3.9052225693433442</v>
      </c>
      <c r="U13" s="36">
        <f>'1-1 점수 기준'!$B$5*IF(O13="",0.5,MAX(0,MIN(1,(O13-3.5)/1.5)))</f>
        <v>7.5</v>
      </c>
      <c r="V13" s="36">
        <f>'1-1 점수 기준'!$B$6*MAX(0,MIN(1,('1-1 점수 기준'!$B$9-P13)/5))</f>
        <v>2</v>
      </c>
      <c r="W13" s="36">
        <f>'1-1 점수 기준'!$B$7*INDEX('1-1 점수 기준'!$B$13:$B$16,MATCH("MVP 규모 "&amp;Q13&amp;" 점수",'1-1 점수 기준'!$A$13:$A$16,0))/10</f>
        <v>4</v>
      </c>
      <c r="X13" s="37">
        <f t="shared" si="0"/>
        <v>35.438555902676683</v>
      </c>
      <c r="Y13" s="33" t="str">
        <f>IF(X13&gt;='1-1 점수 기준'!$B$10,"A+ 전설",IF(X13&gt;='1-1 점수 기준'!$B$11,"A 강자",IF(X13&gt;='1-1 점수 기준'!$B$12,"B 유망","C 도전자")))</f>
        <v>C 도전자</v>
      </c>
      <c r="Z13" s="33">
        <f t="shared" si="1"/>
        <v>12</v>
      </c>
    </row>
    <row r="14" spans="1:26">
      <c r="A14" s="38" t="s">
        <v>200</v>
      </c>
      <c r="B14" s="32" t="s">
        <v>201</v>
      </c>
      <c r="C14" s="33" t="s">
        <v>202</v>
      </c>
      <c r="D14" s="34"/>
      <c r="E14" s="34"/>
      <c r="F14" s="34"/>
      <c r="G14" s="34"/>
      <c r="H14" s="34"/>
      <c r="I14" s="34">
        <v>2</v>
      </c>
      <c r="J14" s="34"/>
      <c r="K14" s="34"/>
      <c r="L14" s="34"/>
      <c r="M14" s="34">
        <v>20</v>
      </c>
      <c r="N14" s="35">
        <v>190000</v>
      </c>
      <c r="O14" s="34"/>
      <c r="P14" s="34">
        <v>2026</v>
      </c>
      <c r="Q14" s="34" t="s">
        <v>182</v>
      </c>
      <c r="R14" s="36">
        <f>'1-1 점수 기준'!$B$2*('1-1 점수 기준'!$B$8*IF(COUNT(D14:I14)=0,0,(101-MIN(D14:I14))/100)+(1-'1-1 점수 기준'!$B$8)*(COUNT(D14:I14)*101-SUM(D14:I14))/100/6)</f>
        <v>16.499999999999996</v>
      </c>
      <c r="S14" s="36">
        <f>'1-1 점수 기준'!$B$3*('1-1 점수 기준'!$B$8*IF(COUNT(J14:M14)=0,0,(101-MIN(J14:M14))/100)+(1-'1-1 점수 기준'!$B$8)*(COUNT(J14:M14)*101-SUM(J14:M14))/100/4)</f>
        <v>14.174999999999999</v>
      </c>
      <c r="T14" s="36">
        <f>'1-1 점수 기준'!$B$4*MAX(0,MIN(1,LOG10(N14/100000)/4))</f>
        <v>1.0453260035731085</v>
      </c>
      <c r="U14" s="36">
        <f>'1-1 점수 기준'!$B$5*IF(O14="",0.5,MAX(0,MIN(1,(O14-3.5)/1.5)))</f>
        <v>7.5</v>
      </c>
      <c r="V14" s="36">
        <f>'1-1 점수 기준'!$B$6*MAX(0,MIN(1,('1-1 점수 기준'!$B$9-P14)/5))</f>
        <v>0</v>
      </c>
      <c r="W14" s="36">
        <f>'1-1 점수 기준'!$B$7*INDEX('1-1 점수 기준'!$B$13:$B$16,MATCH("MVP 규모 "&amp;Q14&amp;" 점수",'1-1 점수 기준'!$A$13:$A$16,0))/10</f>
        <v>7</v>
      </c>
      <c r="X14" s="37">
        <f t="shared" si="0"/>
        <v>46.220326003573106</v>
      </c>
      <c r="Y14" s="33" t="str">
        <f>IF(X14&gt;='1-1 점수 기준'!$B$10,"A+ 전설",IF(X14&gt;='1-1 점수 기준'!$B$11,"A 강자",IF(X14&gt;='1-1 점수 기준'!$B$12,"B 유망","C 도전자")))</f>
        <v>C 도전자</v>
      </c>
      <c r="Z14" s="33">
        <f t="shared" si="1"/>
        <v>11</v>
      </c>
    </row>
    <row r="16" spans="1:26">
      <c r="A16" s="29" t="s">
        <v>203</v>
      </c>
    </row>
    <row r="17" spans="1:1">
      <c r="A17" s="29" t="s">
        <v>204</v>
      </c>
    </row>
    <row r="18" spans="1:1">
      <c r="A18" s="29" t="s">
        <v>205</v>
      </c>
    </row>
  </sheetData>
  <mergeCells count="4">
    <mergeCell ref="D1:I1"/>
    <mergeCell ref="J1:M1"/>
    <mergeCell ref="N1:Q1"/>
    <mergeCell ref="R1:Z1"/>
  </mergeCells>
  <phoneticPr fontId="33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P1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/>
  <cols>
    <col min="1" max="1" width="18" customWidth="1"/>
    <col min="2" max="2" width="42" customWidth="1"/>
    <col min="3" max="3" width="30" customWidth="1"/>
    <col min="4" max="7" width="10" customWidth="1"/>
    <col min="8" max="9" width="11" customWidth="1"/>
    <col min="10" max="10" width="8" customWidth="1"/>
    <col min="11" max="11" width="60" customWidth="1"/>
    <col min="12" max="16" width="6" customWidth="1"/>
  </cols>
  <sheetData>
    <row r="1" spans="1:16" ht="48">
      <c r="A1" s="26" t="s">
        <v>142</v>
      </c>
      <c r="B1" s="26" t="s">
        <v>4</v>
      </c>
      <c r="C1" s="26" t="s">
        <v>206</v>
      </c>
      <c r="D1" s="26" t="s">
        <v>207</v>
      </c>
      <c r="E1" s="26" t="s">
        <v>208</v>
      </c>
      <c r="F1" s="26" t="s">
        <v>209</v>
      </c>
      <c r="G1" s="26" t="s">
        <v>210</v>
      </c>
      <c r="H1" s="26" t="s">
        <v>211</v>
      </c>
      <c r="I1" s="26" t="s">
        <v>212</v>
      </c>
      <c r="J1" s="26" t="s">
        <v>213</v>
      </c>
      <c r="K1" s="26" t="s">
        <v>214</v>
      </c>
      <c r="L1" s="26" t="s">
        <v>215</v>
      </c>
      <c r="M1" s="26" t="s">
        <v>216</v>
      </c>
      <c r="N1" s="26" t="s">
        <v>217</v>
      </c>
      <c r="O1" s="26" t="s">
        <v>218</v>
      </c>
      <c r="P1" s="26" t="s">
        <v>219</v>
      </c>
    </row>
    <row r="2" spans="1:16" ht="30">
      <c r="A2" s="39" t="s">
        <v>164</v>
      </c>
      <c r="B2" s="24" t="s">
        <v>220</v>
      </c>
      <c r="C2" s="24" t="s">
        <v>221</v>
      </c>
      <c r="D2" s="40" t="str">
        <f t="shared" ref="D2:D13" si="0">REPT("★",L2)&amp;REPT("☆",5-L2)</f>
        <v>★★★★☆</v>
      </c>
      <c r="E2" s="40" t="str">
        <f t="shared" ref="E2:E13" si="1">REPT("★",M2)&amp;REPT("☆",5-M2)</f>
        <v>★★★★☆</v>
      </c>
      <c r="F2" s="40" t="str">
        <f t="shared" ref="F2:F13" si="2">REPT("★",N2)&amp;REPT("☆",5-N2)</f>
        <v>★★★★☆</v>
      </c>
      <c r="G2" s="40" t="str">
        <f t="shared" ref="G2:G13" si="3">REPT("★",O2)&amp;REPT("☆",5-O2)</f>
        <v>★☆☆☆☆</v>
      </c>
      <c r="H2" s="40" t="str">
        <f t="shared" ref="H2:H13" si="4">REPT("★",P2)&amp;REPT("☆",5-P2)</f>
        <v>★★☆☆☆</v>
      </c>
      <c r="I2" s="33" t="str">
        <f>INDEX('1-2 성공 점수표'!$Y$3:$Y$14,MATCH(A2,'1-2 성공 점수표'!$A$3:$A$14,0))</f>
        <v>C 도전자</v>
      </c>
      <c r="J2" s="36">
        <f>INDEX('1-2 성공 점수표'!$X$3:$X$14,MATCH(A2,'1-2 성공 점수표'!$A$3:$A$14,0))</f>
        <v>54.724989021918859</v>
      </c>
      <c r="K2" s="24" t="s">
        <v>222</v>
      </c>
      <c r="L2" s="41">
        <v>4</v>
      </c>
      <c r="M2" s="41">
        <v>4</v>
      </c>
      <c r="N2" s="41">
        <v>4</v>
      </c>
      <c r="O2" s="41">
        <v>1</v>
      </c>
      <c r="P2" s="41">
        <v>2</v>
      </c>
    </row>
    <row r="3" spans="1:16" ht="30">
      <c r="A3" s="39" t="s">
        <v>168</v>
      </c>
      <c r="B3" s="24" t="s">
        <v>223</v>
      </c>
      <c r="C3" s="24" t="s">
        <v>224</v>
      </c>
      <c r="D3" s="40" t="str">
        <f t="shared" si="0"/>
        <v>★★★★☆</v>
      </c>
      <c r="E3" s="40" t="str">
        <f t="shared" si="1"/>
        <v>★★★★★</v>
      </c>
      <c r="F3" s="40" t="str">
        <f t="shared" si="2"/>
        <v>★★★☆☆</v>
      </c>
      <c r="G3" s="40" t="str">
        <f t="shared" si="3"/>
        <v>★☆☆☆☆</v>
      </c>
      <c r="H3" s="40" t="str">
        <f t="shared" si="4"/>
        <v>★★☆☆☆</v>
      </c>
      <c r="I3" s="33" t="str">
        <f>INDEX('1-2 성공 점수표'!$Y$3:$Y$14,MATCH(A3,'1-2 성공 점수표'!$A$3:$A$14,0))</f>
        <v>C 도전자</v>
      </c>
      <c r="J3" s="36">
        <f>INDEX('1-2 성공 점수표'!$X$3:$X$14,MATCH(A3,'1-2 성공 점수표'!$A$3:$A$14,0))</f>
        <v>50.911992670239776</v>
      </c>
      <c r="K3" s="24" t="s">
        <v>225</v>
      </c>
      <c r="L3" s="41">
        <v>4</v>
      </c>
      <c r="M3" s="41">
        <v>5</v>
      </c>
      <c r="N3" s="41">
        <v>3</v>
      </c>
      <c r="O3" s="41">
        <v>1</v>
      </c>
      <c r="P3" s="41">
        <v>2</v>
      </c>
    </row>
    <row r="4" spans="1:16" ht="30">
      <c r="A4" s="39" t="s">
        <v>171</v>
      </c>
      <c r="B4" s="25" t="s">
        <v>226</v>
      </c>
      <c r="C4" s="24" t="s">
        <v>227</v>
      </c>
      <c r="D4" s="40" t="str">
        <f t="shared" si="0"/>
        <v>★★★★★</v>
      </c>
      <c r="E4" s="40" t="str">
        <f t="shared" si="1"/>
        <v>★★★★★</v>
      </c>
      <c r="F4" s="40" t="str">
        <f t="shared" si="2"/>
        <v>★★★★☆</v>
      </c>
      <c r="G4" s="40" t="str">
        <f t="shared" si="3"/>
        <v>★☆☆☆☆</v>
      </c>
      <c r="H4" s="40" t="str">
        <f t="shared" si="4"/>
        <v>★★★☆☆</v>
      </c>
      <c r="I4" s="33" t="str">
        <f>INDEX('1-2 성공 점수표'!$Y$3:$Y$14,MATCH(A4,'1-2 성공 점수표'!$A$3:$A$14,0))</f>
        <v>A 강자</v>
      </c>
      <c r="J4" s="36">
        <f>INDEX('1-2 성공 점수표'!$X$3:$X$14,MATCH(A4,'1-2 성공 점수표'!$A$3:$A$14,0))</f>
        <v>70.166666666666671</v>
      </c>
      <c r="K4" s="24" t="s">
        <v>228</v>
      </c>
      <c r="L4" s="41">
        <v>5</v>
      </c>
      <c r="M4" s="41">
        <v>5</v>
      </c>
      <c r="N4" s="41">
        <v>4</v>
      </c>
      <c r="O4" s="41">
        <v>1</v>
      </c>
      <c r="P4" s="41">
        <v>3</v>
      </c>
    </row>
    <row r="5" spans="1:16" ht="30">
      <c r="A5" s="39" t="s">
        <v>174</v>
      </c>
      <c r="B5" s="24" t="s">
        <v>229</v>
      </c>
      <c r="C5" s="24" t="s">
        <v>230</v>
      </c>
      <c r="D5" s="40" t="str">
        <f t="shared" si="0"/>
        <v>★★★★☆</v>
      </c>
      <c r="E5" s="40" t="str">
        <f t="shared" si="1"/>
        <v>★★★★★</v>
      </c>
      <c r="F5" s="40" t="str">
        <f t="shared" si="2"/>
        <v>★★★☆☆</v>
      </c>
      <c r="G5" s="40" t="str">
        <f t="shared" si="3"/>
        <v>★☆☆☆☆</v>
      </c>
      <c r="H5" s="40" t="str">
        <f t="shared" si="4"/>
        <v>★★★☆☆</v>
      </c>
      <c r="I5" s="33" t="str">
        <f>INDEX('1-2 성공 점수표'!$Y$3:$Y$14,MATCH(A5,'1-2 성공 점수표'!$A$3:$A$14,0))</f>
        <v>B 유망</v>
      </c>
      <c r="J5" s="36">
        <f>INDEX('1-2 성공 점수표'!$X$3:$X$14,MATCH(A5,'1-2 성공 점수표'!$A$3:$A$14,0))</f>
        <v>63.932724967479857</v>
      </c>
      <c r="K5" s="24" t="s">
        <v>231</v>
      </c>
      <c r="L5" s="41">
        <v>4</v>
      </c>
      <c r="M5" s="41">
        <v>5</v>
      </c>
      <c r="N5" s="41">
        <v>3</v>
      </c>
      <c r="O5" s="41">
        <v>1</v>
      </c>
      <c r="P5" s="41">
        <v>3</v>
      </c>
    </row>
    <row r="6" spans="1:16">
      <c r="A6" s="39" t="s">
        <v>176</v>
      </c>
      <c r="B6" s="24" t="s">
        <v>232</v>
      </c>
      <c r="C6" s="24" t="s">
        <v>233</v>
      </c>
      <c r="D6" s="40" t="str">
        <f t="shared" si="0"/>
        <v>★★★★☆</v>
      </c>
      <c r="E6" s="40" t="str">
        <f t="shared" si="1"/>
        <v>★★★★★</v>
      </c>
      <c r="F6" s="40" t="str">
        <f t="shared" si="2"/>
        <v>★★★☆☆</v>
      </c>
      <c r="G6" s="40" t="str">
        <f t="shared" si="3"/>
        <v>★☆☆☆☆</v>
      </c>
      <c r="H6" s="40" t="str">
        <f t="shared" si="4"/>
        <v>★★☆☆☆</v>
      </c>
      <c r="I6" s="33" t="str">
        <f>INDEX('1-2 성공 점수표'!$Y$3:$Y$14,MATCH(A6,'1-2 성공 점수표'!$A$3:$A$14,0))</f>
        <v>C 도전자</v>
      </c>
      <c r="J6" s="36">
        <f>INDEX('1-2 성공 점수표'!$X$3:$X$14,MATCH(A6,'1-2 성공 점수표'!$A$3:$A$14,0))</f>
        <v>51.48855590267668</v>
      </c>
      <c r="K6" s="24" t="s">
        <v>234</v>
      </c>
      <c r="L6" s="41">
        <v>4</v>
      </c>
      <c r="M6" s="41">
        <v>5</v>
      </c>
      <c r="N6" s="41">
        <v>3</v>
      </c>
      <c r="O6" s="41">
        <v>1</v>
      </c>
      <c r="P6" s="41">
        <v>2</v>
      </c>
    </row>
    <row r="7" spans="1:16" ht="30">
      <c r="A7" s="39" t="s">
        <v>179</v>
      </c>
      <c r="B7" s="24" t="s">
        <v>235</v>
      </c>
      <c r="C7" s="24" t="s">
        <v>236</v>
      </c>
      <c r="D7" s="40" t="str">
        <f t="shared" si="0"/>
        <v>★★★★★</v>
      </c>
      <c r="E7" s="40" t="str">
        <f t="shared" si="1"/>
        <v>★★★★☆</v>
      </c>
      <c r="F7" s="40" t="str">
        <f t="shared" si="2"/>
        <v>★★★★★</v>
      </c>
      <c r="G7" s="40" t="str">
        <f t="shared" si="3"/>
        <v>★★★☆☆</v>
      </c>
      <c r="H7" s="40" t="str">
        <f t="shared" si="4"/>
        <v>★★★★★</v>
      </c>
      <c r="I7" s="33" t="str">
        <f>INDEX('1-2 성공 점수표'!$Y$3:$Y$14,MATCH(A7,'1-2 성공 점수표'!$A$3:$A$14,0))</f>
        <v>A+ 전설</v>
      </c>
      <c r="J7" s="36">
        <f>INDEX('1-2 성공 점수표'!$X$3:$X$14,MATCH(A7,'1-2 성공 점수표'!$A$3:$A$14,0))</f>
        <v>82.580756465251227</v>
      </c>
      <c r="K7" s="24" t="s">
        <v>237</v>
      </c>
      <c r="L7" s="41">
        <v>5</v>
      </c>
      <c r="M7" s="41">
        <v>4</v>
      </c>
      <c r="N7" s="41">
        <v>5</v>
      </c>
      <c r="O7" s="41">
        <v>3</v>
      </c>
      <c r="P7" s="41">
        <v>5</v>
      </c>
    </row>
    <row r="8" spans="1:16" ht="30">
      <c r="A8" s="39" t="s">
        <v>183</v>
      </c>
      <c r="B8" s="24" t="s">
        <v>238</v>
      </c>
      <c r="C8" s="24" t="s">
        <v>239</v>
      </c>
      <c r="D8" s="40" t="str">
        <f t="shared" si="0"/>
        <v>★★★★★</v>
      </c>
      <c r="E8" s="40" t="str">
        <f t="shared" si="1"/>
        <v>★★★★☆</v>
      </c>
      <c r="F8" s="40" t="str">
        <f t="shared" si="2"/>
        <v>★★★★★</v>
      </c>
      <c r="G8" s="40" t="str">
        <f t="shared" si="3"/>
        <v>★★☆☆☆</v>
      </c>
      <c r="H8" s="40" t="str">
        <f t="shared" si="4"/>
        <v>★★★★★</v>
      </c>
      <c r="I8" s="33" t="str">
        <f>INDEX('1-2 성공 점수표'!$Y$3:$Y$14,MATCH(A8,'1-2 성공 점수표'!$A$3:$A$14,0))</f>
        <v>A 강자</v>
      </c>
      <c r="J8" s="36">
        <f>INDEX('1-2 성공 점수표'!$X$3:$X$14,MATCH(A8,'1-2 성공 점수표'!$A$3:$A$14,0))</f>
        <v>75.804738554537437</v>
      </c>
      <c r="K8" s="25" t="s">
        <v>240</v>
      </c>
      <c r="L8" s="41">
        <v>5</v>
      </c>
      <c r="M8" s="41">
        <v>4</v>
      </c>
      <c r="N8" s="41">
        <v>5</v>
      </c>
      <c r="O8" s="41">
        <v>2</v>
      </c>
      <c r="P8" s="41">
        <v>5</v>
      </c>
    </row>
    <row r="9" spans="1:16" ht="30">
      <c r="A9" s="39" t="s">
        <v>187</v>
      </c>
      <c r="B9" s="24" t="s">
        <v>241</v>
      </c>
      <c r="C9" s="24" t="s">
        <v>242</v>
      </c>
      <c r="D9" s="40" t="str">
        <f t="shared" si="0"/>
        <v>★★★★★</v>
      </c>
      <c r="E9" s="40" t="str">
        <f t="shared" si="1"/>
        <v>★★★★★</v>
      </c>
      <c r="F9" s="40" t="str">
        <f t="shared" si="2"/>
        <v>★★★★★</v>
      </c>
      <c r="G9" s="40" t="str">
        <f t="shared" si="3"/>
        <v>★★★★★</v>
      </c>
      <c r="H9" s="40" t="str">
        <f t="shared" si="4"/>
        <v>★★★★★</v>
      </c>
      <c r="I9" s="33" t="str">
        <f>INDEX('1-2 성공 점수표'!$Y$3:$Y$14,MATCH(A9,'1-2 성공 점수표'!$A$3:$A$14,0))</f>
        <v>B 유망</v>
      </c>
      <c r="J9" s="36">
        <f>INDEX('1-2 성공 점수표'!$X$3:$X$14,MATCH(A9,'1-2 성공 점수표'!$A$3:$A$14,0))</f>
        <v>65.460620904483974</v>
      </c>
      <c r="K9" s="24" t="s">
        <v>243</v>
      </c>
      <c r="L9" s="41">
        <v>5</v>
      </c>
      <c r="M9" s="41">
        <v>5</v>
      </c>
      <c r="N9" s="41">
        <v>5</v>
      </c>
      <c r="O9" s="41">
        <v>5</v>
      </c>
      <c r="P9" s="41">
        <v>5</v>
      </c>
    </row>
    <row r="10" spans="1:16" ht="30">
      <c r="A10" s="39" t="s">
        <v>190</v>
      </c>
      <c r="B10" s="24" t="s">
        <v>244</v>
      </c>
      <c r="C10" s="24" t="s">
        <v>245</v>
      </c>
      <c r="D10" s="40" t="str">
        <f t="shared" si="0"/>
        <v>★★★★☆</v>
      </c>
      <c r="E10" s="40" t="str">
        <f t="shared" si="1"/>
        <v>★★★☆☆</v>
      </c>
      <c r="F10" s="40" t="str">
        <f t="shared" si="2"/>
        <v>★★★★★</v>
      </c>
      <c r="G10" s="40" t="str">
        <f t="shared" si="3"/>
        <v>★★★★★</v>
      </c>
      <c r="H10" s="40" t="str">
        <f t="shared" si="4"/>
        <v>★★★★★</v>
      </c>
      <c r="I10" s="33" t="str">
        <f>INDEX('1-2 성공 점수표'!$Y$3:$Y$14,MATCH(A10,'1-2 성공 점수표'!$A$3:$A$14,0))</f>
        <v>B 유망</v>
      </c>
      <c r="J10" s="36">
        <f>INDEX('1-2 성공 점수표'!$X$3:$X$14,MATCH(A10,'1-2 성공 점수표'!$A$3:$A$14,0))</f>
        <v>61.083333333333329</v>
      </c>
      <c r="K10" s="24" t="s">
        <v>246</v>
      </c>
      <c r="L10" s="41">
        <v>4</v>
      </c>
      <c r="M10" s="41">
        <v>3</v>
      </c>
      <c r="N10" s="41">
        <v>5</v>
      </c>
      <c r="O10" s="41">
        <v>5</v>
      </c>
      <c r="P10" s="41">
        <v>5</v>
      </c>
    </row>
    <row r="11" spans="1:16" ht="30">
      <c r="A11" s="39" t="s">
        <v>194</v>
      </c>
      <c r="B11" s="24" t="s">
        <v>247</v>
      </c>
      <c r="C11" s="25" t="s">
        <v>248</v>
      </c>
      <c r="D11" s="40" t="str">
        <f t="shared" si="0"/>
        <v>★★★★★</v>
      </c>
      <c r="E11" s="40" t="str">
        <f t="shared" si="1"/>
        <v>★★★★☆</v>
      </c>
      <c r="F11" s="40" t="str">
        <f t="shared" si="2"/>
        <v>★★★★★</v>
      </c>
      <c r="G11" s="40" t="str">
        <f t="shared" si="3"/>
        <v>★★★★★</v>
      </c>
      <c r="H11" s="40" t="str">
        <f t="shared" si="4"/>
        <v>★★★★☆</v>
      </c>
      <c r="I11" s="33" t="str">
        <f>INDEX('1-2 성공 점수표'!$Y$3:$Y$14,MATCH(A11,'1-2 성공 점수표'!$A$3:$A$14,0))</f>
        <v>A 강자</v>
      </c>
      <c r="J11" s="36">
        <f>INDEX('1-2 성공 점수표'!$X$3:$X$14,MATCH(A11,'1-2 성공 점수표'!$A$3:$A$14,0))</f>
        <v>71.674999999999997</v>
      </c>
      <c r="K11" s="24" t="s">
        <v>249</v>
      </c>
      <c r="L11" s="41">
        <v>5</v>
      </c>
      <c r="M11" s="41">
        <v>4</v>
      </c>
      <c r="N11" s="41">
        <v>5</v>
      </c>
      <c r="O11" s="41">
        <v>5</v>
      </c>
      <c r="P11" s="41">
        <v>4</v>
      </c>
    </row>
    <row r="12" spans="1:16" ht="30">
      <c r="A12" s="42" t="s">
        <v>197</v>
      </c>
      <c r="B12" s="24" t="s">
        <v>250</v>
      </c>
      <c r="C12" s="24" t="s">
        <v>251</v>
      </c>
      <c r="D12" s="40" t="str">
        <f t="shared" si="0"/>
        <v>★★★☆☆</v>
      </c>
      <c r="E12" s="40" t="str">
        <f t="shared" si="1"/>
        <v>★★★★★</v>
      </c>
      <c r="F12" s="40" t="str">
        <f t="shared" si="2"/>
        <v>★★★★☆</v>
      </c>
      <c r="G12" s="40" t="str">
        <f t="shared" si="3"/>
        <v>★★★☆☆</v>
      </c>
      <c r="H12" s="40" t="str">
        <f t="shared" si="4"/>
        <v>★★★★☆</v>
      </c>
      <c r="I12" s="33" t="str">
        <f>INDEX('1-2 성공 점수표'!$Y$3:$Y$14,MATCH(A12,'1-2 성공 점수표'!$A$3:$A$14,0))</f>
        <v>C 도전자</v>
      </c>
      <c r="J12" s="36">
        <f>INDEX('1-2 성공 점수표'!$X$3:$X$14,MATCH(A12,'1-2 성공 점수표'!$A$3:$A$14,0))</f>
        <v>35.438555902676683</v>
      </c>
      <c r="K12" s="24" t="s">
        <v>252</v>
      </c>
      <c r="L12" s="41">
        <v>3</v>
      </c>
      <c r="M12" s="41">
        <v>5</v>
      </c>
      <c r="N12" s="41">
        <v>4</v>
      </c>
      <c r="O12" s="41">
        <v>3</v>
      </c>
      <c r="P12" s="41">
        <v>4</v>
      </c>
    </row>
    <row r="13" spans="1:16" ht="30">
      <c r="A13" s="42" t="s">
        <v>200</v>
      </c>
      <c r="B13" s="24" t="s">
        <v>253</v>
      </c>
      <c r="C13" s="24" t="s">
        <v>254</v>
      </c>
      <c r="D13" s="40" t="str">
        <f t="shared" si="0"/>
        <v>★★★☆☆</v>
      </c>
      <c r="E13" s="40" t="str">
        <f t="shared" si="1"/>
        <v>★★★★★</v>
      </c>
      <c r="F13" s="40" t="str">
        <f t="shared" si="2"/>
        <v>★★★★☆</v>
      </c>
      <c r="G13" s="40" t="str">
        <f t="shared" si="3"/>
        <v>★★☆☆☆</v>
      </c>
      <c r="H13" s="40" t="str">
        <f t="shared" si="4"/>
        <v>★★★★★</v>
      </c>
      <c r="I13" s="33" t="str">
        <f>INDEX('1-2 성공 점수표'!$Y$3:$Y$14,MATCH(A13,'1-2 성공 점수표'!$A$3:$A$14,0))</f>
        <v>C 도전자</v>
      </c>
      <c r="J13" s="36">
        <f>INDEX('1-2 성공 점수표'!$X$3:$X$14,MATCH(A13,'1-2 성공 점수표'!$A$3:$A$14,0))</f>
        <v>46.220326003573106</v>
      </c>
      <c r="K13" s="24" t="s">
        <v>255</v>
      </c>
      <c r="L13" s="41">
        <v>3</v>
      </c>
      <c r="M13" s="41">
        <v>5</v>
      </c>
      <c r="N13" s="41">
        <v>4</v>
      </c>
      <c r="O13" s="41">
        <v>2</v>
      </c>
      <c r="P13" s="41">
        <v>5</v>
      </c>
    </row>
    <row r="15" spans="1:16">
      <c r="A15" s="29" t="s">
        <v>256</v>
      </c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H1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/>
  <cols>
    <col min="1" max="1" width="16" customWidth="1"/>
    <col min="2" max="2" width="32" customWidth="1"/>
    <col min="3" max="4" width="30" customWidth="1"/>
    <col min="5" max="5" width="36" customWidth="1"/>
    <col min="6" max="6" width="40" customWidth="1"/>
    <col min="7" max="7" width="28" customWidth="1"/>
    <col min="8" max="8" width="20" customWidth="1"/>
  </cols>
  <sheetData>
    <row r="1" spans="1:8" ht="16">
      <c r="A1" s="26" t="s">
        <v>142</v>
      </c>
      <c r="B1" s="26" t="s">
        <v>257</v>
      </c>
      <c r="C1" s="26" t="s">
        <v>258</v>
      </c>
      <c r="D1" s="26" t="s">
        <v>259</v>
      </c>
      <c r="E1" s="26" t="s">
        <v>260</v>
      </c>
      <c r="F1" s="26" t="s">
        <v>261</v>
      </c>
      <c r="G1" s="26" t="s">
        <v>262</v>
      </c>
      <c r="H1" s="26" t="s">
        <v>263</v>
      </c>
    </row>
    <row r="2" spans="1:8" ht="45">
      <c r="A2" s="39" t="s">
        <v>164</v>
      </c>
      <c r="B2" s="24" t="s">
        <v>264</v>
      </c>
      <c r="C2" s="24" t="s">
        <v>265</v>
      </c>
      <c r="D2" s="24" t="s">
        <v>266</v>
      </c>
      <c r="E2" s="24" t="s">
        <v>267</v>
      </c>
      <c r="F2" s="25" t="s">
        <v>268</v>
      </c>
      <c r="G2" s="24" t="s">
        <v>269</v>
      </c>
      <c r="H2" s="43" t="s">
        <v>270</v>
      </c>
    </row>
    <row r="3" spans="1:8" ht="45">
      <c r="A3" s="39" t="s">
        <v>168</v>
      </c>
      <c r="B3" s="24" t="s">
        <v>271</v>
      </c>
      <c r="C3" s="24" t="s">
        <v>272</v>
      </c>
      <c r="D3" s="24" t="s">
        <v>273</v>
      </c>
      <c r="E3" s="24" t="s">
        <v>274</v>
      </c>
      <c r="F3" s="24" t="s">
        <v>275</v>
      </c>
      <c r="G3" s="24" t="s">
        <v>276</v>
      </c>
      <c r="H3" s="43" t="s">
        <v>277</v>
      </c>
    </row>
    <row r="4" spans="1:8" ht="30">
      <c r="A4" s="39" t="s">
        <v>171</v>
      </c>
      <c r="B4" s="24" t="s">
        <v>278</v>
      </c>
      <c r="C4" s="24" t="s">
        <v>279</v>
      </c>
      <c r="D4" s="24" t="s">
        <v>280</v>
      </c>
      <c r="E4" s="24" t="s">
        <v>281</v>
      </c>
      <c r="F4" s="24" t="s">
        <v>282</v>
      </c>
      <c r="G4" s="24" t="s">
        <v>283</v>
      </c>
      <c r="H4" s="24" t="s">
        <v>284</v>
      </c>
    </row>
    <row r="5" spans="1:8" ht="30">
      <c r="A5" s="39" t="s">
        <v>174</v>
      </c>
      <c r="B5" s="24" t="s">
        <v>285</v>
      </c>
      <c r="C5" s="24" t="s">
        <v>286</v>
      </c>
      <c r="D5" s="24" t="s">
        <v>287</v>
      </c>
      <c r="E5" s="24" t="s">
        <v>288</v>
      </c>
      <c r="F5" s="24" t="s">
        <v>289</v>
      </c>
      <c r="G5" s="24" t="s">
        <v>290</v>
      </c>
      <c r="H5" s="24" t="s">
        <v>291</v>
      </c>
    </row>
    <row r="6" spans="1:8" ht="30">
      <c r="A6" s="39" t="s">
        <v>176</v>
      </c>
      <c r="B6" s="24" t="s">
        <v>292</v>
      </c>
      <c r="C6" s="24" t="s">
        <v>293</v>
      </c>
      <c r="D6" s="24" t="s">
        <v>273</v>
      </c>
      <c r="E6" s="24" t="s">
        <v>274</v>
      </c>
      <c r="F6" s="24" t="s">
        <v>294</v>
      </c>
      <c r="G6" s="24" t="s">
        <v>295</v>
      </c>
      <c r="H6" s="43" t="s">
        <v>270</v>
      </c>
    </row>
    <row r="7" spans="1:8" ht="30">
      <c r="A7" s="39" t="s">
        <v>179</v>
      </c>
      <c r="B7" s="25" t="s">
        <v>296</v>
      </c>
      <c r="C7" s="24" t="s">
        <v>297</v>
      </c>
      <c r="D7" s="24" t="s">
        <v>298</v>
      </c>
      <c r="E7" s="24" t="s">
        <v>299</v>
      </c>
      <c r="F7" s="24" t="s">
        <v>300</v>
      </c>
      <c r="G7" s="24" t="s">
        <v>301</v>
      </c>
      <c r="H7" s="24" t="s">
        <v>302</v>
      </c>
    </row>
    <row r="8" spans="1:8" ht="30">
      <c r="A8" s="39" t="s">
        <v>183</v>
      </c>
      <c r="B8" s="24" t="s">
        <v>303</v>
      </c>
      <c r="C8" s="24" t="s">
        <v>304</v>
      </c>
      <c r="D8" s="24" t="s">
        <v>305</v>
      </c>
      <c r="E8" s="24" t="s">
        <v>306</v>
      </c>
      <c r="F8" s="24" t="s">
        <v>307</v>
      </c>
      <c r="G8" s="24" t="s">
        <v>308</v>
      </c>
      <c r="H8" s="43" t="s">
        <v>309</v>
      </c>
    </row>
    <row r="9" spans="1:8" ht="30">
      <c r="A9" s="39" t="s">
        <v>187</v>
      </c>
      <c r="B9" s="24" t="s">
        <v>310</v>
      </c>
      <c r="C9" s="24" t="s">
        <v>311</v>
      </c>
      <c r="D9" s="24" t="s">
        <v>312</v>
      </c>
      <c r="E9" s="24" t="s">
        <v>313</v>
      </c>
      <c r="F9" s="24" t="s">
        <v>314</v>
      </c>
      <c r="G9" s="24" t="s">
        <v>315</v>
      </c>
      <c r="H9" s="24" t="s">
        <v>302</v>
      </c>
    </row>
    <row r="10" spans="1:8" ht="30">
      <c r="A10" s="39" t="s">
        <v>190</v>
      </c>
      <c r="B10" s="24" t="s">
        <v>316</v>
      </c>
      <c r="C10" s="24" t="s">
        <v>317</v>
      </c>
      <c r="D10" s="24" t="s">
        <v>318</v>
      </c>
      <c r="E10" s="24" t="s">
        <v>319</v>
      </c>
      <c r="F10" s="24" t="s">
        <v>320</v>
      </c>
      <c r="G10" s="24" t="s">
        <v>321</v>
      </c>
      <c r="H10" s="24" t="s">
        <v>322</v>
      </c>
    </row>
    <row r="11" spans="1:8" ht="30">
      <c r="A11" s="39" t="s">
        <v>194</v>
      </c>
      <c r="B11" s="24" t="s">
        <v>323</v>
      </c>
      <c r="C11" s="24" t="s">
        <v>324</v>
      </c>
      <c r="D11" s="24" t="s">
        <v>325</v>
      </c>
      <c r="E11" s="24" t="s">
        <v>326</v>
      </c>
      <c r="F11" s="24" t="s">
        <v>327</v>
      </c>
      <c r="G11" s="24" t="s">
        <v>328</v>
      </c>
      <c r="H11" s="24" t="s">
        <v>329</v>
      </c>
    </row>
    <row r="12" spans="1:8" ht="30">
      <c r="A12" s="42" t="s">
        <v>197</v>
      </c>
      <c r="B12" s="24" t="s">
        <v>330</v>
      </c>
      <c r="C12" s="24" t="s">
        <v>331</v>
      </c>
      <c r="D12" s="24" t="s">
        <v>332</v>
      </c>
      <c r="E12" s="24" t="s">
        <v>333</v>
      </c>
      <c r="F12" s="24" t="s">
        <v>334</v>
      </c>
      <c r="G12" s="24" t="s">
        <v>335</v>
      </c>
      <c r="H12" s="43" t="s">
        <v>336</v>
      </c>
    </row>
    <row r="13" spans="1:8" ht="45">
      <c r="A13" s="42" t="s">
        <v>200</v>
      </c>
      <c r="B13" s="24" t="s">
        <v>337</v>
      </c>
      <c r="C13" s="24" t="s">
        <v>338</v>
      </c>
      <c r="D13" s="24" t="s">
        <v>339</v>
      </c>
      <c r="E13" s="24" t="s">
        <v>340</v>
      </c>
      <c r="F13" s="24" t="s">
        <v>341</v>
      </c>
      <c r="G13" s="24" t="s">
        <v>342</v>
      </c>
      <c r="H13" s="43" t="s">
        <v>343</v>
      </c>
    </row>
    <row r="15" spans="1:8">
      <c r="A15" s="44" t="s">
        <v>344</v>
      </c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J1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8.6640625" defaultRowHeight="15"/>
  <cols>
    <col min="1" max="1" width="16" customWidth="1"/>
    <col min="2" max="2" width="22" customWidth="1"/>
    <col min="3" max="3" width="18" customWidth="1"/>
    <col min="4" max="4" width="34" customWidth="1"/>
    <col min="5" max="5" width="36" customWidth="1"/>
    <col min="6" max="8" width="30" customWidth="1"/>
    <col min="9" max="10" width="24" customWidth="1"/>
  </cols>
  <sheetData>
    <row r="1" spans="1:10" ht="16">
      <c r="A1" s="26" t="s">
        <v>345</v>
      </c>
      <c r="B1" s="26" t="s">
        <v>142</v>
      </c>
      <c r="C1" s="26" t="s">
        <v>143</v>
      </c>
      <c r="D1" s="26" t="s">
        <v>346</v>
      </c>
      <c r="E1" s="26" t="s">
        <v>257</v>
      </c>
      <c r="F1" s="26" t="s">
        <v>259</v>
      </c>
      <c r="G1" s="26" t="s">
        <v>260</v>
      </c>
      <c r="H1" s="26" t="s">
        <v>261</v>
      </c>
      <c r="I1" s="26" t="s">
        <v>347</v>
      </c>
      <c r="J1" s="26" t="s">
        <v>263</v>
      </c>
    </row>
    <row r="2" spans="1:10" ht="30">
      <c r="A2" s="25" t="s">
        <v>348</v>
      </c>
      <c r="B2" s="39" t="s">
        <v>349</v>
      </c>
      <c r="C2" s="25" t="s">
        <v>175</v>
      </c>
      <c r="D2" s="24" t="s">
        <v>350</v>
      </c>
      <c r="E2" s="24" t="s">
        <v>351</v>
      </c>
      <c r="F2" s="24" t="s">
        <v>273</v>
      </c>
      <c r="G2" s="24" t="s">
        <v>352</v>
      </c>
      <c r="H2" s="24" t="s">
        <v>353</v>
      </c>
      <c r="I2" s="24" t="s">
        <v>354</v>
      </c>
      <c r="J2" s="43" t="s">
        <v>277</v>
      </c>
    </row>
    <row r="3" spans="1:10" ht="30">
      <c r="A3" s="25" t="s">
        <v>348</v>
      </c>
      <c r="B3" s="39" t="s">
        <v>355</v>
      </c>
      <c r="C3" s="25" t="s">
        <v>356</v>
      </c>
      <c r="D3" s="24" t="s">
        <v>357</v>
      </c>
      <c r="E3" s="24" t="s">
        <v>358</v>
      </c>
      <c r="F3" s="24" t="s">
        <v>273</v>
      </c>
      <c r="G3" s="24" t="s">
        <v>359</v>
      </c>
      <c r="H3" s="25" t="s">
        <v>360</v>
      </c>
      <c r="I3" s="24" t="s">
        <v>361</v>
      </c>
      <c r="J3" s="43" t="s">
        <v>362</v>
      </c>
    </row>
    <row r="4" spans="1:10" ht="30">
      <c r="A4" s="25" t="s">
        <v>363</v>
      </c>
      <c r="B4" s="39" t="s">
        <v>364</v>
      </c>
      <c r="C4" s="25" t="s">
        <v>365</v>
      </c>
      <c r="D4" s="24" t="s">
        <v>366</v>
      </c>
      <c r="E4" s="25" t="s">
        <v>367</v>
      </c>
      <c r="F4" s="24" t="s">
        <v>368</v>
      </c>
      <c r="G4" s="24" t="s">
        <v>369</v>
      </c>
      <c r="H4" s="24" t="s">
        <v>370</v>
      </c>
      <c r="I4" s="24" t="s">
        <v>371</v>
      </c>
      <c r="J4" s="24" t="s">
        <v>372</v>
      </c>
    </row>
    <row r="5" spans="1:10" ht="30">
      <c r="A5" s="25" t="s">
        <v>363</v>
      </c>
      <c r="B5" s="39" t="s">
        <v>373</v>
      </c>
      <c r="C5" s="25" t="s">
        <v>180</v>
      </c>
      <c r="D5" s="24" t="s">
        <v>374</v>
      </c>
      <c r="E5" s="25" t="s">
        <v>375</v>
      </c>
      <c r="F5" s="24" t="s">
        <v>376</v>
      </c>
      <c r="G5" s="24" t="s">
        <v>377</v>
      </c>
      <c r="H5" s="25" t="s">
        <v>378</v>
      </c>
      <c r="I5" s="25" t="s">
        <v>379</v>
      </c>
      <c r="J5" s="43" t="s">
        <v>380</v>
      </c>
    </row>
    <row r="6" spans="1:10" ht="30">
      <c r="A6" s="25" t="s">
        <v>381</v>
      </c>
      <c r="B6" s="39" t="s">
        <v>382</v>
      </c>
      <c r="C6" s="25" t="s">
        <v>383</v>
      </c>
      <c r="D6" s="24" t="s">
        <v>384</v>
      </c>
      <c r="E6" s="24" t="s">
        <v>385</v>
      </c>
      <c r="F6" s="24" t="s">
        <v>386</v>
      </c>
      <c r="G6" s="24" t="s">
        <v>387</v>
      </c>
      <c r="H6" s="24" t="s">
        <v>388</v>
      </c>
      <c r="I6" s="24" t="s">
        <v>389</v>
      </c>
      <c r="J6" s="24" t="s">
        <v>372</v>
      </c>
    </row>
    <row r="7" spans="1:10" ht="30">
      <c r="A7" s="25" t="s">
        <v>381</v>
      </c>
      <c r="B7" s="39" t="s">
        <v>390</v>
      </c>
      <c r="C7" s="25" t="s">
        <v>391</v>
      </c>
      <c r="D7" s="24" t="s">
        <v>392</v>
      </c>
      <c r="E7" s="24" t="s">
        <v>393</v>
      </c>
      <c r="F7" s="24" t="s">
        <v>394</v>
      </c>
      <c r="G7" s="24" t="s">
        <v>395</v>
      </c>
      <c r="H7" s="24" t="s">
        <v>396</v>
      </c>
      <c r="I7" s="24" t="s">
        <v>397</v>
      </c>
      <c r="J7" s="24" t="s">
        <v>291</v>
      </c>
    </row>
    <row r="8" spans="1:10" ht="30">
      <c r="A8" s="25" t="s">
        <v>398</v>
      </c>
      <c r="B8" s="39" t="s">
        <v>399</v>
      </c>
      <c r="C8" s="25" t="s">
        <v>191</v>
      </c>
      <c r="D8" s="24" t="s">
        <v>400</v>
      </c>
      <c r="E8" s="24" t="s">
        <v>401</v>
      </c>
      <c r="F8" s="24" t="s">
        <v>402</v>
      </c>
      <c r="G8" s="24" t="s">
        <v>403</v>
      </c>
      <c r="H8" s="24" t="s">
        <v>404</v>
      </c>
      <c r="I8" s="25" t="s">
        <v>405</v>
      </c>
      <c r="J8" s="24" t="s">
        <v>406</v>
      </c>
    </row>
    <row r="9" spans="1:10" ht="30">
      <c r="A9" s="25" t="s">
        <v>398</v>
      </c>
      <c r="B9" s="39" t="s">
        <v>407</v>
      </c>
      <c r="C9" s="25" t="s">
        <v>408</v>
      </c>
      <c r="D9" s="24" t="s">
        <v>409</v>
      </c>
      <c r="E9" s="24" t="s">
        <v>410</v>
      </c>
      <c r="F9" s="24" t="s">
        <v>411</v>
      </c>
      <c r="G9" s="24" t="s">
        <v>412</v>
      </c>
      <c r="H9" s="25" t="s">
        <v>413</v>
      </c>
      <c r="I9" s="24" t="s">
        <v>414</v>
      </c>
      <c r="J9" s="24" t="s">
        <v>291</v>
      </c>
    </row>
    <row r="10" spans="1:10" ht="30">
      <c r="A10" s="25" t="s">
        <v>415</v>
      </c>
      <c r="B10" s="39" t="s">
        <v>416</v>
      </c>
      <c r="C10" s="25" t="s">
        <v>417</v>
      </c>
      <c r="D10" s="24" t="s">
        <v>418</v>
      </c>
      <c r="E10" s="24" t="s">
        <v>419</v>
      </c>
      <c r="F10" s="24" t="s">
        <v>420</v>
      </c>
      <c r="G10" s="24" t="s">
        <v>421</v>
      </c>
      <c r="H10" s="24" t="s">
        <v>422</v>
      </c>
      <c r="I10" s="24" t="s">
        <v>423</v>
      </c>
      <c r="J10" s="24" t="s">
        <v>291</v>
      </c>
    </row>
    <row r="11" spans="1:10" ht="30">
      <c r="A11" s="25" t="s">
        <v>415</v>
      </c>
      <c r="B11" s="39" t="s">
        <v>424</v>
      </c>
      <c r="C11" s="25" t="s">
        <v>408</v>
      </c>
      <c r="D11" s="24" t="s">
        <v>425</v>
      </c>
      <c r="E11" s="25" t="s">
        <v>426</v>
      </c>
      <c r="F11" s="24" t="s">
        <v>427</v>
      </c>
      <c r="G11" s="24" t="s">
        <v>428</v>
      </c>
      <c r="H11" s="25" t="s">
        <v>429</v>
      </c>
      <c r="I11" s="24" t="s">
        <v>430</v>
      </c>
      <c r="J11" s="24" t="s">
        <v>372</v>
      </c>
    </row>
    <row r="12" spans="1:10" ht="30">
      <c r="A12" s="25" t="s">
        <v>431</v>
      </c>
      <c r="B12" s="39" t="s">
        <v>432</v>
      </c>
      <c r="C12" s="25" t="s">
        <v>188</v>
      </c>
      <c r="D12" s="24" t="s">
        <v>433</v>
      </c>
      <c r="E12" s="24" t="s">
        <v>434</v>
      </c>
      <c r="F12" s="24" t="s">
        <v>435</v>
      </c>
      <c r="G12" s="24" t="s">
        <v>436</v>
      </c>
      <c r="H12" s="24" t="s">
        <v>437</v>
      </c>
      <c r="I12" s="25" t="s">
        <v>438</v>
      </c>
      <c r="J12" s="24" t="s">
        <v>291</v>
      </c>
    </row>
    <row r="13" spans="1:10" ht="30">
      <c r="A13" s="25" t="s">
        <v>431</v>
      </c>
      <c r="B13" s="39" t="s">
        <v>439</v>
      </c>
      <c r="C13" s="25" t="s">
        <v>440</v>
      </c>
      <c r="D13" s="24" t="s">
        <v>441</v>
      </c>
      <c r="E13" s="24" t="s">
        <v>442</v>
      </c>
      <c r="F13" s="24" t="s">
        <v>443</v>
      </c>
      <c r="G13" s="24" t="s">
        <v>444</v>
      </c>
      <c r="H13" s="24" t="s">
        <v>445</v>
      </c>
      <c r="I13" s="24" t="s">
        <v>446</v>
      </c>
      <c r="J13" s="24" t="s">
        <v>291</v>
      </c>
    </row>
    <row r="14" spans="1:10" ht="31">
      <c r="A14" s="25" t="s">
        <v>447</v>
      </c>
      <c r="B14" s="42" t="s">
        <v>448</v>
      </c>
      <c r="C14" s="25" t="s">
        <v>449</v>
      </c>
      <c r="D14" s="24" t="s">
        <v>450</v>
      </c>
      <c r="E14" s="24" t="s">
        <v>451</v>
      </c>
      <c r="F14" s="24" t="s">
        <v>452</v>
      </c>
      <c r="G14" s="24" t="s">
        <v>453</v>
      </c>
      <c r="H14" s="24" t="s">
        <v>454</v>
      </c>
      <c r="I14" s="24" t="s">
        <v>455</v>
      </c>
      <c r="J14" s="24" t="s">
        <v>406</v>
      </c>
    </row>
    <row r="15" spans="1:10" ht="30">
      <c r="A15" s="25" t="s">
        <v>447</v>
      </c>
      <c r="B15" s="42" t="s">
        <v>456</v>
      </c>
      <c r="C15" s="25" t="s">
        <v>457</v>
      </c>
      <c r="D15" s="24" t="s">
        <v>458</v>
      </c>
      <c r="E15" s="24" t="s">
        <v>459</v>
      </c>
      <c r="F15" s="24" t="s">
        <v>460</v>
      </c>
      <c r="G15" s="24" t="s">
        <v>461</v>
      </c>
      <c r="H15" s="24" t="s">
        <v>462</v>
      </c>
      <c r="I15" s="24" t="s">
        <v>463</v>
      </c>
      <c r="J15" s="43" t="s">
        <v>380</v>
      </c>
    </row>
    <row r="17" spans="1:1">
      <c r="A17" s="29" t="s">
        <v>464</v>
      </c>
    </row>
  </sheetData>
  <autoFilter ref="A1:J15" xr:uid="{00000000-0009-0000-0000-000006000000}"/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1:M54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8.6640625" defaultRowHeight="15"/>
  <cols>
    <col min="1" max="1" width="16" customWidth="1"/>
    <col min="2" max="2" width="24" customWidth="1"/>
    <col min="3" max="3" width="16" customWidth="1"/>
    <col min="4" max="13" width="13" customWidth="1"/>
  </cols>
  <sheetData>
    <row r="1" spans="1:13" ht="60" customHeight="1">
      <c r="A1" s="26" t="s">
        <v>345</v>
      </c>
      <c r="B1" s="26" t="s">
        <v>142</v>
      </c>
      <c r="C1" s="26" t="s">
        <v>465</v>
      </c>
      <c r="D1" s="26" t="s">
        <v>466</v>
      </c>
      <c r="E1" s="26" t="s">
        <v>467</v>
      </c>
      <c r="F1" s="26" t="s">
        <v>468</v>
      </c>
      <c r="G1" s="26" t="s">
        <v>469</v>
      </c>
      <c r="H1" s="26" t="s">
        <v>470</v>
      </c>
      <c r="I1" s="26" t="s">
        <v>471</v>
      </c>
      <c r="J1" s="26" t="s">
        <v>472</v>
      </c>
      <c r="K1" s="26" t="s">
        <v>473</v>
      </c>
      <c r="L1" s="26" t="s">
        <v>474</v>
      </c>
      <c r="M1" s="26" t="s">
        <v>475</v>
      </c>
    </row>
    <row r="2" spans="1:13">
      <c r="A2" s="45" t="s">
        <v>348</v>
      </c>
      <c r="B2" s="31" t="s">
        <v>164</v>
      </c>
      <c r="C2" s="33" t="s">
        <v>476</v>
      </c>
      <c r="D2" s="46">
        <v>1</v>
      </c>
      <c r="E2" s="46">
        <v>1</v>
      </c>
      <c r="F2" s="47" t="s">
        <v>477</v>
      </c>
      <c r="G2" s="47" t="s">
        <v>477</v>
      </c>
      <c r="H2" s="47" t="s">
        <v>477</v>
      </c>
      <c r="I2" s="34">
        <v>0</v>
      </c>
      <c r="J2" s="34">
        <v>0</v>
      </c>
      <c r="K2" s="46">
        <v>1</v>
      </c>
      <c r="L2" s="34">
        <v>0</v>
      </c>
      <c r="M2" s="47" t="s">
        <v>477</v>
      </c>
    </row>
    <row r="3" spans="1:13">
      <c r="A3" s="45" t="s">
        <v>348</v>
      </c>
      <c r="B3" s="31" t="s">
        <v>168</v>
      </c>
      <c r="C3" s="33" t="s">
        <v>476</v>
      </c>
      <c r="D3" s="46">
        <v>1</v>
      </c>
      <c r="E3" s="46">
        <v>1</v>
      </c>
      <c r="F3" s="47" t="s">
        <v>477</v>
      </c>
      <c r="G3" s="47" t="s">
        <v>477</v>
      </c>
      <c r="H3" s="47" t="s">
        <v>477</v>
      </c>
      <c r="I3" s="34">
        <v>0</v>
      </c>
      <c r="J3" s="34">
        <v>0</v>
      </c>
      <c r="K3" s="46">
        <v>1</v>
      </c>
      <c r="L3" s="34">
        <v>0</v>
      </c>
      <c r="M3" s="47" t="s">
        <v>477</v>
      </c>
    </row>
    <row r="4" spans="1:13">
      <c r="A4" s="45" t="s">
        <v>348</v>
      </c>
      <c r="B4" s="31" t="s">
        <v>171</v>
      </c>
      <c r="C4" s="33" t="s">
        <v>476</v>
      </c>
      <c r="D4" s="46">
        <v>1</v>
      </c>
      <c r="E4" s="46">
        <v>1</v>
      </c>
      <c r="F4" s="47" t="s">
        <v>477</v>
      </c>
      <c r="G4" s="34">
        <v>0</v>
      </c>
      <c r="H4" s="34">
        <v>0</v>
      </c>
      <c r="I4" s="34">
        <v>0</v>
      </c>
      <c r="J4" s="34">
        <v>0</v>
      </c>
      <c r="K4" s="46">
        <v>1</v>
      </c>
      <c r="L4" s="34">
        <v>0</v>
      </c>
      <c r="M4" s="47" t="s">
        <v>477</v>
      </c>
    </row>
    <row r="5" spans="1:13">
      <c r="A5" s="45" t="s">
        <v>348</v>
      </c>
      <c r="B5" s="31" t="s">
        <v>174</v>
      </c>
      <c r="C5" s="33" t="s">
        <v>478</v>
      </c>
      <c r="D5" s="46">
        <v>1</v>
      </c>
      <c r="E5" s="46">
        <v>1</v>
      </c>
      <c r="F5" s="47" t="s">
        <v>477</v>
      </c>
      <c r="G5" s="47" t="s">
        <v>477</v>
      </c>
      <c r="H5" s="47" t="s">
        <v>477</v>
      </c>
      <c r="I5" s="34">
        <v>0</v>
      </c>
      <c r="J5" s="34">
        <v>0</v>
      </c>
      <c r="K5" s="46">
        <v>1</v>
      </c>
      <c r="L5" s="46">
        <v>1</v>
      </c>
      <c r="M5" s="47" t="s">
        <v>477</v>
      </c>
    </row>
    <row r="6" spans="1:13">
      <c r="A6" s="45" t="s">
        <v>348</v>
      </c>
      <c r="B6" s="31" t="s">
        <v>176</v>
      </c>
      <c r="C6" s="33" t="s">
        <v>476</v>
      </c>
      <c r="D6" s="46">
        <v>1</v>
      </c>
      <c r="E6" s="46">
        <v>1</v>
      </c>
      <c r="F6" s="47" t="s">
        <v>477</v>
      </c>
      <c r="G6" s="47" t="s">
        <v>477</v>
      </c>
      <c r="H6" s="47" t="s">
        <v>477</v>
      </c>
      <c r="I6" s="34">
        <v>0</v>
      </c>
      <c r="J6" s="34">
        <v>0</v>
      </c>
      <c r="K6" s="46">
        <v>1</v>
      </c>
      <c r="L6" s="34">
        <v>0</v>
      </c>
      <c r="M6" s="47" t="s">
        <v>477</v>
      </c>
    </row>
    <row r="7" spans="1:13">
      <c r="A7" s="45" t="s">
        <v>348</v>
      </c>
      <c r="B7" s="31" t="s">
        <v>349</v>
      </c>
      <c r="C7" s="48" t="s">
        <v>359</v>
      </c>
      <c r="D7" s="46">
        <v>1</v>
      </c>
      <c r="E7" s="46">
        <v>1</v>
      </c>
      <c r="F7" s="47" t="s">
        <v>477</v>
      </c>
      <c r="G7" s="47" t="s">
        <v>477</v>
      </c>
      <c r="H7" s="47" t="s">
        <v>477</v>
      </c>
      <c r="I7" s="34">
        <v>0</v>
      </c>
      <c r="J7" s="34">
        <v>0</v>
      </c>
      <c r="K7" s="47" t="s">
        <v>477</v>
      </c>
      <c r="L7" s="47" t="s">
        <v>477</v>
      </c>
      <c r="M7" s="47" t="s">
        <v>477</v>
      </c>
    </row>
    <row r="8" spans="1:13">
      <c r="A8" s="45" t="s">
        <v>348</v>
      </c>
      <c r="B8" s="31" t="s">
        <v>355</v>
      </c>
      <c r="C8" s="48" t="s">
        <v>359</v>
      </c>
      <c r="D8" s="46">
        <v>1</v>
      </c>
      <c r="E8" s="46">
        <v>1</v>
      </c>
      <c r="F8" s="47" t="s">
        <v>477</v>
      </c>
      <c r="G8" s="47" t="s">
        <v>477</v>
      </c>
      <c r="H8" s="47" t="s">
        <v>477</v>
      </c>
      <c r="I8" s="34">
        <v>0</v>
      </c>
      <c r="J8" s="34">
        <v>0</v>
      </c>
      <c r="K8" s="47" t="s">
        <v>477</v>
      </c>
      <c r="L8" s="47" t="s">
        <v>477</v>
      </c>
      <c r="M8" s="47" t="s">
        <v>477</v>
      </c>
    </row>
    <row r="9" spans="1:13">
      <c r="A9" s="45" t="s">
        <v>363</v>
      </c>
      <c r="B9" s="31" t="s">
        <v>179</v>
      </c>
      <c r="C9" s="33" t="s">
        <v>478</v>
      </c>
      <c r="D9" s="46">
        <v>1</v>
      </c>
      <c r="E9" s="46">
        <v>1</v>
      </c>
      <c r="F9" s="46">
        <v>1</v>
      </c>
      <c r="G9" s="47" t="s">
        <v>477</v>
      </c>
      <c r="H9" s="46">
        <v>1</v>
      </c>
      <c r="I9" s="34">
        <v>0</v>
      </c>
      <c r="J9" s="34">
        <v>0</v>
      </c>
      <c r="K9" s="34">
        <v>0</v>
      </c>
      <c r="L9" s="46">
        <v>1</v>
      </c>
      <c r="M9" s="46">
        <v>1</v>
      </c>
    </row>
    <row r="10" spans="1:13">
      <c r="A10" s="45" t="s">
        <v>363</v>
      </c>
      <c r="B10" s="31" t="s">
        <v>183</v>
      </c>
      <c r="C10" s="33" t="s">
        <v>478</v>
      </c>
      <c r="D10" s="46">
        <v>1</v>
      </c>
      <c r="E10" s="46">
        <v>1</v>
      </c>
      <c r="F10" s="46">
        <v>1</v>
      </c>
      <c r="G10" s="47" t="s">
        <v>477</v>
      </c>
      <c r="H10" s="47" t="s">
        <v>477</v>
      </c>
      <c r="I10" s="34">
        <v>0</v>
      </c>
      <c r="J10" s="34">
        <v>0</v>
      </c>
      <c r="K10" s="34">
        <v>0</v>
      </c>
      <c r="L10" s="46">
        <v>1</v>
      </c>
      <c r="M10" s="47" t="s">
        <v>477</v>
      </c>
    </row>
    <row r="11" spans="1:13">
      <c r="A11" s="45" t="s">
        <v>363</v>
      </c>
      <c r="B11" s="31" t="s">
        <v>364</v>
      </c>
      <c r="C11" s="33" t="s">
        <v>478</v>
      </c>
      <c r="D11" s="46">
        <v>1</v>
      </c>
      <c r="E11" s="46">
        <v>1</v>
      </c>
      <c r="F11" s="46">
        <v>1</v>
      </c>
      <c r="G11" s="34">
        <v>0</v>
      </c>
      <c r="H11" s="46">
        <v>1</v>
      </c>
      <c r="I11" s="34">
        <v>0</v>
      </c>
      <c r="J11" s="34">
        <v>0</v>
      </c>
      <c r="K11" s="34">
        <v>0</v>
      </c>
      <c r="L11" s="46">
        <v>1</v>
      </c>
      <c r="M11" s="46">
        <v>1</v>
      </c>
    </row>
    <row r="12" spans="1:13">
      <c r="A12" s="45" t="s">
        <v>363</v>
      </c>
      <c r="B12" s="31" t="s">
        <v>373</v>
      </c>
      <c r="C12" s="33" t="s">
        <v>478</v>
      </c>
      <c r="D12" s="46">
        <v>1</v>
      </c>
      <c r="E12" s="46">
        <v>1</v>
      </c>
      <c r="F12" s="46">
        <v>1</v>
      </c>
      <c r="G12" s="47" t="s">
        <v>477</v>
      </c>
      <c r="H12" s="47" t="s">
        <v>477</v>
      </c>
      <c r="I12" s="34">
        <v>0</v>
      </c>
      <c r="J12" s="34">
        <v>0</v>
      </c>
      <c r="K12" s="34">
        <v>0</v>
      </c>
      <c r="L12" s="46">
        <v>1</v>
      </c>
      <c r="M12" s="47" t="s">
        <v>477</v>
      </c>
    </row>
    <row r="13" spans="1:13">
      <c r="A13" s="45" t="s">
        <v>381</v>
      </c>
      <c r="B13" s="31" t="s">
        <v>187</v>
      </c>
      <c r="C13" s="33" t="s">
        <v>478</v>
      </c>
      <c r="D13" s="46">
        <v>1</v>
      </c>
      <c r="E13" s="46">
        <v>1</v>
      </c>
      <c r="F13" s="46">
        <v>1</v>
      </c>
      <c r="G13" s="46">
        <v>1</v>
      </c>
      <c r="H13" s="46">
        <v>1</v>
      </c>
      <c r="I13" s="46">
        <v>1</v>
      </c>
      <c r="J13" s="46">
        <v>1</v>
      </c>
      <c r="K13" s="34">
        <v>0</v>
      </c>
      <c r="L13" s="46">
        <v>1</v>
      </c>
      <c r="M13" s="46">
        <v>1</v>
      </c>
    </row>
    <row r="14" spans="1:13">
      <c r="A14" s="45" t="s">
        <v>381</v>
      </c>
      <c r="B14" s="31" t="s">
        <v>382</v>
      </c>
      <c r="C14" s="33" t="s">
        <v>478</v>
      </c>
      <c r="D14" s="46">
        <v>1</v>
      </c>
      <c r="E14" s="46">
        <v>1</v>
      </c>
      <c r="F14" s="46">
        <v>1</v>
      </c>
      <c r="G14" s="46">
        <v>1</v>
      </c>
      <c r="H14" s="46">
        <v>1</v>
      </c>
      <c r="I14" s="47" t="s">
        <v>477</v>
      </c>
      <c r="J14" s="46">
        <v>1</v>
      </c>
      <c r="K14" s="34">
        <v>0</v>
      </c>
      <c r="L14" s="46">
        <v>1</v>
      </c>
      <c r="M14" s="46">
        <v>1</v>
      </c>
    </row>
    <row r="15" spans="1:13">
      <c r="A15" s="45" t="s">
        <v>381</v>
      </c>
      <c r="B15" s="31" t="s">
        <v>390</v>
      </c>
      <c r="C15" s="48" t="s">
        <v>359</v>
      </c>
      <c r="D15" s="46">
        <v>1</v>
      </c>
      <c r="E15" s="46">
        <v>1</v>
      </c>
      <c r="F15" s="46">
        <v>1</v>
      </c>
      <c r="G15" s="47" t="s">
        <v>477</v>
      </c>
      <c r="H15" s="46">
        <v>1</v>
      </c>
      <c r="I15" s="34">
        <v>0</v>
      </c>
      <c r="J15" s="46">
        <v>1</v>
      </c>
      <c r="K15" s="34">
        <v>0</v>
      </c>
      <c r="L15" s="46">
        <v>1</v>
      </c>
      <c r="M15" s="46">
        <v>1</v>
      </c>
    </row>
    <row r="16" spans="1:13">
      <c r="A16" s="45" t="s">
        <v>398</v>
      </c>
      <c r="B16" s="31" t="s">
        <v>190</v>
      </c>
      <c r="C16" s="33" t="s">
        <v>478</v>
      </c>
      <c r="D16" s="34">
        <v>0</v>
      </c>
      <c r="E16" s="34">
        <v>0</v>
      </c>
      <c r="F16" s="46">
        <v>1</v>
      </c>
      <c r="G16" s="46">
        <v>1</v>
      </c>
      <c r="H16" s="46">
        <v>1</v>
      </c>
      <c r="I16" s="34">
        <v>0</v>
      </c>
      <c r="J16" s="46">
        <v>1</v>
      </c>
      <c r="K16" s="34">
        <v>0</v>
      </c>
      <c r="L16" s="46">
        <v>1</v>
      </c>
      <c r="M16" s="46">
        <v>1</v>
      </c>
    </row>
    <row r="17" spans="1:13">
      <c r="A17" s="45" t="s">
        <v>398</v>
      </c>
      <c r="B17" s="31" t="s">
        <v>399</v>
      </c>
      <c r="C17" s="33" t="s">
        <v>478</v>
      </c>
      <c r="D17" s="34">
        <v>0</v>
      </c>
      <c r="E17" s="34">
        <v>0</v>
      </c>
      <c r="F17" s="46">
        <v>1</v>
      </c>
      <c r="G17" s="46">
        <v>1</v>
      </c>
      <c r="H17" s="46">
        <v>1</v>
      </c>
      <c r="I17" s="34">
        <v>0</v>
      </c>
      <c r="J17" s="47" t="s">
        <v>477</v>
      </c>
      <c r="K17" s="34">
        <v>0</v>
      </c>
      <c r="L17" s="46">
        <v>1</v>
      </c>
      <c r="M17" s="47" t="s">
        <v>477</v>
      </c>
    </row>
    <row r="18" spans="1:13">
      <c r="A18" s="45" t="s">
        <v>398</v>
      </c>
      <c r="B18" s="31" t="s">
        <v>407</v>
      </c>
      <c r="C18" s="48" t="s">
        <v>359</v>
      </c>
      <c r="D18" s="34">
        <v>0</v>
      </c>
      <c r="E18" s="46">
        <v>1</v>
      </c>
      <c r="F18" s="46">
        <v>1</v>
      </c>
      <c r="G18" s="46">
        <v>1</v>
      </c>
      <c r="H18" s="46">
        <v>1</v>
      </c>
      <c r="I18" s="34">
        <v>0</v>
      </c>
      <c r="J18" s="46">
        <v>1</v>
      </c>
      <c r="K18" s="34">
        <v>0</v>
      </c>
      <c r="L18" s="46">
        <v>1</v>
      </c>
      <c r="M18" s="46">
        <v>1</v>
      </c>
    </row>
    <row r="19" spans="1:13">
      <c r="A19" s="45" t="s">
        <v>415</v>
      </c>
      <c r="B19" s="31" t="s">
        <v>194</v>
      </c>
      <c r="C19" s="33" t="s">
        <v>478</v>
      </c>
      <c r="D19" s="34">
        <v>0</v>
      </c>
      <c r="E19" s="46">
        <v>1</v>
      </c>
      <c r="F19" s="46">
        <v>1</v>
      </c>
      <c r="G19" s="46">
        <v>1</v>
      </c>
      <c r="H19" s="46">
        <v>1</v>
      </c>
      <c r="I19" s="46">
        <v>1</v>
      </c>
      <c r="J19" s="47" t="s">
        <v>477</v>
      </c>
      <c r="K19" s="34">
        <v>0</v>
      </c>
      <c r="L19" s="46">
        <v>1</v>
      </c>
      <c r="M19" s="46">
        <v>1</v>
      </c>
    </row>
    <row r="20" spans="1:13">
      <c r="A20" s="45" t="s">
        <v>415</v>
      </c>
      <c r="B20" s="31" t="s">
        <v>416</v>
      </c>
      <c r="C20" s="48" t="s">
        <v>359</v>
      </c>
      <c r="D20" s="34">
        <v>0</v>
      </c>
      <c r="E20" s="34">
        <v>0</v>
      </c>
      <c r="F20" s="46">
        <v>1</v>
      </c>
      <c r="G20" s="46">
        <v>1</v>
      </c>
      <c r="H20" s="46">
        <v>1</v>
      </c>
      <c r="I20" s="46">
        <v>1</v>
      </c>
      <c r="J20" s="34">
        <v>0</v>
      </c>
      <c r="K20" s="34">
        <v>0</v>
      </c>
      <c r="L20" s="46">
        <v>1</v>
      </c>
      <c r="M20" s="46">
        <v>1</v>
      </c>
    </row>
    <row r="21" spans="1:13">
      <c r="A21" s="45" t="s">
        <v>415</v>
      </c>
      <c r="B21" s="31" t="s">
        <v>424</v>
      </c>
      <c r="C21" s="33" t="s">
        <v>478</v>
      </c>
      <c r="D21" s="34">
        <v>0</v>
      </c>
      <c r="E21" s="46">
        <v>1</v>
      </c>
      <c r="F21" s="46">
        <v>1</v>
      </c>
      <c r="G21" s="46">
        <v>1</v>
      </c>
      <c r="H21" s="46">
        <v>1</v>
      </c>
      <c r="I21" s="47" t="s">
        <v>477</v>
      </c>
      <c r="J21" s="47" t="s">
        <v>477</v>
      </c>
      <c r="K21" s="34">
        <v>0</v>
      </c>
      <c r="L21" s="46">
        <v>1</v>
      </c>
      <c r="M21" s="46">
        <v>1</v>
      </c>
    </row>
    <row r="22" spans="1:13">
      <c r="A22" s="45" t="s">
        <v>431</v>
      </c>
      <c r="B22" s="38" t="s">
        <v>197</v>
      </c>
      <c r="C22" s="33" t="s">
        <v>478</v>
      </c>
      <c r="D22" s="47" t="s">
        <v>477</v>
      </c>
      <c r="E22" s="47" t="s">
        <v>477</v>
      </c>
      <c r="F22" s="47" t="s">
        <v>477</v>
      </c>
      <c r="G22" s="47" t="s">
        <v>477</v>
      </c>
      <c r="H22" s="47" t="s">
        <v>477</v>
      </c>
      <c r="I22" s="46">
        <v>1</v>
      </c>
      <c r="J22" s="47" t="s">
        <v>477</v>
      </c>
      <c r="K22" s="34">
        <v>0</v>
      </c>
      <c r="L22" s="47" t="s">
        <v>477</v>
      </c>
      <c r="M22" s="47" t="s">
        <v>477</v>
      </c>
    </row>
    <row r="23" spans="1:13">
      <c r="A23" s="45" t="s">
        <v>431</v>
      </c>
      <c r="B23" s="31" t="s">
        <v>432</v>
      </c>
      <c r="C23" s="48" t="s">
        <v>359</v>
      </c>
      <c r="D23" s="46">
        <v>1</v>
      </c>
      <c r="E23" s="46">
        <v>1</v>
      </c>
      <c r="F23" s="46">
        <v>1</v>
      </c>
      <c r="G23" s="46">
        <v>1</v>
      </c>
      <c r="H23" s="46">
        <v>1</v>
      </c>
      <c r="I23" s="46">
        <v>1</v>
      </c>
      <c r="J23" s="34">
        <v>0</v>
      </c>
      <c r="K23" s="34">
        <v>0</v>
      </c>
      <c r="L23" s="46">
        <v>1</v>
      </c>
      <c r="M23" s="46">
        <v>1</v>
      </c>
    </row>
    <row r="24" spans="1:13">
      <c r="A24" s="45" t="s">
        <v>431</v>
      </c>
      <c r="B24" s="31" t="s">
        <v>439</v>
      </c>
      <c r="C24" s="48" t="s">
        <v>359</v>
      </c>
      <c r="D24" s="46">
        <v>1</v>
      </c>
      <c r="E24" s="46">
        <v>1</v>
      </c>
      <c r="F24" s="47" t="s">
        <v>477</v>
      </c>
      <c r="G24" s="46">
        <v>1</v>
      </c>
      <c r="H24" s="46">
        <v>1</v>
      </c>
      <c r="I24" s="46">
        <v>1</v>
      </c>
      <c r="J24" s="46">
        <v>1</v>
      </c>
      <c r="K24" s="34">
        <v>0</v>
      </c>
      <c r="L24" s="46">
        <v>1</v>
      </c>
      <c r="M24" s="47" t="s">
        <v>477</v>
      </c>
    </row>
    <row r="25" spans="1:13">
      <c r="A25" s="45" t="s">
        <v>447</v>
      </c>
      <c r="B25" s="38" t="s">
        <v>200</v>
      </c>
      <c r="C25" s="33" t="s">
        <v>478</v>
      </c>
      <c r="D25" s="47" t="s">
        <v>477</v>
      </c>
      <c r="E25" s="47" t="s">
        <v>477</v>
      </c>
      <c r="F25" s="46">
        <v>1</v>
      </c>
      <c r="G25" s="47" t="s">
        <v>477</v>
      </c>
      <c r="H25" s="47" t="s">
        <v>477</v>
      </c>
      <c r="I25" s="34">
        <v>0</v>
      </c>
      <c r="J25" s="46">
        <v>1</v>
      </c>
      <c r="K25" s="34">
        <v>0</v>
      </c>
      <c r="L25" s="46">
        <v>1</v>
      </c>
      <c r="M25" s="47" t="s">
        <v>477</v>
      </c>
    </row>
    <row r="26" spans="1:13">
      <c r="A26" s="45" t="s">
        <v>447</v>
      </c>
      <c r="B26" s="38" t="s">
        <v>448</v>
      </c>
      <c r="C26" s="33" t="s">
        <v>478</v>
      </c>
      <c r="D26" s="46">
        <v>1</v>
      </c>
      <c r="E26" s="47" t="s">
        <v>477</v>
      </c>
      <c r="F26" s="46">
        <v>1</v>
      </c>
      <c r="G26" s="47" t="s">
        <v>477</v>
      </c>
      <c r="H26" s="46">
        <v>1</v>
      </c>
      <c r="I26" s="46">
        <v>1</v>
      </c>
      <c r="J26" s="46">
        <v>1</v>
      </c>
      <c r="K26" s="34">
        <v>0</v>
      </c>
      <c r="L26" s="46">
        <v>1</v>
      </c>
      <c r="M26" s="47" t="s">
        <v>477</v>
      </c>
    </row>
    <row r="27" spans="1:13">
      <c r="A27" s="45" t="s">
        <v>447</v>
      </c>
      <c r="B27" s="38" t="s">
        <v>456</v>
      </c>
      <c r="C27" s="33" t="s">
        <v>478</v>
      </c>
      <c r="D27" s="47" t="s">
        <v>477</v>
      </c>
      <c r="E27" s="47" t="s">
        <v>477</v>
      </c>
      <c r="F27" s="46">
        <v>1</v>
      </c>
      <c r="G27" s="46">
        <v>1</v>
      </c>
      <c r="H27" s="47" t="s">
        <v>477</v>
      </c>
      <c r="I27" s="34">
        <v>0</v>
      </c>
      <c r="J27" s="46">
        <v>1</v>
      </c>
      <c r="K27" s="34">
        <v>0</v>
      </c>
      <c r="L27" s="46">
        <v>1</v>
      </c>
      <c r="M27" s="46">
        <v>1</v>
      </c>
    </row>
    <row r="29" spans="1:13" ht="16">
      <c r="A29" s="49" t="s">
        <v>479</v>
      </c>
    </row>
    <row r="30" spans="1:13" ht="31.5" customHeight="1">
      <c r="A30" s="50" t="s">
        <v>480</v>
      </c>
      <c r="B30" s="51" t="s">
        <v>481</v>
      </c>
      <c r="C30" s="50" t="s">
        <v>482</v>
      </c>
      <c r="D30" s="50" t="s">
        <v>483</v>
      </c>
      <c r="E30" s="50" t="s">
        <v>484</v>
      </c>
      <c r="F30" s="50" t="s">
        <v>485</v>
      </c>
    </row>
    <row r="31" spans="1:13">
      <c r="A31" s="52" t="s">
        <v>466</v>
      </c>
      <c r="B31" s="53">
        <f>COUNTIF($D$2:$D$27,1)</f>
        <v>17</v>
      </c>
      <c r="C31" s="54">
        <f>IFERROR(COUNTIF($D$2:$D$27,1)/(COUNTIF($D$2:$D$27,1)+COUNTIF($D$2:$D$27,0)),"-")</f>
        <v>0.73913043478260865</v>
      </c>
      <c r="D31" s="54">
        <f>IFERROR(COUNTIFS($D$2:$D$27,1,$C$2:$C$27,"예")/(COUNTIFS($D$2:$D$27,1,$C$2:$C$27,"예")+COUNTIFS($D$2:$D$27,0,$C$2:$C$27,"예")),"-")</f>
        <v>0.66666666666666663</v>
      </c>
      <c r="E31" s="54">
        <f>IFERROR(COUNTIFS($D$2:$D$27,1,$C$2:$C$27,"아니오")/(COUNTIFS($D$2:$D$27,1,$C$2:$C$27,"아니오")+COUNTIFS($D$2:$D$27,0,$C$2:$C$27,"아니오")),"-")</f>
        <v>1</v>
      </c>
      <c r="F31" s="54">
        <f t="shared" ref="F31:F40" si="0">IFERROR(D31-E31,"-")</f>
        <v>-0.33333333333333337</v>
      </c>
    </row>
    <row r="32" spans="1:13">
      <c r="A32" s="52" t="s">
        <v>486</v>
      </c>
      <c r="B32" s="53">
        <f>COUNTIF($E$2:$E$27,1)</f>
        <v>19</v>
      </c>
      <c r="C32" s="54">
        <f>IFERROR(COUNTIF($E$2:$E$27,1)/(COUNTIF($E$2:$E$27,1)+COUNTIF($E$2:$E$27,0)),"-")</f>
        <v>0.86363636363636365</v>
      </c>
      <c r="D32" s="54">
        <f>IFERROR(COUNTIFS($E$2:$E$27,1,$C$2:$C$27,"예")/(COUNTIFS($E$2:$E$27,1,$C$2:$C$27,"예")+COUNTIFS($E$2:$E$27,0,$C$2:$C$27,"예")),"-")</f>
        <v>0.81818181818181823</v>
      </c>
      <c r="E32" s="54">
        <f>IFERROR(COUNTIFS($E$2:$E$27,1,$C$2:$C$27,"아니오")/(COUNTIFS($E$2:$E$27,1,$C$2:$C$27,"아니오")+COUNTIFS($E$2:$E$27,0,$C$2:$C$27,"아니오")),"-")</f>
        <v>1</v>
      </c>
      <c r="F32" s="54">
        <f t="shared" si="0"/>
        <v>-0.18181818181818177</v>
      </c>
    </row>
    <row r="33" spans="1:12">
      <c r="A33" s="52" t="s">
        <v>487</v>
      </c>
      <c r="B33" s="53">
        <f>COUNTIF($F$2:$F$27,1)</f>
        <v>17</v>
      </c>
      <c r="C33" s="54">
        <f>IFERROR(COUNTIF($F$2:$F$27,1)/(COUNTIF($F$2:$F$27,1)+COUNTIF($F$2:$F$27,0)),"-")</f>
        <v>1</v>
      </c>
      <c r="D33" s="54">
        <f>IFERROR(COUNTIFS($F$2:$F$27,1,$C$2:$C$27,"예")/(COUNTIFS($F$2:$F$27,1,$C$2:$C$27,"예")+COUNTIFS($F$2:$F$27,0,$C$2:$C$27,"예")),"-")</f>
        <v>1</v>
      </c>
      <c r="E33" s="54" t="str">
        <f>IFERROR(COUNTIFS($F$2:$F$27,1,$C$2:$C$27,"아니오")/(COUNTIFS($F$2:$F$27,1,$C$2:$C$27,"아니오")+COUNTIFS($F$2:$F$27,0,$C$2:$C$27,"아니오")),"-")</f>
        <v>-</v>
      </c>
      <c r="F33" s="54" t="str">
        <f t="shared" si="0"/>
        <v>-</v>
      </c>
    </row>
    <row r="34" spans="1:12">
      <c r="A34" s="52" t="s">
        <v>469</v>
      </c>
      <c r="B34" s="53">
        <f>COUNTIF($G$2:$G$27,1)</f>
        <v>11</v>
      </c>
      <c r="C34" s="54">
        <f>IFERROR(COUNTIF($G$2:$G$27,1)/(COUNTIF($G$2:$G$27,1)+COUNTIF($G$2:$G$27,0)),"-")</f>
        <v>0.84615384615384615</v>
      </c>
      <c r="D34" s="54">
        <f>IFERROR(COUNTIFS($G$2:$G$27,1,$C$2:$C$27,"예")/(COUNTIFS($G$2:$G$27,1,$C$2:$C$27,"예")+COUNTIFS($G$2:$G$27,0,$C$2:$C$27,"예")),"-")</f>
        <v>0.875</v>
      </c>
      <c r="E34" s="54">
        <f>IFERROR(COUNTIFS($G$2:$G$27,1,$C$2:$C$27,"아니오")/(COUNTIFS($G$2:$G$27,1,$C$2:$C$27,"아니오")+COUNTIFS($G$2:$G$27,0,$C$2:$C$27,"아니오")),"-")</f>
        <v>0</v>
      </c>
      <c r="F34" s="54">
        <f t="shared" si="0"/>
        <v>0.875</v>
      </c>
    </row>
    <row r="35" spans="1:12">
      <c r="A35" s="52" t="s">
        <v>488</v>
      </c>
      <c r="B35" s="53">
        <f>COUNTIF($H$2:$H$27,1)</f>
        <v>14</v>
      </c>
      <c r="C35" s="54">
        <f>IFERROR(COUNTIF($H$2:$H$27,1)/(COUNTIF($H$2:$H$27,1)+COUNTIF($H$2:$H$27,0)),"-")</f>
        <v>0.93333333333333335</v>
      </c>
      <c r="D35" s="54">
        <f>IFERROR(COUNTIFS($H$2:$H$27,1,$C$2:$C$27,"예")/(COUNTIFS($H$2:$H$27,1,$C$2:$C$27,"예")+COUNTIFS($H$2:$H$27,0,$C$2:$C$27,"예")),"-")</f>
        <v>1</v>
      </c>
      <c r="E35" s="54">
        <f>IFERROR(COUNTIFS($H$2:$H$27,1,$C$2:$C$27,"아니오")/(COUNTIFS($H$2:$H$27,1,$C$2:$C$27,"아니오")+COUNTIFS($H$2:$H$27,0,$C$2:$C$27,"아니오")),"-")</f>
        <v>0</v>
      </c>
      <c r="F35" s="54">
        <f t="shared" si="0"/>
        <v>1</v>
      </c>
    </row>
    <row r="36" spans="1:12">
      <c r="A36" s="52" t="s">
        <v>489</v>
      </c>
      <c r="B36" s="53">
        <f>COUNTIF($I$2:$I$27,1)</f>
        <v>7</v>
      </c>
      <c r="C36" s="54">
        <f>IFERROR(COUNTIF($I$2:$I$27,1)/(COUNTIF($I$2:$I$27,1)+COUNTIF($I$2:$I$27,0)),"-")</f>
        <v>0.29166666666666669</v>
      </c>
      <c r="D36" s="54">
        <f>IFERROR(COUNTIFS($I$2:$I$27,1,$C$2:$C$27,"예")/(COUNTIFS($I$2:$I$27,1,$C$2:$C$27,"예")+COUNTIFS($I$2:$I$27,0,$C$2:$C$27,"예")),"-")</f>
        <v>0.30769230769230771</v>
      </c>
      <c r="E36" s="54">
        <f>IFERROR(COUNTIFS($I$2:$I$27,1,$C$2:$C$27,"아니오")/(COUNTIFS($I$2:$I$27,1,$C$2:$C$27,"아니오")+COUNTIFS($I$2:$I$27,0,$C$2:$C$27,"아니오")),"-")</f>
        <v>0</v>
      </c>
      <c r="F36" s="54">
        <f t="shared" si="0"/>
        <v>0.30769230769230771</v>
      </c>
    </row>
    <row r="37" spans="1:12">
      <c r="A37" s="52" t="s">
        <v>490</v>
      </c>
      <c r="B37" s="53">
        <f>COUNTIF($J$2:$J$27,1)</f>
        <v>9</v>
      </c>
      <c r="C37" s="54">
        <f>IFERROR(COUNTIF($J$2:$J$27,1)/(COUNTIF($J$2:$J$27,1)+COUNTIF($J$2:$J$27,0)),"-")</f>
        <v>0.40909090909090912</v>
      </c>
      <c r="D37" s="54">
        <f>IFERROR(COUNTIFS($J$2:$J$27,1,$C$2:$C$27,"예")/(COUNTIFS($J$2:$J$27,1,$C$2:$C$27,"예")+COUNTIFS($J$2:$J$27,0,$C$2:$C$27,"예")),"-")</f>
        <v>0.54545454545454541</v>
      </c>
      <c r="E37" s="54">
        <f>IFERROR(COUNTIFS($J$2:$J$27,1,$C$2:$C$27,"아니오")/(COUNTIFS($J$2:$J$27,1,$C$2:$C$27,"아니오")+COUNTIFS($J$2:$J$27,0,$C$2:$C$27,"아니오")),"-")</f>
        <v>0</v>
      </c>
      <c r="F37" s="54">
        <f t="shared" si="0"/>
        <v>0.54545454545454541</v>
      </c>
    </row>
    <row r="38" spans="1:12">
      <c r="A38" s="52" t="s">
        <v>473</v>
      </c>
      <c r="B38" s="53">
        <f>COUNTIF($K$2:$K$27,1)</f>
        <v>5</v>
      </c>
      <c r="C38" s="54">
        <f>IFERROR(COUNTIF($K$2:$K$27,1)/(COUNTIF($K$2:$K$27,1)+COUNTIF($K$2:$K$27,0)),"-")</f>
        <v>0.20833333333333334</v>
      </c>
      <c r="D38" s="54">
        <f>IFERROR(COUNTIFS($K$2:$K$27,1,$C$2:$C$27,"예")/(COUNTIFS($K$2:$K$27,1,$C$2:$C$27,"예")+COUNTIFS($K$2:$K$27,0,$C$2:$C$27,"예")),"-")</f>
        <v>6.6666666666666666E-2</v>
      </c>
      <c r="E38" s="54">
        <f>IFERROR(COUNTIFS($K$2:$K$27,1,$C$2:$C$27,"아니오")/(COUNTIFS($K$2:$K$27,1,$C$2:$C$27,"아니오")+COUNTIFS($K$2:$K$27,0,$C$2:$C$27,"아니오")),"-")</f>
        <v>1</v>
      </c>
      <c r="F38" s="54">
        <f t="shared" si="0"/>
        <v>-0.93333333333333335</v>
      </c>
    </row>
    <row r="39" spans="1:12">
      <c r="A39" s="52" t="s">
        <v>474</v>
      </c>
      <c r="B39" s="53">
        <f>COUNTIF($L$2:$L$27,1)</f>
        <v>19</v>
      </c>
      <c r="C39" s="54">
        <f>IFERROR(COUNTIF($L$2:$L$27,1)/(COUNTIF($L$2:$L$27,1)+COUNTIF($L$2:$L$27,0)),"-")</f>
        <v>0.82608695652173914</v>
      </c>
      <c r="D39" s="54">
        <f>IFERROR(COUNTIFS($L$2:$L$27,1,$C$2:$C$27,"예")/(COUNTIFS($L$2:$L$27,1,$C$2:$C$27,"예")+COUNTIFS($L$2:$L$27,0,$C$2:$C$27,"예")),"-")</f>
        <v>1</v>
      </c>
      <c r="E39" s="54">
        <f>IFERROR(COUNTIFS($L$2:$L$27,1,$C$2:$C$27,"아니오")/(COUNTIFS($L$2:$L$27,1,$C$2:$C$27,"아니오")+COUNTIFS($L$2:$L$27,0,$C$2:$C$27,"아니오")),"-")</f>
        <v>0</v>
      </c>
      <c r="F39" s="54">
        <f t="shared" si="0"/>
        <v>1</v>
      </c>
    </row>
    <row r="40" spans="1:12">
      <c r="A40" s="52" t="s">
        <v>491</v>
      </c>
      <c r="B40" s="53">
        <f>COUNTIF($M$2:$M$27,1)</f>
        <v>12</v>
      </c>
      <c r="C40" s="54">
        <f>IFERROR(COUNTIF($M$2:$M$27,1)/(COUNTIF($M$2:$M$27,1)+COUNTIF($M$2:$M$27,0)),"-")</f>
        <v>1</v>
      </c>
      <c r="D40" s="54">
        <f>IFERROR(COUNTIFS($M$2:$M$27,1,$C$2:$C$27,"예")/(COUNTIFS($M$2:$M$27,1,$C$2:$C$27,"예")+COUNTIFS($M$2:$M$27,0,$C$2:$C$27,"예")),"-")</f>
        <v>1</v>
      </c>
      <c r="E40" s="54" t="str">
        <f>IFERROR(COUNTIFS($M$2:$M$27,1,$C$2:$C$27,"아니오")/(COUNTIFS($M$2:$M$27,1,$C$2:$C$27,"아니오")+COUNTIFS($M$2:$M$27,0,$C$2:$C$27,"아니오")),"-")</f>
        <v>-</v>
      </c>
      <c r="F40" s="54" t="str">
        <f t="shared" si="0"/>
        <v>-</v>
      </c>
    </row>
    <row r="42" spans="1:12" ht="16">
      <c r="A42" s="49" t="s">
        <v>492</v>
      </c>
    </row>
    <row r="43" spans="1:12" ht="60" customHeight="1">
      <c r="A43" s="50" t="s">
        <v>345</v>
      </c>
      <c r="B43" s="50" t="s">
        <v>493</v>
      </c>
      <c r="C43" s="50" t="s">
        <v>466</v>
      </c>
      <c r="D43" s="50" t="s">
        <v>467</v>
      </c>
      <c r="E43" s="50" t="s">
        <v>468</v>
      </c>
      <c r="F43" s="50" t="s">
        <v>469</v>
      </c>
      <c r="G43" s="50" t="s">
        <v>470</v>
      </c>
      <c r="H43" s="50" t="s">
        <v>471</v>
      </c>
      <c r="I43" s="50" t="s">
        <v>472</v>
      </c>
      <c r="J43" s="50" t="s">
        <v>473</v>
      </c>
      <c r="K43" s="50" t="s">
        <v>474</v>
      </c>
      <c r="L43" s="50" t="s">
        <v>475</v>
      </c>
    </row>
    <row r="44" spans="1:12">
      <c r="A44" s="53" t="s">
        <v>348</v>
      </c>
      <c r="B44" s="55">
        <f t="shared" ref="B44:B50" si="1">COUNTIF($A$2:$A$27,A44)</f>
        <v>7</v>
      </c>
      <c r="C44" s="55">
        <f t="shared" ref="C44:C50" si="2">COUNTIFS($A$2:$A$27,$A44,$D$2:$D$27,1)</f>
        <v>7</v>
      </c>
      <c r="D44" s="55">
        <f t="shared" ref="D44:D50" si="3">COUNTIFS($A$2:$A$27,$A44,$E$2:$E$27,1)</f>
        <v>7</v>
      </c>
      <c r="E44" s="55">
        <f t="shared" ref="E44:E50" si="4">COUNTIFS($A$2:$A$27,$A44,$F$2:$F$27,1)</f>
        <v>0</v>
      </c>
      <c r="F44" s="55">
        <f t="shared" ref="F44:F50" si="5">COUNTIFS($A$2:$A$27,$A44,$G$2:$G$27,1)</f>
        <v>0</v>
      </c>
      <c r="G44" s="55">
        <f t="shared" ref="G44:G50" si="6">COUNTIFS($A$2:$A$27,$A44,$H$2:$H$27,1)</f>
        <v>0</v>
      </c>
      <c r="H44" s="55">
        <f t="shared" ref="H44:H50" si="7">COUNTIFS($A$2:$A$27,$A44,$I$2:$I$27,1)</f>
        <v>0</v>
      </c>
      <c r="I44" s="55">
        <f t="shared" ref="I44:I50" si="8">COUNTIFS($A$2:$A$27,$A44,$J$2:$J$27,1)</f>
        <v>0</v>
      </c>
      <c r="J44" s="55">
        <f t="shared" ref="J44:J50" si="9">COUNTIFS($A$2:$A$27,$A44,$K$2:$K$27,1)</f>
        <v>5</v>
      </c>
      <c r="K44" s="55">
        <f t="shared" ref="K44:K50" si="10">COUNTIFS($A$2:$A$27,$A44,$L$2:$L$27,1)</f>
        <v>1</v>
      </c>
      <c r="L44" s="55">
        <f t="shared" ref="L44:L50" si="11">COUNTIFS($A$2:$A$27,$A44,$M$2:$M$27,1)</f>
        <v>0</v>
      </c>
    </row>
    <row r="45" spans="1:12">
      <c r="A45" s="53" t="s">
        <v>363</v>
      </c>
      <c r="B45" s="55">
        <f t="shared" si="1"/>
        <v>4</v>
      </c>
      <c r="C45" s="55">
        <f t="shared" si="2"/>
        <v>4</v>
      </c>
      <c r="D45" s="55">
        <f t="shared" si="3"/>
        <v>4</v>
      </c>
      <c r="E45" s="55">
        <f t="shared" si="4"/>
        <v>4</v>
      </c>
      <c r="F45" s="55">
        <f t="shared" si="5"/>
        <v>0</v>
      </c>
      <c r="G45" s="55">
        <f t="shared" si="6"/>
        <v>2</v>
      </c>
      <c r="H45" s="55">
        <f t="shared" si="7"/>
        <v>0</v>
      </c>
      <c r="I45" s="55">
        <f t="shared" si="8"/>
        <v>0</v>
      </c>
      <c r="J45" s="55">
        <f t="shared" si="9"/>
        <v>0</v>
      </c>
      <c r="K45" s="55">
        <f t="shared" si="10"/>
        <v>4</v>
      </c>
      <c r="L45" s="55">
        <f t="shared" si="11"/>
        <v>2</v>
      </c>
    </row>
    <row r="46" spans="1:12">
      <c r="A46" s="53" t="s">
        <v>381</v>
      </c>
      <c r="B46" s="55">
        <f t="shared" si="1"/>
        <v>3</v>
      </c>
      <c r="C46" s="55">
        <f t="shared" si="2"/>
        <v>3</v>
      </c>
      <c r="D46" s="55">
        <f t="shared" si="3"/>
        <v>3</v>
      </c>
      <c r="E46" s="55">
        <f t="shared" si="4"/>
        <v>3</v>
      </c>
      <c r="F46" s="55">
        <f t="shared" si="5"/>
        <v>2</v>
      </c>
      <c r="G46" s="55">
        <f t="shared" si="6"/>
        <v>3</v>
      </c>
      <c r="H46" s="55">
        <f t="shared" si="7"/>
        <v>1</v>
      </c>
      <c r="I46" s="55">
        <f t="shared" si="8"/>
        <v>3</v>
      </c>
      <c r="J46" s="55">
        <f t="shared" si="9"/>
        <v>0</v>
      </c>
      <c r="K46" s="55">
        <f t="shared" si="10"/>
        <v>3</v>
      </c>
      <c r="L46" s="55">
        <f t="shared" si="11"/>
        <v>3</v>
      </c>
    </row>
    <row r="47" spans="1:12">
      <c r="A47" s="53" t="s">
        <v>398</v>
      </c>
      <c r="B47" s="55">
        <f t="shared" si="1"/>
        <v>3</v>
      </c>
      <c r="C47" s="55">
        <f t="shared" si="2"/>
        <v>0</v>
      </c>
      <c r="D47" s="55">
        <f t="shared" si="3"/>
        <v>1</v>
      </c>
      <c r="E47" s="55">
        <f t="shared" si="4"/>
        <v>3</v>
      </c>
      <c r="F47" s="55">
        <f t="shared" si="5"/>
        <v>3</v>
      </c>
      <c r="G47" s="55">
        <f t="shared" si="6"/>
        <v>3</v>
      </c>
      <c r="H47" s="55">
        <f t="shared" si="7"/>
        <v>0</v>
      </c>
      <c r="I47" s="55">
        <f t="shared" si="8"/>
        <v>2</v>
      </c>
      <c r="J47" s="55">
        <f t="shared" si="9"/>
        <v>0</v>
      </c>
      <c r="K47" s="55">
        <f t="shared" si="10"/>
        <v>3</v>
      </c>
      <c r="L47" s="55">
        <f t="shared" si="11"/>
        <v>2</v>
      </c>
    </row>
    <row r="48" spans="1:12">
      <c r="A48" s="53" t="s">
        <v>415</v>
      </c>
      <c r="B48" s="55">
        <f t="shared" si="1"/>
        <v>3</v>
      </c>
      <c r="C48" s="55">
        <f t="shared" si="2"/>
        <v>0</v>
      </c>
      <c r="D48" s="55">
        <f t="shared" si="3"/>
        <v>2</v>
      </c>
      <c r="E48" s="55">
        <f t="shared" si="4"/>
        <v>3</v>
      </c>
      <c r="F48" s="55">
        <f t="shared" si="5"/>
        <v>3</v>
      </c>
      <c r="G48" s="55">
        <f t="shared" si="6"/>
        <v>3</v>
      </c>
      <c r="H48" s="55">
        <f t="shared" si="7"/>
        <v>2</v>
      </c>
      <c r="I48" s="55">
        <f t="shared" si="8"/>
        <v>0</v>
      </c>
      <c r="J48" s="55">
        <f t="shared" si="9"/>
        <v>0</v>
      </c>
      <c r="K48" s="55">
        <f t="shared" si="10"/>
        <v>3</v>
      </c>
      <c r="L48" s="55">
        <f t="shared" si="11"/>
        <v>3</v>
      </c>
    </row>
    <row r="49" spans="1:12">
      <c r="A49" s="53" t="s">
        <v>431</v>
      </c>
      <c r="B49" s="55">
        <f t="shared" si="1"/>
        <v>3</v>
      </c>
      <c r="C49" s="55">
        <f t="shared" si="2"/>
        <v>2</v>
      </c>
      <c r="D49" s="55">
        <f t="shared" si="3"/>
        <v>2</v>
      </c>
      <c r="E49" s="55">
        <f t="shared" si="4"/>
        <v>1</v>
      </c>
      <c r="F49" s="55">
        <f t="shared" si="5"/>
        <v>2</v>
      </c>
      <c r="G49" s="55">
        <f t="shared" si="6"/>
        <v>2</v>
      </c>
      <c r="H49" s="55">
        <f t="shared" si="7"/>
        <v>3</v>
      </c>
      <c r="I49" s="55">
        <f t="shared" si="8"/>
        <v>1</v>
      </c>
      <c r="J49" s="55">
        <f t="shared" si="9"/>
        <v>0</v>
      </c>
      <c r="K49" s="55">
        <f t="shared" si="10"/>
        <v>2</v>
      </c>
      <c r="L49" s="55">
        <f t="shared" si="11"/>
        <v>1</v>
      </c>
    </row>
    <row r="50" spans="1:12">
      <c r="A50" s="53" t="s">
        <v>447</v>
      </c>
      <c r="B50" s="55">
        <f t="shared" si="1"/>
        <v>3</v>
      </c>
      <c r="C50" s="55">
        <f t="shared" si="2"/>
        <v>1</v>
      </c>
      <c r="D50" s="55">
        <f t="shared" si="3"/>
        <v>0</v>
      </c>
      <c r="E50" s="55">
        <f t="shared" si="4"/>
        <v>3</v>
      </c>
      <c r="F50" s="55">
        <f t="shared" si="5"/>
        <v>1</v>
      </c>
      <c r="G50" s="55">
        <f t="shared" si="6"/>
        <v>1</v>
      </c>
      <c r="H50" s="55">
        <f t="shared" si="7"/>
        <v>1</v>
      </c>
      <c r="I50" s="55">
        <f t="shared" si="8"/>
        <v>3</v>
      </c>
      <c r="J50" s="55">
        <f t="shared" si="9"/>
        <v>0</v>
      </c>
      <c r="K50" s="55">
        <f t="shared" si="10"/>
        <v>3</v>
      </c>
      <c r="L50" s="55">
        <f t="shared" si="11"/>
        <v>1</v>
      </c>
    </row>
    <row r="52" spans="1:12">
      <c r="A52" s="44" t="s">
        <v>494</v>
      </c>
    </row>
    <row r="53" spans="1:12">
      <c r="A53" s="44" t="s">
        <v>495</v>
      </c>
    </row>
    <row r="54" spans="1:12">
      <c r="A54" s="29" t="s">
        <v>496</v>
      </c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D22"/>
  <sheetViews>
    <sheetView zoomScaleNormal="100" workbookViewId="0"/>
  </sheetViews>
  <sheetFormatPr baseColWidth="10" defaultColWidth="8.6640625" defaultRowHeight="15"/>
  <cols>
    <col min="1" max="1" width="8" customWidth="1"/>
    <col min="2" max="2" width="34" customWidth="1"/>
    <col min="3" max="3" width="46" customWidth="1"/>
    <col min="4" max="4" width="80" customWidth="1"/>
  </cols>
  <sheetData>
    <row r="1" spans="1:4" ht="16">
      <c r="A1" s="26" t="s">
        <v>163</v>
      </c>
      <c r="B1" s="26" t="s">
        <v>497</v>
      </c>
      <c r="C1" s="26" t="s">
        <v>498</v>
      </c>
      <c r="D1" s="26" t="s">
        <v>499</v>
      </c>
    </row>
    <row r="2" spans="1:4" ht="30">
      <c r="A2" s="56">
        <v>1</v>
      </c>
      <c r="B2" s="39" t="s">
        <v>500</v>
      </c>
      <c r="C2" s="24" t="s">
        <v>501</v>
      </c>
      <c r="D2" s="25" t="s">
        <v>502</v>
      </c>
    </row>
    <row r="3" spans="1:4" ht="32">
      <c r="A3" s="56">
        <v>2</v>
      </c>
      <c r="B3" s="39" t="s">
        <v>503</v>
      </c>
      <c r="C3" s="24" t="s">
        <v>504</v>
      </c>
      <c r="D3" s="24" t="s">
        <v>505</v>
      </c>
    </row>
    <row r="4" spans="1:4" ht="16">
      <c r="A4" s="56">
        <v>3</v>
      </c>
      <c r="B4" s="42" t="s">
        <v>506</v>
      </c>
      <c r="C4" s="24" t="s">
        <v>507</v>
      </c>
      <c r="D4" s="25" t="s">
        <v>508</v>
      </c>
    </row>
    <row r="5" spans="1:4" ht="30">
      <c r="A5" s="56">
        <v>4</v>
      </c>
      <c r="B5" s="42" t="s">
        <v>509</v>
      </c>
      <c r="C5" s="24" t="s">
        <v>510</v>
      </c>
      <c r="D5" s="25" t="s">
        <v>511</v>
      </c>
    </row>
    <row r="6" spans="1:4" ht="16">
      <c r="A6" s="56">
        <v>5</v>
      </c>
      <c r="B6" s="42" t="s">
        <v>512</v>
      </c>
      <c r="C6" s="24" t="s">
        <v>513</v>
      </c>
      <c r="D6" s="25" t="s">
        <v>514</v>
      </c>
    </row>
    <row r="8" spans="1:4" ht="16">
      <c r="A8" s="49" t="s">
        <v>515</v>
      </c>
    </row>
    <row r="10" spans="1:4">
      <c r="A10" s="57" t="s">
        <v>163</v>
      </c>
      <c r="B10" s="57" t="s">
        <v>142</v>
      </c>
      <c r="C10" s="58" t="s">
        <v>516</v>
      </c>
      <c r="D10" s="57" t="s">
        <v>517</v>
      </c>
    </row>
    <row r="11" spans="1:4">
      <c r="A11" s="56">
        <v>1</v>
      </c>
      <c r="B11" s="25" t="s">
        <v>171</v>
      </c>
      <c r="C11" s="25" t="s">
        <v>167</v>
      </c>
      <c r="D11" s="24" t="s">
        <v>518</v>
      </c>
    </row>
    <row r="12" spans="1:4">
      <c r="A12" s="56">
        <v>2</v>
      </c>
      <c r="B12" s="25" t="s">
        <v>168</v>
      </c>
      <c r="C12" s="25" t="s">
        <v>167</v>
      </c>
      <c r="D12" s="24" t="s">
        <v>519</v>
      </c>
    </row>
    <row r="13" spans="1:4">
      <c r="A13" s="56">
        <v>3</v>
      </c>
      <c r="B13" s="25" t="s">
        <v>176</v>
      </c>
      <c r="C13" s="25" t="s">
        <v>167</v>
      </c>
      <c r="D13" s="24" t="s">
        <v>520</v>
      </c>
    </row>
    <row r="14" spans="1:4">
      <c r="A14" s="56">
        <v>4</v>
      </c>
      <c r="B14" s="25" t="s">
        <v>164</v>
      </c>
      <c r="C14" s="25" t="s">
        <v>167</v>
      </c>
      <c r="D14" s="24" t="s">
        <v>521</v>
      </c>
    </row>
    <row r="15" spans="1:4">
      <c r="A15" s="56">
        <v>5</v>
      </c>
      <c r="B15" s="25" t="s">
        <v>174</v>
      </c>
      <c r="C15" s="25" t="s">
        <v>167</v>
      </c>
      <c r="D15" s="24" t="s">
        <v>522</v>
      </c>
    </row>
    <row r="16" spans="1:4">
      <c r="A16" s="56">
        <v>6</v>
      </c>
      <c r="B16" s="25" t="s">
        <v>179</v>
      </c>
      <c r="C16" s="25" t="s">
        <v>182</v>
      </c>
      <c r="D16" s="24" t="s">
        <v>523</v>
      </c>
    </row>
    <row r="17" spans="1:4">
      <c r="A17" s="56">
        <v>7</v>
      </c>
      <c r="B17" s="24" t="s">
        <v>200</v>
      </c>
      <c r="C17" s="25" t="s">
        <v>182</v>
      </c>
      <c r="D17" s="24" t="s">
        <v>524</v>
      </c>
    </row>
    <row r="18" spans="1:4">
      <c r="A18" s="56">
        <v>8</v>
      </c>
      <c r="B18" s="25" t="s">
        <v>183</v>
      </c>
      <c r="C18" s="25" t="s">
        <v>186</v>
      </c>
      <c r="D18" s="24" t="s">
        <v>525</v>
      </c>
    </row>
    <row r="19" spans="1:4">
      <c r="A19" s="56">
        <v>9</v>
      </c>
      <c r="B19" s="25" t="s">
        <v>187</v>
      </c>
      <c r="C19" s="25" t="s">
        <v>186</v>
      </c>
      <c r="D19" s="25" t="s">
        <v>526</v>
      </c>
    </row>
    <row r="20" spans="1:4">
      <c r="A20" s="56">
        <v>10</v>
      </c>
      <c r="B20" s="24" t="s">
        <v>197</v>
      </c>
      <c r="C20" s="25" t="s">
        <v>186</v>
      </c>
      <c r="D20" s="25" t="s">
        <v>527</v>
      </c>
    </row>
    <row r="21" spans="1:4">
      <c r="A21" s="56">
        <v>11</v>
      </c>
      <c r="B21" s="25" t="s">
        <v>190</v>
      </c>
      <c r="C21" s="25" t="s">
        <v>193</v>
      </c>
      <c r="D21" s="24" t="s">
        <v>528</v>
      </c>
    </row>
    <row r="22" spans="1:4">
      <c r="A22" s="56">
        <v>12</v>
      </c>
      <c r="B22" s="25" t="s">
        <v>194</v>
      </c>
      <c r="C22" s="25" t="s">
        <v>193</v>
      </c>
      <c r="D22" s="24" t="s">
        <v>529</v>
      </c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7A7A"/>
  </sheetPr>
  <dimension ref="A1:H1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/>
  <cols>
    <col min="1" max="1" width="16" customWidth="1"/>
    <col min="2" max="2" width="44" customWidth="1"/>
    <col min="3" max="3" width="30" customWidth="1"/>
    <col min="4" max="4" width="28" customWidth="1"/>
    <col min="5" max="5" width="9" customWidth="1"/>
    <col min="6" max="6" width="22" customWidth="1"/>
    <col min="7" max="8" width="36" customWidth="1"/>
  </cols>
  <sheetData>
    <row r="1" spans="1:8" ht="16">
      <c r="A1" s="26" t="s">
        <v>142</v>
      </c>
      <c r="B1" s="26" t="s">
        <v>530</v>
      </c>
      <c r="C1" s="26" t="s">
        <v>531</v>
      </c>
      <c r="D1" s="26" t="s">
        <v>532</v>
      </c>
      <c r="E1" s="30" t="s">
        <v>154</v>
      </c>
      <c r="F1" s="26" t="s">
        <v>533</v>
      </c>
      <c r="G1" s="26" t="s">
        <v>534</v>
      </c>
      <c r="H1" s="26" t="s">
        <v>535</v>
      </c>
    </row>
    <row r="2" spans="1:8" ht="30">
      <c r="A2" s="39" t="s">
        <v>164</v>
      </c>
      <c r="B2" s="24" t="s">
        <v>536</v>
      </c>
      <c r="C2" s="24" t="s">
        <v>537</v>
      </c>
      <c r="D2" s="24" t="s">
        <v>538</v>
      </c>
      <c r="E2" s="59" t="s">
        <v>167</v>
      </c>
      <c r="F2" s="25" t="s">
        <v>539</v>
      </c>
      <c r="G2" s="25" t="s">
        <v>540</v>
      </c>
      <c r="H2" s="24" t="s">
        <v>541</v>
      </c>
    </row>
    <row r="3" spans="1:8" ht="30">
      <c r="A3" s="39" t="s">
        <v>168</v>
      </c>
      <c r="B3" s="24" t="s">
        <v>542</v>
      </c>
      <c r="C3" s="24" t="s">
        <v>543</v>
      </c>
      <c r="D3" s="24" t="s">
        <v>544</v>
      </c>
      <c r="E3" s="59" t="s">
        <v>167</v>
      </c>
      <c r="F3" s="25" t="s">
        <v>539</v>
      </c>
      <c r="G3" s="25" t="s">
        <v>545</v>
      </c>
      <c r="H3" s="24" t="s">
        <v>546</v>
      </c>
    </row>
    <row r="4" spans="1:8" ht="30">
      <c r="A4" s="39" t="s">
        <v>171</v>
      </c>
      <c r="B4" s="25" t="s">
        <v>547</v>
      </c>
      <c r="C4" s="24" t="s">
        <v>548</v>
      </c>
      <c r="D4" s="24" t="s">
        <v>549</v>
      </c>
      <c r="E4" s="59" t="s">
        <v>167</v>
      </c>
      <c r="F4" s="25" t="s">
        <v>550</v>
      </c>
      <c r="G4" s="24" t="s">
        <v>551</v>
      </c>
      <c r="H4" s="24" t="s">
        <v>552</v>
      </c>
    </row>
    <row r="5" spans="1:8">
      <c r="A5" s="39" t="s">
        <v>174</v>
      </c>
      <c r="B5" s="24" t="s">
        <v>553</v>
      </c>
      <c r="C5" s="24" t="s">
        <v>554</v>
      </c>
      <c r="D5" s="24" t="s">
        <v>555</v>
      </c>
      <c r="E5" s="59" t="s">
        <v>167</v>
      </c>
      <c r="F5" s="25" t="s">
        <v>556</v>
      </c>
      <c r="G5" s="24" t="s">
        <v>557</v>
      </c>
      <c r="H5" s="24" t="s">
        <v>558</v>
      </c>
    </row>
    <row r="6" spans="1:8">
      <c r="A6" s="39" t="s">
        <v>176</v>
      </c>
      <c r="B6" s="24" t="s">
        <v>559</v>
      </c>
      <c r="C6" s="24" t="s">
        <v>560</v>
      </c>
      <c r="D6" s="24" t="s">
        <v>561</v>
      </c>
      <c r="E6" s="59" t="s">
        <v>167</v>
      </c>
      <c r="F6" s="25" t="s">
        <v>539</v>
      </c>
      <c r="G6" s="25" t="s">
        <v>562</v>
      </c>
      <c r="H6" s="24" t="s">
        <v>563</v>
      </c>
    </row>
    <row r="7" spans="1:8" ht="30">
      <c r="A7" s="39" t="s">
        <v>179</v>
      </c>
      <c r="B7" s="24" t="s">
        <v>564</v>
      </c>
      <c r="C7" s="24" t="s">
        <v>565</v>
      </c>
      <c r="D7" s="24" t="s">
        <v>566</v>
      </c>
      <c r="E7" s="59" t="s">
        <v>182</v>
      </c>
      <c r="F7" s="25" t="s">
        <v>567</v>
      </c>
      <c r="G7" s="25" t="s">
        <v>568</v>
      </c>
      <c r="H7" s="24" t="s">
        <v>569</v>
      </c>
    </row>
    <row r="8" spans="1:8" ht="30">
      <c r="A8" s="39" t="s">
        <v>183</v>
      </c>
      <c r="B8" s="24" t="s">
        <v>570</v>
      </c>
      <c r="C8" s="24" t="s">
        <v>571</v>
      </c>
      <c r="D8" s="24" t="s">
        <v>572</v>
      </c>
      <c r="E8" s="59" t="s">
        <v>186</v>
      </c>
      <c r="F8" s="25" t="s">
        <v>573</v>
      </c>
      <c r="G8" s="25" t="s">
        <v>574</v>
      </c>
      <c r="H8" s="24" t="s">
        <v>575</v>
      </c>
    </row>
    <row r="9" spans="1:8" ht="30">
      <c r="A9" s="39" t="s">
        <v>187</v>
      </c>
      <c r="B9" s="24" t="s">
        <v>576</v>
      </c>
      <c r="C9" s="24" t="s">
        <v>577</v>
      </c>
      <c r="D9" s="24" t="s">
        <v>578</v>
      </c>
      <c r="E9" s="59" t="s">
        <v>186</v>
      </c>
      <c r="F9" s="25" t="s">
        <v>579</v>
      </c>
      <c r="G9" s="25" t="s">
        <v>580</v>
      </c>
      <c r="H9" s="25" t="s">
        <v>581</v>
      </c>
    </row>
    <row r="10" spans="1:8" ht="30">
      <c r="A10" s="39" t="s">
        <v>190</v>
      </c>
      <c r="B10" s="24" t="s">
        <v>582</v>
      </c>
      <c r="C10" s="24" t="s">
        <v>583</v>
      </c>
      <c r="D10" s="24" t="s">
        <v>584</v>
      </c>
      <c r="E10" s="59" t="s">
        <v>193</v>
      </c>
      <c r="F10" s="25" t="s">
        <v>585</v>
      </c>
      <c r="G10" s="25" t="s">
        <v>586</v>
      </c>
      <c r="H10" s="24" t="s">
        <v>587</v>
      </c>
    </row>
    <row r="11" spans="1:8" ht="30">
      <c r="A11" s="39" t="s">
        <v>194</v>
      </c>
      <c r="B11" s="24" t="s">
        <v>588</v>
      </c>
      <c r="C11" s="24" t="s">
        <v>589</v>
      </c>
      <c r="D11" s="24" t="s">
        <v>590</v>
      </c>
      <c r="E11" s="59" t="s">
        <v>193</v>
      </c>
      <c r="F11" s="25" t="s">
        <v>591</v>
      </c>
      <c r="G11" s="24" t="s">
        <v>592</v>
      </c>
      <c r="H11" s="24" t="s">
        <v>593</v>
      </c>
    </row>
    <row r="12" spans="1:8" ht="30">
      <c r="A12" s="42" t="s">
        <v>197</v>
      </c>
      <c r="B12" s="25" t="s">
        <v>594</v>
      </c>
      <c r="C12" s="24" t="s">
        <v>595</v>
      </c>
      <c r="D12" s="25" t="s">
        <v>596</v>
      </c>
      <c r="E12" s="59" t="s">
        <v>186</v>
      </c>
      <c r="F12" s="25" t="s">
        <v>597</v>
      </c>
      <c r="G12" s="24" t="s">
        <v>598</v>
      </c>
      <c r="H12" s="25" t="s">
        <v>599</v>
      </c>
    </row>
    <row r="13" spans="1:8" ht="30">
      <c r="A13" s="42" t="s">
        <v>200</v>
      </c>
      <c r="B13" s="24" t="s">
        <v>600</v>
      </c>
      <c r="C13" s="24" t="s">
        <v>601</v>
      </c>
      <c r="D13" s="24" t="s">
        <v>602</v>
      </c>
      <c r="E13" s="59" t="s">
        <v>182</v>
      </c>
      <c r="F13" s="25" t="s">
        <v>567</v>
      </c>
      <c r="G13" s="25" t="s">
        <v>603</v>
      </c>
      <c r="H13" s="24" t="s">
        <v>604</v>
      </c>
    </row>
    <row r="15" spans="1:8">
      <c r="A15" s="29" t="s">
        <v>605</v>
      </c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7A7A"/>
  </sheetPr>
  <dimension ref="A1:P21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8.6640625" defaultRowHeight="15"/>
  <cols>
    <col min="1" max="1" width="18" customWidth="1"/>
    <col min="2" max="2" width="12" customWidth="1"/>
    <col min="3" max="3" width="20" customWidth="1"/>
    <col min="4" max="16" width="13" customWidth="1"/>
  </cols>
  <sheetData>
    <row r="1" spans="1:16" ht="17.25" customHeight="1">
      <c r="A1" s="26"/>
      <c r="B1" s="26"/>
      <c r="C1" s="26"/>
      <c r="D1" s="4" t="s">
        <v>606</v>
      </c>
      <c r="E1" s="4"/>
      <c r="F1" s="4"/>
      <c r="G1" s="4" t="s">
        <v>607</v>
      </c>
      <c r="H1" s="4"/>
      <c r="I1" s="4"/>
      <c r="J1" s="4" t="s">
        <v>608</v>
      </c>
      <c r="K1" s="4"/>
      <c r="L1" s="4"/>
      <c r="M1" s="5" t="s">
        <v>609</v>
      </c>
      <c r="N1" s="5"/>
      <c r="O1" s="5"/>
      <c r="P1" s="26"/>
    </row>
    <row r="2" spans="1:16" ht="45" customHeight="1">
      <c r="A2" s="26" t="s">
        <v>142</v>
      </c>
      <c r="B2" s="26" t="s">
        <v>610</v>
      </c>
      <c r="C2" s="26" t="s">
        <v>611</v>
      </c>
      <c r="D2" s="26" t="s">
        <v>612</v>
      </c>
      <c r="E2" s="26" t="s">
        <v>613</v>
      </c>
      <c r="F2" s="26" t="s">
        <v>614</v>
      </c>
      <c r="G2" s="26" t="s">
        <v>612</v>
      </c>
      <c r="H2" s="26" t="s">
        <v>613</v>
      </c>
      <c r="I2" s="26" t="s">
        <v>614</v>
      </c>
      <c r="J2" s="26" t="s">
        <v>612</v>
      </c>
      <c r="K2" s="26" t="s">
        <v>613</v>
      </c>
      <c r="L2" s="26" t="s">
        <v>614</v>
      </c>
      <c r="M2" s="30" t="s">
        <v>615</v>
      </c>
      <c r="N2" s="26" t="s">
        <v>616</v>
      </c>
      <c r="O2" s="30" t="s">
        <v>617</v>
      </c>
      <c r="P2" s="26" t="s">
        <v>618</v>
      </c>
    </row>
    <row r="3" spans="1:16">
      <c r="A3" s="60" t="s">
        <v>164</v>
      </c>
      <c r="B3" s="61" t="s">
        <v>619</v>
      </c>
      <c r="C3" s="61" t="s">
        <v>620</v>
      </c>
      <c r="D3" s="62" t="s">
        <v>621</v>
      </c>
      <c r="E3" s="63">
        <f>SUMIFS('4-1 지역 벤치마크(참조)'!$D$2:$D$28,'4-1 지역 벤치마크(참조)'!$A$2:$A$28,$B3,'4-1 지역 벤치마크(참조)'!$B$2:$B$28,"D1 리텐션")</f>
        <v>0.36899999999999999</v>
      </c>
      <c r="F3" s="63">
        <f>SUMIFS('4-1 지역 벤치마크(참조)'!$C$2:$C$28,'4-1 지역 벤치마크(참조)'!$A$2:$A$28,$B3,'4-1 지역 벤치마크(참조)'!$B$2:$B$28,"D1 리텐션")</f>
        <v>0.23280000000000001</v>
      </c>
      <c r="G3" s="62" t="s">
        <v>622</v>
      </c>
      <c r="H3" s="63">
        <f>SUMIFS('4-1 지역 벤치마크(참조)'!$D$2:$D$28,'4-1 지역 벤치마크(참조)'!$A$2:$A$28,$B3,'4-1 지역 벤치마크(참조)'!$B$2:$B$28,"D7 리텐션")</f>
        <v>0.1258</v>
      </c>
      <c r="I3" s="63">
        <f>SUMIFS('4-1 지역 벤치마크(참조)'!$C$2:$C$28,'4-1 지역 벤치마크(참조)'!$A$2:$A$28,$B3,'4-1 지역 벤치마크(참조)'!$B$2:$B$28,"D7 리텐션")</f>
        <v>4.9700000000000001E-2</v>
      </c>
      <c r="J3" s="62" t="s">
        <v>623</v>
      </c>
      <c r="K3" s="63">
        <f>SUMIFS('4-1 지역 벤치마크(참조)'!$D$2:$D$28,'4-1 지역 벤치마크(참조)'!$A$2:$A$28,$B3,'4-1 지역 벤치마크(참조)'!$B$2:$B$28,"D30 리텐션")</f>
        <v>4.7800000000000002E-2</v>
      </c>
      <c r="L3" s="63">
        <f>SUMIFS('4-1 지역 벤치마크(참조)'!$C$2:$C$28,'4-1 지역 벤치마크(참조)'!$A$2:$A$28,$B3,'4-1 지역 벤치마크(참조)'!$B$2:$B$28,"D30 리텐션")</f>
        <v>1.18E-2</v>
      </c>
      <c r="M3" s="64">
        <v>1.34</v>
      </c>
      <c r="N3" s="64">
        <v>0.55000000000000004</v>
      </c>
      <c r="O3" s="64">
        <v>7.26</v>
      </c>
      <c r="P3" s="65" t="s">
        <v>624</v>
      </c>
    </row>
    <row r="4" spans="1:16">
      <c r="A4" s="60" t="s">
        <v>168</v>
      </c>
      <c r="B4" s="61" t="s">
        <v>619</v>
      </c>
      <c r="C4" s="61" t="s">
        <v>620</v>
      </c>
      <c r="D4" s="62" t="s">
        <v>621</v>
      </c>
      <c r="E4" s="63">
        <f>SUMIFS('4-1 지역 벤치마크(참조)'!$D$2:$D$28,'4-1 지역 벤치마크(참조)'!$A$2:$A$28,$B4,'4-1 지역 벤치마크(참조)'!$B$2:$B$28,"D1 리텐션")</f>
        <v>0.36899999999999999</v>
      </c>
      <c r="F4" s="63">
        <f>SUMIFS('4-1 지역 벤치마크(참조)'!$C$2:$C$28,'4-1 지역 벤치마크(참조)'!$A$2:$A$28,$B4,'4-1 지역 벤치마크(참조)'!$B$2:$B$28,"D1 리텐션")</f>
        <v>0.23280000000000001</v>
      </c>
      <c r="G4" s="62" t="s">
        <v>622</v>
      </c>
      <c r="H4" s="63">
        <f>SUMIFS('4-1 지역 벤치마크(참조)'!$D$2:$D$28,'4-1 지역 벤치마크(참조)'!$A$2:$A$28,$B4,'4-1 지역 벤치마크(참조)'!$B$2:$B$28,"D7 리텐션")</f>
        <v>0.1258</v>
      </c>
      <c r="I4" s="63">
        <f>SUMIFS('4-1 지역 벤치마크(참조)'!$C$2:$C$28,'4-1 지역 벤치마크(참조)'!$A$2:$A$28,$B4,'4-1 지역 벤치마크(참조)'!$B$2:$B$28,"D7 리텐션")</f>
        <v>4.9700000000000001E-2</v>
      </c>
      <c r="J4" s="62" t="s">
        <v>623</v>
      </c>
      <c r="K4" s="63">
        <f>SUMIFS('4-1 지역 벤치마크(참조)'!$D$2:$D$28,'4-1 지역 벤치마크(참조)'!$A$2:$A$28,$B4,'4-1 지역 벤치마크(참조)'!$B$2:$B$28,"D30 리텐션")</f>
        <v>4.7800000000000002E-2</v>
      </c>
      <c r="L4" s="63">
        <f>SUMIFS('4-1 지역 벤치마크(참조)'!$C$2:$C$28,'4-1 지역 벤치마크(참조)'!$A$2:$A$28,$B4,'4-1 지역 벤치마크(참조)'!$B$2:$B$28,"D30 리텐션")</f>
        <v>1.18E-2</v>
      </c>
      <c r="M4" s="64">
        <v>1.34</v>
      </c>
      <c r="N4" s="64">
        <v>0.55000000000000004</v>
      </c>
      <c r="O4" s="64">
        <v>7.26</v>
      </c>
      <c r="P4" s="65" t="s">
        <v>624</v>
      </c>
    </row>
    <row r="5" spans="1:16">
      <c r="A5" s="60" t="s">
        <v>171</v>
      </c>
      <c r="B5" s="61" t="s">
        <v>619</v>
      </c>
      <c r="C5" s="61" t="s">
        <v>620</v>
      </c>
      <c r="D5" s="62" t="s">
        <v>621</v>
      </c>
      <c r="E5" s="63">
        <f>SUMIFS('4-1 지역 벤치마크(참조)'!$D$2:$D$28,'4-1 지역 벤치마크(참조)'!$A$2:$A$28,$B5,'4-1 지역 벤치마크(참조)'!$B$2:$B$28,"D1 리텐션")</f>
        <v>0.36899999999999999</v>
      </c>
      <c r="F5" s="63">
        <f>SUMIFS('4-1 지역 벤치마크(참조)'!$C$2:$C$28,'4-1 지역 벤치마크(참조)'!$A$2:$A$28,$B5,'4-1 지역 벤치마크(참조)'!$B$2:$B$28,"D1 리텐션")</f>
        <v>0.23280000000000001</v>
      </c>
      <c r="G5" s="62" t="s">
        <v>622</v>
      </c>
      <c r="H5" s="63">
        <f>SUMIFS('4-1 지역 벤치마크(참조)'!$D$2:$D$28,'4-1 지역 벤치마크(참조)'!$A$2:$A$28,$B5,'4-1 지역 벤치마크(참조)'!$B$2:$B$28,"D7 리텐션")</f>
        <v>0.1258</v>
      </c>
      <c r="I5" s="63">
        <f>SUMIFS('4-1 지역 벤치마크(참조)'!$C$2:$C$28,'4-1 지역 벤치마크(참조)'!$A$2:$A$28,$B5,'4-1 지역 벤치마크(참조)'!$B$2:$B$28,"D7 리텐션")</f>
        <v>4.9700000000000001E-2</v>
      </c>
      <c r="J5" s="62" t="s">
        <v>623</v>
      </c>
      <c r="K5" s="63">
        <f>SUMIFS('4-1 지역 벤치마크(참조)'!$D$2:$D$28,'4-1 지역 벤치마크(참조)'!$A$2:$A$28,$B5,'4-1 지역 벤치마크(참조)'!$B$2:$B$28,"D30 리텐션")</f>
        <v>4.7800000000000002E-2</v>
      </c>
      <c r="L5" s="63">
        <f>SUMIFS('4-1 지역 벤치마크(참조)'!$C$2:$C$28,'4-1 지역 벤치마크(참조)'!$A$2:$A$28,$B5,'4-1 지역 벤치마크(참조)'!$B$2:$B$28,"D30 리텐션")</f>
        <v>1.18E-2</v>
      </c>
      <c r="M5" s="64">
        <v>1.34</v>
      </c>
      <c r="N5" s="64">
        <v>0.55000000000000004</v>
      </c>
      <c r="O5" s="64">
        <v>7.26</v>
      </c>
      <c r="P5" s="65" t="s">
        <v>624</v>
      </c>
    </row>
    <row r="6" spans="1:16">
      <c r="A6" s="60" t="s">
        <v>174</v>
      </c>
      <c r="B6" s="61" t="s">
        <v>619</v>
      </c>
      <c r="C6" s="61" t="s">
        <v>620</v>
      </c>
      <c r="D6" s="62" t="s">
        <v>621</v>
      </c>
      <c r="E6" s="63">
        <f>SUMIFS('4-1 지역 벤치마크(참조)'!$D$2:$D$28,'4-1 지역 벤치마크(참조)'!$A$2:$A$28,$B6,'4-1 지역 벤치마크(참조)'!$B$2:$B$28,"D1 리텐션")</f>
        <v>0.36899999999999999</v>
      </c>
      <c r="F6" s="63">
        <f>SUMIFS('4-1 지역 벤치마크(참조)'!$C$2:$C$28,'4-1 지역 벤치마크(참조)'!$A$2:$A$28,$B6,'4-1 지역 벤치마크(참조)'!$B$2:$B$28,"D1 리텐션")</f>
        <v>0.23280000000000001</v>
      </c>
      <c r="G6" s="62" t="s">
        <v>622</v>
      </c>
      <c r="H6" s="63">
        <f>SUMIFS('4-1 지역 벤치마크(참조)'!$D$2:$D$28,'4-1 지역 벤치마크(참조)'!$A$2:$A$28,$B6,'4-1 지역 벤치마크(참조)'!$B$2:$B$28,"D7 리텐션")</f>
        <v>0.1258</v>
      </c>
      <c r="I6" s="63">
        <f>SUMIFS('4-1 지역 벤치마크(참조)'!$C$2:$C$28,'4-1 지역 벤치마크(참조)'!$A$2:$A$28,$B6,'4-1 지역 벤치마크(참조)'!$B$2:$B$28,"D7 리텐션")</f>
        <v>4.9700000000000001E-2</v>
      </c>
      <c r="J6" s="62" t="s">
        <v>623</v>
      </c>
      <c r="K6" s="63">
        <f>SUMIFS('4-1 지역 벤치마크(참조)'!$D$2:$D$28,'4-1 지역 벤치마크(참조)'!$A$2:$A$28,$B6,'4-1 지역 벤치마크(참조)'!$B$2:$B$28,"D30 리텐션")</f>
        <v>4.7800000000000002E-2</v>
      </c>
      <c r="L6" s="63">
        <f>SUMIFS('4-1 지역 벤치마크(참조)'!$C$2:$C$28,'4-1 지역 벤치마크(참조)'!$A$2:$A$28,$B6,'4-1 지역 벤치마크(참조)'!$B$2:$B$28,"D30 리텐션")</f>
        <v>1.18E-2</v>
      </c>
      <c r="M6" s="64">
        <v>1.34</v>
      </c>
      <c r="N6" s="64">
        <v>0.55000000000000004</v>
      </c>
      <c r="O6" s="64">
        <v>7.26</v>
      </c>
      <c r="P6" s="65" t="s">
        <v>624</v>
      </c>
    </row>
    <row r="7" spans="1:16">
      <c r="A7" s="60" t="s">
        <v>176</v>
      </c>
      <c r="B7" s="61" t="s">
        <v>619</v>
      </c>
      <c r="C7" s="61" t="s">
        <v>620</v>
      </c>
      <c r="D7" s="62" t="s">
        <v>621</v>
      </c>
      <c r="E7" s="63">
        <f>SUMIFS('4-1 지역 벤치마크(참조)'!$D$2:$D$28,'4-1 지역 벤치마크(참조)'!$A$2:$A$28,$B7,'4-1 지역 벤치마크(참조)'!$B$2:$B$28,"D1 리텐션")</f>
        <v>0.36899999999999999</v>
      </c>
      <c r="F7" s="63">
        <f>SUMIFS('4-1 지역 벤치마크(참조)'!$C$2:$C$28,'4-1 지역 벤치마크(참조)'!$A$2:$A$28,$B7,'4-1 지역 벤치마크(참조)'!$B$2:$B$28,"D1 리텐션")</f>
        <v>0.23280000000000001</v>
      </c>
      <c r="G7" s="62" t="s">
        <v>622</v>
      </c>
      <c r="H7" s="63">
        <f>SUMIFS('4-1 지역 벤치마크(참조)'!$D$2:$D$28,'4-1 지역 벤치마크(참조)'!$A$2:$A$28,$B7,'4-1 지역 벤치마크(참조)'!$B$2:$B$28,"D7 리텐션")</f>
        <v>0.1258</v>
      </c>
      <c r="I7" s="63">
        <f>SUMIFS('4-1 지역 벤치마크(참조)'!$C$2:$C$28,'4-1 지역 벤치마크(참조)'!$A$2:$A$28,$B7,'4-1 지역 벤치마크(참조)'!$B$2:$B$28,"D7 리텐션")</f>
        <v>4.9700000000000001E-2</v>
      </c>
      <c r="J7" s="62" t="s">
        <v>623</v>
      </c>
      <c r="K7" s="63">
        <f>SUMIFS('4-1 지역 벤치마크(참조)'!$D$2:$D$28,'4-1 지역 벤치마크(참조)'!$A$2:$A$28,$B7,'4-1 지역 벤치마크(참조)'!$B$2:$B$28,"D30 리텐션")</f>
        <v>4.7800000000000002E-2</v>
      </c>
      <c r="L7" s="63">
        <f>SUMIFS('4-1 지역 벤치마크(참조)'!$C$2:$C$28,'4-1 지역 벤치마크(참조)'!$A$2:$A$28,$B7,'4-1 지역 벤치마크(참조)'!$B$2:$B$28,"D30 리텐션")</f>
        <v>1.18E-2</v>
      </c>
      <c r="M7" s="64">
        <v>1.34</v>
      </c>
      <c r="N7" s="64">
        <v>0.55000000000000004</v>
      </c>
      <c r="O7" s="64">
        <v>7.26</v>
      </c>
      <c r="P7" s="65" t="s">
        <v>624</v>
      </c>
    </row>
    <row r="8" spans="1:16">
      <c r="A8" s="60" t="s">
        <v>179</v>
      </c>
      <c r="B8" s="61" t="s">
        <v>619</v>
      </c>
      <c r="C8" s="61" t="s">
        <v>620</v>
      </c>
      <c r="D8" s="62" t="s">
        <v>621</v>
      </c>
      <c r="E8" s="63">
        <f>SUMIFS('4-1 지역 벤치마크(참조)'!$D$2:$D$28,'4-1 지역 벤치마크(참조)'!$A$2:$A$28,$B8,'4-1 지역 벤치마크(참조)'!$B$2:$B$28,"D1 리텐션")</f>
        <v>0.36899999999999999</v>
      </c>
      <c r="F8" s="63">
        <f>SUMIFS('4-1 지역 벤치마크(참조)'!$C$2:$C$28,'4-1 지역 벤치마크(참조)'!$A$2:$A$28,$B8,'4-1 지역 벤치마크(참조)'!$B$2:$B$28,"D1 리텐션")</f>
        <v>0.23280000000000001</v>
      </c>
      <c r="G8" s="62" t="s">
        <v>622</v>
      </c>
      <c r="H8" s="63">
        <f>SUMIFS('4-1 지역 벤치마크(참조)'!$D$2:$D$28,'4-1 지역 벤치마크(참조)'!$A$2:$A$28,$B8,'4-1 지역 벤치마크(참조)'!$B$2:$B$28,"D7 리텐션")</f>
        <v>0.1258</v>
      </c>
      <c r="I8" s="63">
        <f>SUMIFS('4-1 지역 벤치마크(참조)'!$C$2:$C$28,'4-1 지역 벤치마크(참조)'!$A$2:$A$28,$B8,'4-1 지역 벤치마크(참조)'!$B$2:$B$28,"D7 리텐션")</f>
        <v>4.9700000000000001E-2</v>
      </c>
      <c r="J8" s="62" t="s">
        <v>623</v>
      </c>
      <c r="K8" s="63">
        <f>SUMIFS('4-1 지역 벤치마크(참조)'!$D$2:$D$28,'4-1 지역 벤치마크(참조)'!$A$2:$A$28,$B8,'4-1 지역 벤치마크(참조)'!$B$2:$B$28,"D30 리텐션")</f>
        <v>4.7800000000000002E-2</v>
      </c>
      <c r="L8" s="63">
        <f>SUMIFS('4-1 지역 벤치마크(참조)'!$C$2:$C$28,'4-1 지역 벤치마크(참조)'!$A$2:$A$28,$B8,'4-1 지역 벤치마크(참조)'!$B$2:$B$28,"D30 리텐션")</f>
        <v>1.18E-2</v>
      </c>
      <c r="M8" s="64">
        <v>1.34</v>
      </c>
      <c r="N8" s="64">
        <v>0.55000000000000004</v>
      </c>
      <c r="O8" s="64">
        <v>7.26</v>
      </c>
      <c r="P8" s="65" t="s">
        <v>624</v>
      </c>
    </row>
    <row r="9" spans="1:16">
      <c r="A9" s="60" t="s">
        <v>183</v>
      </c>
      <c r="B9" s="61" t="s">
        <v>619</v>
      </c>
      <c r="C9" s="61" t="s">
        <v>620</v>
      </c>
      <c r="D9" s="62" t="s">
        <v>621</v>
      </c>
      <c r="E9" s="63">
        <f>SUMIFS('4-1 지역 벤치마크(참조)'!$D$2:$D$28,'4-1 지역 벤치마크(참조)'!$A$2:$A$28,$B9,'4-1 지역 벤치마크(참조)'!$B$2:$B$28,"D1 리텐션")</f>
        <v>0.36899999999999999</v>
      </c>
      <c r="F9" s="63">
        <f>SUMIFS('4-1 지역 벤치마크(참조)'!$C$2:$C$28,'4-1 지역 벤치마크(참조)'!$A$2:$A$28,$B9,'4-1 지역 벤치마크(참조)'!$B$2:$B$28,"D1 리텐션")</f>
        <v>0.23280000000000001</v>
      </c>
      <c r="G9" s="62" t="s">
        <v>622</v>
      </c>
      <c r="H9" s="63">
        <f>SUMIFS('4-1 지역 벤치마크(참조)'!$D$2:$D$28,'4-1 지역 벤치마크(참조)'!$A$2:$A$28,$B9,'4-1 지역 벤치마크(참조)'!$B$2:$B$28,"D7 리텐션")</f>
        <v>0.1258</v>
      </c>
      <c r="I9" s="63">
        <f>SUMIFS('4-1 지역 벤치마크(참조)'!$C$2:$C$28,'4-1 지역 벤치마크(참조)'!$A$2:$A$28,$B9,'4-1 지역 벤치마크(참조)'!$B$2:$B$28,"D7 리텐션")</f>
        <v>4.9700000000000001E-2</v>
      </c>
      <c r="J9" s="62" t="s">
        <v>623</v>
      </c>
      <c r="K9" s="63">
        <f>SUMIFS('4-1 지역 벤치마크(참조)'!$D$2:$D$28,'4-1 지역 벤치마크(참조)'!$A$2:$A$28,$B9,'4-1 지역 벤치마크(참조)'!$B$2:$B$28,"D30 리텐션")</f>
        <v>4.7800000000000002E-2</v>
      </c>
      <c r="L9" s="63">
        <f>SUMIFS('4-1 지역 벤치마크(참조)'!$C$2:$C$28,'4-1 지역 벤치마크(참조)'!$A$2:$A$28,$B9,'4-1 지역 벤치마크(참조)'!$B$2:$B$28,"D30 리텐션")</f>
        <v>1.18E-2</v>
      </c>
      <c r="M9" s="64">
        <v>1.34</v>
      </c>
      <c r="N9" s="64">
        <v>0.55000000000000004</v>
      </c>
      <c r="O9" s="64">
        <v>7.26</v>
      </c>
      <c r="P9" s="65" t="s">
        <v>624</v>
      </c>
    </row>
    <row r="10" spans="1:16">
      <c r="A10" s="60" t="s">
        <v>187</v>
      </c>
      <c r="B10" s="61" t="s">
        <v>619</v>
      </c>
      <c r="C10" s="61" t="s">
        <v>620</v>
      </c>
      <c r="D10" s="62" t="s">
        <v>621</v>
      </c>
      <c r="E10" s="63">
        <f>SUMIFS('4-1 지역 벤치마크(참조)'!$D$2:$D$28,'4-1 지역 벤치마크(참조)'!$A$2:$A$28,$B10,'4-1 지역 벤치마크(참조)'!$B$2:$B$28,"D1 리텐션")</f>
        <v>0.36899999999999999</v>
      </c>
      <c r="F10" s="63">
        <f>SUMIFS('4-1 지역 벤치마크(참조)'!$C$2:$C$28,'4-1 지역 벤치마크(참조)'!$A$2:$A$28,$B10,'4-1 지역 벤치마크(참조)'!$B$2:$B$28,"D1 리텐션")</f>
        <v>0.23280000000000001</v>
      </c>
      <c r="G10" s="62" t="s">
        <v>622</v>
      </c>
      <c r="H10" s="63">
        <f>SUMIFS('4-1 지역 벤치마크(참조)'!$D$2:$D$28,'4-1 지역 벤치마크(참조)'!$A$2:$A$28,$B10,'4-1 지역 벤치마크(참조)'!$B$2:$B$28,"D7 리텐션")</f>
        <v>0.1258</v>
      </c>
      <c r="I10" s="63">
        <f>SUMIFS('4-1 지역 벤치마크(참조)'!$C$2:$C$28,'4-1 지역 벤치마크(참조)'!$A$2:$A$28,$B10,'4-1 지역 벤치마크(참조)'!$B$2:$B$28,"D7 리텐션")</f>
        <v>4.9700000000000001E-2</v>
      </c>
      <c r="J10" s="62" t="s">
        <v>623</v>
      </c>
      <c r="K10" s="63">
        <f>SUMIFS('4-1 지역 벤치마크(참조)'!$D$2:$D$28,'4-1 지역 벤치마크(참조)'!$A$2:$A$28,$B10,'4-1 지역 벤치마크(참조)'!$B$2:$B$28,"D30 리텐션")</f>
        <v>4.7800000000000002E-2</v>
      </c>
      <c r="L10" s="63">
        <f>SUMIFS('4-1 지역 벤치마크(참조)'!$C$2:$C$28,'4-1 지역 벤치마크(참조)'!$A$2:$A$28,$B10,'4-1 지역 벤치마크(참조)'!$B$2:$B$28,"D30 리텐션")</f>
        <v>1.18E-2</v>
      </c>
      <c r="M10" s="64">
        <v>1.34</v>
      </c>
      <c r="N10" s="64">
        <v>0.55000000000000004</v>
      </c>
      <c r="O10" s="64">
        <v>7.26</v>
      </c>
      <c r="P10" s="65" t="s">
        <v>624</v>
      </c>
    </row>
    <row r="11" spans="1:16">
      <c r="A11" s="60" t="s">
        <v>190</v>
      </c>
      <c r="B11" s="61" t="s">
        <v>619</v>
      </c>
      <c r="C11" s="61" t="s">
        <v>625</v>
      </c>
      <c r="D11" s="62" t="s">
        <v>621</v>
      </c>
      <c r="E11" s="63">
        <f>SUMIFS('4-1 지역 벤치마크(참조)'!$D$2:$D$28,'4-1 지역 벤치마크(참조)'!$A$2:$A$28,$B11,'4-1 지역 벤치마크(참조)'!$B$2:$B$28,"D1 리텐션")</f>
        <v>0.36899999999999999</v>
      </c>
      <c r="F11" s="63">
        <f>SUMIFS('4-1 지역 벤치마크(참조)'!$C$2:$C$28,'4-1 지역 벤치마크(참조)'!$A$2:$A$28,$B11,'4-1 지역 벤치마크(참조)'!$B$2:$B$28,"D1 리텐션")</f>
        <v>0.23280000000000001</v>
      </c>
      <c r="G11" s="62" t="s">
        <v>622</v>
      </c>
      <c r="H11" s="63">
        <f>SUMIFS('4-1 지역 벤치마크(참조)'!$D$2:$D$28,'4-1 지역 벤치마크(참조)'!$A$2:$A$28,$B11,'4-1 지역 벤치마크(참조)'!$B$2:$B$28,"D7 리텐션")</f>
        <v>0.1258</v>
      </c>
      <c r="I11" s="63">
        <f>SUMIFS('4-1 지역 벤치마크(참조)'!$C$2:$C$28,'4-1 지역 벤치마크(참조)'!$A$2:$A$28,$B11,'4-1 지역 벤치마크(참조)'!$B$2:$B$28,"D7 리텐션")</f>
        <v>4.9700000000000001E-2</v>
      </c>
      <c r="J11" s="62" t="s">
        <v>623</v>
      </c>
      <c r="K11" s="63">
        <f>SUMIFS('4-1 지역 벤치마크(참조)'!$D$2:$D$28,'4-1 지역 벤치마크(참조)'!$A$2:$A$28,$B11,'4-1 지역 벤치마크(참조)'!$B$2:$B$28,"D30 리텐션")</f>
        <v>4.7800000000000002E-2</v>
      </c>
      <c r="L11" s="63">
        <f>SUMIFS('4-1 지역 벤치마크(참조)'!$C$2:$C$28,'4-1 지역 벤치마크(참조)'!$A$2:$A$28,$B11,'4-1 지역 벤치마크(참조)'!$B$2:$B$28,"D30 리텐션")</f>
        <v>1.18E-2</v>
      </c>
      <c r="M11" s="64">
        <v>2.13</v>
      </c>
      <c r="N11" s="64">
        <v>0.4</v>
      </c>
      <c r="O11" s="64">
        <v>9.8000000000000007</v>
      </c>
      <c r="P11" s="65" t="s">
        <v>624</v>
      </c>
    </row>
    <row r="12" spans="1:16">
      <c r="A12" s="60" t="s">
        <v>194</v>
      </c>
      <c r="B12" s="61" t="s">
        <v>626</v>
      </c>
      <c r="C12" s="61" t="s">
        <v>625</v>
      </c>
      <c r="D12" s="62" t="s">
        <v>621</v>
      </c>
      <c r="E12" s="63">
        <f>SUMIFS('4-1 지역 벤치마크(참조)'!$D$2:$D$28,'4-1 지역 벤치마크(참조)'!$A$2:$A$28,$B12,'4-1 지역 벤치마크(참조)'!$B$2:$B$28,"D1 리텐션")</f>
        <v>0.34060000000000001</v>
      </c>
      <c r="F12" s="63">
        <f>SUMIFS('4-1 지역 벤치마크(참조)'!$C$2:$C$28,'4-1 지역 벤치마크(참조)'!$A$2:$A$28,$B12,'4-1 지역 벤치마크(참조)'!$B$2:$B$28,"D1 리텐션")</f>
        <v>0.2009</v>
      </c>
      <c r="G12" s="62" t="s">
        <v>622</v>
      </c>
      <c r="H12" s="63">
        <f>SUMIFS('4-1 지역 벤치마크(참조)'!$D$2:$D$28,'4-1 지역 벤치마크(참조)'!$A$2:$A$28,$B12,'4-1 지역 벤치마크(참조)'!$B$2:$B$28,"D7 리텐션")</f>
        <v>9.1399999999999995E-2</v>
      </c>
      <c r="I12" s="63">
        <f>SUMIFS('4-1 지역 벤치마크(참조)'!$C$2:$C$28,'4-1 지역 벤치마크(참조)'!$A$2:$A$28,$B12,'4-1 지역 벤치마크(참조)'!$B$2:$B$28,"D7 리텐션")</f>
        <v>3.2500000000000001E-2</v>
      </c>
      <c r="J12" s="62" t="s">
        <v>623</v>
      </c>
      <c r="K12" s="63">
        <f>SUMIFS('4-1 지역 벤치마크(참조)'!$D$2:$D$28,'4-1 지역 벤치마크(참조)'!$A$2:$A$28,$B12,'4-1 지역 벤치마크(참조)'!$B$2:$B$28,"D30 리텐션")</f>
        <v>2.5399999999999999E-2</v>
      </c>
      <c r="L12" s="63">
        <f>SUMIFS('4-1 지역 벤치마크(참조)'!$C$2:$C$28,'4-1 지역 벤치마크(참조)'!$A$2:$A$28,$B12,'4-1 지역 벤치마크(참조)'!$B$2:$B$28,"D30 리텐션")</f>
        <v>6.4999999999999997E-3</v>
      </c>
      <c r="M12" s="64">
        <v>2.13</v>
      </c>
      <c r="N12" s="64">
        <v>0.4</v>
      </c>
      <c r="O12" s="64">
        <v>9.8000000000000007</v>
      </c>
      <c r="P12" s="65" t="s">
        <v>624</v>
      </c>
    </row>
    <row r="13" spans="1:16" ht="30">
      <c r="A13" s="66" t="s">
        <v>197</v>
      </c>
      <c r="B13" s="61" t="s">
        <v>627</v>
      </c>
      <c r="C13" s="67" t="s">
        <v>628</v>
      </c>
      <c r="D13" s="62" t="s">
        <v>621</v>
      </c>
      <c r="E13" s="63">
        <f>SUMIFS('4-1 지역 벤치마크(참조)'!$D$2:$D$28,'4-1 지역 벤치마크(참조)'!$A$2:$A$28,$B13,'4-1 지역 벤치마크(참조)'!$B$2:$B$28,"D1 리텐션")</f>
        <v>0.32769999999999999</v>
      </c>
      <c r="F13" s="63">
        <f>SUMIFS('4-1 지역 벤치마크(참조)'!$C$2:$C$28,'4-1 지역 벤치마크(참조)'!$A$2:$A$28,$B13,'4-1 지역 벤치마크(참조)'!$B$2:$B$28,"D1 리텐션")</f>
        <v>0.17499999999999999</v>
      </c>
      <c r="G13" s="62" t="s">
        <v>622</v>
      </c>
      <c r="H13" s="63">
        <f>SUMIFS('4-1 지역 벤치마크(참조)'!$D$2:$D$28,'4-1 지역 벤치마크(참조)'!$A$2:$A$28,$B13,'4-1 지역 벤치마크(참조)'!$B$2:$B$28,"D7 리텐션")</f>
        <v>8.6499999999999994E-2</v>
      </c>
      <c r="I13" s="63">
        <f>SUMIFS('4-1 지역 벤치마크(참조)'!$C$2:$C$28,'4-1 지역 벤치마크(참조)'!$A$2:$A$28,$B13,'4-1 지역 벤치마크(참조)'!$B$2:$B$28,"D7 리텐션")</f>
        <v>2.6800000000000001E-2</v>
      </c>
      <c r="J13" s="62" t="s">
        <v>623</v>
      </c>
      <c r="K13" s="63">
        <f>SUMIFS('4-1 지역 벤치마크(참조)'!$D$2:$D$28,'4-1 지역 벤치마크(참조)'!$A$2:$A$28,$B13,'4-1 지역 벤치마크(참조)'!$B$2:$B$28,"D30 리텐션")</f>
        <v>2.5899999999999999E-2</v>
      </c>
      <c r="L13" s="63">
        <f>SUMIFS('4-1 지역 벤치마크(참조)'!$C$2:$C$28,'4-1 지역 벤치마크(참조)'!$A$2:$A$28,$B13,'4-1 지역 벤치마크(참조)'!$B$2:$B$28,"D30 리텐션")</f>
        <v>5.3E-3</v>
      </c>
      <c r="M13" s="68"/>
      <c r="N13" s="68"/>
      <c r="O13" s="68"/>
      <c r="P13" s="65" t="s">
        <v>624</v>
      </c>
    </row>
    <row r="14" spans="1:16">
      <c r="A14" s="66" t="s">
        <v>200</v>
      </c>
      <c r="B14" s="61" t="s">
        <v>627</v>
      </c>
      <c r="C14" s="61" t="s">
        <v>625</v>
      </c>
      <c r="D14" s="62" t="s">
        <v>621</v>
      </c>
      <c r="E14" s="63">
        <f>SUMIFS('4-1 지역 벤치마크(참조)'!$D$2:$D$28,'4-1 지역 벤치마크(참조)'!$A$2:$A$28,$B14,'4-1 지역 벤치마크(참조)'!$B$2:$B$28,"D1 리텐션")</f>
        <v>0.32769999999999999</v>
      </c>
      <c r="F14" s="63">
        <f>SUMIFS('4-1 지역 벤치마크(참조)'!$C$2:$C$28,'4-1 지역 벤치마크(참조)'!$A$2:$A$28,$B14,'4-1 지역 벤치마크(참조)'!$B$2:$B$28,"D1 리텐션")</f>
        <v>0.17499999999999999</v>
      </c>
      <c r="G14" s="62" t="s">
        <v>622</v>
      </c>
      <c r="H14" s="63">
        <f>SUMIFS('4-1 지역 벤치마크(참조)'!$D$2:$D$28,'4-1 지역 벤치마크(참조)'!$A$2:$A$28,$B14,'4-1 지역 벤치마크(참조)'!$B$2:$B$28,"D7 리텐션")</f>
        <v>8.6499999999999994E-2</v>
      </c>
      <c r="I14" s="63">
        <f>SUMIFS('4-1 지역 벤치마크(참조)'!$C$2:$C$28,'4-1 지역 벤치마크(참조)'!$A$2:$A$28,$B14,'4-1 지역 벤치마크(참조)'!$B$2:$B$28,"D7 리텐션")</f>
        <v>2.6800000000000001E-2</v>
      </c>
      <c r="J14" s="62" t="s">
        <v>623</v>
      </c>
      <c r="K14" s="63">
        <f>SUMIFS('4-1 지역 벤치마크(참조)'!$D$2:$D$28,'4-1 지역 벤치마크(참조)'!$A$2:$A$28,$B14,'4-1 지역 벤치마크(참조)'!$B$2:$B$28,"D30 리텐션")</f>
        <v>2.5899999999999999E-2</v>
      </c>
      <c r="L14" s="63">
        <f>SUMIFS('4-1 지역 벤치마크(참조)'!$C$2:$C$28,'4-1 지역 벤치마크(참조)'!$A$2:$A$28,$B14,'4-1 지역 벤치마크(참조)'!$B$2:$B$28,"D30 리텐션")</f>
        <v>5.3E-3</v>
      </c>
      <c r="M14" s="64">
        <v>2.13</v>
      </c>
      <c r="N14" s="64">
        <v>0.4</v>
      </c>
      <c r="O14" s="64">
        <v>9.8000000000000007</v>
      </c>
      <c r="P14" s="65" t="s">
        <v>624</v>
      </c>
    </row>
    <row r="16" spans="1:16">
      <c r="A16" s="29" t="s">
        <v>629</v>
      </c>
    </row>
    <row r="17" spans="1:1">
      <c r="A17" s="44" t="s">
        <v>630</v>
      </c>
    </row>
    <row r="18" spans="1:1">
      <c r="A18" s="29" t="s">
        <v>631</v>
      </c>
    </row>
    <row r="19" spans="1:1">
      <c r="A19" s="29" t="s">
        <v>632</v>
      </c>
    </row>
    <row r="20" spans="1:1">
      <c r="A20" s="44" t="s">
        <v>633</v>
      </c>
    </row>
    <row r="21" spans="1:1">
      <c r="A21" s="29" t="s">
        <v>634</v>
      </c>
    </row>
  </sheetData>
  <mergeCells count="4">
    <mergeCell ref="D1:F1"/>
    <mergeCell ref="G1:I1"/>
    <mergeCell ref="J1:L1"/>
    <mergeCell ref="M1:O1"/>
  </mergeCells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7A7A"/>
  </sheetPr>
  <dimension ref="A1:M1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5"/>
  <cols>
    <col min="1" max="1" width="22" customWidth="1"/>
    <col min="2" max="2" width="34" customWidth="1"/>
    <col min="3" max="3" width="16" customWidth="1"/>
    <col min="4" max="4" width="32" customWidth="1"/>
    <col min="5" max="5" width="8" customWidth="1"/>
    <col min="6" max="6" width="30" customWidth="1"/>
    <col min="7" max="9" width="9" customWidth="1"/>
    <col min="10" max="12" width="10" customWidth="1"/>
    <col min="13" max="13" width="52" customWidth="1"/>
  </cols>
  <sheetData>
    <row r="1" spans="1:13" ht="17">
      <c r="A1" s="69" t="s">
        <v>635</v>
      </c>
    </row>
    <row r="2" spans="1:13">
      <c r="A2" s="70" t="s">
        <v>636</v>
      </c>
    </row>
    <row r="4" spans="1:13" ht="36" customHeight="1">
      <c r="A4" s="26" t="s">
        <v>637</v>
      </c>
      <c r="B4" s="26" t="s">
        <v>638</v>
      </c>
      <c r="C4" s="26" t="s">
        <v>639</v>
      </c>
      <c r="D4" s="26" t="s">
        <v>640</v>
      </c>
      <c r="E4" s="26" t="s">
        <v>641</v>
      </c>
      <c r="F4" s="26" t="s">
        <v>642</v>
      </c>
      <c r="G4" s="30" t="s">
        <v>643</v>
      </c>
      <c r="H4" s="30" t="s">
        <v>644</v>
      </c>
      <c r="I4" s="30" t="s">
        <v>645</v>
      </c>
      <c r="J4" s="26" t="s">
        <v>646</v>
      </c>
      <c r="K4" s="26" t="s">
        <v>647</v>
      </c>
      <c r="L4" s="26" t="s">
        <v>648</v>
      </c>
      <c r="M4" s="26" t="s">
        <v>649</v>
      </c>
    </row>
    <row r="5" spans="1:13" ht="33.75" customHeight="1">
      <c r="A5" s="71" t="s">
        <v>650</v>
      </c>
      <c r="B5" s="72" t="s">
        <v>651</v>
      </c>
      <c r="C5" s="73" t="s">
        <v>652</v>
      </c>
      <c r="D5" s="74" t="s">
        <v>653</v>
      </c>
      <c r="E5" s="74" t="s">
        <v>654</v>
      </c>
      <c r="F5" s="72" t="s">
        <v>655</v>
      </c>
      <c r="G5" s="63">
        <f>INDEX('4-3 장르 판독 요약(참조)'!$C$5:$C$20,MATCH($C5,'4-3 장르 판독 요약(참조)'!$A$5:$A$20,0))</f>
        <v>0.20205000000000006</v>
      </c>
      <c r="H5" s="63">
        <f>INDEX('4-3 장르 판독 요약(참조)'!$E$5:$E$20,MATCH($C5,'4-3 장르 판독 요약(참조)'!$A$5:$A$20,0))</f>
        <v>4.5358333333333334E-2</v>
      </c>
      <c r="I5" s="63">
        <f>INDEX('4-3 장르 판독 요약(참조)'!$G$5:$G$20,MATCH($C5,'4-3 장르 판독 요약(참조)'!$A$5:$A$20,0))</f>
        <v>1.1899999999999999E-2</v>
      </c>
      <c r="J5" s="75">
        <f>INDEX('4-3 장르 판독 요약(참조)'!$I$5:$I$20,MATCH($C5,'4-3 장르 판독 요약(참조)'!$A$5:$A$20,0))</f>
        <v>30.191666666666666</v>
      </c>
      <c r="K5" s="75">
        <f>INDEX('4-3 장르 판독 요약(참조)'!$K$5:$K$20,MATCH($C5,'4-3 장르 판독 요약(참조)'!$A$5:$A$20,0))</f>
        <v>5.6416666666666666</v>
      </c>
      <c r="L5" s="76">
        <f>INDEX('4-3 장르 판독 요약(참조)'!$M$5:$M$20,MATCH($C5,'4-3 장르 판독 요약(참조)'!$A$5:$A$20,0))</f>
        <v>4.7758333333333329</v>
      </c>
      <c r="M5" s="74" t="str">
        <f>INDEX('4-3 장르 판독 요약(참조)'!$O$5:$O$20,MATCH($C5,'4-3 장르 판독 요약(참조)'!$A$5:$A$20,0))</f>
        <v>다음날 20.2명 → 1주 뒤 4.5명 → 4주 뒤 1.2명이 다시 옴</v>
      </c>
    </row>
    <row r="6" spans="1:13" ht="33.75" customHeight="1">
      <c r="A6" s="71" t="s">
        <v>656</v>
      </c>
      <c r="B6" s="72" t="s">
        <v>657</v>
      </c>
      <c r="C6" s="73" t="s">
        <v>652</v>
      </c>
      <c r="D6" s="72" t="s">
        <v>658</v>
      </c>
      <c r="E6" s="74" t="s">
        <v>654</v>
      </c>
      <c r="F6" s="72" t="s">
        <v>659</v>
      </c>
      <c r="G6" s="63">
        <f>INDEX('4-3 장르 판독 요약(참조)'!$C$5:$C$20,MATCH($C6,'4-3 장르 판독 요약(참조)'!$A$5:$A$20,0))</f>
        <v>0.20205000000000006</v>
      </c>
      <c r="H6" s="63">
        <f>INDEX('4-3 장르 판독 요약(참조)'!$E$5:$E$20,MATCH($C6,'4-3 장르 판독 요약(참조)'!$A$5:$A$20,0))</f>
        <v>4.5358333333333334E-2</v>
      </c>
      <c r="I6" s="63">
        <f>INDEX('4-3 장르 판독 요약(참조)'!$G$5:$G$20,MATCH($C6,'4-3 장르 판독 요약(참조)'!$A$5:$A$20,0))</f>
        <v>1.1899999999999999E-2</v>
      </c>
      <c r="J6" s="75">
        <f>INDEX('4-3 장르 판독 요약(참조)'!$I$5:$I$20,MATCH($C6,'4-3 장르 판독 요약(참조)'!$A$5:$A$20,0))</f>
        <v>30.191666666666666</v>
      </c>
      <c r="K6" s="75">
        <f>INDEX('4-3 장르 판독 요약(참조)'!$K$5:$K$20,MATCH($C6,'4-3 장르 판독 요약(참조)'!$A$5:$A$20,0))</f>
        <v>5.6416666666666666</v>
      </c>
      <c r="L6" s="76">
        <f>INDEX('4-3 장르 판독 요약(참조)'!$M$5:$M$20,MATCH($C6,'4-3 장르 판독 요약(참조)'!$A$5:$A$20,0))</f>
        <v>4.7758333333333329</v>
      </c>
      <c r="M6" s="74" t="str">
        <f>INDEX('4-3 장르 판독 요약(참조)'!$O$5:$O$20,MATCH($C6,'4-3 장르 판독 요약(참조)'!$A$5:$A$20,0))</f>
        <v>다음날 20.2명 → 1주 뒤 4.5명 → 4주 뒤 1.2명이 다시 옴</v>
      </c>
    </row>
    <row r="7" spans="1:13" ht="33.75" customHeight="1">
      <c r="A7" s="71" t="s">
        <v>660</v>
      </c>
      <c r="B7" s="72" t="s">
        <v>661</v>
      </c>
      <c r="C7" s="73" t="s">
        <v>662</v>
      </c>
      <c r="D7" s="74" t="s">
        <v>663</v>
      </c>
      <c r="E7" s="77" t="s">
        <v>664</v>
      </c>
      <c r="F7" s="72" t="s">
        <v>665</v>
      </c>
      <c r="G7" s="63">
        <f>INDEX('4-3 장르 판독 요약(참조)'!$C$5:$C$20,MATCH($C7,'4-3 장르 판독 요약(참조)'!$A$5:$A$20,0))</f>
        <v>0.1909916666666667</v>
      </c>
      <c r="H7" s="63">
        <f>INDEX('4-3 장르 판독 요약(참조)'!$E$5:$E$20,MATCH($C7,'4-3 장르 판독 요약(참조)'!$A$5:$A$20,0))</f>
        <v>5.8283333333333333E-2</v>
      </c>
      <c r="I7" s="63">
        <f>INDEX('4-3 장르 판독 요약(참조)'!$G$5:$G$20,MATCH($C7,'4-3 장르 판독 요약(참조)'!$A$5:$A$20,0))</f>
        <v>2.1716666666666665E-2</v>
      </c>
      <c r="J7" s="75">
        <f>INDEX('4-3 장르 판독 요약(참조)'!$I$5:$I$20,MATCH($C7,'4-3 장르 판독 요약(참조)'!$A$5:$A$20,0))</f>
        <v>41.05833333333333</v>
      </c>
      <c r="K7" s="75">
        <f>INDEX('4-3 장르 판독 요약(참조)'!$K$5:$K$20,MATCH($C7,'4-3 장르 판독 요약(참조)'!$A$5:$A$20,0))</f>
        <v>7.291666666666667</v>
      </c>
      <c r="L7" s="76">
        <f>INDEX('4-3 장르 판독 요약(참조)'!$M$5:$M$20,MATCH($C7,'4-3 장르 판독 요약(참조)'!$A$5:$A$20,0))</f>
        <v>5.0883333333333338</v>
      </c>
      <c r="M7" s="74" t="str">
        <f>INDEX('4-3 장르 판독 요약(참조)'!$O$5:$O$20,MATCH($C7,'4-3 장르 판독 요약(참조)'!$A$5:$A$20,0))</f>
        <v>다음날 19.1명 → 1주 뒤 5.8명 → 4주 뒤 2.2명이 다시 옴</v>
      </c>
    </row>
    <row r="8" spans="1:13" ht="33.75" customHeight="1">
      <c r="A8" s="71" t="s">
        <v>666</v>
      </c>
      <c r="B8" s="72" t="s">
        <v>667</v>
      </c>
      <c r="C8" s="73" t="s">
        <v>668</v>
      </c>
      <c r="D8" s="74" t="s">
        <v>669</v>
      </c>
      <c r="E8" s="74" t="s">
        <v>654</v>
      </c>
      <c r="F8" s="72" t="s">
        <v>670</v>
      </c>
      <c r="G8" s="63">
        <f>INDEX('4-3 장르 판독 요약(참조)'!$C$5:$C$20,MATCH($C8,'4-3 장르 판독 요약(참조)'!$A$5:$A$20,0))</f>
        <v>0.19899166666666665</v>
      </c>
      <c r="H8" s="63">
        <f>INDEX('4-3 장르 판독 요약(참조)'!$E$5:$E$20,MATCH($C8,'4-3 장르 판독 요약(참조)'!$A$5:$A$20,0))</f>
        <v>3.3649999999999999E-2</v>
      </c>
      <c r="I8" s="63">
        <f>INDEX('4-3 장르 판독 요약(참조)'!$G$5:$G$20,MATCH($C8,'4-3 장르 판독 요약(참조)'!$A$5:$A$20,0))</f>
        <v>7.1416666666666668E-3</v>
      </c>
      <c r="J8" s="75">
        <f>INDEX('4-3 장르 판독 요약(참조)'!$I$5:$I$20,MATCH($C8,'4-3 장르 판독 요약(참조)'!$A$5:$A$20,0))</f>
        <v>23.500000000000004</v>
      </c>
      <c r="K8" s="75">
        <f>INDEX('4-3 장르 판독 요약(참조)'!$K$5:$K$20,MATCH($C8,'4-3 장르 판독 요약(참조)'!$A$5:$A$20,0))</f>
        <v>5.45</v>
      </c>
      <c r="L8" s="76">
        <f>INDEX('4-3 장르 판독 요약(참조)'!$M$5:$M$20,MATCH($C8,'4-3 장르 판독 요약(참조)'!$A$5:$A$20,0))</f>
        <v>4.296666666666666</v>
      </c>
      <c r="M8" s="74" t="str">
        <f>INDEX('4-3 장르 판독 요약(참조)'!$O$5:$O$20,MATCH($C8,'4-3 장르 판독 요약(참조)'!$A$5:$A$20,0))</f>
        <v>다음날 19.9명 → 1주 뒤 3.4명 → 4주 뒤 0.7명이 다시 옴</v>
      </c>
    </row>
    <row r="9" spans="1:13" ht="33.75" customHeight="1">
      <c r="A9" s="71" t="s">
        <v>671</v>
      </c>
      <c r="B9" s="72" t="s">
        <v>672</v>
      </c>
      <c r="C9" s="73" t="s">
        <v>673</v>
      </c>
      <c r="D9" s="74" t="s">
        <v>669</v>
      </c>
      <c r="E9" s="74" t="s">
        <v>654</v>
      </c>
      <c r="F9" s="72" t="s">
        <v>674</v>
      </c>
      <c r="G9" s="63">
        <f>INDEX('4-3 장르 판독 요약(참조)'!$C$5:$C$20,MATCH($C9,'4-3 장르 판독 요약(참조)'!$A$5:$A$20,0))</f>
        <v>0.18353333333333333</v>
      </c>
      <c r="H9" s="63">
        <f>INDEX('4-3 장르 판독 요약(참조)'!$E$5:$E$20,MATCH($C9,'4-3 장르 판독 요약(참조)'!$A$5:$A$20,0))</f>
        <v>2.9124999999999998E-2</v>
      </c>
      <c r="I9" s="63">
        <f>INDEX('4-3 장르 판독 요약(참조)'!$G$5:$G$20,MATCH($C9,'4-3 장르 판독 요약(참조)'!$A$5:$A$20,0))</f>
        <v>6.3333333333333332E-3</v>
      </c>
      <c r="J9" s="75">
        <f>INDEX('4-3 장르 판독 요약(참조)'!$I$5:$I$20,MATCH($C9,'4-3 장르 판독 요약(참조)'!$A$5:$A$20,0))</f>
        <v>14.083333333333334</v>
      </c>
      <c r="K9" s="75">
        <f>INDEX('4-3 장르 판독 요약(참조)'!$K$5:$K$20,MATCH($C9,'4-3 장르 판독 요약(참조)'!$A$5:$A$20,0))</f>
        <v>3.8583333333333329</v>
      </c>
      <c r="L9" s="76">
        <f>INDEX('4-3 장르 판독 요약(참조)'!$M$5:$M$20,MATCH($C9,'4-3 장르 판독 요약(참조)'!$A$5:$A$20,0))</f>
        <v>3.5591666666666661</v>
      </c>
      <c r="M9" s="74" t="str">
        <f>INDEX('4-3 장르 판독 요약(참조)'!$O$5:$O$20,MATCH($C9,'4-3 장르 판독 요약(참조)'!$A$5:$A$20,0))</f>
        <v>다음날 18.4명 → 1주 뒤 2.9명 → 4주 뒤 0.6명이 다시 옴</v>
      </c>
    </row>
    <row r="10" spans="1:13" ht="33.75" customHeight="1">
      <c r="A10" s="71" t="s">
        <v>675</v>
      </c>
      <c r="B10" s="72" t="s">
        <v>432</v>
      </c>
      <c r="C10" s="73" t="s">
        <v>676</v>
      </c>
      <c r="D10" s="74" t="s">
        <v>677</v>
      </c>
      <c r="E10" s="77" t="s">
        <v>664</v>
      </c>
      <c r="F10" s="72" t="s">
        <v>678</v>
      </c>
      <c r="G10" s="63">
        <f>INDEX('4-3 장르 판독 요약(참조)'!$C$5:$C$20,MATCH($C10,'4-3 장르 판독 요약(참조)'!$A$5:$A$20,0))</f>
        <v>0.16051666666666667</v>
      </c>
      <c r="H10" s="63">
        <f>INDEX('4-3 장르 판독 요약(참조)'!$E$5:$E$20,MATCH($C10,'4-3 장르 판독 요약(참조)'!$A$5:$A$20,0))</f>
        <v>2.2816666666666662E-2</v>
      </c>
      <c r="I10" s="63">
        <f>INDEX('4-3 장르 판독 요약(참조)'!$G$5:$G$20,MATCH($C10,'4-3 장르 판독 요약(참조)'!$A$5:$A$20,0))</f>
        <v>4.816666666666667E-3</v>
      </c>
      <c r="J10" s="75">
        <f>INDEX('4-3 장르 판독 요약(참조)'!$I$5:$I$20,MATCH($C10,'4-3 장르 판독 요약(참조)'!$A$5:$A$20,0))</f>
        <v>16.400000000000002</v>
      </c>
      <c r="K10" s="75">
        <f>INDEX('4-3 장르 판독 요약(참조)'!$K$5:$K$20,MATCH($C10,'4-3 장르 판독 요약(참조)'!$A$5:$A$20,0))</f>
        <v>4.6083333333333334</v>
      </c>
      <c r="L10" s="76">
        <f>INDEX('4-3 장르 판독 요약(참조)'!$M$5:$M$20,MATCH($C10,'4-3 장르 판독 요약(참조)'!$A$5:$A$20,0))</f>
        <v>3.6983333333333328</v>
      </c>
      <c r="M10" s="74" t="str">
        <f>INDEX('4-3 장르 판독 요약(참조)'!$O$5:$O$20,MATCH($C10,'4-3 장르 판독 요약(참조)'!$A$5:$A$20,0))</f>
        <v>다음날 16.1명 → 1주 뒤 2.3명 → 4주 뒤 0.5명이 다시 옴</v>
      </c>
    </row>
    <row r="11" spans="1:13" ht="33.75" customHeight="1">
      <c r="A11" s="71" t="s">
        <v>679</v>
      </c>
      <c r="B11" s="72" t="s">
        <v>439</v>
      </c>
      <c r="C11" s="73" t="s">
        <v>680</v>
      </c>
      <c r="D11" s="74" t="s">
        <v>681</v>
      </c>
      <c r="E11" s="74" t="s">
        <v>654</v>
      </c>
      <c r="F11" s="72" t="s">
        <v>682</v>
      </c>
      <c r="G11" s="63">
        <f>INDEX('4-3 장르 판독 요약(참조)'!$C$5:$C$20,MATCH($C11,'4-3 장르 판독 요약(참조)'!$A$5:$A$20,0))</f>
        <v>0.18838333333333332</v>
      </c>
      <c r="H11" s="63">
        <f>INDEX('4-3 장르 판독 요약(참조)'!$E$5:$E$20,MATCH($C11,'4-3 장르 판독 요약(참조)'!$A$5:$A$20,0))</f>
        <v>6.7199999999999996E-2</v>
      </c>
      <c r="I11" s="63">
        <f>INDEX('4-3 장르 판독 요약(참조)'!$G$5:$G$20,MATCH($C11,'4-3 장르 판독 요약(참조)'!$A$5:$A$20,0))</f>
        <v>3.0000000000000002E-2</v>
      </c>
      <c r="J11" s="75">
        <f>INDEX('4-3 장르 판독 요약(참조)'!$I$5:$I$20,MATCH($C11,'4-3 장르 판독 요약(참조)'!$A$5:$A$20,0))</f>
        <v>48.524999999999999</v>
      </c>
      <c r="K11" s="75">
        <f>INDEX('4-3 장르 판독 요약(참조)'!$K$5:$K$20,MATCH($C11,'4-3 장르 판독 요약(참조)'!$A$5:$A$20,0))</f>
        <v>8.3083333333333353</v>
      </c>
      <c r="L11" s="76">
        <f>INDEX('4-3 장르 판독 요약(참조)'!$M$5:$M$20,MATCH($C11,'4-3 장르 판독 요약(참조)'!$A$5:$A$20,0))</f>
        <v>4.8599999999999994</v>
      </c>
      <c r="M11" s="74" t="str">
        <f>INDEX('4-3 장르 판독 요약(참조)'!$O$5:$O$20,MATCH($C11,'4-3 장르 판독 요약(참조)'!$A$5:$A$20,0))</f>
        <v>다음날 18.8명 → 1주 뒤 6.7명 → 4주 뒤 3.0명이 다시 옴</v>
      </c>
    </row>
    <row r="12" spans="1:13" ht="33.75" customHeight="1">
      <c r="A12" s="71" t="s">
        <v>683</v>
      </c>
      <c r="B12" s="74" t="s">
        <v>684</v>
      </c>
      <c r="C12" s="73" t="s">
        <v>685</v>
      </c>
      <c r="D12" s="74" t="s">
        <v>686</v>
      </c>
      <c r="E12" s="74" t="s">
        <v>654</v>
      </c>
      <c r="F12" s="72" t="s">
        <v>687</v>
      </c>
      <c r="G12" s="63">
        <f>INDEX('4-3 장르 판독 요약(참조)'!$C$5:$C$20,MATCH($C12,'4-3 장르 판독 요약(참조)'!$A$5:$A$20,0))</f>
        <v>0.15071666666666667</v>
      </c>
      <c r="H12" s="63">
        <f>INDEX('4-3 장르 판독 요약(참조)'!$E$5:$E$20,MATCH($C12,'4-3 장르 판독 요약(참조)'!$A$5:$A$20,0))</f>
        <v>2.0724999999999997E-2</v>
      </c>
      <c r="I12" s="63">
        <f>INDEX('4-3 장르 판독 요약(참조)'!$G$5:$G$20,MATCH($C12,'4-3 장르 판독 요약(참조)'!$A$5:$A$20,0))</f>
        <v>4.3250000000000007E-3</v>
      </c>
      <c r="J12" s="75">
        <f>INDEX('4-3 장르 판독 요약(참조)'!$I$5:$I$20,MATCH($C12,'4-3 장르 판독 요약(참조)'!$A$5:$A$20,0))</f>
        <v>15.641666666666667</v>
      </c>
      <c r="K12" s="75">
        <f>INDEX('4-3 장르 판독 요약(참조)'!$K$5:$K$20,MATCH($C12,'4-3 장르 판독 요약(참조)'!$A$5:$A$20,0))</f>
        <v>4.3750000000000009</v>
      </c>
      <c r="L12" s="76">
        <f>INDEX('4-3 장르 판독 요약(참조)'!$M$5:$M$20,MATCH($C12,'4-3 장르 판독 요약(참조)'!$A$5:$A$20,0))</f>
        <v>4.0150000000000006</v>
      </c>
      <c r="M12" s="74" t="str">
        <f>INDEX('4-3 장르 판독 요약(참조)'!$O$5:$O$20,MATCH($C12,'4-3 장르 판독 요약(참조)'!$A$5:$A$20,0))</f>
        <v>다음날 15.1명 → 1주 뒤 2.1명 → 4주 뒤 0.4명이 다시 옴</v>
      </c>
    </row>
    <row r="14" spans="1:13">
      <c r="A14" s="29" t="s">
        <v>688</v>
      </c>
    </row>
    <row r="15" spans="1:13">
      <c r="A15" s="44" t="s">
        <v>689</v>
      </c>
    </row>
    <row r="16" spans="1:13">
      <c r="A16" s="44" t="s">
        <v>690</v>
      </c>
    </row>
    <row r="17" spans="1:1">
      <c r="A17" s="29" t="s">
        <v>691</v>
      </c>
    </row>
  </sheetData>
  <phoneticPr fontId="33" type="noConversion"/>
  <conditionalFormatting sqref="G5:G12">
    <cfRule type="colorScale" priority="2">
      <colorScale>
        <cfvo type="min"/>
        <cfvo type="max"/>
        <color rgb="FFF2F2F2"/>
        <color rgb="FF8EA9DB"/>
      </colorScale>
    </cfRule>
  </conditionalFormatting>
  <conditionalFormatting sqref="H5:H12">
    <cfRule type="colorScale" priority="3">
      <colorScale>
        <cfvo type="min"/>
        <cfvo type="max"/>
        <color rgb="FFF2F2F2"/>
        <color rgb="FF8EA9DB"/>
      </colorScale>
    </cfRule>
  </conditionalFormatting>
  <conditionalFormatting sqref="I5:I12">
    <cfRule type="colorScale" priority="4">
      <colorScale>
        <cfvo type="min"/>
        <cfvo type="max"/>
        <color rgb="FFF2F2F2"/>
        <color rgb="FF8EA9DB"/>
      </colorScale>
    </cfRule>
  </conditionalFormatting>
  <conditionalFormatting sqref="J5:J12">
    <cfRule type="colorScale" priority="5">
      <colorScale>
        <cfvo type="min"/>
        <cfvo type="max"/>
        <color rgb="FFF2F2F2"/>
        <color rgb="FF8EA9DB"/>
      </colorScale>
    </cfRule>
  </conditionalFormatting>
  <conditionalFormatting sqref="K5:K12">
    <cfRule type="colorScale" priority="6">
      <colorScale>
        <cfvo type="min"/>
        <cfvo type="max"/>
        <color rgb="FFF2F2F2"/>
        <color rgb="FF8EA9DB"/>
      </colorScale>
    </cfRule>
  </conditionalFormatting>
  <conditionalFormatting sqref="L5:L12">
    <cfRule type="colorScale" priority="7">
      <colorScale>
        <cfvo type="min"/>
        <cfvo type="max"/>
        <color rgb="FFF2F2F2"/>
        <color rgb="FF8EA9DB"/>
      </colorScale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B00-000000000000}">
          <x14:formula1>
            <xm:f>'4-3 장르 판독 요약(참조)'!$A$5:$A$20</xm:f>
          </x14:formula1>
          <x14:formula2>
            <xm:f>0</xm:f>
          </x14:formula2>
          <xm:sqref>C5:C12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7A7A"/>
  </sheetPr>
  <dimension ref="A1:L25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6640625" defaultRowHeight="15"/>
  <cols>
    <col min="1" max="1" width="34" customWidth="1"/>
    <col min="2" max="2" width="24" customWidth="1"/>
    <col min="3" max="4" width="22" customWidth="1"/>
    <col min="5" max="5" width="12" customWidth="1"/>
    <col min="6" max="6" width="22" customWidth="1"/>
    <col min="7" max="7" width="18" customWidth="1"/>
    <col min="8" max="8" width="14" customWidth="1"/>
    <col min="9" max="9" width="22" customWidth="1"/>
    <col min="10" max="10" width="52" customWidth="1"/>
    <col min="11" max="11" width="30" customWidth="1"/>
    <col min="12" max="12" width="12" customWidth="1"/>
  </cols>
  <sheetData>
    <row r="1" spans="1:9" ht="16">
      <c r="A1" s="78" t="s">
        <v>692</v>
      </c>
    </row>
    <row r="2" spans="1:9">
      <c r="A2" s="29" t="s">
        <v>693</v>
      </c>
    </row>
    <row r="4" spans="1:9" ht="32">
      <c r="A4" s="79" t="s">
        <v>694</v>
      </c>
      <c r="B4" s="79" t="s">
        <v>695</v>
      </c>
      <c r="C4" s="80" t="s">
        <v>696</v>
      </c>
      <c r="D4" s="80" t="s">
        <v>697</v>
      </c>
      <c r="E4" s="79" t="s">
        <v>698</v>
      </c>
      <c r="G4" s="79" t="s">
        <v>699</v>
      </c>
      <c r="H4" s="79" t="s">
        <v>700</v>
      </c>
      <c r="I4" s="79" t="s">
        <v>701</v>
      </c>
    </row>
    <row r="5" spans="1:9" ht="31.5" customHeight="1">
      <c r="A5" s="42" t="s">
        <v>702</v>
      </c>
      <c r="B5" s="24" t="s">
        <v>703</v>
      </c>
      <c r="C5" s="24" t="s">
        <v>704</v>
      </c>
      <c r="D5" s="24" t="s">
        <v>705</v>
      </c>
      <c r="E5" s="81">
        <v>0.25</v>
      </c>
      <c r="G5" s="82" t="s">
        <v>706</v>
      </c>
      <c r="H5" s="82">
        <f>COUNTIFS($I$79:$I$250,G5,$G$79:$G$250,"후보")</f>
        <v>35</v>
      </c>
      <c r="I5" s="82">
        <f>COUNTIF($I$18:$I$54,G5)</f>
        <v>12</v>
      </c>
    </row>
    <row r="6" spans="1:9" ht="31.5" customHeight="1">
      <c r="A6" s="42" t="s">
        <v>707</v>
      </c>
      <c r="B6" s="24" t="s">
        <v>708</v>
      </c>
      <c r="C6" s="24" t="s">
        <v>709</v>
      </c>
      <c r="D6" s="24" t="s">
        <v>710</v>
      </c>
      <c r="E6" s="81">
        <v>0.25</v>
      </c>
      <c r="G6" s="83" t="s">
        <v>711</v>
      </c>
      <c r="H6" s="82">
        <f>COUNTIFS($I$79:$I$250,G6,$G$79:$G$250,"후보")</f>
        <v>23</v>
      </c>
      <c r="I6" s="82">
        <f>COUNTIF($I$18:$I$54,G6)</f>
        <v>6</v>
      </c>
    </row>
    <row r="7" spans="1:9" ht="31.5" customHeight="1">
      <c r="A7" s="42" t="s">
        <v>712</v>
      </c>
      <c r="B7" s="24" t="s">
        <v>713</v>
      </c>
      <c r="C7" s="25" t="s">
        <v>714</v>
      </c>
      <c r="D7" s="25" t="s">
        <v>715</v>
      </c>
      <c r="E7" s="81">
        <v>0.2</v>
      </c>
      <c r="G7" s="82" t="s">
        <v>716</v>
      </c>
      <c r="H7" s="82">
        <f>COUNTIFS($I$79:$I$250,G7,$G$79:$G$250,"후보")</f>
        <v>57</v>
      </c>
      <c r="I7" s="82">
        <f>COUNTIF($I$18:$I$54,G7)</f>
        <v>17</v>
      </c>
    </row>
    <row r="8" spans="1:9" ht="31.5" customHeight="1">
      <c r="A8" s="42" t="s">
        <v>717</v>
      </c>
      <c r="B8" s="24" t="s">
        <v>718</v>
      </c>
      <c r="C8" s="24" t="s">
        <v>719</v>
      </c>
      <c r="D8" s="24" t="s">
        <v>720</v>
      </c>
      <c r="E8" s="81">
        <v>0.2</v>
      </c>
      <c r="G8" s="83" t="s">
        <v>721</v>
      </c>
      <c r="H8" s="82">
        <f>COUNTIFS($I$79:$I$250,G8,$G$79:$G$250,"후보")</f>
        <v>3</v>
      </c>
      <c r="I8" s="82">
        <f>COUNTIF($I$18:$I$54,G8)</f>
        <v>2</v>
      </c>
    </row>
    <row r="9" spans="1:9" ht="31.5" customHeight="1">
      <c r="A9" s="42" t="s">
        <v>722</v>
      </c>
      <c r="B9" s="24" t="s">
        <v>723</v>
      </c>
      <c r="C9" s="24" t="s">
        <v>724</v>
      </c>
      <c r="D9" s="24" t="s">
        <v>725</v>
      </c>
      <c r="E9" s="81">
        <v>0.1</v>
      </c>
      <c r="G9" s="84" t="s">
        <v>726</v>
      </c>
      <c r="H9" s="84">
        <f>SUM(H5:H8)</f>
        <v>118</v>
      </c>
      <c r="I9" s="84">
        <f>SUM(I5:I8)</f>
        <v>37</v>
      </c>
    </row>
    <row r="10" spans="1:9">
      <c r="A10" s="84" t="s">
        <v>727</v>
      </c>
      <c r="B10" s="82"/>
      <c r="C10" s="82"/>
      <c r="D10" s="82"/>
      <c r="E10" s="85">
        <f>SUM(E5:E9)</f>
        <v>0.99999999999999989</v>
      </c>
    </row>
    <row r="12" spans="1:9">
      <c r="A12" s="86" t="s">
        <v>728</v>
      </c>
      <c r="E12" s="87">
        <v>70</v>
      </c>
      <c r="F12" s="29" t="s">
        <v>729</v>
      </c>
    </row>
    <row r="13" spans="1:9">
      <c r="A13" s="86" t="s">
        <v>730</v>
      </c>
      <c r="E13" s="87">
        <v>50</v>
      </c>
    </row>
    <row r="14" spans="1:9">
      <c r="A14" s="86" t="s">
        <v>731</v>
      </c>
      <c r="E14" s="88" t="s">
        <v>478</v>
      </c>
    </row>
    <row r="16" spans="1:9" ht="16">
      <c r="A16" s="49" t="s">
        <v>732</v>
      </c>
    </row>
    <row r="17" spans="1:12" ht="32">
      <c r="A17" s="79" t="s">
        <v>733</v>
      </c>
      <c r="B17" s="79" t="s">
        <v>734</v>
      </c>
      <c r="C17" s="79" t="s">
        <v>702</v>
      </c>
      <c r="D17" s="79" t="s">
        <v>707</v>
      </c>
      <c r="E17" s="79" t="s">
        <v>712</v>
      </c>
      <c r="F17" s="79" t="s">
        <v>717</v>
      </c>
      <c r="G17" s="79" t="s">
        <v>735</v>
      </c>
      <c r="H17" s="79" t="s">
        <v>736</v>
      </c>
      <c r="I17" s="79" t="s">
        <v>737</v>
      </c>
      <c r="J17" s="79" t="s">
        <v>738</v>
      </c>
      <c r="K17" s="79" t="s">
        <v>739</v>
      </c>
      <c r="L17" s="79" t="s">
        <v>700</v>
      </c>
    </row>
    <row r="18" spans="1:12">
      <c r="A18" s="24" t="s">
        <v>740</v>
      </c>
      <c r="B18" s="25" t="s">
        <v>741</v>
      </c>
      <c r="C18" s="89">
        <v>1</v>
      </c>
      <c r="D18" s="89">
        <v>1</v>
      </c>
      <c r="E18" s="89">
        <v>1</v>
      </c>
      <c r="F18" s="89">
        <v>1</v>
      </c>
      <c r="G18" s="89">
        <v>3</v>
      </c>
      <c r="H18" s="56">
        <f t="shared" ref="H18:H54" si="0">IF(COUNT(C18:G18)&lt;5,"",ROUND((C18*$E$5+D18*$E$6+E18*$E$7+F18*$E$8+G18*$E$9)/SUM($E$5:$E$9)/5*100,0))</f>
        <v>24</v>
      </c>
      <c r="I18" s="56" t="str">
        <f t="shared" ref="I18:I54" si="1">IF(H18="","판단 보류",IF(AND($E$14="예",MIN(C18:G18)=1),"2인 어려움",IF(H18&gt;=$E$12,"2인 가능",IF(H18&gt;=$E$13,"조건부 (범위를 줄이면)","2인 어려움"))))</f>
        <v>2인 어려움</v>
      </c>
      <c r="J18" s="43" t="s">
        <v>742</v>
      </c>
      <c r="K18" s="24" t="str">
        <f t="shared" ref="K18:K54" si="2">A18&amp;"|"&amp;B18</f>
        <v>전략|4X·SLG</v>
      </c>
      <c r="L18" s="56">
        <f t="shared" ref="L18:L54" si="3">COUNTIFS($K$79:$K$250,K18,$G$79:$G$250,"후보")</f>
        <v>16</v>
      </c>
    </row>
    <row r="19" spans="1:12" ht="30">
      <c r="A19" s="24" t="s">
        <v>743</v>
      </c>
      <c r="B19" s="24" t="s">
        <v>744</v>
      </c>
      <c r="C19" s="89">
        <v>2</v>
      </c>
      <c r="D19" s="89">
        <v>4</v>
      </c>
      <c r="E19" s="89">
        <v>3</v>
      </c>
      <c r="F19" s="89">
        <v>2</v>
      </c>
      <c r="G19" s="89">
        <v>5</v>
      </c>
      <c r="H19" s="56">
        <f t="shared" si="0"/>
        <v>60</v>
      </c>
      <c r="I19" s="56" t="str">
        <f t="shared" si="1"/>
        <v>조건부 (범위를 줄이면)</v>
      </c>
      <c r="J19" s="43" t="s">
        <v>745</v>
      </c>
      <c r="K19" s="24" t="str">
        <f t="shared" si="2"/>
        <v>퍼즐|매치3</v>
      </c>
      <c r="L19" s="56">
        <f t="shared" si="3"/>
        <v>10</v>
      </c>
    </row>
    <row r="20" spans="1:12" ht="30">
      <c r="A20" s="24" t="s">
        <v>743</v>
      </c>
      <c r="B20" s="24" t="s">
        <v>746</v>
      </c>
      <c r="C20" s="89">
        <v>5</v>
      </c>
      <c r="D20" s="89">
        <v>5</v>
      </c>
      <c r="E20" s="89">
        <v>4</v>
      </c>
      <c r="F20" s="89">
        <v>4</v>
      </c>
      <c r="G20" s="89">
        <v>5</v>
      </c>
      <c r="H20" s="56">
        <f t="shared" si="0"/>
        <v>92</v>
      </c>
      <c r="I20" s="56" t="str">
        <f t="shared" si="1"/>
        <v>2인 가능</v>
      </c>
      <c r="J20" s="43" t="s">
        <v>747</v>
      </c>
      <c r="K20" s="24" t="str">
        <f t="shared" si="2"/>
        <v>퍼즐|정렬·잼</v>
      </c>
      <c r="L20" s="56">
        <f t="shared" si="3"/>
        <v>10</v>
      </c>
    </row>
    <row r="21" spans="1:12">
      <c r="A21" s="25" t="s">
        <v>748</v>
      </c>
      <c r="B21" s="24" t="s">
        <v>749</v>
      </c>
      <c r="C21" s="89">
        <v>1</v>
      </c>
      <c r="D21" s="89">
        <v>2</v>
      </c>
      <c r="E21" s="89">
        <v>1</v>
      </c>
      <c r="F21" s="89">
        <v>1</v>
      </c>
      <c r="G21" s="89">
        <v>3</v>
      </c>
      <c r="H21" s="56">
        <f t="shared" si="0"/>
        <v>29</v>
      </c>
      <c r="I21" s="56" t="str">
        <f t="shared" si="1"/>
        <v>2인 어려움</v>
      </c>
      <c r="J21" s="43" t="s">
        <v>750</v>
      </c>
      <c r="K21" s="24" t="str">
        <f t="shared" si="2"/>
        <v>RPG|수집형(가챠) RPG</v>
      </c>
      <c r="L21" s="56">
        <f t="shared" si="3"/>
        <v>8</v>
      </c>
    </row>
    <row r="22" spans="1:12">
      <c r="A22" s="24" t="s">
        <v>751</v>
      </c>
      <c r="B22" s="24" t="s">
        <v>752</v>
      </c>
      <c r="C22" s="89">
        <v>3</v>
      </c>
      <c r="D22" s="89">
        <v>2</v>
      </c>
      <c r="E22" s="89">
        <v>2</v>
      </c>
      <c r="F22" s="89">
        <v>1</v>
      </c>
      <c r="G22" s="89">
        <v>1</v>
      </c>
      <c r="H22" s="56">
        <f t="shared" si="0"/>
        <v>39</v>
      </c>
      <c r="I22" s="56" t="str">
        <f t="shared" si="1"/>
        <v>2인 어려움</v>
      </c>
      <c r="J22" s="43" t="s">
        <v>753</v>
      </c>
      <c r="K22" s="24" t="str">
        <f t="shared" si="2"/>
        <v>카드·보드·카지노|소셜 카지노</v>
      </c>
      <c r="L22" s="56">
        <f t="shared" si="3"/>
        <v>8</v>
      </c>
    </row>
    <row r="23" spans="1:12">
      <c r="A23" s="24" t="s">
        <v>743</v>
      </c>
      <c r="B23" s="24" t="s">
        <v>754</v>
      </c>
      <c r="C23" s="89">
        <v>2</v>
      </c>
      <c r="D23" s="89">
        <v>4</v>
      </c>
      <c r="E23" s="89">
        <v>2</v>
      </c>
      <c r="F23" s="89">
        <v>2</v>
      </c>
      <c r="G23" s="89">
        <v>5</v>
      </c>
      <c r="H23" s="56">
        <f t="shared" si="0"/>
        <v>56</v>
      </c>
      <c r="I23" s="56" t="str">
        <f t="shared" si="1"/>
        <v>조건부 (범위를 줄이면)</v>
      </c>
      <c r="J23" s="43" t="s">
        <v>755</v>
      </c>
      <c r="K23" s="24" t="str">
        <f t="shared" si="2"/>
        <v>퍼즐|머지</v>
      </c>
      <c r="L23" s="56">
        <f t="shared" si="3"/>
        <v>8</v>
      </c>
    </row>
    <row r="24" spans="1:12" ht="30">
      <c r="A24" s="24" t="s">
        <v>751</v>
      </c>
      <c r="B24" s="24" t="s">
        <v>756</v>
      </c>
      <c r="C24" s="89">
        <v>2</v>
      </c>
      <c r="D24" s="89">
        <v>2</v>
      </c>
      <c r="E24" s="89">
        <v>2</v>
      </c>
      <c r="F24" s="89">
        <v>1</v>
      </c>
      <c r="G24" s="89">
        <v>3</v>
      </c>
      <c r="H24" s="56">
        <f t="shared" si="0"/>
        <v>38</v>
      </c>
      <c r="I24" s="56" t="str">
        <f t="shared" si="1"/>
        <v>2인 어려움</v>
      </c>
      <c r="J24" s="43" t="s">
        <v>757</v>
      </c>
      <c r="K24" s="24" t="str">
        <f t="shared" si="2"/>
        <v>카드·보드·카지노|보드·주사위 소셜캐주얼</v>
      </c>
      <c r="L24" s="56">
        <f t="shared" si="3"/>
        <v>5</v>
      </c>
    </row>
    <row r="25" spans="1:12" ht="30">
      <c r="A25" s="24" t="s">
        <v>743</v>
      </c>
      <c r="B25" s="24" t="s">
        <v>758</v>
      </c>
      <c r="C25" s="89">
        <v>4</v>
      </c>
      <c r="D25" s="89">
        <v>5</v>
      </c>
      <c r="E25" s="89">
        <v>4</v>
      </c>
      <c r="F25" s="89">
        <v>4</v>
      </c>
      <c r="G25" s="89">
        <v>5</v>
      </c>
      <c r="H25" s="56">
        <f t="shared" si="0"/>
        <v>87</v>
      </c>
      <c r="I25" s="56" t="str">
        <f t="shared" si="1"/>
        <v>2인 가능</v>
      </c>
      <c r="J25" s="43" t="s">
        <v>759</v>
      </c>
      <c r="K25" s="24" t="str">
        <f t="shared" si="2"/>
        <v>퍼즐|타일·마작·트리플 매치</v>
      </c>
      <c r="L25" s="56">
        <f t="shared" si="3"/>
        <v>4</v>
      </c>
    </row>
    <row r="26" spans="1:12" ht="30">
      <c r="A26" s="24" t="s">
        <v>760</v>
      </c>
      <c r="B26" s="24" t="s">
        <v>761</v>
      </c>
      <c r="C26" s="89">
        <v>4</v>
      </c>
      <c r="D26" s="89">
        <v>5</v>
      </c>
      <c r="E26" s="89">
        <v>3</v>
      </c>
      <c r="F26" s="89">
        <v>3</v>
      </c>
      <c r="G26" s="89">
        <v>5</v>
      </c>
      <c r="H26" s="56">
        <f t="shared" si="0"/>
        <v>79</v>
      </c>
      <c r="I26" s="56" t="str">
        <f t="shared" si="1"/>
        <v>2인 가능</v>
      </c>
      <c r="J26" s="43" t="s">
        <v>762</v>
      </c>
      <c r="K26" s="24" t="str">
        <f t="shared" si="2"/>
        <v>하이퍼·하이브리드 캐주얼|물리 파괴</v>
      </c>
      <c r="L26" s="56">
        <f t="shared" si="3"/>
        <v>4</v>
      </c>
    </row>
    <row r="27" spans="1:12">
      <c r="A27" s="24" t="s">
        <v>763</v>
      </c>
      <c r="B27" s="24" t="s">
        <v>764</v>
      </c>
      <c r="C27" s="89">
        <v>1</v>
      </c>
      <c r="D27" s="89">
        <v>1</v>
      </c>
      <c r="E27" s="89">
        <v>1</v>
      </c>
      <c r="F27" s="89">
        <v>1</v>
      </c>
      <c r="G27" s="89">
        <v>4</v>
      </c>
      <c r="H27" s="56">
        <f t="shared" si="0"/>
        <v>26</v>
      </c>
      <c r="I27" s="56" t="str">
        <f t="shared" si="1"/>
        <v>2인 어려움</v>
      </c>
      <c r="J27" s="43" t="s">
        <v>765</v>
      </c>
      <c r="K27" s="24" t="str">
        <f t="shared" si="2"/>
        <v>액션·슈팅|배틀로얄</v>
      </c>
      <c r="L27" s="56">
        <f t="shared" si="3"/>
        <v>3</v>
      </c>
    </row>
    <row r="28" spans="1:12">
      <c r="A28" s="24" t="s">
        <v>751</v>
      </c>
      <c r="B28" s="24" t="s">
        <v>766</v>
      </c>
      <c r="C28" s="89">
        <v>3</v>
      </c>
      <c r="D28" s="89">
        <v>2</v>
      </c>
      <c r="E28" s="89">
        <v>3</v>
      </c>
      <c r="F28" s="89">
        <v>1</v>
      </c>
      <c r="G28" s="89">
        <v>2</v>
      </c>
      <c r="H28" s="56">
        <f t="shared" si="0"/>
        <v>45</v>
      </c>
      <c r="I28" s="56" t="str">
        <f t="shared" si="1"/>
        <v>2인 어려움</v>
      </c>
      <c r="J28" s="43" t="s">
        <v>767</v>
      </c>
      <c r="K28" s="24" t="str">
        <f t="shared" si="2"/>
        <v>카드·보드·카지노|빙고</v>
      </c>
      <c r="L28" s="56">
        <f t="shared" si="3"/>
        <v>3</v>
      </c>
    </row>
    <row r="29" spans="1:12" ht="30">
      <c r="A29" s="24" t="s">
        <v>751</v>
      </c>
      <c r="B29" s="24" t="s">
        <v>768</v>
      </c>
      <c r="C29" s="89">
        <v>5</v>
      </c>
      <c r="D29" s="89">
        <v>5</v>
      </c>
      <c r="E29" s="89">
        <v>4</v>
      </c>
      <c r="F29" s="89">
        <v>4</v>
      </c>
      <c r="G29" s="89">
        <v>5</v>
      </c>
      <c r="H29" s="56">
        <f t="shared" si="0"/>
        <v>92</v>
      </c>
      <c r="I29" s="56" t="str">
        <f t="shared" si="1"/>
        <v>2인 가능</v>
      </c>
      <c r="J29" s="43" t="s">
        <v>769</v>
      </c>
      <c r="K29" s="24" t="str">
        <f t="shared" si="2"/>
        <v>카드·보드·카지노|솔리테어</v>
      </c>
      <c r="L29" s="56">
        <f t="shared" si="3"/>
        <v>3</v>
      </c>
    </row>
    <row r="30" spans="1:12">
      <c r="A30" s="24" t="s">
        <v>743</v>
      </c>
      <c r="B30" s="24" t="s">
        <v>770</v>
      </c>
      <c r="C30" s="89">
        <v>5</v>
      </c>
      <c r="D30" s="89">
        <v>5</v>
      </c>
      <c r="E30" s="89">
        <v>5</v>
      </c>
      <c r="F30" s="89">
        <v>4</v>
      </c>
      <c r="G30" s="89">
        <v>5</v>
      </c>
      <c r="H30" s="56">
        <f t="shared" si="0"/>
        <v>96</v>
      </c>
      <c r="I30" s="56" t="str">
        <f t="shared" si="1"/>
        <v>2인 가능</v>
      </c>
      <c r="J30" s="43" t="s">
        <v>771</v>
      </c>
      <c r="K30" s="24" t="str">
        <f t="shared" si="2"/>
        <v>퍼즐|블록</v>
      </c>
      <c r="L30" s="56">
        <f t="shared" si="3"/>
        <v>3</v>
      </c>
    </row>
    <row r="31" spans="1:12">
      <c r="A31" s="25" t="s">
        <v>748</v>
      </c>
      <c r="B31" s="24" t="s">
        <v>772</v>
      </c>
      <c r="C31" s="89">
        <v>1</v>
      </c>
      <c r="D31" s="89">
        <v>1</v>
      </c>
      <c r="E31" s="89">
        <v>1</v>
      </c>
      <c r="F31" s="89">
        <v>1</v>
      </c>
      <c r="G31" s="89">
        <v>3</v>
      </c>
      <c r="H31" s="56">
        <f t="shared" si="0"/>
        <v>24</v>
      </c>
      <c r="I31" s="56" t="str">
        <f t="shared" si="1"/>
        <v>2인 어려움</v>
      </c>
      <c r="J31" s="43" t="s">
        <v>773</v>
      </c>
      <c r="K31" s="24" t="str">
        <f t="shared" si="2"/>
        <v>RPG|수집형 오픈월드</v>
      </c>
      <c r="L31" s="56">
        <f t="shared" si="3"/>
        <v>2</v>
      </c>
    </row>
    <row r="32" spans="1:12">
      <c r="A32" s="24" t="s">
        <v>774</v>
      </c>
      <c r="B32" s="24" t="s">
        <v>775</v>
      </c>
      <c r="C32" s="89">
        <v>1</v>
      </c>
      <c r="D32" s="89">
        <v>3</v>
      </c>
      <c r="E32" s="89">
        <v>1</v>
      </c>
      <c r="F32" s="89">
        <v>1</v>
      </c>
      <c r="G32" s="89">
        <v>5</v>
      </c>
      <c r="H32" s="56">
        <f t="shared" si="0"/>
        <v>38</v>
      </c>
      <c r="I32" s="56" t="str">
        <f t="shared" si="1"/>
        <v>2인 어려움</v>
      </c>
      <c r="J32" s="43" t="s">
        <v>776</v>
      </c>
      <c r="K32" s="24" t="str">
        <f t="shared" si="2"/>
        <v>시뮬레이션|농장·타운 빌딩</v>
      </c>
      <c r="L32" s="56">
        <f t="shared" si="3"/>
        <v>2</v>
      </c>
    </row>
    <row r="33" spans="1:12">
      <c r="A33" s="24" t="s">
        <v>774</v>
      </c>
      <c r="B33" s="24" t="s">
        <v>777</v>
      </c>
      <c r="C33" s="89">
        <v>3</v>
      </c>
      <c r="D33" s="89">
        <v>4</v>
      </c>
      <c r="E33" s="89">
        <v>3</v>
      </c>
      <c r="F33" s="89">
        <v>3</v>
      </c>
      <c r="G33" s="89">
        <v>4</v>
      </c>
      <c r="H33" s="56">
        <f t="shared" si="0"/>
        <v>67</v>
      </c>
      <c r="I33" s="56" t="str">
        <f t="shared" si="1"/>
        <v>조건부 (범위를 줄이면)</v>
      </c>
      <c r="J33" s="43" t="s">
        <v>778</v>
      </c>
      <c r="K33" s="24" t="str">
        <f t="shared" si="2"/>
        <v>시뮬레이션|샌드박스</v>
      </c>
      <c r="L33" s="56">
        <f t="shared" si="3"/>
        <v>2</v>
      </c>
    </row>
    <row r="34" spans="1:12">
      <c r="A34" s="24" t="s">
        <v>751</v>
      </c>
      <c r="B34" s="24" t="s">
        <v>779</v>
      </c>
      <c r="C34" s="89">
        <v>1</v>
      </c>
      <c r="D34" s="89">
        <v>1</v>
      </c>
      <c r="E34" s="89">
        <v>2</v>
      </c>
      <c r="F34" s="89">
        <v>1</v>
      </c>
      <c r="G34" s="89">
        <v>3</v>
      </c>
      <c r="H34" s="56">
        <f t="shared" si="0"/>
        <v>28</v>
      </c>
      <c r="I34" s="56" t="str">
        <f t="shared" si="1"/>
        <v>2인 어려움</v>
      </c>
      <c r="J34" s="43" t="s">
        <v>780</v>
      </c>
      <c r="K34" s="24" t="str">
        <f t="shared" si="2"/>
        <v>카드·보드·카지노|트레이딩 카드</v>
      </c>
      <c r="L34" s="56">
        <f t="shared" si="3"/>
        <v>2</v>
      </c>
    </row>
    <row r="35" spans="1:12" ht="30">
      <c r="A35" s="24" t="s">
        <v>743</v>
      </c>
      <c r="B35" s="24" t="s">
        <v>781</v>
      </c>
      <c r="C35" s="89">
        <v>3</v>
      </c>
      <c r="D35" s="89">
        <v>5</v>
      </c>
      <c r="E35" s="89">
        <v>4</v>
      </c>
      <c r="F35" s="89">
        <v>4</v>
      </c>
      <c r="G35" s="89">
        <v>5</v>
      </c>
      <c r="H35" s="56">
        <f t="shared" si="0"/>
        <v>82</v>
      </c>
      <c r="I35" s="56" t="str">
        <f t="shared" si="1"/>
        <v>2인 가능</v>
      </c>
      <c r="J35" s="43" t="s">
        <v>782</v>
      </c>
      <c r="K35" s="24" t="str">
        <f t="shared" si="2"/>
        <v>퍼즐|로직·두뇌 트릭</v>
      </c>
      <c r="L35" s="56">
        <f t="shared" si="3"/>
        <v>2</v>
      </c>
    </row>
    <row r="36" spans="1:12" ht="30">
      <c r="A36" s="24" t="s">
        <v>743</v>
      </c>
      <c r="B36" s="24" t="s">
        <v>783</v>
      </c>
      <c r="C36" s="89">
        <v>4</v>
      </c>
      <c r="D36" s="89">
        <v>5</v>
      </c>
      <c r="E36" s="89">
        <v>5</v>
      </c>
      <c r="F36" s="89">
        <v>4</v>
      </c>
      <c r="G36" s="89">
        <v>5</v>
      </c>
      <c r="H36" s="56">
        <f t="shared" si="0"/>
        <v>91</v>
      </c>
      <c r="I36" s="56" t="str">
        <f t="shared" si="1"/>
        <v>2인 가능</v>
      </c>
      <c r="J36" s="43" t="s">
        <v>784</v>
      </c>
      <c r="K36" s="24" t="str">
        <f t="shared" si="2"/>
        <v>퍼즐|워드</v>
      </c>
      <c r="L36" s="56">
        <f t="shared" si="3"/>
        <v>2</v>
      </c>
    </row>
    <row r="37" spans="1:12">
      <c r="A37" s="24" t="s">
        <v>743</v>
      </c>
      <c r="B37" s="24" t="s">
        <v>785</v>
      </c>
      <c r="C37" s="89">
        <v>5</v>
      </c>
      <c r="D37" s="89">
        <v>5</v>
      </c>
      <c r="E37" s="89">
        <v>5</v>
      </c>
      <c r="F37" s="89">
        <v>4</v>
      </c>
      <c r="G37" s="89">
        <v>5</v>
      </c>
      <c r="H37" s="56">
        <f t="shared" si="0"/>
        <v>96</v>
      </c>
      <c r="I37" s="56" t="str">
        <f t="shared" si="1"/>
        <v>2인 가능</v>
      </c>
      <c r="J37" s="43" t="s">
        <v>786</v>
      </c>
      <c r="K37" s="24" t="str">
        <f t="shared" si="2"/>
        <v>퍼즐|탭 탈출</v>
      </c>
      <c r="L37" s="56">
        <f t="shared" si="3"/>
        <v>2</v>
      </c>
    </row>
    <row r="38" spans="1:12" ht="30">
      <c r="A38" s="24" t="s">
        <v>760</v>
      </c>
      <c r="B38" s="24" t="s">
        <v>787</v>
      </c>
      <c r="C38" s="89">
        <v>3</v>
      </c>
      <c r="D38" s="89">
        <v>5</v>
      </c>
      <c r="E38" s="89">
        <v>3</v>
      </c>
      <c r="F38" s="89">
        <v>3</v>
      </c>
      <c r="G38" s="89">
        <v>5</v>
      </c>
      <c r="H38" s="56">
        <f t="shared" si="0"/>
        <v>74</v>
      </c>
      <c r="I38" s="56" t="str">
        <f t="shared" si="1"/>
        <v>2인 가능</v>
      </c>
      <c r="J38" s="43" t="s">
        <v>788</v>
      </c>
      <c r="K38" s="24" t="str">
        <f t="shared" si="2"/>
        <v>하이퍼·하이브리드 캐주얼|하이브리드 캐주얼</v>
      </c>
      <c r="L38" s="56">
        <f t="shared" si="3"/>
        <v>2</v>
      </c>
    </row>
    <row r="39" spans="1:12">
      <c r="A39" s="24" t="s">
        <v>789</v>
      </c>
      <c r="B39" s="25" t="s">
        <v>790</v>
      </c>
      <c r="C39" s="89"/>
      <c r="D39" s="89"/>
      <c r="E39" s="89"/>
      <c r="F39" s="89"/>
      <c r="G39" s="89"/>
      <c r="H39" s="56" t="str">
        <f t="shared" si="0"/>
        <v/>
      </c>
      <c r="I39" s="56" t="str">
        <f t="shared" si="1"/>
        <v>판단 보류</v>
      </c>
      <c r="J39" s="43" t="s">
        <v>791</v>
      </c>
      <c r="K39" s="24" t="str">
        <f t="shared" si="2"/>
        <v>확인 불가|-</v>
      </c>
      <c r="L39" s="56">
        <f t="shared" si="3"/>
        <v>2</v>
      </c>
    </row>
    <row r="40" spans="1:12">
      <c r="A40" s="25" t="s">
        <v>748</v>
      </c>
      <c r="B40" s="24" t="s">
        <v>202</v>
      </c>
      <c r="C40" s="89">
        <v>2</v>
      </c>
      <c r="D40" s="89">
        <v>3</v>
      </c>
      <c r="E40" s="89">
        <v>2</v>
      </c>
      <c r="F40" s="89">
        <v>2</v>
      </c>
      <c r="G40" s="89">
        <v>3</v>
      </c>
      <c r="H40" s="56">
        <f t="shared" si="0"/>
        <v>47</v>
      </c>
      <c r="I40" s="56" t="str">
        <f t="shared" si="1"/>
        <v>2인 어려움</v>
      </c>
      <c r="J40" s="43" t="s">
        <v>792</v>
      </c>
      <c r="K40" s="24" t="str">
        <f t="shared" si="2"/>
        <v>RPG|방치형 RPG</v>
      </c>
      <c r="L40" s="56">
        <f t="shared" si="3"/>
        <v>1</v>
      </c>
    </row>
    <row r="41" spans="1:12">
      <c r="A41" s="25" t="s">
        <v>748</v>
      </c>
      <c r="B41" s="24" t="s">
        <v>793</v>
      </c>
      <c r="C41" s="89">
        <v>1</v>
      </c>
      <c r="D41" s="89">
        <v>1</v>
      </c>
      <c r="E41" s="89">
        <v>2</v>
      </c>
      <c r="F41" s="89">
        <v>1</v>
      </c>
      <c r="G41" s="89">
        <v>3</v>
      </c>
      <c r="H41" s="56">
        <f t="shared" si="0"/>
        <v>28</v>
      </c>
      <c r="I41" s="56" t="str">
        <f t="shared" si="1"/>
        <v>2인 어려움</v>
      </c>
      <c r="J41" s="43" t="s">
        <v>794</v>
      </c>
      <c r="K41" s="24" t="str">
        <f t="shared" si="2"/>
        <v>RPG|위치기반 수집</v>
      </c>
      <c r="L41" s="56">
        <f t="shared" si="3"/>
        <v>1</v>
      </c>
    </row>
    <row r="42" spans="1:12">
      <c r="A42" s="24" t="s">
        <v>795</v>
      </c>
      <c r="B42" s="25" t="s">
        <v>796</v>
      </c>
      <c r="C42" s="89">
        <v>1</v>
      </c>
      <c r="D42" s="89">
        <v>1</v>
      </c>
      <c r="E42" s="89">
        <v>1</v>
      </c>
      <c r="F42" s="89">
        <v>1</v>
      </c>
      <c r="G42" s="89">
        <v>3</v>
      </c>
      <c r="H42" s="56">
        <f t="shared" si="0"/>
        <v>24</v>
      </c>
      <c r="I42" s="56" t="str">
        <f t="shared" si="1"/>
        <v>2인 어려움</v>
      </c>
      <c r="J42" s="43" t="s">
        <v>797</v>
      </c>
      <c r="K42" s="24" t="str">
        <f t="shared" si="2"/>
        <v>기타(UGC·리워드)|UGC 플랫폼</v>
      </c>
      <c r="L42" s="56">
        <f t="shared" si="3"/>
        <v>1</v>
      </c>
    </row>
    <row r="43" spans="1:12">
      <c r="A43" s="24" t="s">
        <v>798</v>
      </c>
      <c r="B43" s="24" t="s">
        <v>799</v>
      </c>
      <c r="C43" s="89">
        <v>3</v>
      </c>
      <c r="D43" s="89">
        <v>2</v>
      </c>
      <c r="E43" s="89">
        <v>2</v>
      </c>
      <c r="F43" s="89">
        <v>2</v>
      </c>
      <c r="G43" s="89">
        <v>5</v>
      </c>
      <c r="H43" s="56">
        <f t="shared" si="0"/>
        <v>51</v>
      </c>
      <c r="I43" s="56" t="str">
        <f t="shared" si="1"/>
        <v>조건부 (범위를 줄이면)</v>
      </c>
      <c r="J43" s="43" t="s">
        <v>800</v>
      </c>
      <c r="K43" s="24" t="str">
        <f t="shared" si="2"/>
        <v>스포츠|골프</v>
      </c>
      <c r="L43" s="56">
        <f t="shared" si="3"/>
        <v>1</v>
      </c>
    </row>
    <row r="44" spans="1:12">
      <c r="A44" s="24" t="s">
        <v>798</v>
      </c>
      <c r="B44" s="24" t="s">
        <v>801</v>
      </c>
      <c r="C44" s="89">
        <v>1</v>
      </c>
      <c r="D44" s="89">
        <v>1</v>
      </c>
      <c r="E44" s="89">
        <v>1</v>
      </c>
      <c r="F44" s="89">
        <v>2</v>
      </c>
      <c r="G44" s="89">
        <v>4</v>
      </c>
      <c r="H44" s="56">
        <f t="shared" si="0"/>
        <v>30</v>
      </c>
      <c r="I44" s="56" t="str">
        <f t="shared" si="1"/>
        <v>2인 어려움</v>
      </c>
      <c r="J44" s="43" t="s">
        <v>802</v>
      </c>
      <c r="K44" s="24" t="str">
        <f t="shared" si="2"/>
        <v>스포츠|축구</v>
      </c>
      <c r="L44" s="56">
        <f t="shared" si="3"/>
        <v>1</v>
      </c>
    </row>
    <row r="45" spans="1:12">
      <c r="A45" s="24" t="s">
        <v>763</v>
      </c>
      <c r="B45" s="24" t="s">
        <v>803</v>
      </c>
      <c r="C45" s="89">
        <v>3</v>
      </c>
      <c r="D45" s="89">
        <v>4</v>
      </c>
      <c r="E45" s="89">
        <v>2</v>
      </c>
      <c r="F45" s="89">
        <v>3</v>
      </c>
      <c r="G45" s="89">
        <v>4</v>
      </c>
      <c r="H45" s="56">
        <f t="shared" si="0"/>
        <v>63</v>
      </c>
      <c r="I45" s="56" t="str">
        <f t="shared" si="1"/>
        <v>조건부 (범위를 줄이면)</v>
      </c>
      <c r="J45" s="43" t="s">
        <v>804</v>
      </c>
      <c r="K45" s="24" t="str">
        <f t="shared" si="2"/>
        <v>액션·슈팅|스나이퍼</v>
      </c>
      <c r="L45" s="56">
        <f t="shared" si="3"/>
        <v>1</v>
      </c>
    </row>
    <row r="46" spans="1:12">
      <c r="A46" s="24" t="s">
        <v>763</v>
      </c>
      <c r="B46" s="24" t="s">
        <v>805</v>
      </c>
      <c r="C46" s="89">
        <v>1</v>
      </c>
      <c r="D46" s="89">
        <v>1</v>
      </c>
      <c r="E46" s="89">
        <v>1</v>
      </c>
      <c r="F46" s="89">
        <v>1</v>
      </c>
      <c r="G46" s="89">
        <v>4</v>
      </c>
      <c r="H46" s="56">
        <f t="shared" si="0"/>
        <v>26</v>
      </c>
      <c r="I46" s="56" t="str">
        <f t="shared" si="1"/>
        <v>2인 어려움</v>
      </c>
      <c r="J46" s="43" t="s">
        <v>806</v>
      </c>
      <c r="K46" s="24" t="str">
        <f t="shared" si="2"/>
        <v>액션·슈팅|팀 대전 슈터</v>
      </c>
      <c r="L46" s="56">
        <f t="shared" si="3"/>
        <v>1</v>
      </c>
    </row>
    <row r="47" spans="1:12">
      <c r="A47" s="24" t="s">
        <v>740</v>
      </c>
      <c r="B47" s="24" t="s">
        <v>807</v>
      </c>
      <c r="C47" s="89">
        <v>2</v>
      </c>
      <c r="D47" s="89">
        <v>1</v>
      </c>
      <c r="E47" s="89">
        <v>2</v>
      </c>
      <c r="F47" s="89">
        <v>1</v>
      </c>
      <c r="G47" s="89">
        <v>3</v>
      </c>
      <c r="H47" s="56">
        <f t="shared" si="0"/>
        <v>33</v>
      </c>
      <c r="I47" s="56" t="str">
        <f t="shared" si="1"/>
        <v>2인 어려움</v>
      </c>
      <c r="J47" s="43" t="s">
        <v>808</v>
      </c>
      <c r="K47" s="24" t="str">
        <f t="shared" si="2"/>
        <v>전략|실시간 카드 배틀</v>
      </c>
      <c r="L47" s="56">
        <f t="shared" si="3"/>
        <v>1</v>
      </c>
    </row>
    <row r="48" spans="1:12" ht="30">
      <c r="A48" s="24" t="s">
        <v>751</v>
      </c>
      <c r="B48" s="24" t="s">
        <v>809</v>
      </c>
      <c r="C48" s="89">
        <v>5</v>
      </c>
      <c r="D48" s="89">
        <v>2</v>
      </c>
      <c r="E48" s="89">
        <v>5</v>
      </c>
      <c r="F48" s="89">
        <v>4</v>
      </c>
      <c r="G48" s="89">
        <v>5</v>
      </c>
      <c r="H48" s="56">
        <f t="shared" si="0"/>
        <v>81</v>
      </c>
      <c r="I48" s="56" t="str">
        <f t="shared" si="1"/>
        <v>2인 가능</v>
      </c>
      <c r="J48" s="43" t="s">
        <v>810</v>
      </c>
      <c r="K48" s="24" t="str">
        <f t="shared" si="2"/>
        <v>카드·보드·카지노|클래식 보드</v>
      </c>
      <c r="L48" s="56">
        <f t="shared" si="3"/>
        <v>1</v>
      </c>
    </row>
    <row r="49" spans="1:12">
      <c r="A49" s="24" t="s">
        <v>751</v>
      </c>
      <c r="B49" s="24" t="s">
        <v>811</v>
      </c>
      <c r="C49" s="89">
        <v>4</v>
      </c>
      <c r="D49" s="89">
        <v>1</v>
      </c>
      <c r="E49" s="89">
        <v>4</v>
      </c>
      <c r="F49" s="89">
        <v>2</v>
      </c>
      <c r="G49" s="89">
        <v>1</v>
      </c>
      <c r="H49" s="56">
        <f t="shared" si="0"/>
        <v>51</v>
      </c>
      <c r="I49" s="56" t="str">
        <f t="shared" si="1"/>
        <v>2인 어려움</v>
      </c>
      <c r="J49" s="43" t="s">
        <v>812</v>
      </c>
      <c r="K49" s="24" t="str">
        <f t="shared" si="2"/>
        <v>카드·보드·카지노|포커</v>
      </c>
      <c r="L49" s="56">
        <f t="shared" si="3"/>
        <v>1</v>
      </c>
    </row>
    <row r="50" spans="1:12">
      <c r="A50" s="24" t="s">
        <v>813</v>
      </c>
      <c r="B50" s="24" t="s">
        <v>814</v>
      </c>
      <c r="C50" s="89">
        <v>4</v>
      </c>
      <c r="D50" s="89">
        <v>5</v>
      </c>
      <c r="E50" s="89">
        <v>3</v>
      </c>
      <c r="F50" s="89">
        <v>2</v>
      </c>
      <c r="G50" s="89">
        <v>2</v>
      </c>
      <c r="H50" s="56">
        <f t="shared" si="0"/>
        <v>69</v>
      </c>
      <c r="I50" s="56" t="str">
        <f t="shared" si="1"/>
        <v>조건부 (범위를 줄이면)</v>
      </c>
      <c r="J50" s="43" t="s">
        <v>815</v>
      </c>
      <c r="K50" s="24" t="str">
        <f t="shared" si="2"/>
        <v>파티·음악|밈 챌린지</v>
      </c>
      <c r="L50" s="56">
        <f t="shared" si="3"/>
        <v>1</v>
      </c>
    </row>
    <row r="51" spans="1:12">
      <c r="A51" s="24" t="s">
        <v>743</v>
      </c>
      <c r="B51" s="24" t="s">
        <v>816</v>
      </c>
      <c r="C51" s="89"/>
      <c r="D51" s="89"/>
      <c r="E51" s="89"/>
      <c r="F51" s="89"/>
      <c r="G51" s="89"/>
      <c r="H51" s="56" t="str">
        <f t="shared" si="0"/>
        <v/>
      </c>
      <c r="I51" s="56" t="str">
        <f t="shared" si="1"/>
        <v>판단 보류</v>
      </c>
      <c r="J51" s="90" t="s">
        <v>817</v>
      </c>
      <c r="K51" s="24" t="str">
        <f t="shared" si="2"/>
        <v>퍼즐|기타 퍼즐</v>
      </c>
      <c r="L51" s="56">
        <f t="shared" si="3"/>
        <v>1</v>
      </c>
    </row>
    <row r="52" spans="1:12">
      <c r="A52" s="24" t="s">
        <v>743</v>
      </c>
      <c r="B52" s="24" t="s">
        <v>818</v>
      </c>
      <c r="C52" s="89">
        <v>2</v>
      </c>
      <c r="D52" s="89">
        <v>5</v>
      </c>
      <c r="E52" s="89">
        <v>1</v>
      </c>
      <c r="F52" s="89">
        <v>3</v>
      </c>
      <c r="G52" s="89">
        <v>5</v>
      </c>
      <c r="H52" s="56">
        <f t="shared" si="0"/>
        <v>61</v>
      </c>
      <c r="I52" s="56" t="str">
        <f t="shared" si="1"/>
        <v>2인 어려움</v>
      </c>
      <c r="J52" s="43" t="s">
        <v>819</v>
      </c>
      <c r="K52" s="24" t="str">
        <f t="shared" si="2"/>
        <v>퍼즐|숨은그림</v>
      </c>
      <c r="L52" s="56">
        <f t="shared" si="3"/>
        <v>1</v>
      </c>
    </row>
    <row r="53" spans="1:12" ht="30">
      <c r="A53" s="24" t="s">
        <v>743</v>
      </c>
      <c r="B53" s="24" t="s">
        <v>820</v>
      </c>
      <c r="C53" s="89">
        <v>4</v>
      </c>
      <c r="D53" s="89">
        <v>5</v>
      </c>
      <c r="E53" s="89">
        <v>3</v>
      </c>
      <c r="F53" s="89">
        <v>4</v>
      </c>
      <c r="G53" s="89">
        <v>5</v>
      </c>
      <c r="H53" s="56">
        <f t="shared" si="0"/>
        <v>83</v>
      </c>
      <c r="I53" s="56" t="str">
        <f t="shared" si="1"/>
        <v>2인 가능</v>
      </c>
      <c r="J53" s="43" t="s">
        <v>821</v>
      </c>
      <c r="K53" s="24" t="str">
        <f t="shared" si="2"/>
        <v>퍼즐|픽셀·컬러 아트</v>
      </c>
      <c r="L53" s="56">
        <f t="shared" si="3"/>
        <v>1</v>
      </c>
    </row>
    <row r="54" spans="1:12" ht="30">
      <c r="A54" s="24" t="s">
        <v>760</v>
      </c>
      <c r="B54" s="24" t="s">
        <v>822</v>
      </c>
      <c r="C54" s="89">
        <v>3</v>
      </c>
      <c r="D54" s="89">
        <v>5</v>
      </c>
      <c r="E54" s="89">
        <v>3</v>
      </c>
      <c r="F54" s="89">
        <v>3</v>
      </c>
      <c r="G54" s="89">
        <v>5</v>
      </c>
      <c r="H54" s="56">
        <f t="shared" si="0"/>
        <v>74</v>
      </c>
      <c r="I54" s="56" t="str">
        <f t="shared" si="1"/>
        <v>2인 가능</v>
      </c>
      <c r="J54" s="90" t="s">
        <v>823</v>
      </c>
      <c r="K54" s="24" t="str">
        <f t="shared" si="2"/>
        <v>하이퍼·하이브리드 캐주얼|군중 러너·디펜스</v>
      </c>
      <c r="L54" s="56">
        <f t="shared" si="3"/>
        <v>1</v>
      </c>
    </row>
    <row r="56" spans="1:12" ht="16">
      <c r="A56" s="78" t="s">
        <v>824</v>
      </c>
    </row>
    <row r="57" spans="1:12" ht="32">
      <c r="A57" s="79" t="s">
        <v>825</v>
      </c>
      <c r="B57" s="79" t="s">
        <v>826</v>
      </c>
      <c r="C57" s="79" t="s">
        <v>827</v>
      </c>
      <c r="D57" s="79" t="s">
        <v>828</v>
      </c>
      <c r="E57" s="79" t="s">
        <v>829</v>
      </c>
      <c r="F57" s="80" t="s">
        <v>830</v>
      </c>
      <c r="G57" s="79" t="s">
        <v>737</v>
      </c>
      <c r="H57" s="80" t="s">
        <v>831</v>
      </c>
      <c r="I57" s="80" t="s">
        <v>832</v>
      </c>
      <c r="J57" s="80" t="s">
        <v>833</v>
      </c>
      <c r="K57" s="79" t="s">
        <v>834</v>
      </c>
    </row>
    <row r="58" spans="1:12" ht="60">
      <c r="A58" s="39" t="s">
        <v>174</v>
      </c>
      <c r="B58" s="91" t="str">
        <f t="shared" ref="B58:B64" si="4">INDEX($C$79:$C$250,MATCH($A58,$A$79:$A$250,0))</f>
        <v>정렬·잼</v>
      </c>
      <c r="C58" s="91">
        <f t="shared" ref="C58:C64" si="5">INDEX($D$79:$D$250,MATCH($A58,$A$79:$A$250,0))</f>
        <v>57</v>
      </c>
      <c r="D58" s="91">
        <f t="shared" ref="D58:D64" si="6">INDEX($E$79:$E$250,MATCH($A58,$A$79:$A$250,0))</f>
        <v>11</v>
      </c>
      <c r="E58" s="91">
        <f t="shared" ref="E58:E64" si="7">INDEX($H$79:$H$250,MATCH($A58,$A$79:$A$250,0))</f>
        <v>92</v>
      </c>
      <c r="F58" s="91" t="str">
        <f t="shared" ref="F58:F64" si="8">INDEX($F$79:$F$250,MATCH($A58,$A$79:$A$250,0))</f>
        <v>③ 다운로드만 높음</v>
      </c>
      <c r="G58" s="92" t="str">
        <f t="shared" ref="G58:G64" si="9">INDEX($I$79:$I$250,MATCH($A58,$A$79:$A$250,0))</f>
        <v>2인 가능</v>
      </c>
      <c r="H58" s="43" t="s">
        <v>835</v>
      </c>
      <c r="I58" s="43" t="s">
        <v>836</v>
      </c>
      <c r="J58" s="43" t="s">
        <v>837</v>
      </c>
      <c r="K58" s="90" t="s">
        <v>838</v>
      </c>
    </row>
    <row r="59" spans="1:12" ht="30">
      <c r="A59" s="39" t="s">
        <v>839</v>
      </c>
      <c r="B59" s="91" t="str">
        <f t="shared" si="4"/>
        <v>타일·마작·트리플 매치</v>
      </c>
      <c r="C59" s="91">
        <f t="shared" si="5"/>
        <v>27</v>
      </c>
      <c r="D59" s="91">
        <f t="shared" si="6"/>
        <v>83</v>
      </c>
      <c r="E59" s="91">
        <f t="shared" si="7"/>
        <v>87</v>
      </c>
      <c r="F59" s="91" t="str">
        <f t="shared" si="8"/>
        <v>② 매출만 높음</v>
      </c>
      <c r="G59" s="92" t="str">
        <f t="shared" si="9"/>
        <v>2인 가능</v>
      </c>
      <c r="H59" s="43" t="s">
        <v>840</v>
      </c>
      <c r="I59" s="43" t="s">
        <v>841</v>
      </c>
      <c r="J59" s="90" t="s">
        <v>842</v>
      </c>
      <c r="K59" s="90" t="s">
        <v>843</v>
      </c>
    </row>
    <row r="60" spans="1:12" ht="45">
      <c r="A60" s="39" t="s">
        <v>844</v>
      </c>
      <c r="B60" s="91" t="str">
        <f t="shared" si="4"/>
        <v>블록</v>
      </c>
      <c r="C60" s="91">
        <f t="shared" si="5"/>
        <v>64</v>
      </c>
      <c r="D60" s="91">
        <f t="shared" si="6"/>
        <v>27</v>
      </c>
      <c r="E60" s="91">
        <f t="shared" si="7"/>
        <v>96</v>
      </c>
      <c r="F60" s="91" t="str">
        <f t="shared" si="8"/>
        <v>③ 다운로드만 높음</v>
      </c>
      <c r="G60" s="92" t="str">
        <f t="shared" si="9"/>
        <v>2인 가능</v>
      </c>
      <c r="H60" s="43" t="s">
        <v>835</v>
      </c>
      <c r="I60" s="43" t="s">
        <v>836</v>
      </c>
      <c r="J60" s="43" t="s">
        <v>845</v>
      </c>
      <c r="K60" s="90" t="s">
        <v>846</v>
      </c>
    </row>
    <row r="61" spans="1:12" ht="45">
      <c r="A61" s="39" t="s">
        <v>847</v>
      </c>
      <c r="B61" s="91" t="str">
        <f t="shared" si="4"/>
        <v>솔리테어</v>
      </c>
      <c r="C61" s="91">
        <f t="shared" si="5"/>
        <v>86</v>
      </c>
      <c r="D61" s="91" t="str">
        <f t="shared" si="6"/>
        <v>-</v>
      </c>
      <c r="E61" s="91">
        <f t="shared" si="7"/>
        <v>92</v>
      </c>
      <c r="F61" s="91" t="str">
        <f t="shared" si="8"/>
        <v>④ 둘 다 기준 밖</v>
      </c>
      <c r="G61" s="92" t="str">
        <f t="shared" si="9"/>
        <v>2인 가능</v>
      </c>
      <c r="H61" s="43" t="s">
        <v>835</v>
      </c>
      <c r="I61" s="43" t="s">
        <v>836</v>
      </c>
      <c r="J61" s="43" t="s">
        <v>848</v>
      </c>
      <c r="K61" s="43" t="s">
        <v>849</v>
      </c>
    </row>
    <row r="62" spans="1:12" ht="30">
      <c r="A62" s="39" t="s">
        <v>850</v>
      </c>
      <c r="B62" s="91" t="str">
        <f t="shared" si="4"/>
        <v>물리 파괴</v>
      </c>
      <c r="C62" s="91">
        <f t="shared" si="5"/>
        <v>70</v>
      </c>
      <c r="D62" s="91">
        <f t="shared" si="6"/>
        <v>9</v>
      </c>
      <c r="E62" s="91">
        <f t="shared" si="7"/>
        <v>79</v>
      </c>
      <c r="F62" s="91" t="str">
        <f t="shared" si="8"/>
        <v>③ 다운로드만 높음</v>
      </c>
      <c r="G62" s="92" t="str">
        <f t="shared" si="9"/>
        <v>2인 가능</v>
      </c>
      <c r="H62" s="43" t="s">
        <v>840</v>
      </c>
      <c r="I62" s="43" t="s">
        <v>841</v>
      </c>
      <c r="J62" s="43" t="s">
        <v>851</v>
      </c>
      <c r="K62" s="43" t="s">
        <v>852</v>
      </c>
    </row>
    <row r="63" spans="1:12" ht="45">
      <c r="A63" s="39" t="s">
        <v>853</v>
      </c>
      <c r="B63" s="91" t="str">
        <f t="shared" si="4"/>
        <v>탭 탈출</v>
      </c>
      <c r="C63" s="91" t="str">
        <f t="shared" si="5"/>
        <v>-</v>
      </c>
      <c r="D63" s="91">
        <f t="shared" si="6"/>
        <v>23</v>
      </c>
      <c r="E63" s="91">
        <f t="shared" si="7"/>
        <v>96</v>
      </c>
      <c r="F63" s="91" t="str">
        <f t="shared" si="8"/>
        <v>③ 다운로드만 높음</v>
      </c>
      <c r="G63" s="92" t="str">
        <f t="shared" si="9"/>
        <v>2인 가능</v>
      </c>
      <c r="H63" s="43" t="s">
        <v>835</v>
      </c>
      <c r="I63" s="43" t="s">
        <v>854</v>
      </c>
      <c r="J63" s="43" t="s">
        <v>855</v>
      </c>
      <c r="K63" s="43" t="s">
        <v>856</v>
      </c>
    </row>
    <row r="64" spans="1:12" ht="30">
      <c r="A64" s="39" t="s">
        <v>857</v>
      </c>
      <c r="B64" s="91" t="str">
        <f t="shared" si="4"/>
        <v>워드</v>
      </c>
      <c r="C64" s="91">
        <f t="shared" si="5"/>
        <v>94</v>
      </c>
      <c r="D64" s="91" t="str">
        <f t="shared" si="6"/>
        <v>-</v>
      </c>
      <c r="E64" s="91">
        <f t="shared" si="7"/>
        <v>91</v>
      </c>
      <c r="F64" s="91" t="str">
        <f t="shared" si="8"/>
        <v>④ 둘 다 기준 밖</v>
      </c>
      <c r="G64" s="92" t="str">
        <f t="shared" si="9"/>
        <v>2인 가능</v>
      </c>
      <c r="H64" s="43" t="s">
        <v>835</v>
      </c>
      <c r="I64" s="43" t="s">
        <v>836</v>
      </c>
      <c r="J64" s="43" t="s">
        <v>858</v>
      </c>
      <c r="K64" s="43" t="s">
        <v>859</v>
      </c>
    </row>
    <row r="66" spans="1:11">
      <c r="A66" s="29" t="s">
        <v>860</v>
      </c>
    </row>
    <row r="67" spans="1:11">
      <c r="A67" s="29" t="s">
        <v>861</v>
      </c>
    </row>
    <row r="68" spans="1:11">
      <c r="A68" s="29" t="s">
        <v>862</v>
      </c>
    </row>
    <row r="69" spans="1:11">
      <c r="A69" s="29" t="s">
        <v>863</v>
      </c>
    </row>
    <row r="70" spans="1:11">
      <c r="A70" s="29" t="s">
        <v>864</v>
      </c>
    </row>
    <row r="71" spans="1:11">
      <c r="A71" s="44" t="s">
        <v>865</v>
      </c>
    </row>
    <row r="72" spans="1:11">
      <c r="A72" s="29" t="s">
        <v>866</v>
      </c>
    </row>
    <row r="77" spans="1:11" ht="16">
      <c r="A77" s="49" t="s">
        <v>867</v>
      </c>
    </row>
    <row r="78" spans="1:11" ht="32">
      <c r="A78" s="79" t="s">
        <v>825</v>
      </c>
      <c r="B78" s="79" t="s">
        <v>868</v>
      </c>
      <c r="C78" s="79" t="s">
        <v>826</v>
      </c>
      <c r="D78" s="79" t="s">
        <v>827</v>
      </c>
      <c r="E78" s="79" t="s">
        <v>828</v>
      </c>
      <c r="F78" s="80" t="s">
        <v>830</v>
      </c>
      <c r="G78" s="79" t="s">
        <v>869</v>
      </c>
      <c r="H78" s="79" t="s">
        <v>829</v>
      </c>
      <c r="I78" s="79" t="s">
        <v>737</v>
      </c>
      <c r="J78" s="79"/>
      <c r="K78" s="79" t="s">
        <v>739</v>
      </c>
    </row>
    <row r="79" spans="1:11">
      <c r="A79" s="82" t="s">
        <v>187</v>
      </c>
      <c r="B79" s="53" t="str">
        <f>IFERROR(INDEX('4-5 매출 Top100(참조)'!$D$2:$D$101,MATCH($A79,'4-5 매출 Top100(참조)'!$B$2:$B$101,0)),IFERROR(INDEX('4-4 Google Play Top100(참조)'!$D$2:$D$101,MATCH($A79,'4-4 Google Play Top100(참조)'!$B$2:$B$101,0)),"확인 불가"))</f>
        <v>카드·보드·카지노</v>
      </c>
      <c r="C79" s="53" t="str">
        <f>IFERROR(INDEX('4-5 매출 Top100(참조)'!$E$2:$E$101,MATCH($A79,'4-5 매출 Top100(참조)'!$B$2:$B$101,0)),IFERROR(INDEX('4-4 Google Play Top100(참조)'!$E$2:$E$101,MATCH($A79,'4-4 Google Play Top100(참조)'!$B$2:$B$101,0)),"-"))</f>
        <v>보드·주사위 소셜캐주얼</v>
      </c>
      <c r="D79" s="55">
        <f>INDEX('4-6 매출-다운로드 비교(참조)'!$B$6:$B$177,MATCH($A79,'4-6 매출-다운로드 비교(참조)'!$A$6:$A$177,0))</f>
        <v>1</v>
      </c>
      <c r="E79" s="55">
        <f>INDEX('4-6 매출-다운로드 비교(참조)'!$C$6:$C$177,MATCH($A79,'4-6 매출-다운로드 비교(참조)'!$A$6:$A$177,0))</f>
        <v>26</v>
      </c>
      <c r="F79" s="53" t="str">
        <f>INDEX('4-6 매출-다운로드 비교(참조)'!$H$6:$H$177,MATCH($A79,'4-6 매출-다운로드 비교(참조)'!$A$6:$A$177,0))</f>
        <v>① 둘 다 높음</v>
      </c>
      <c r="G79" s="55" t="str">
        <f t="shared" ref="G79:G110" si="10">IF(OR(ISNUMBER(D79),F79="③ 다운로드만 높음"),"후보","후보 아님")</f>
        <v>후보</v>
      </c>
      <c r="H79" s="55">
        <f t="shared" ref="H79:H110" si="11">IF(G79&lt;&gt;"후보","",IFERROR(INDEX($H$18:$H$54,MATCH(K79,$K$18:$K$54,0)),""))</f>
        <v>38</v>
      </c>
      <c r="I79" s="55" t="str">
        <f t="shared" ref="I79:I110" si="12">IF(G79&lt;&gt;"후보","-",IFERROR(INDEX($I$18:$I$54,MATCH(K79,$K$18:$K$54,0)),"판단 보류"))</f>
        <v>2인 어려움</v>
      </c>
      <c r="J79" s="53"/>
      <c r="K79" s="53" t="str">
        <f t="shared" ref="K79:K110" si="13">B79&amp;"|"&amp;C79</f>
        <v>카드·보드·카지노|보드·주사위 소셜캐주얼</v>
      </c>
    </row>
    <row r="80" spans="1:11">
      <c r="A80" s="82" t="s">
        <v>870</v>
      </c>
      <c r="B80" s="53" t="str">
        <f>IFERROR(INDEX('4-5 매출 Top100(참조)'!$D$2:$D$101,MATCH($A80,'4-5 매출 Top100(참조)'!$B$2:$B$101,0)),IFERROR(INDEX('4-4 Google Play Top100(참조)'!$D$2:$D$101,MATCH($A80,'4-4 Google Play Top100(참조)'!$B$2:$B$101,0)),"확인 불가"))</f>
        <v>기타(UGC·리워드)</v>
      </c>
      <c r="C80" s="53" t="str">
        <f>IFERROR(INDEX('4-5 매출 Top100(참조)'!$E$2:$E$101,MATCH($A80,'4-5 매출 Top100(참조)'!$B$2:$B$101,0)),IFERROR(INDEX('4-4 Google Play Top100(참조)'!$E$2:$E$101,MATCH($A80,'4-4 Google Play Top100(참조)'!$B$2:$B$101,0)),"-"))</f>
        <v>UGC 플랫폼</v>
      </c>
      <c r="D80" s="55">
        <f>INDEX('4-6 매출-다운로드 비교(참조)'!$B$6:$B$177,MATCH($A80,'4-6 매출-다운로드 비교(참조)'!$A$6:$A$177,0))</f>
        <v>2</v>
      </c>
      <c r="E80" s="55">
        <f>INDEX('4-6 매출-다운로드 비교(참조)'!$C$6:$C$177,MATCH($A80,'4-6 매출-다운로드 비교(참조)'!$A$6:$A$177,0))</f>
        <v>4</v>
      </c>
      <c r="F80" s="53" t="str">
        <f>INDEX('4-6 매출-다운로드 비교(참조)'!$H$6:$H$177,MATCH($A80,'4-6 매출-다운로드 비교(참조)'!$A$6:$A$177,0))</f>
        <v>① 둘 다 높음</v>
      </c>
      <c r="G80" s="55" t="str">
        <f t="shared" si="10"/>
        <v>후보</v>
      </c>
      <c r="H80" s="55">
        <f t="shared" si="11"/>
        <v>24</v>
      </c>
      <c r="I80" s="55" t="str">
        <f t="shared" si="12"/>
        <v>2인 어려움</v>
      </c>
      <c r="J80" s="53"/>
      <c r="K80" s="53" t="str">
        <f t="shared" si="13"/>
        <v>기타(UGC·리워드)|UGC 플랫폼</v>
      </c>
    </row>
    <row r="81" spans="1:11">
      <c r="A81" s="82" t="s">
        <v>364</v>
      </c>
      <c r="B81" s="53" t="str">
        <f>IFERROR(INDEX('4-5 매출 Top100(참조)'!$D$2:$D$101,MATCH($A81,'4-5 매출 Top100(참조)'!$B$2:$B$101,0)),IFERROR(INDEX('4-4 Google Play Top100(참조)'!$D$2:$D$101,MATCH($A81,'4-4 Google Play Top100(참조)'!$B$2:$B$101,0)),"확인 불가"))</f>
        <v>퍼즐</v>
      </c>
      <c r="C81" s="53" t="str">
        <f>IFERROR(INDEX('4-5 매출 Top100(참조)'!$E$2:$E$101,MATCH($A81,'4-5 매출 Top100(참조)'!$B$2:$B$101,0)),IFERROR(INDEX('4-4 Google Play Top100(참조)'!$E$2:$E$101,MATCH($A81,'4-4 Google Play Top100(참조)'!$B$2:$B$101,0)),"-"))</f>
        <v>매치3</v>
      </c>
      <c r="D81" s="55">
        <f>INDEX('4-6 매출-다운로드 비교(참조)'!$B$6:$B$177,MATCH($A81,'4-6 매출-다운로드 비교(참조)'!$A$6:$A$177,0))</f>
        <v>3</v>
      </c>
      <c r="E81" s="55">
        <f>INDEX('4-6 매출-다운로드 비교(참조)'!$C$6:$C$177,MATCH($A81,'4-6 매출-다운로드 비교(참조)'!$A$6:$A$177,0))</f>
        <v>48</v>
      </c>
      <c r="F81" s="53" t="str">
        <f>INDEX('4-6 매출-다운로드 비교(참조)'!$H$6:$H$177,MATCH($A81,'4-6 매출-다운로드 비교(참조)'!$A$6:$A$177,0))</f>
        <v>② 매출만 높음</v>
      </c>
      <c r="G81" s="55" t="str">
        <f t="shared" si="10"/>
        <v>후보</v>
      </c>
      <c r="H81" s="55">
        <f t="shared" si="11"/>
        <v>60</v>
      </c>
      <c r="I81" s="55" t="str">
        <f t="shared" si="12"/>
        <v>조건부 (범위를 줄이면)</v>
      </c>
      <c r="J81" s="53"/>
      <c r="K81" s="53" t="str">
        <f t="shared" si="13"/>
        <v>퍼즐|매치3</v>
      </c>
    </row>
    <row r="82" spans="1:11">
      <c r="A82" s="82" t="s">
        <v>179</v>
      </c>
      <c r="B82" s="53" t="str">
        <f>IFERROR(INDEX('4-5 매출 Top100(참조)'!$D$2:$D$101,MATCH($A82,'4-5 매출 Top100(참조)'!$B$2:$B$101,0)),IFERROR(INDEX('4-4 Google Play Top100(참조)'!$D$2:$D$101,MATCH($A82,'4-4 Google Play Top100(참조)'!$B$2:$B$101,0)),"확인 불가"))</f>
        <v>퍼즐</v>
      </c>
      <c r="C82" s="53" t="str">
        <f>IFERROR(INDEX('4-5 매출 Top100(참조)'!$E$2:$E$101,MATCH($A82,'4-5 매출 Top100(참조)'!$B$2:$B$101,0)),IFERROR(INDEX('4-4 Google Play Top100(참조)'!$E$2:$E$101,MATCH($A82,'4-4 Google Play Top100(참조)'!$B$2:$B$101,0)),"-"))</f>
        <v>매치3</v>
      </c>
      <c r="D82" s="55">
        <f>INDEX('4-6 매출-다운로드 비교(참조)'!$B$6:$B$177,MATCH($A82,'4-6 매출-다운로드 비교(참조)'!$A$6:$A$177,0))</f>
        <v>4</v>
      </c>
      <c r="E82" s="55">
        <f>INDEX('4-6 매출-다운로드 비교(참조)'!$C$6:$C$177,MATCH($A82,'4-6 매출-다운로드 비교(참조)'!$A$6:$A$177,0))</f>
        <v>42</v>
      </c>
      <c r="F82" s="53" t="str">
        <f>INDEX('4-6 매출-다운로드 비교(참조)'!$H$6:$H$177,MATCH($A82,'4-6 매출-다운로드 비교(참조)'!$A$6:$A$177,0))</f>
        <v>② 매출만 높음</v>
      </c>
      <c r="G82" s="55" t="str">
        <f t="shared" si="10"/>
        <v>후보</v>
      </c>
      <c r="H82" s="55">
        <f t="shared" si="11"/>
        <v>60</v>
      </c>
      <c r="I82" s="55" t="str">
        <f t="shared" si="12"/>
        <v>조건부 (범위를 줄이면)</v>
      </c>
      <c r="J82" s="53"/>
      <c r="K82" s="53" t="str">
        <f t="shared" si="13"/>
        <v>퍼즐|매치3</v>
      </c>
    </row>
    <row r="83" spans="1:11">
      <c r="A83" s="82" t="s">
        <v>871</v>
      </c>
      <c r="B83" s="53" t="str">
        <f>IFERROR(INDEX('4-5 매출 Top100(참조)'!$D$2:$D$101,MATCH($A83,'4-5 매출 Top100(참조)'!$B$2:$B$101,0)),IFERROR(INDEX('4-4 Google Play Top100(참조)'!$D$2:$D$101,MATCH($A83,'4-4 Google Play Top100(참조)'!$B$2:$B$101,0)),"확인 불가"))</f>
        <v>퍼즐</v>
      </c>
      <c r="C83" s="53" t="str">
        <f>IFERROR(INDEX('4-5 매출 Top100(참조)'!$E$2:$E$101,MATCH($A83,'4-5 매출 Top100(참조)'!$B$2:$B$101,0)),IFERROR(INDEX('4-4 Google Play Top100(참조)'!$E$2:$E$101,MATCH($A83,'4-4 Google Play Top100(참조)'!$B$2:$B$101,0)),"-"))</f>
        <v>머지</v>
      </c>
      <c r="D83" s="55">
        <f>INDEX('4-6 매출-다운로드 비교(참조)'!$B$6:$B$177,MATCH($A83,'4-6 매출-다운로드 비교(참조)'!$A$6:$A$177,0))</f>
        <v>5</v>
      </c>
      <c r="E83" s="55">
        <f>INDEX('4-6 매출-다운로드 비교(참조)'!$C$6:$C$177,MATCH($A83,'4-6 매출-다운로드 비교(참조)'!$A$6:$A$177,0))</f>
        <v>17</v>
      </c>
      <c r="F83" s="53" t="str">
        <f>INDEX('4-6 매출-다운로드 비교(참조)'!$H$6:$H$177,MATCH($A83,'4-6 매출-다운로드 비교(참조)'!$A$6:$A$177,0))</f>
        <v>① 둘 다 높음</v>
      </c>
      <c r="G83" s="55" t="str">
        <f t="shared" si="10"/>
        <v>후보</v>
      </c>
      <c r="H83" s="55">
        <f t="shared" si="11"/>
        <v>56</v>
      </c>
      <c r="I83" s="55" t="str">
        <f t="shared" si="12"/>
        <v>조건부 (범위를 줄이면)</v>
      </c>
      <c r="J83" s="53"/>
      <c r="K83" s="53" t="str">
        <f t="shared" si="13"/>
        <v>퍼즐|머지</v>
      </c>
    </row>
    <row r="84" spans="1:11">
      <c r="A84" s="82" t="s">
        <v>872</v>
      </c>
      <c r="B84" s="53" t="str">
        <f>IFERROR(INDEX('4-5 매출 Top100(참조)'!$D$2:$D$101,MATCH($A84,'4-5 매출 Top100(참조)'!$B$2:$B$101,0)),IFERROR(INDEX('4-4 Google Play Top100(참조)'!$D$2:$D$101,MATCH($A84,'4-4 Google Play Top100(참조)'!$B$2:$B$101,0)),"확인 불가"))</f>
        <v>시뮬레이션</v>
      </c>
      <c r="C84" s="53" t="str">
        <f>IFERROR(INDEX('4-5 매출 Top100(참조)'!$E$2:$E$101,MATCH($A84,'4-5 매출 Top100(참조)'!$B$2:$B$101,0)),IFERROR(INDEX('4-4 Google Play Top100(참조)'!$E$2:$E$101,MATCH($A84,'4-4 Google Play Top100(참조)'!$B$2:$B$101,0)),"-"))</f>
        <v>농장·타운 빌딩</v>
      </c>
      <c r="D84" s="55">
        <f>INDEX('4-6 매출-다운로드 비교(참조)'!$B$6:$B$177,MATCH($A84,'4-6 매출-다운로드 비교(참조)'!$A$6:$A$177,0))</f>
        <v>6</v>
      </c>
      <c r="E84" s="55">
        <f>INDEX('4-6 매출-다운로드 비교(참조)'!$C$6:$C$177,MATCH($A84,'4-6 매출-다운로드 비교(참조)'!$A$6:$A$177,0))</f>
        <v>22</v>
      </c>
      <c r="F84" s="53" t="str">
        <f>INDEX('4-6 매출-다운로드 비교(참조)'!$H$6:$H$177,MATCH($A84,'4-6 매출-다운로드 비교(참조)'!$A$6:$A$177,0))</f>
        <v>① 둘 다 높음</v>
      </c>
      <c r="G84" s="55" t="str">
        <f t="shared" si="10"/>
        <v>후보</v>
      </c>
      <c r="H84" s="55">
        <f t="shared" si="11"/>
        <v>38</v>
      </c>
      <c r="I84" s="55" t="str">
        <f t="shared" si="12"/>
        <v>2인 어려움</v>
      </c>
      <c r="J84" s="53"/>
      <c r="K84" s="53" t="str">
        <f t="shared" si="13"/>
        <v>시뮬레이션|농장·타운 빌딩</v>
      </c>
    </row>
    <row r="85" spans="1:11">
      <c r="A85" s="82" t="s">
        <v>382</v>
      </c>
      <c r="B85" s="53" t="str">
        <f>IFERROR(INDEX('4-5 매출 Top100(참조)'!$D$2:$D$101,MATCH($A85,'4-5 매출 Top100(참조)'!$B$2:$B$101,0)),IFERROR(INDEX('4-4 Google Play Top100(참조)'!$D$2:$D$101,MATCH($A85,'4-4 Google Play Top100(참조)'!$B$2:$B$101,0)),"확인 불가"))</f>
        <v>카드·보드·카지노</v>
      </c>
      <c r="C85" s="53" t="str">
        <f>IFERROR(INDEX('4-5 매출 Top100(참조)'!$E$2:$E$101,MATCH($A85,'4-5 매출 Top100(참조)'!$B$2:$B$101,0)),IFERROR(INDEX('4-4 Google Play Top100(참조)'!$E$2:$E$101,MATCH($A85,'4-4 Google Play Top100(참조)'!$B$2:$B$101,0)),"-"))</f>
        <v>보드·주사위 소셜캐주얼</v>
      </c>
      <c r="D85" s="55">
        <f>INDEX('4-6 매출-다운로드 비교(참조)'!$B$6:$B$177,MATCH($A85,'4-6 매출-다운로드 비교(참조)'!$A$6:$A$177,0))</f>
        <v>7</v>
      </c>
      <c r="E85" s="55" t="str">
        <f>INDEX('4-6 매출-다운로드 비교(참조)'!$C$6:$C$177,MATCH($A85,'4-6 매출-다운로드 비교(참조)'!$A$6:$A$177,0))</f>
        <v>-</v>
      </c>
      <c r="F85" s="53" t="str">
        <f>INDEX('4-6 매출-다운로드 비교(참조)'!$H$6:$H$177,MATCH($A85,'4-6 매출-다운로드 비교(참조)'!$A$6:$A$177,0))</f>
        <v>② 매출만 높음</v>
      </c>
      <c r="G85" s="55" t="str">
        <f t="shared" si="10"/>
        <v>후보</v>
      </c>
      <c r="H85" s="55">
        <f t="shared" si="11"/>
        <v>38</v>
      </c>
      <c r="I85" s="55" t="str">
        <f t="shared" si="12"/>
        <v>2인 어려움</v>
      </c>
      <c r="J85" s="53"/>
      <c r="K85" s="53" t="str">
        <f t="shared" si="13"/>
        <v>카드·보드·카지노|보드·주사위 소셜캐주얼</v>
      </c>
    </row>
    <row r="86" spans="1:11">
      <c r="A86" s="82" t="s">
        <v>399</v>
      </c>
      <c r="B86" s="53" t="str">
        <f>IFERROR(INDEX('4-5 매출 Top100(참조)'!$D$2:$D$101,MATCH($A86,'4-5 매출 Top100(참조)'!$B$2:$B$101,0)),IFERROR(INDEX('4-4 Google Play Top100(참조)'!$D$2:$D$101,MATCH($A86,'4-4 Google Play Top100(참조)'!$B$2:$B$101,0)),"확인 불가"))</f>
        <v>전략</v>
      </c>
      <c r="C86" s="53" t="str">
        <f>IFERROR(INDEX('4-5 매출 Top100(참조)'!$E$2:$E$101,MATCH($A86,'4-5 매출 Top100(참조)'!$B$2:$B$101,0)),IFERROR(INDEX('4-4 Google Play Top100(참조)'!$E$2:$E$101,MATCH($A86,'4-4 Google Play Top100(참조)'!$B$2:$B$101,0)),"-"))</f>
        <v>4X·SLG</v>
      </c>
      <c r="D86" s="55">
        <f>INDEX('4-6 매출-다운로드 비교(참조)'!$B$6:$B$177,MATCH($A86,'4-6 매출-다운로드 비교(참조)'!$A$6:$A$177,0))</f>
        <v>8</v>
      </c>
      <c r="E86" s="55" t="str">
        <f>INDEX('4-6 매출-다운로드 비교(참조)'!$C$6:$C$177,MATCH($A86,'4-6 매출-다운로드 비교(참조)'!$A$6:$A$177,0))</f>
        <v>-</v>
      </c>
      <c r="F86" s="53" t="str">
        <f>INDEX('4-6 매출-다운로드 비교(참조)'!$H$6:$H$177,MATCH($A86,'4-6 매출-다운로드 비교(참조)'!$A$6:$A$177,0))</f>
        <v>② 매출만 높음</v>
      </c>
      <c r="G86" s="55" t="str">
        <f t="shared" si="10"/>
        <v>후보</v>
      </c>
      <c r="H86" s="55">
        <f t="shared" si="11"/>
        <v>24</v>
      </c>
      <c r="I86" s="55" t="str">
        <f t="shared" si="12"/>
        <v>2인 어려움</v>
      </c>
      <c r="J86" s="53"/>
      <c r="K86" s="53" t="str">
        <f t="shared" si="13"/>
        <v>전략|4X·SLG</v>
      </c>
    </row>
    <row r="87" spans="1:11">
      <c r="A87" s="82" t="s">
        <v>373</v>
      </c>
      <c r="B87" s="53" t="str">
        <f>IFERROR(INDEX('4-5 매출 Top100(참조)'!$D$2:$D$101,MATCH($A87,'4-5 매출 Top100(참조)'!$B$2:$B$101,0)),IFERROR(INDEX('4-4 Google Play Top100(참조)'!$D$2:$D$101,MATCH($A87,'4-4 Google Play Top100(참조)'!$B$2:$B$101,0)),"확인 불가"))</f>
        <v>퍼즐</v>
      </c>
      <c r="C87" s="53" t="str">
        <f>IFERROR(INDEX('4-5 매출 Top100(참조)'!$E$2:$E$101,MATCH($A87,'4-5 매출 Top100(참조)'!$B$2:$B$101,0)),IFERROR(INDEX('4-4 Google Play Top100(참조)'!$E$2:$E$101,MATCH($A87,'4-4 Google Play Top100(참조)'!$B$2:$B$101,0)),"-"))</f>
        <v>매치3</v>
      </c>
      <c r="D87" s="55">
        <f>INDEX('4-6 매출-다운로드 비교(참조)'!$B$6:$B$177,MATCH($A87,'4-6 매출-다운로드 비교(참조)'!$A$6:$A$177,0))</f>
        <v>9</v>
      </c>
      <c r="E87" s="55">
        <f>INDEX('4-6 매출-다운로드 비교(참조)'!$C$6:$C$177,MATCH($A87,'4-6 매출-다운로드 비교(참조)'!$A$6:$A$177,0))</f>
        <v>47</v>
      </c>
      <c r="F87" s="53" t="str">
        <f>INDEX('4-6 매출-다운로드 비교(참조)'!$H$6:$H$177,MATCH($A87,'4-6 매출-다운로드 비교(참조)'!$A$6:$A$177,0))</f>
        <v>② 매출만 높음</v>
      </c>
      <c r="G87" s="55" t="str">
        <f t="shared" si="10"/>
        <v>후보</v>
      </c>
      <c r="H87" s="55">
        <f t="shared" si="11"/>
        <v>60</v>
      </c>
      <c r="I87" s="55" t="str">
        <f t="shared" si="12"/>
        <v>조건부 (범위를 줄이면)</v>
      </c>
      <c r="J87" s="53"/>
      <c r="K87" s="53" t="str">
        <f t="shared" si="13"/>
        <v>퍼즐|매치3</v>
      </c>
    </row>
    <row r="88" spans="1:11">
      <c r="A88" s="82" t="s">
        <v>190</v>
      </c>
      <c r="B88" s="53" t="str">
        <f>IFERROR(INDEX('4-5 매출 Top100(참조)'!$D$2:$D$101,MATCH($A88,'4-5 매출 Top100(참조)'!$B$2:$B$101,0)),IFERROR(INDEX('4-4 Google Play Top100(참조)'!$D$2:$D$101,MATCH($A88,'4-4 Google Play Top100(참조)'!$B$2:$B$101,0)),"확인 불가"))</f>
        <v>전략</v>
      </c>
      <c r="C88" s="53" t="str">
        <f>IFERROR(INDEX('4-5 매출 Top100(참조)'!$E$2:$E$101,MATCH($A88,'4-5 매출 Top100(참조)'!$B$2:$B$101,0)),IFERROR(INDEX('4-4 Google Play Top100(참조)'!$E$2:$E$101,MATCH($A88,'4-4 Google Play Top100(참조)'!$B$2:$B$101,0)),"-"))</f>
        <v>4X·SLG</v>
      </c>
      <c r="D88" s="55">
        <f>INDEX('4-6 매출-다운로드 비교(참조)'!$B$6:$B$177,MATCH($A88,'4-6 매출-다운로드 비교(참조)'!$A$6:$A$177,0))</f>
        <v>10</v>
      </c>
      <c r="E88" s="55">
        <f>INDEX('4-6 매출-다운로드 비교(참조)'!$C$6:$C$177,MATCH($A88,'4-6 매출-다운로드 비교(참조)'!$A$6:$A$177,0))</f>
        <v>63</v>
      </c>
      <c r="F88" s="53" t="str">
        <f>INDEX('4-6 매출-다운로드 비교(참조)'!$H$6:$H$177,MATCH($A88,'4-6 매출-다운로드 비교(참조)'!$A$6:$A$177,0))</f>
        <v>② 매출만 높음</v>
      </c>
      <c r="G88" s="55" t="str">
        <f t="shared" si="10"/>
        <v>후보</v>
      </c>
      <c r="H88" s="55">
        <f t="shared" si="11"/>
        <v>24</v>
      </c>
      <c r="I88" s="55" t="str">
        <f t="shared" si="12"/>
        <v>2인 어려움</v>
      </c>
      <c r="J88" s="53"/>
      <c r="K88" s="53" t="str">
        <f t="shared" si="13"/>
        <v>전략|4X·SLG</v>
      </c>
    </row>
    <row r="89" spans="1:11">
      <c r="A89" s="82" t="s">
        <v>432</v>
      </c>
      <c r="B89" s="53" t="str">
        <f>IFERROR(INDEX('4-5 매출 Top100(참조)'!$D$2:$D$101,MATCH($A89,'4-5 매출 Top100(참조)'!$B$2:$B$101,0)),IFERROR(INDEX('4-4 Google Play Top100(참조)'!$D$2:$D$101,MATCH($A89,'4-4 Google Play Top100(참조)'!$B$2:$B$101,0)),"확인 불가"))</f>
        <v>RPG</v>
      </c>
      <c r="C89" s="53" t="str">
        <f>IFERROR(INDEX('4-5 매출 Top100(참조)'!$E$2:$E$101,MATCH($A89,'4-5 매출 Top100(참조)'!$B$2:$B$101,0)),IFERROR(INDEX('4-4 Google Play Top100(참조)'!$E$2:$E$101,MATCH($A89,'4-4 Google Play Top100(참조)'!$B$2:$B$101,0)),"-"))</f>
        <v>위치기반 수집</v>
      </c>
      <c r="D89" s="55">
        <f>INDEX('4-6 매출-다운로드 비교(참조)'!$B$6:$B$177,MATCH($A89,'4-6 매출-다운로드 비교(참조)'!$A$6:$A$177,0))</f>
        <v>11</v>
      </c>
      <c r="E89" s="55" t="str">
        <f>INDEX('4-6 매출-다운로드 비교(참조)'!$C$6:$C$177,MATCH($A89,'4-6 매출-다운로드 비교(참조)'!$A$6:$A$177,0))</f>
        <v>-</v>
      </c>
      <c r="F89" s="53" t="str">
        <f>INDEX('4-6 매출-다운로드 비교(참조)'!$H$6:$H$177,MATCH($A89,'4-6 매출-다운로드 비교(참조)'!$A$6:$A$177,0))</f>
        <v>② 매출만 높음</v>
      </c>
      <c r="G89" s="55" t="str">
        <f t="shared" si="10"/>
        <v>후보</v>
      </c>
      <c r="H89" s="55">
        <f t="shared" si="11"/>
        <v>28</v>
      </c>
      <c r="I89" s="55" t="str">
        <f t="shared" si="12"/>
        <v>2인 어려움</v>
      </c>
      <c r="J89" s="53"/>
      <c r="K89" s="53" t="str">
        <f t="shared" si="13"/>
        <v>RPG|위치기반 수집</v>
      </c>
    </row>
    <row r="90" spans="1:11">
      <c r="A90" s="82" t="s">
        <v>873</v>
      </c>
      <c r="B90" s="53" t="str">
        <f>IFERROR(INDEX('4-5 매출 Top100(참조)'!$D$2:$D$101,MATCH($A90,'4-5 매출 Top100(참조)'!$B$2:$B$101,0)),IFERROR(INDEX('4-4 Google Play Top100(참조)'!$D$2:$D$101,MATCH($A90,'4-4 Google Play Top100(참조)'!$B$2:$B$101,0)),"확인 불가"))</f>
        <v>전략</v>
      </c>
      <c r="C90" s="53" t="str">
        <f>IFERROR(INDEX('4-5 매출 Top100(참조)'!$E$2:$E$101,MATCH($A90,'4-5 매출 Top100(참조)'!$B$2:$B$101,0)),IFERROR(INDEX('4-4 Google Play Top100(참조)'!$E$2:$E$101,MATCH($A90,'4-4 Google Play Top100(참조)'!$B$2:$B$101,0)),"-"))</f>
        <v>4X·SLG</v>
      </c>
      <c r="D90" s="55">
        <f>INDEX('4-6 매출-다운로드 비교(참조)'!$B$6:$B$177,MATCH($A90,'4-6 매출-다운로드 비교(참조)'!$A$6:$A$177,0))</f>
        <v>12</v>
      </c>
      <c r="E90" s="55" t="str">
        <f>INDEX('4-6 매출-다운로드 비교(참조)'!$C$6:$C$177,MATCH($A90,'4-6 매출-다운로드 비교(참조)'!$A$6:$A$177,0))</f>
        <v>-</v>
      </c>
      <c r="F90" s="53" t="str">
        <f>INDEX('4-6 매출-다운로드 비교(참조)'!$H$6:$H$177,MATCH($A90,'4-6 매출-다운로드 비교(참조)'!$A$6:$A$177,0))</f>
        <v>② 매출만 높음</v>
      </c>
      <c r="G90" s="55" t="str">
        <f t="shared" si="10"/>
        <v>후보</v>
      </c>
      <c r="H90" s="55">
        <f t="shared" si="11"/>
        <v>24</v>
      </c>
      <c r="I90" s="55" t="str">
        <f t="shared" si="12"/>
        <v>2인 어려움</v>
      </c>
      <c r="J90" s="53"/>
      <c r="K90" s="53" t="str">
        <f t="shared" si="13"/>
        <v>전략|4X·SLG</v>
      </c>
    </row>
    <row r="91" spans="1:11">
      <c r="A91" s="82" t="s">
        <v>874</v>
      </c>
      <c r="B91" s="53" t="str">
        <f>IFERROR(INDEX('4-5 매출 Top100(참조)'!$D$2:$D$101,MATCH($A91,'4-5 매출 Top100(참조)'!$B$2:$B$101,0)),IFERROR(INDEX('4-4 Google Play Top100(참조)'!$D$2:$D$101,MATCH($A91,'4-4 Google Play Top100(참조)'!$B$2:$B$101,0)),"확인 불가"))</f>
        <v>RPG</v>
      </c>
      <c r="C91" s="53" t="str">
        <f>IFERROR(INDEX('4-5 매출 Top100(참조)'!$E$2:$E$101,MATCH($A91,'4-5 매출 Top100(참조)'!$B$2:$B$101,0)),IFERROR(INDEX('4-4 Google Play Top100(참조)'!$E$2:$E$101,MATCH($A91,'4-4 Google Play Top100(참조)'!$B$2:$B$101,0)),"-"))</f>
        <v>수집형(가챠) RPG</v>
      </c>
      <c r="D91" s="55">
        <f>INDEX('4-6 매출-다운로드 비교(참조)'!$B$6:$B$177,MATCH($A91,'4-6 매출-다운로드 비교(참조)'!$A$6:$A$177,0))</f>
        <v>13</v>
      </c>
      <c r="E91" s="55" t="str">
        <f>INDEX('4-6 매출-다운로드 비교(참조)'!$C$6:$C$177,MATCH($A91,'4-6 매출-다운로드 비교(참조)'!$A$6:$A$177,0))</f>
        <v>-</v>
      </c>
      <c r="F91" s="53" t="str">
        <f>INDEX('4-6 매출-다운로드 비교(참조)'!$H$6:$H$177,MATCH($A91,'4-6 매출-다운로드 비교(참조)'!$A$6:$A$177,0))</f>
        <v>② 매출만 높음</v>
      </c>
      <c r="G91" s="55" t="str">
        <f t="shared" si="10"/>
        <v>후보</v>
      </c>
      <c r="H91" s="55">
        <f t="shared" si="11"/>
        <v>29</v>
      </c>
      <c r="I91" s="55" t="str">
        <f t="shared" si="12"/>
        <v>2인 어려움</v>
      </c>
      <c r="J91" s="53"/>
      <c r="K91" s="53" t="str">
        <f t="shared" si="13"/>
        <v>RPG|수집형(가챠) RPG</v>
      </c>
    </row>
    <row r="92" spans="1:11">
      <c r="A92" s="82" t="s">
        <v>875</v>
      </c>
      <c r="B92" s="53" t="str">
        <f>IFERROR(INDEX('4-5 매출 Top100(참조)'!$D$2:$D$101,MATCH($A92,'4-5 매출 Top100(참조)'!$B$2:$B$101,0)),IFERROR(INDEX('4-4 Google Play Top100(참조)'!$D$2:$D$101,MATCH($A92,'4-4 Google Play Top100(참조)'!$B$2:$B$101,0)),"확인 불가"))</f>
        <v>퍼즐</v>
      </c>
      <c r="C92" s="53" t="str">
        <f>IFERROR(INDEX('4-5 매출 Top100(참조)'!$E$2:$E$101,MATCH($A92,'4-5 매출 Top100(참조)'!$B$2:$B$101,0)),IFERROR(INDEX('4-4 Google Play Top100(참조)'!$E$2:$E$101,MATCH($A92,'4-4 Google Play Top100(참조)'!$B$2:$B$101,0)),"-"))</f>
        <v>매치3</v>
      </c>
      <c r="D92" s="55">
        <f>INDEX('4-6 매출-다운로드 비교(참조)'!$B$6:$B$177,MATCH($A92,'4-6 매출-다운로드 비교(참조)'!$A$6:$A$177,0))</f>
        <v>14</v>
      </c>
      <c r="E92" s="55" t="str">
        <f>INDEX('4-6 매출-다운로드 비교(참조)'!$C$6:$C$177,MATCH($A92,'4-6 매출-다운로드 비교(참조)'!$A$6:$A$177,0))</f>
        <v>-</v>
      </c>
      <c r="F92" s="53" t="str">
        <f>INDEX('4-6 매출-다운로드 비교(참조)'!$H$6:$H$177,MATCH($A92,'4-6 매출-다운로드 비교(참조)'!$A$6:$A$177,0))</f>
        <v>② 매출만 높음</v>
      </c>
      <c r="G92" s="55" t="str">
        <f t="shared" si="10"/>
        <v>후보</v>
      </c>
      <c r="H92" s="55">
        <f t="shared" si="11"/>
        <v>60</v>
      </c>
      <c r="I92" s="55" t="str">
        <f t="shared" si="12"/>
        <v>조건부 (범위를 줄이면)</v>
      </c>
      <c r="J92" s="53"/>
      <c r="K92" s="53" t="str">
        <f t="shared" si="13"/>
        <v>퍼즐|매치3</v>
      </c>
    </row>
    <row r="93" spans="1:11">
      <c r="A93" s="82" t="s">
        <v>876</v>
      </c>
      <c r="B93" s="53" t="str">
        <f>IFERROR(INDEX('4-5 매출 Top100(참조)'!$D$2:$D$101,MATCH($A93,'4-5 매출 Top100(참조)'!$B$2:$B$101,0)),IFERROR(INDEX('4-4 Google Play Top100(참조)'!$D$2:$D$101,MATCH($A93,'4-4 Google Play Top100(참조)'!$B$2:$B$101,0)),"확인 불가"))</f>
        <v>전략</v>
      </c>
      <c r="C93" s="53" t="str">
        <f>IFERROR(INDEX('4-5 매출 Top100(참조)'!$E$2:$E$101,MATCH($A93,'4-5 매출 Top100(참조)'!$B$2:$B$101,0)),IFERROR(INDEX('4-4 Google Play Top100(참조)'!$E$2:$E$101,MATCH($A93,'4-4 Google Play Top100(참조)'!$B$2:$B$101,0)),"-"))</f>
        <v>4X·SLG</v>
      </c>
      <c r="D93" s="55">
        <f>INDEX('4-6 매출-다운로드 비교(참조)'!$B$6:$B$177,MATCH($A93,'4-6 매출-다운로드 비교(참조)'!$A$6:$A$177,0))</f>
        <v>15</v>
      </c>
      <c r="E93" s="55" t="str">
        <f>INDEX('4-6 매출-다운로드 비교(참조)'!$C$6:$C$177,MATCH($A93,'4-6 매출-다운로드 비교(참조)'!$A$6:$A$177,0))</f>
        <v>-</v>
      </c>
      <c r="F93" s="53" t="str">
        <f>INDEX('4-6 매출-다운로드 비교(참조)'!$H$6:$H$177,MATCH($A93,'4-6 매출-다운로드 비교(참조)'!$A$6:$A$177,0))</f>
        <v>② 매출만 높음</v>
      </c>
      <c r="G93" s="55" t="str">
        <f t="shared" si="10"/>
        <v>후보</v>
      </c>
      <c r="H93" s="55">
        <f t="shared" si="11"/>
        <v>24</v>
      </c>
      <c r="I93" s="55" t="str">
        <f t="shared" si="12"/>
        <v>2인 어려움</v>
      </c>
      <c r="J93" s="53"/>
      <c r="K93" s="53" t="str">
        <f t="shared" si="13"/>
        <v>전략|4X·SLG</v>
      </c>
    </row>
    <row r="94" spans="1:11">
      <c r="A94" s="82" t="s">
        <v>877</v>
      </c>
      <c r="B94" s="53" t="str">
        <f>IFERROR(INDEX('4-5 매출 Top100(참조)'!$D$2:$D$101,MATCH($A94,'4-5 매출 Top100(참조)'!$B$2:$B$101,0)),IFERROR(INDEX('4-4 Google Play Top100(참조)'!$D$2:$D$101,MATCH($A94,'4-4 Google Play Top100(참조)'!$B$2:$B$101,0)),"확인 불가"))</f>
        <v>전략</v>
      </c>
      <c r="C94" s="53" t="str">
        <f>IFERROR(INDEX('4-5 매출 Top100(참조)'!$E$2:$E$101,MATCH($A94,'4-5 매출 Top100(참조)'!$B$2:$B$101,0)),IFERROR(INDEX('4-4 Google Play Top100(참조)'!$E$2:$E$101,MATCH($A94,'4-4 Google Play Top100(참조)'!$B$2:$B$101,0)),"-"))</f>
        <v>4X·SLG</v>
      </c>
      <c r="D94" s="55">
        <f>INDEX('4-6 매출-다운로드 비교(참조)'!$B$6:$B$177,MATCH($A94,'4-6 매출-다운로드 비교(참조)'!$A$6:$A$177,0))</f>
        <v>16</v>
      </c>
      <c r="E94" s="55" t="str">
        <f>INDEX('4-6 매출-다운로드 비교(참조)'!$C$6:$C$177,MATCH($A94,'4-6 매출-다운로드 비교(참조)'!$A$6:$A$177,0))</f>
        <v>-</v>
      </c>
      <c r="F94" s="53" t="str">
        <f>INDEX('4-6 매출-다운로드 비교(참조)'!$H$6:$H$177,MATCH($A94,'4-6 매출-다운로드 비교(참조)'!$A$6:$A$177,0))</f>
        <v>② 매출만 높음</v>
      </c>
      <c r="G94" s="55" t="str">
        <f t="shared" si="10"/>
        <v>후보</v>
      </c>
      <c r="H94" s="55">
        <f t="shared" si="11"/>
        <v>24</v>
      </c>
      <c r="I94" s="55" t="str">
        <f t="shared" si="12"/>
        <v>2인 어려움</v>
      </c>
      <c r="J94" s="53"/>
      <c r="K94" s="53" t="str">
        <f t="shared" si="13"/>
        <v>전략|4X·SLG</v>
      </c>
    </row>
    <row r="95" spans="1:11">
      <c r="A95" s="82" t="s">
        <v>878</v>
      </c>
      <c r="B95" s="53" t="str">
        <f>IFERROR(INDEX('4-5 매출 Top100(참조)'!$D$2:$D$101,MATCH($A95,'4-5 매출 Top100(참조)'!$B$2:$B$101,0)),IFERROR(INDEX('4-4 Google Play Top100(참조)'!$D$2:$D$101,MATCH($A95,'4-4 Google Play Top100(참조)'!$B$2:$B$101,0)),"확인 불가"))</f>
        <v>전략</v>
      </c>
      <c r="C95" s="53" t="str">
        <f>IFERROR(INDEX('4-5 매출 Top100(참조)'!$E$2:$E$101,MATCH($A95,'4-5 매출 Top100(참조)'!$B$2:$B$101,0)),IFERROR(INDEX('4-4 Google Play Top100(참조)'!$E$2:$E$101,MATCH($A95,'4-4 Google Play Top100(참조)'!$B$2:$B$101,0)),"-"))</f>
        <v>4X·SLG</v>
      </c>
      <c r="D95" s="55">
        <f>INDEX('4-6 매출-다운로드 비교(참조)'!$B$6:$B$177,MATCH($A95,'4-6 매출-다운로드 비교(참조)'!$A$6:$A$177,0))</f>
        <v>17</v>
      </c>
      <c r="E95" s="55" t="str">
        <f>INDEX('4-6 매출-다운로드 비교(참조)'!$C$6:$C$177,MATCH($A95,'4-6 매출-다운로드 비교(참조)'!$A$6:$A$177,0))</f>
        <v>-</v>
      </c>
      <c r="F95" s="53" t="str">
        <f>INDEX('4-6 매출-다운로드 비교(참조)'!$H$6:$H$177,MATCH($A95,'4-6 매출-다운로드 비교(참조)'!$A$6:$A$177,0))</f>
        <v>② 매출만 높음</v>
      </c>
      <c r="G95" s="55" t="str">
        <f t="shared" si="10"/>
        <v>후보</v>
      </c>
      <c r="H95" s="55">
        <f t="shared" si="11"/>
        <v>24</v>
      </c>
      <c r="I95" s="55" t="str">
        <f t="shared" si="12"/>
        <v>2인 어려움</v>
      </c>
      <c r="J95" s="53"/>
      <c r="K95" s="53" t="str">
        <f t="shared" si="13"/>
        <v>전략|4X·SLG</v>
      </c>
    </row>
    <row r="96" spans="1:11">
      <c r="A96" s="82" t="s">
        <v>879</v>
      </c>
      <c r="B96" s="53" t="str">
        <f>IFERROR(INDEX('4-5 매출 Top100(참조)'!$D$2:$D$101,MATCH($A96,'4-5 매출 Top100(참조)'!$B$2:$B$101,0)),IFERROR(INDEX('4-4 Google Play Top100(참조)'!$D$2:$D$101,MATCH($A96,'4-4 Google Play Top100(참조)'!$B$2:$B$101,0)),"확인 불가"))</f>
        <v>RPG</v>
      </c>
      <c r="C96" s="53" t="str">
        <f>IFERROR(INDEX('4-5 매출 Top100(참조)'!$E$2:$E$101,MATCH($A96,'4-5 매출 Top100(참조)'!$B$2:$B$101,0)),IFERROR(INDEX('4-4 Google Play Top100(참조)'!$E$2:$E$101,MATCH($A96,'4-4 Google Play Top100(참조)'!$B$2:$B$101,0)),"-"))</f>
        <v>수집형(가챠) RPG</v>
      </c>
      <c r="D96" s="55">
        <f>INDEX('4-6 매출-다운로드 비교(참조)'!$B$6:$B$177,MATCH($A96,'4-6 매출-다운로드 비교(참조)'!$A$6:$A$177,0))</f>
        <v>18</v>
      </c>
      <c r="E96" s="55" t="str">
        <f>INDEX('4-6 매출-다운로드 비교(참조)'!$C$6:$C$177,MATCH($A96,'4-6 매출-다운로드 비교(참조)'!$A$6:$A$177,0))</f>
        <v>-</v>
      </c>
      <c r="F96" s="53" t="str">
        <f>INDEX('4-6 매출-다운로드 비교(참조)'!$H$6:$H$177,MATCH($A96,'4-6 매출-다운로드 비교(참조)'!$A$6:$A$177,0))</f>
        <v>② 매출만 높음</v>
      </c>
      <c r="G96" s="55" t="str">
        <f t="shared" si="10"/>
        <v>후보</v>
      </c>
      <c r="H96" s="55">
        <f t="shared" si="11"/>
        <v>29</v>
      </c>
      <c r="I96" s="55" t="str">
        <f t="shared" si="12"/>
        <v>2인 어려움</v>
      </c>
      <c r="J96" s="53"/>
      <c r="K96" s="53" t="str">
        <f t="shared" si="13"/>
        <v>RPG|수집형(가챠) RPG</v>
      </c>
    </row>
    <row r="97" spans="1:11">
      <c r="A97" s="82" t="s">
        <v>880</v>
      </c>
      <c r="B97" s="53" t="str">
        <f>IFERROR(INDEX('4-5 매출 Top100(참조)'!$D$2:$D$101,MATCH($A97,'4-5 매출 Top100(참조)'!$B$2:$B$101,0)),IFERROR(INDEX('4-4 Google Play Top100(참조)'!$D$2:$D$101,MATCH($A97,'4-4 Google Play Top100(참조)'!$B$2:$B$101,0)),"확인 불가"))</f>
        <v>퍼즐</v>
      </c>
      <c r="C97" s="53" t="str">
        <f>IFERROR(INDEX('4-5 매출 Top100(참조)'!$E$2:$E$101,MATCH($A97,'4-5 매출 Top100(참조)'!$B$2:$B$101,0)),IFERROR(INDEX('4-4 Google Play Top100(참조)'!$E$2:$E$101,MATCH($A97,'4-4 Google Play Top100(참조)'!$B$2:$B$101,0)),"-"))</f>
        <v>매치3</v>
      </c>
      <c r="D97" s="55">
        <f>INDEX('4-6 매출-다운로드 비교(참조)'!$B$6:$B$177,MATCH($A97,'4-6 매출-다운로드 비교(참조)'!$A$6:$A$177,0))</f>
        <v>19</v>
      </c>
      <c r="E97" s="55" t="str">
        <f>INDEX('4-6 매출-다운로드 비교(참조)'!$C$6:$C$177,MATCH($A97,'4-6 매출-다운로드 비교(참조)'!$A$6:$A$177,0))</f>
        <v>-</v>
      </c>
      <c r="F97" s="53" t="str">
        <f>INDEX('4-6 매출-다운로드 비교(참조)'!$H$6:$H$177,MATCH($A97,'4-6 매출-다운로드 비교(참조)'!$A$6:$A$177,0))</f>
        <v>② 매출만 높음</v>
      </c>
      <c r="G97" s="55" t="str">
        <f t="shared" si="10"/>
        <v>후보</v>
      </c>
      <c r="H97" s="55">
        <f t="shared" si="11"/>
        <v>60</v>
      </c>
      <c r="I97" s="55" t="str">
        <f t="shared" si="12"/>
        <v>조건부 (범위를 줄이면)</v>
      </c>
      <c r="J97" s="53"/>
      <c r="K97" s="53" t="str">
        <f t="shared" si="13"/>
        <v>퍼즐|매치3</v>
      </c>
    </row>
    <row r="98" spans="1:11">
      <c r="A98" s="82" t="s">
        <v>390</v>
      </c>
      <c r="B98" s="53" t="str">
        <f>IFERROR(INDEX('4-5 매출 Top100(참조)'!$D$2:$D$101,MATCH($A98,'4-5 매출 Top100(참조)'!$B$2:$B$101,0)),IFERROR(INDEX('4-4 Google Play Top100(참조)'!$D$2:$D$101,MATCH($A98,'4-4 Google Play Top100(참조)'!$B$2:$B$101,0)),"확인 불가"))</f>
        <v>카드·보드·카지노</v>
      </c>
      <c r="C98" s="53" t="str">
        <f>IFERROR(INDEX('4-5 매출 Top100(참조)'!$E$2:$E$101,MATCH($A98,'4-5 매출 Top100(참조)'!$B$2:$B$101,0)),IFERROR(INDEX('4-4 Google Play Top100(참조)'!$E$2:$E$101,MATCH($A98,'4-4 Google Play Top100(참조)'!$B$2:$B$101,0)),"-"))</f>
        <v>보드·주사위 소셜캐주얼</v>
      </c>
      <c r="D98" s="55">
        <f>INDEX('4-6 매출-다운로드 비교(참조)'!$B$6:$B$177,MATCH($A98,'4-6 매출-다운로드 비교(참조)'!$A$6:$A$177,0))</f>
        <v>20</v>
      </c>
      <c r="E98" s="55">
        <f>INDEX('4-6 매출-다운로드 비교(참조)'!$C$6:$C$177,MATCH($A98,'4-6 매출-다운로드 비교(참조)'!$A$6:$A$177,0))</f>
        <v>98</v>
      </c>
      <c r="F98" s="53" t="str">
        <f>INDEX('4-6 매출-다운로드 비교(참조)'!$H$6:$H$177,MATCH($A98,'4-6 매출-다운로드 비교(참조)'!$A$6:$A$177,0))</f>
        <v>② 매출만 높음</v>
      </c>
      <c r="G98" s="55" t="str">
        <f t="shared" si="10"/>
        <v>후보</v>
      </c>
      <c r="H98" s="55">
        <f t="shared" si="11"/>
        <v>38</v>
      </c>
      <c r="I98" s="55" t="str">
        <f t="shared" si="12"/>
        <v>2인 어려움</v>
      </c>
      <c r="J98" s="53"/>
      <c r="K98" s="53" t="str">
        <f t="shared" si="13"/>
        <v>카드·보드·카지노|보드·주사위 소셜캐주얼</v>
      </c>
    </row>
    <row r="99" spans="1:11">
      <c r="A99" s="82" t="s">
        <v>881</v>
      </c>
      <c r="B99" s="53" t="str">
        <f>IFERROR(INDEX('4-5 매출 Top100(참조)'!$D$2:$D$101,MATCH($A99,'4-5 매출 Top100(참조)'!$B$2:$B$101,0)),IFERROR(INDEX('4-4 Google Play Top100(참조)'!$D$2:$D$101,MATCH($A99,'4-4 Google Play Top100(참조)'!$B$2:$B$101,0)),"확인 불가"))</f>
        <v>카드·보드·카지노</v>
      </c>
      <c r="C99" s="53" t="str">
        <f>IFERROR(INDEX('4-5 매출 Top100(참조)'!$E$2:$E$101,MATCH($A99,'4-5 매출 Top100(참조)'!$B$2:$B$101,0)),IFERROR(INDEX('4-4 Google Play Top100(참조)'!$E$2:$E$101,MATCH($A99,'4-4 Google Play Top100(참조)'!$B$2:$B$101,0)),"-"))</f>
        <v>빙고</v>
      </c>
      <c r="D99" s="55">
        <f>INDEX('4-6 매출-다운로드 비교(참조)'!$B$6:$B$177,MATCH($A99,'4-6 매출-다운로드 비교(참조)'!$A$6:$A$177,0))</f>
        <v>21</v>
      </c>
      <c r="E99" s="55" t="str">
        <f>INDEX('4-6 매출-다운로드 비교(참조)'!$C$6:$C$177,MATCH($A99,'4-6 매출-다운로드 비교(참조)'!$A$6:$A$177,0))</f>
        <v>-</v>
      </c>
      <c r="F99" s="53" t="str">
        <f>INDEX('4-6 매출-다운로드 비교(참조)'!$H$6:$H$177,MATCH($A99,'4-6 매출-다운로드 비교(참조)'!$A$6:$A$177,0))</f>
        <v>② 매출만 높음</v>
      </c>
      <c r="G99" s="55" t="str">
        <f t="shared" si="10"/>
        <v>후보</v>
      </c>
      <c r="H99" s="55">
        <f t="shared" si="11"/>
        <v>45</v>
      </c>
      <c r="I99" s="55" t="str">
        <f t="shared" si="12"/>
        <v>2인 어려움</v>
      </c>
      <c r="J99" s="53"/>
      <c r="K99" s="53" t="str">
        <f t="shared" si="13"/>
        <v>카드·보드·카지노|빙고</v>
      </c>
    </row>
    <row r="100" spans="1:11">
      <c r="A100" s="82" t="s">
        <v>882</v>
      </c>
      <c r="B100" s="53" t="str">
        <f>IFERROR(INDEX('4-5 매출 Top100(참조)'!$D$2:$D$101,MATCH($A100,'4-5 매출 Top100(참조)'!$B$2:$B$101,0)),IFERROR(INDEX('4-4 Google Play Top100(참조)'!$D$2:$D$101,MATCH($A100,'4-4 Google Play Top100(참조)'!$B$2:$B$101,0)),"확인 불가"))</f>
        <v>카드·보드·카지노</v>
      </c>
      <c r="C100" s="53" t="str">
        <f>IFERROR(INDEX('4-5 매출 Top100(참조)'!$E$2:$E$101,MATCH($A100,'4-5 매출 Top100(참조)'!$B$2:$B$101,0)),IFERROR(INDEX('4-4 Google Play Top100(참조)'!$E$2:$E$101,MATCH($A100,'4-4 Google Play Top100(참조)'!$B$2:$B$101,0)),"-"))</f>
        <v>소셜 카지노</v>
      </c>
      <c r="D100" s="55">
        <f>INDEX('4-6 매출-다운로드 비교(참조)'!$B$6:$B$177,MATCH($A100,'4-6 매출-다운로드 비교(참조)'!$A$6:$A$177,0))</f>
        <v>22</v>
      </c>
      <c r="E100" s="55" t="str">
        <f>INDEX('4-6 매출-다운로드 비교(참조)'!$C$6:$C$177,MATCH($A100,'4-6 매출-다운로드 비교(참조)'!$A$6:$A$177,0))</f>
        <v>-</v>
      </c>
      <c r="F100" s="53" t="str">
        <f>INDEX('4-6 매출-다운로드 비교(참조)'!$H$6:$H$177,MATCH($A100,'4-6 매출-다운로드 비교(참조)'!$A$6:$A$177,0))</f>
        <v>② 매출만 높음</v>
      </c>
      <c r="G100" s="55" t="str">
        <f t="shared" si="10"/>
        <v>후보</v>
      </c>
      <c r="H100" s="55">
        <f t="shared" si="11"/>
        <v>39</v>
      </c>
      <c r="I100" s="55" t="str">
        <f t="shared" si="12"/>
        <v>2인 어려움</v>
      </c>
      <c r="J100" s="53"/>
      <c r="K100" s="53" t="str">
        <f t="shared" si="13"/>
        <v>카드·보드·카지노|소셜 카지노</v>
      </c>
    </row>
    <row r="101" spans="1:11">
      <c r="A101" s="82" t="s">
        <v>883</v>
      </c>
      <c r="B101" s="53" t="str">
        <f>IFERROR(INDEX('4-5 매출 Top100(참조)'!$D$2:$D$101,MATCH($A101,'4-5 매출 Top100(참조)'!$B$2:$B$101,0)),IFERROR(INDEX('4-4 Google Play Top100(참조)'!$D$2:$D$101,MATCH($A101,'4-4 Google Play Top100(참조)'!$B$2:$B$101,0)),"확인 불가"))</f>
        <v>전략</v>
      </c>
      <c r="C101" s="53" t="str">
        <f>IFERROR(INDEX('4-5 매출 Top100(참조)'!$E$2:$E$101,MATCH($A101,'4-5 매출 Top100(참조)'!$B$2:$B$101,0)),IFERROR(INDEX('4-4 Google Play Top100(참조)'!$E$2:$E$101,MATCH($A101,'4-4 Google Play Top100(참조)'!$B$2:$B$101,0)),"-"))</f>
        <v>4X·SLG</v>
      </c>
      <c r="D101" s="55">
        <f>INDEX('4-6 매출-다운로드 비교(참조)'!$B$6:$B$177,MATCH($A101,'4-6 매출-다운로드 비교(참조)'!$A$6:$A$177,0))</f>
        <v>23</v>
      </c>
      <c r="E101" s="55" t="str">
        <f>INDEX('4-6 매출-다운로드 비교(참조)'!$C$6:$C$177,MATCH($A101,'4-6 매출-다운로드 비교(참조)'!$A$6:$A$177,0))</f>
        <v>-</v>
      </c>
      <c r="F101" s="53" t="str">
        <f>INDEX('4-6 매출-다운로드 비교(참조)'!$H$6:$H$177,MATCH($A101,'4-6 매출-다운로드 비교(참조)'!$A$6:$A$177,0))</f>
        <v>② 매출만 높음</v>
      </c>
      <c r="G101" s="55" t="str">
        <f t="shared" si="10"/>
        <v>후보</v>
      </c>
      <c r="H101" s="55">
        <f t="shared" si="11"/>
        <v>24</v>
      </c>
      <c r="I101" s="55" t="str">
        <f t="shared" si="12"/>
        <v>2인 어려움</v>
      </c>
      <c r="J101" s="53"/>
      <c r="K101" s="53" t="str">
        <f t="shared" si="13"/>
        <v>전략|4X·SLG</v>
      </c>
    </row>
    <row r="102" spans="1:11">
      <c r="A102" s="82" t="s">
        <v>884</v>
      </c>
      <c r="B102" s="53" t="str">
        <f>IFERROR(INDEX('4-5 매출 Top100(참조)'!$D$2:$D$101,MATCH($A102,'4-5 매출 Top100(참조)'!$B$2:$B$101,0)),IFERROR(INDEX('4-4 Google Play Top100(참조)'!$D$2:$D$101,MATCH($A102,'4-4 Google Play Top100(참조)'!$B$2:$B$101,0)),"확인 불가"))</f>
        <v>퍼즐</v>
      </c>
      <c r="C102" s="53" t="str">
        <f>IFERROR(INDEX('4-5 매출 Top100(참조)'!$E$2:$E$101,MATCH($A102,'4-5 매출 Top100(참조)'!$B$2:$B$101,0)),IFERROR(INDEX('4-4 Google Play Top100(참조)'!$E$2:$E$101,MATCH($A102,'4-4 Google Play Top100(참조)'!$B$2:$B$101,0)),"-"))</f>
        <v>매치3</v>
      </c>
      <c r="D102" s="55">
        <f>INDEX('4-6 매출-다운로드 비교(참조)'!$B$6:$B$177,MATCH($A102,'4-6 매출-다운로드 비교(참조)'!$A$6:$A$177,0))</f>
        <v>24</v>
      </c>
      <c r="E102" s="55" t="str">
        <f>INDEX('4-6 매출-다운로드 비교(참조)'!$C$6:$C$177,MATCH($A102,'4-6 매출-다운로드 비교(참조)'!$A$6:$A$177,0))</f>
        <v>-</v>
      </c>
      <c r="F102" s="53" t="str">
        <f>INDEX('4-6 매출-다운로드 비교(참조)'!$H$6:$H$177,MATCH($A102,'4-6 매출-다운로드 비교(참조)'!$A$6:$A$177,0))</f>
        <v>② 매출만 높음</v>
      </c>
      <c r="G102" s="55" t="str">
        <f t="shared" si="10"/>
        <v>후보</v>
      </c>
      <c r="H102" s="55">
        <f t="shared" si="11"/>
        <v>60</v>
      </c>
      <c r="I102" s="55" t="str">
        <f t="shared" si="12"/>
        <v>조건부 (범위를 줄이면)</v>
      </c>
      <c r="J102" s="53"/>
      <c r="K102" s="53" t="str">
        <f t="shared" si="13"/>
        <v>퍼즐|매치3</v>
      </c>
    </row>
    <row r="103" spans="1:11">
      <c r="A103" s="82" t="s">
        <v>885</v>
      </c>
      <c r="B103" s="53" t="str">
        <f>IFERROR(INDEX('4-5 매출 Top100(참조)'!$D$2:$D$101,MATCH($A103,'4-5 매출 Top100(참조)'!$B$2:$B$101,0)),IFERROR(INDEX('4-4 Google Play Top100(참조)'!$D$2:$D$101,MATCH($A103,'4-4 Google Play Top100(참조)'!$B$2:$B$101,0)),"확인 불가"))</f>
        <v>카드·보드·카지노</v>
      </c>
      <c r="C103" s="53" t="str">
        <f>IFERROR(INDEX('4-5 매출 Top100(참조)'!$E$2:$E$101,MATCH($A103,'4-5 매출 Top100(참조)'!$B$2:$B$101,0)),IFERROR(INDEX('4-4 Google Play Top100(참조)'!$E$2:$E$101,MATCH($A103,'4-4 Google Play Top100(참조)'!$B$2:$B$101,0)),"-"))</f>
        <v>소셜 카지노</v>
      </c>
      <c r="D103" s="55">
        <f>INDEX('4-6 매출-다운로드 비교(참조)'!$B$6:$B$177,MATCH($A103,'4-6 매출-다운로드 비교(참조)'!$A$6:$A$177,0))</f>
        <v>25</v>
      </c>
      <c r="E103" s="55" t="str">
        <f>INDEX('4-6 매출-다운로드 비교(참조)'!$C$6:$C$177,MATCH($A103,'4-6 매출-다운로드 비교(참조)'!$A$6:$A$177,0))</f>
        <v>-</v>
      </c>
      <c r="F103" s="53" t="str">
        <f>INDEX('4-6 매출-다운로드 비교(참조)'!$H$6:$H$177,MATCH($A103,'4-6 매출-다운로드 비교(참조)'!$A$6:$A$177,0))</f>
        <v>② 매출만 높음</v>
      </c>
      <c r="G103" s="55" t="str">
        <f t="shared" si="10"/>
        <v>후보</v>
      </c>
      <c r="H103" s="55">
        <f t="shared" si="11"/>
        <v>39</v>
      </c>
      <c r="I103" s="55" t="str">
        <f t="shared" si="12"/>
        <v>2인 어려움</v>
      </c>
      <c r="J103" s="53"/>
      <c r="K103" s="53" t="str">
        <f t="shared" si="13"/>
        <v>카드·보드·카지노|소셜 카지노</v>
      </c>
    </row>
    <row r="104" spans="1:11">
      <c r="A104" s="82" t="s">
        <v>839</v>
      </c>
      <c r="B104" s="53" t="str">
        <f>IFERROR(INDEX('4-5 매출 Top100(참조)'!$D$2:$D$101,MATCH($A104,'4-5 매출 Top100(참조)'!$B$2:$B$101,0)),IFERROR(INDEX('4-4 Google Play Top100(참조)'!$D$2:$D$101,MATCH($A104,'4-4 Google Play Top100(참조)'!$B$2:$B$101,0)),"확인 불가"))</f>
        <v>퍼즐</v>
      </c>
      <c r="C104" s="53" t="str">
        <f>IFERROR(INDEX('4-5 매출 Top100(참조)'!$E$2:$E$101,MATCH($A104,'4-5 매출 Top100(참조)'!$B$2:$B$101,0)),IFERROR(INDEX('4-4 Google Play Top100(참조)'!$E$2:$E$101,MATCH($A104,'4-4 Google Play Top100(참조)'!$B$2:$B$101,0)),"-"))</f>
        <v>타일·마작·트리플 매치</v>
      </c>
      <c r="D104" s="55">
        <f>INDEX('4-6 매출-다운로드 비교(참조)'!$B$6:$B$177,MATCH($A104,'4-6 매출-다운로드 비교(참조)'!$A$6:$A$177,0))</f>
        <v>27</v>
      </c>
      <c r="E104" s="55">
        <f>INDEX('4-6 매출-다운로드 비교(참조)'!$C$6:$C$177,MATCH($A104,'4-6 매출-다운로드 비교(참조)'!$A$6:$A$177,0))</f>
        <v>83</v>
      </c>
      <c r="F104" s="53" t="str">
        <f>INDEX('4-6 매출-다운로드 비교(참조)'!$H$6:$H$177,MATCH($A104,'4-6 매출-다운로드 비교(참조)'!$A$6:$A$177,0))</f>
        <v>② 매출만 높음</v>
      </c>
      <c r="G104" s="55" t="str">
        <f t="shared" si="10"/>
        <v>후보</v>
      </c>
      <c r="H104" s="55">
        <f t="shared" si="11"/>
        <v>87</v>
      </c>
      <c r="I104" s="55" t="str">
        <f t="shared" si="12"/>
        <v>2인 가능</v>
      </c>
      <c r="J104" s="53"/>
      <c r="K104" s="53" t="str">
        <f t="shared" si="13"/>
        <v>퍼즐|타일·마작·트리플 매치</v>
      </c>
    </row>
    <row r="105" spans="1:11">
      <c r="A105" s="82" t="s">
        <v>886</v>
      </c>
      <c r="B105" s="53" t="str">
        <f>IFERROR(INDEX('4-5 매출 Top100(참조)'!$D$2:$D$101,MATCH($A105,'4-5 매출 Top100(참조)'!$B$2:$B$101,0)),IFERROR(INDEX('4-4 Google Play Top100(참조)'!$D$2:$D$101,MATCH($A105,'4-4 Google Play Top100(참조)'!$B$2:$B$101,0)),"확인 불가"))</f>
        <v>액션·슈팅</v>
      </c>
      <c r="C105" s="53" t="str">
        <f>IFERROR(INDEX('4-5 매출 Top100(참조)'!$E$2:$E$101,MATCH($A105,'4-5 매출 Top100(참조)'!$B$2:$B$101,0)),IFERROR(INDEX('4-4 Google Play Top100(참조)'!$E$2:$E$101,MATCH($A105,'4-4 Google Play Top100(참조)'!$B$2:$B$101,0)),"-"))</f>
        <v>배틀로얄</v>
      </c>
      <c r="D105" s="55">
        <f>INDEX('4-6 매출-다운로드 비교(참조)'!$B$6:$B$177,MATCH($A105,'4-6 매출-다운로드 비교(참조)'!$A$6:$A$177,0))</f>
        <v>28</v>
      </c>
      <c r="E105" s="55">
        <f>INDEX('4-6 매출-다운로드 비교(참조)'!$C$6:$C$177,MATCH($A105,'4-6 매출-다운로드 비교(참조)'!$A$6:$A$177,0))</f>
        <v>97</v>
      </c>
      <c r="F105" s="53" t="str">
        <f>INDEX('4-6 매출-다운로드 비교(참조)'!$H$6:$H$177,MATCH($A105,'4-6 매출-다운로드 비교(참조)'!$A$6:$A$177,0))</f>
        <v>② 매출만 높음</v>
      </c>
      <c r="G105" s="55" t="str">
        <f t="shared" si="10"/>
        <v>후보</v>
      </c>
      <c r="H105" s="55">
        <f t="shared" si="11"/>
        <v>26</v>
      </c>
      <c r="I105" s="55" t="str">
        <f t="shared" si="12"/>
        <v>2인 어려움</v>
      </c>
      <c r="J105" s="53"/>
      <c r="K105" s="53" t="str">
        <f t="shared" si="13"/>
        <v>액션·슈팅|배틀로얄</v>
      </c>
    </row>
    <row r="106" spans="1:11">
      <c r="A106" s="82" t="s">
        <v>439</v>
      </c>
      <c r="B106" s="53" t="str">
        <f>IFERROR(INDEX('4-5 매출 Top100(참조)'!$D$2:$D$101,MATCH($A106,'4-5 매출 Top100(참조)'!$B$2:$B$101,0)),IFERROR(INDEX('4-4 Google Play Top100(참조)'!$D$2:$D$101,MATCH($A106,'4-4 Google Play Top100(참조)'!$B$2:$B$101,0)),"확인 불가"))</f>
        <v>카드·보드·카지노</v>
      </c>
      <c r="C106" s="53" t="str">
        <f>IFERROR(INDEX('4-5 매출 Top100(참조)'!$E$2:$E$101,MATCH($A106,'4-5 매출 Top100(참조)'!$B$2:$B$101,0)),IFERROR(INDEX('4-4 Google Play Top100(참조)'!$E$2:$E$101,MATCH($A106,'4-4 Google Play Top100(참조)'!$B$2:$B$101,0)),"-"))</f>
        <v>트레이딩 카드</v>
      </c>
      <c r="D106" s="55">
        <f>INDEX('4-6 매출-다운로드 비교(참조)'!$B$6:$B$177,MATCH($A106,'4-6 매출-다운로드 비교(참조)'!$A$6:$A$177,0))</f>
        <v>29</v>
      </c>
      <c r="E106" s="55">
        <f>INDEX('4-6 매출-다운로드 비교(참조)'!$C$6:$C$177,MATCH($A106,'4-6 매출-다운로드 비교(참조)'!$A$6:$A$177,0))</f>
        <v>68</v>
      </c>
      <c r="F106" s="53" t="str">
        <f>INDEX('4-6 매출-다운로드 비교(참조)'!$H$6:$H$177,MATCH($A106,'4-6 매출-다운로드 비교(참조)'!$A$6:$A$177,0))</f>
        <v>② 매출만 높음</v>
      </c>
      <c r="G106" s="55" t="str">
        <f t="shared" si="10"/>
        <v>후보</v>
      </c>
      <c r="H106" s="55">
        <f t="shared" si="11"/>
        <v>28</v>
      </c>
      <c r="I106" s="55" t="str">
        <f t="shared" si="12"/>
        <v>2인 어려움</v>
      </c>
      <c r="J106" s="53"/>
      <c r="K106" s="53" t="str">
        <f t="shared" si="13"/>
        <v>카드·보드·카지노|트레이딩 카드</v>
      </c>
    </row>
    <row r="107" spans="1:11">
      <c r="A107" s="82" t="s">
        <v>887</v>
      </c>
      <c r="B107" s="53" t="str">
        <f>IFERROR(INDEX('4-5 매출 Top100(참조)'!$D$2:$D$101,MATCH($A107,'4-5 매출 Top100(참조)'!$B$2:$B$101,0)),IFERROR(INDEX('4-4 Google Play Top100(참조)'!$D$2:$D$101,MATCH($A107,'4-4 Google Play Top100(참조)'!$B$2:$B$101,0)),"확인 불가"))</f>
        <v>퍼즐</v>
      </c>
      <c r="C107" s="53" t="str">
        <f>IFERROR(INDEX('4-5 매출 Top100(참조)'!$E$2:$E$101,MATCH($A107,'4-5 매출 Top100(참조)'!$B$2:$B$101,0)),IFERROR(INDEX('4-4 Google Play Top100(참조)'!$E$2:$E$101,MATCH($A107,'4-4 Google Play Top100(참조)'!$B$2:$B$101,0)),"-"))</f>
        <v>머지</v>
      </c>
      <c r="D107" s="55">
        <f>INDEX('4-6 매출-다운로드 비교(참조)'!$B$6:$B$177,MATCH($A107,'4-6 매출-다운로드 비교(참조)'!$A$6:$A$177,0))</f>
        <v>30</v>
      </c>
      <c r="E107" s="55" t="str">
        <f>INDEX('4-6 매출-다운로드 비교(참조)'!$C$6:$C$177,MATCH($A107,'4-6 매출-다운로드 비교(참조)'!$A$6:$A$177,0))</f>
        <v>-</v>
      </c>
      <c r="F107" s="53" t="str">
        <f>INDEX('4-6 매출-다운로드 비교(참조)'!$H$6:$H$177,MATCH($A107,'4-6 매출-다운로드 비교(참조)'!$A$6:$A$177,0))</f>
        <v>② 매출만 높음</v>
      </c>
      <c r="G107" s="55" t="str">
        <f t="shared" si="10"/>
        <v>후보</v>
      </c>
      <c r="H107" s="55">
        <f t="shared" si="11"/>
        <v>56</v>
      </c>
      <c r="I107" s="55" t="str">
        <f t="shared" si="12"/>
        <v>조건부 (범위를 줄이면)</v>
      </c>
      <c r="J107" s="53"/>
      <c r="K107" s="53" t="str">
        <f t="shared" si="13"/>
        <v>퍼즐|머지</v>
      </c>
    </row>
    <row r="108" spans="1:11">
      <c r="A108" s="82" t="s">
        <v>888</v>
      </c>
      <c r="B108" s="53" t="str">
        <f>IFERROR(INDEX('4-5 매출 Top100(참조)'!$D$2:$D$101,MATCH($A108,'4-5 매출 Top100(참조)'!$B$2:$B$101,0)),IFERROR(INDEX('4-4 Google Play Top100(참조)'!$D$2:$D$101,MATCH($A108,'4-4 Google Play Top100(참조)'!$B$2:$B$101,0)),"확인 불가"))</f>
        <v>전략</v>
      </c>
      <c r="C108" s="53" t="str">
        <f>IFERROR(INDEX('4-5 매출 Top100(참조)'!$E$2:$E$101,MATCH($A108,'4-5 매출 Top100(참조)'!$B$2:$B$101,0)),IFERROR(INDEX('4-4 Google Play Top100(참조)'!$E$2:$E$101,MATCH($A108,'4-4 Google Play Top100(참조)'!$B$2:$B$101,0)),"-"))</f>
        <v>4X·SLG</v>
      </c>
      <c r="D108" s="55">
        <f>INDEX('4-6 매출-다운로드 비교(참조)'!$B$6:$B$177,MATCH($A108,'4-6 매출-다운로드 비교(참조)'!$A$6:$A$177,0))</f>
        <v>31</v>
      </c>
      <c r="E108" s="55" t="str">
        <f>INDEX('4-6 매출-다운로드 비교(참조)'!$C$6:$C$177,MATCH($A108,'4-6 매출-다운로드 비교(참조)'!$A$6:$A$177,0))</f>
        <v>-</v>
      </c>
      <c r="F108" s="53" t="str">
        <f>INDEX('4-6 매출-다운로드 비교(참조)'!$H$6:$H$177,MATCH($A108,'4-6 매출-다운로드 비교(참조)'!$A$6:$A$177,0))</f>
        <v>④ 둘 다 기준 밖</v>
      </c>
      <c r="G108" s="55" t="str">
        <f t="shared" si="10"/>
        <v>후보</v>
      </c>
      <c r="H108" s="55">
        <f t="shared" si="11"/>
        <v>24</v>
      </c>
      <c r="I108" s="55" t="str">
        <f t="shared" si="12"/>
        <v>2인 어려움</v>
      </c>
      <c r="J108" s="53"/>
      <c r="K108" s="53" t="str">
        <f t="shared" si="13"/>
        <v>전략|4X·SLG</v>
      </c>
    </row>
    <row r="109" spans="1:11">
      <c r="A109" s="82" t="s">
        <v>889</v>
      </c>
      <c r="B109" s="53" t="str">
        <f>IFERROR(INDEX('4-5 매출 Top100(참조)'!$D$2:$D$101,MATCH($A109,'4-5 매출 Top100(참조)'!$B$2:$B$101,0)),IFERROR(INDEX('4-4 Google Play Top100(참조)'!$D$2:$D$101,MATCH($A109,'4-4 Google Play Top100(참조)'!$B$2:$B$101,0)),"확인 불가"))</f>
        <v>퍼즐</v>
      </c>
      <c r="C109" s="53" t="str">
        <f>IFERROR(INDEX('4-5 매출 Top100(참조)'!$E$2:$E$101,MATCH($A109,'4-5 매출 Top100(참조)'!$B$2:$B$101,0)),IFERROR(INDEX('4-4 Google Play Top100(참조)'!$E$2:$E$101,MATCH($A109,'4-4 Google Play Top100(참조)'!$B$2:$B$101,0)),"-"))</f>
        <v>매치3</v>
      </c>
      <c r="D109" s="55">
        <f>INDEX('4-6 매출-다운로드 비교(참조)'!$B$6:$B$177,MATCH($A109,'4-6 매출-다운로드 비교(참조)'!$A$6:$A$177,0))</f>
        <v>32</v>
      </c>
      <c r="E109" s="55" t="str">
        <f>INDEX('4-6 매출-다운로드 비교(참조)'!$C$6:$C$177,MATCH($A109,'4-6 매출-다운로드 비교(참조)'!$A$6:$A$177,0))</f>
        <v>-</v>
      </c>
      <c r="F109" s="53" t="str">
        <f>INDEX('4-6 매출-다운로드 비교(참조)'!$H$6:$H$177,MATCH($A109,'4-6 매출-다운로드 비교(참조)'!$A$6:$A$177,0))</f>
        <v>④ 둘 다 기준 밖</v>
      </c>
      <c r="G109" s="55" t="str">
        <f t="shared" si="10"/>
        <v>후보</v>
      </c>
      <c r="H109" s="55">
        <f t="shared" si="11"/>
        <v>60</v>
      </c>
      <c r="I109" s="55" t="str">
        <f t="shared" si="12"/>
        <v>조건부 (범위를 줄이면)</v>
      </c>
      <c r="J109" s="53"/>
      <c r="K109" s="53" t="str">
        <f t="shared" si="13"/>
        <v>퍼즐|매치3</v>
      </c>
    </row>
    <row r="110" spans="1:11">
      <c r="A110" s="82" t="s">
        <v>890</v>
      </c>
      <c r="B110" s="53" t="str">
        <f>IFERROR(INDEX('4-5 매출 Top100(참조)'!$D$2:$D$101,MATCH($A110,'4-5 매출 Top100(참조)'!$B$2:$B$101,0)),IFERROR(INDEX('4-4 Google Play Top100(참조)'!$D$2:$D$101,MATCH($A110,'4-4 Google Play Top100(참조)'!$B$2:$B$101,0)),"확인 불가"))</f>
        <v>카드·보드·카지노</v>
      </c>
      <c r="C110" s="53" t="str">
        <f>IFERROR(INDEX('4-5 매출 Top100(참조)'!$E$2:$E$101,MATCH($A110,'4-5 매출 Top100(참조)'!$B$2:$B$101,0)),IFERROR(INDEX('4-4 Google Play Top100(참조)'!$E$2:$E$101,MATCH($A110,'4-4 Google Play Top100(참조)'!$B$2:$B$101,0)),"-"))</f>
        <v>소셜 카지노</v>
      </c>
      <c r="D110" s="55">
        <f>INDEX('4-6 매출-다운로드 비교(참조)'!$B$6:$B$177,MATCH($A110,'4-6 매출-다운로드 비교(참조)'!$A$6:$A$177,0))</f>
        <v>33</v>
      </c>
      <c r="E110" s="55" t="str">
        <f>INDEX('4-6 매출-다운로드 비교(참조)'!$C$6:$C$177,MATCH($A110,'4-6 매출-다운로드 비교(참조)'!$A$6:$A$177,0))</f>
        <v>-</v>
      </c>
      <c r="F110" s="53" t="str">
        <f>INDEX('4-6 매출-다운로드 비교(참조)'!$H$6:$H$177,MATCH($A110,'4-6 매출-다운로드 비교(참조)'!$A$6:$A$177,0))</f>
        <v>④ 둘 다 기준 밖</v>
      </c>
      <c r="G110" s="55" t="str">
        <f t="shared" si="10"/>
        <v>후보</v>
      </c>
      <c r="H110" s="55">
        <f t="shared" si="11"/>
        <v>39</v>
      </c>
      <c r="I110" s="55" t="str">
        <f t="shared" si="12"/>
        <v>2인 어려움</v>
      </c>
      <c r="J110" s="53"/>
      <c r="K110" s="53" t="str">
        <f t="shared" si="13"/>
        <v>카드·보드·카지노|소셜 카지노</v>
      </c>
    </row>
    <row r="111" spans="1:11">
      <c r="A111" s="82" t="s">
        <v>891</v>
      </c>
      <c r="B111" s="53" t="str">
        <f>IFERROR(INDEX('4-5 매출 Top100(참조)'!$D$2:$D$101,MATCH($A111,'4-5 매출 Top100(참조)'!$B$2:$B$101,0)),IFERROR(INDEX('4-4 Google Play Top100(참조)'!$D$2:$D$101,MATCH($A111,'4-4 Google Play Top100(참조)'!$B$2:$B$101,0)),"확인 불가"))</f>
        <v>RPG</v>
      </c>
      <c r="C111" s="53" t="str">
        <f>IFERROR(INDEX('4-5 매출 Top100(참조)'!$E$2:$E$101,MATCH($A111,'4-5 매출 Top100(참조)'!$B$2:$B$101,0)),IFERROR(INDEX('4-4 Google Play Top100(참조)'!$E$2:$E$101,MATCH($A111,'4-4 Google Play Top100(참조)'!$B$2:$B$101,0)),"-"))</f>
        <v>방치형 RPG</v>
      </c>
      <c r="D111" s="55">
        <f>INDEX('4-6 매출-다운로드 비교(참조)'!$B$6:$B$177,MATCH($A111,'4-6 매출-다운로드 비교(참조)'!$A$6:$A$177,0))</f>
        <v>34</v>
      </c>
      <c r="E111" s="55" t="str">
        <f>INDEX('4-6 매출-다운로드 비교(참조)'!$C$6:$C$177,MATCH($A111,'4-6 매출-다운로드 비교(참조)'!$A$6:$A$177,0))</f>
        <v>-</v>
      </c>
      <c r="F111" s="53" t="str">
        <f>INDEX('4-6 매출-다운로드 비교(참조)'!$H$6:$H$177,MATCH($A111,'4-6 매출-다운로드 비교(참조)'!$A$6:$A$177,0))</f>
        <v>④ 둘 다 기준 밖</v>
      </c>
      <c r="G111" s="55" t="str">
        <f t="shared" ref="G111:G142" si="14">IF(OR(ISNUMBER(D111),F111="③ 다운로드만 높음"),"후보","후보 아님")</f>
        <v>후보</v>
      </c>
      <c r="H111" s="55">
        <f t="shared" ref="H111:H142" si="15">IF(G111&lt;&gt;"후보","",IFERROR(INDEX($H$18:$H$54,MATCH(K111,$K$18:$K$54,0)),""))</f>
        <v>47</v>
      </c>
      <c r="I111" s="55" t="str">
        <f t="shared" ref="I111:I142" si="16">IF(G111&lt;&gt;"후보","-",IFERROR(INDEX($I$18:$I$54,MATCH(K111,$K$18:$K$54,0)),"판단 보류"))</f>
        <v>2인 어려움</v>
      </c>
      <c r="J111" s="53"/>
      <c r="K111" s="53" t="str">
        <f t="shared" ref="K111:K142" si="17">B111&amp;"|"&amp;C111</f>
        <v>RPG|방치형 RPG</v>
      </c>
    </row>
    <row r="112" spans="1:11">
      <c r="A112" s="82" t="s">
        <v>892</v>
      </c>
      <c r="B112" s="53" t="str">
        <f>IFERROR(INDEX('4-5 매출 Top100(참조)'!$D$2:$D$101,MATCH($A112,'4-5 매출 Top100(참조)'!$B$2:$B$101,0)),IFERROR(INDEX('4-4 Google Play Top100(참조)'!$D$2:$D$101,MATCH($A112,'4-4 Google Play Top100(참조)'!$B$2:$B$101,0)),"확인 불가"))</f>
        <v>퍼즐</v>
      </c>
      <c r="C112" s="53" t="str">
        <f>IFERROR(INDEX('4-5 매출 Top100(참조)'!$E$2:$E$101,MATCH($A112,'4-5 매출 Top100(참조)'!$B$2:$B$101,0)),IFERROR(INDEX('4-4 Google Play Top100(참조)'!$E$2:$E$101,MATCH($A112,'4-4 Google Play Top100(참조)'!$B$2:$B$101,0)),"-"))</f>
        <v>픽셀·컬러 아트</v>
      </c>
      <c r="D112" s="55">
        <f>INDEX('4-6 매출-다운로드 비교(참조)'!$B$6:$B$177,MATCH($A112,'4-6 매출-다운로드 비교(참조)'!$A$6:$A$177,0))</f>
        <v>35</v>
      </c>
      <c r="E112" s="55">
        <f>INDEX('4-6 매출-다운로드 비교(참조)'!$C$6:$C$177,MATCH($A112,'4-6 매출-다운로드 비교(참조)'!$A$6:$A$177,0))</f>
        <v>49</v>
      </c>
      <c r="F112" s="53" t="str">
        <f>INDEX('4-6 매출-다운로드 비교(참조)'!$H$6:$H$177,MATCH($A112,'4-6 매출-다운로드 비교(참조)'!$A$6:$A$177,0))</f>
        <v>④ 둘 다 기준 밖</v>
      </c>
      <c r="G112" s="55" t="str">
        <f t="shared" si="14"/>
        <v>후보</v>
      </c>
      <c r="H112" s="55">
        <f t="shared" si="15"/>
        <v>83</v>
      </c>
      <c r="I112" s="55" t="str">
        <f t="shared" si="16"/>
        <v>2인 가능</v>
      </c>
      <c r="J112" s="53"/>
      <c r="K112" s="53" t="str">
        <f t="shared" si="17"/>
        <v>퍼즐|픽셀·컬러 아트</v>
      </c>
    </row>
    <row r="113" spans="1:11">
      <c r="A113" s="82" t="s">
        <v>893</v>
      </c>
      <c r="B113" s="53" t="str">
        <f>IFERROR(INDEX('4-5 매출 Top100(참조)'!$D$2:$D$101,MATCH($A113,'4-5 매출 Top100(참조)'!$B$2:$B$101,0)),IFERROR(INDEX('4-4 Google Play Top100(참조)'!$D$2:$D$101,MATCH($A113,'4-4 Google Play Top100(참조)'!$B$2:$B$101,0)),"확인 불가"))</f>
        <v>카드·보드·카지노</v>
      </c>
      <c r="C113" s="53" t="str">
        <f>IFERROR(INDEX('4-5 매출 Top100(참조)'!$E$2:$E$101,MATCH($A113,'4-5 매출 Top100(참조)'!$B$2:$B$101,0)),IFERROR(INDEX('4-4 Google Play Top100(참조)'!$E$2:$E$101,MATCH($A113,'4-4 Google Play Top100(참조)'!$B$2:$B$101,0)),"-"))</f>
        <v>소셜 카지노</v>
      </c>
      <c r="D113" s="55">
        <f>INDEX('4-6 매출-다운로드 비교(참조)'!$B$6:$B$177,MATCH($A113,'4-6 매출-다운로드 비교(참조)'!$A$6:$A$177,0))</f>
        <v>36</v>
      </c>
      <c r="E113" s="55" t="str">
        <f>INDEX('4-6 매출-다운로드 비교(참조)'!$C$6:$C$177,MATCH($A113,'4-6 매출-다운로드 비교(참조)'!$A$6:$A$177,0))</f>
        <v>-</v>
      </c>
      <c r="F113" s="53" t="str">
        <f>INDEX('4-6 매출-다운로드 비교(참조)'!$H$6:$H$177,MATCH($A113,'4-6 매출-다운로드 비교(참조)'!$A$6:$A$177,0))</f>
        <v>④ 둘 다 기준 밖</v>
      </c>
      <c r="G113" s="55" t="str">
        <f t="shared" si="14"/>
        <v>후보</v>
      </c>
      <c r="H113" s="55">
        <f t="shared" si="15"/>
        <v>39</v>
      </c>
      <c r="I113" s="55" t="str">
        <f t="shared" si="16"/>
        <v>2인 어려움</v>
      </c>
      <c r="J113" s="53"/>
      <c r="K113" s="53" t="str">
        <f t="shared" si="17"/>
        <v>카드·보드·카지노|소셜 카지노</v>
      </c>
    </row>
    <row r="114" spans="1:11">
      <c r="A114" s="82" t="s">
        <v>894</v>
      </c>
      <c r="B114" s="53" t="str">
        <f>IFERROR(INDEX('4-5 매출 Top100(참조)'!$D$2:$D$101,MATCH($A114,'4-5 매출 Top100(참조)'!$B$2:$B$101,0)),IFERROR(INDEX('4-4 Google Play Top100(참조)'!$D$2:$D$101,MATCH($A114,'4-4 Google Play Top100(참조)'!$B$2:$B$101,0)),"확인 불가"))</f>
        <v>퍼즐</v>
      </c>
      <c r="C114" s="53" t="str">
        <f>IFERROR(INDEX('4-5 매출 Top100(참조)'!$E$2:$E$101,MATCH($A114,'4-5 매출 Top100(참조)'!$B$2:$B$101,0)),IFERROR(INDEX('4-4 Google Play Top100(참조)'!$E$2:$E$101,MATCH($A114,'4-4 Google Play Top100(참조)'!$B$2:$B$101,0)),"-"))</f>
        <v>매치3</v>
      </c>
      <c r="D114" s="55">
        <f>INDEX('4-6 매출-다운로드 비교(참조)'!$B$6:$B$177,MATCH($A114,'4-6 매출-다운로드 비교(참조)'!$A$6:$A$177,0))</f>
        <v>37</v>
      </c>
      <c r="E114" s="55" t="str">
        <f>INDEX('4-6 매출-다운로드 비교(참조)'!$C$6:$C$177,MATCH($A114,'4-6 매출-다운로드 비교(참조)'!$A$6:$A$177,0))</f>
        <v>-</v>
      </c>
      <c r="F114" s="53" t="str">
        <f>INDEX('4-6 매출-다운로드 비교(참조)'!$H$6:$H$177,MATCH($A114,'4-6 매출-다운로드 비교(참조)'!$A$6:$A$177,0))</f>
        <v>④ 둘 다 기준 밖</v>
      </c>
      <c r="G114" s="55" t="str">
        <f t="shared" si="14"/>
        <v>후보</v>
      </c>
      <c r="H114" s="55">
        <f t="shared" si="15"/>
        <v>60</v>
      </c>
      <c r="I114" s="55" t="str">
        <f t="shared" si="16"/>
        <v>조건부 (범위를 줄이면)</v>
      </c>
      <c r="J114" s="53"/>
      <c r="K114" s="53" t="str">
        <f t="shared" si="17"/>
        <v>퍼즐|매치3</v>
      </c>
    </row>
    <row r="115" spans="1:11">
      <c r="A115" s="82" t="s">
        <v>895</v>
      </c>
      <c r="B115" s="53" t="str">
        <f>IFERROR(INDEX('4-5 매출 Top100(참조)'!$D$2:$D$101,MATCH($A115,'4-5 매출 Top100(참조)'!$B$2:$B$101,0)),IFERROR(INDEX('4-4 Google Play Top100(참조)'!$D$2:$D$101,MATCH($A115,'4-4 Google Play Top100(참조)'!$B$2:$B$101,0)),"확인 불가"))</f>
        <v>전략</v>
      </c>
      <c r="C115" s="53" t="str">
        <f>IFERROR(INDEX('4-5 매출 Top100(참조)'!$E$2:$E$101,MATCH($A115,'4-5 매출 Top100(참조)'!$B$2:$B$101,0)),IFERROR(INDEX('4-4 Google Play Top100(참조)'!$E$2:$E$101,MATCH($A115,'4-4 Google Play Top100(참조)'!$B$2:$B$101,0)),"-"))</f>
        <v>4X·SLG</v>
      </c>
      <c r="D115" s="55">
        <f>INDEX('4-6 매출-다운로드 비교(참조)'!$B$6:$B$177,MATCH($A115,'4-6 매출-다운로드 비교(참조)'!$A$6:$A$177,0))</f>
        <v>38</v>
      </c>
      <c r="E115" s="55" t="str">
        <f>INDEX('4-6 매출-다운로드 비교(참조)'!$C$6:$C$177,MATCH($A115,'4-6 매출-다운로드 비교(참조)'!$A$6:$A$177,0))</f>
        <v>-</v>
      </c>
      <c r="F115" s="53" t="str">
        <f>INDEX('4-6 매출-다운로드 비교(참조)'!$H$6:$H$177,MATCH($A115,'4-6 매출-다운로드 비교(참조)'!$A$6:$A$177,0))</f>
        <v>④ 둘 다 기준 밖</v>
      </c>
      <c r="G115" s="55" t="str">
        <f t="shared" si="14"/>
        <v>후보</v>
      </c>
      <c r="H115" s="55">
        <f t="shared" si="15"/>
        <v>24</v>
      </c>
      <c r="I115" s="55" t="str">
        <f t="shared" si="16"/>
        <v>2인 어려움</v>
      </c>
      <c r="J115" s="53"/>
      <c r="K115" s="53" t="str">
        <f t="shared" si="17"/>
        <v>전략|4X·SLG</v>
      </c>
    </row>
    <row r="116" spans="1:11">
      <c r="A116" s="82" t="s">
        <v>896</v>
      </c>
      <c r="B116" s="53" t="str">
        <f>IFERROR(INDEX('4-5 매출 Top100(참조)'!$D$2:$D$101,MATCH($A116,'4-5 매출 Top100(참조)'!$B$2:$B$101,0)),IFERROR(INDEX('4-4 Google Play Top100(참조)'!$D$2:$D$101,MATCH($A116,'4-4 Google Play Top100(참조)'!$B$2:$B$101,0)),"확인 불가"))</f>
        <v>퍼즐</v>
      </c>
      <c r="C116" s="53" t="str">
        <f>IFERROR(INDEX('4-5 매출 Top100(참조)'!$E$2:$E$101,MATCH($A116,'4-5 매출 Top100(참조)'!$B$2:$B$101,0)),IFERROR(INDEX('4-4 Google Play Top100(참조)'!$E$2:$E$101,MATCH($A116,'4-4 Google Play Top100(참조)'!$B$2:$B$101,0)),"-"))</f>
        <v>정렬·잼</v>
      </c>
      <c r="D116" s="55">
        <f>INDEX('4-6 매출-다운로드 비교(참조)'!$B$6:$B$177,MATCH($A116,'4-6 매출-다운로드 비교(참조)'!$A$6:$A$177,0))</f>
        <v>39</v>
      </c>
      <c r="E116" s="55">
        <f>INDEX('4-6 매출-다운로드 비교(참조)'!$C$6:$C$177,MATCH($A116,'4-6 매출-다운로드 비교(참조)'!$A$6:$A$177,0))</f>
        <v>40</v>
      </c>
      <c r="F116" s="53" t="str">
        <f>INDEX('4-6 매출-다운로드 비교(참조)'!$H$6:$H$177,MATCH($A116,'4-6 매출-다운로드 비교(참조)'!$A$6:$A$177,0))</f>
        <v>④ 둘 다 기준 밖</v>
      </c>
      <c r="G116" s="55" t="str">
        <f t="shared" si="14"/>
        <v>후보</v>
      </c>
      <c r="H116" s="55">
        <f t="shared" si="15"/>
        <v>92</v>
      </c>
      <c r="I116" s="55" t="str">
        <f t="shared" si="16"/>
        <v>2인 가능</v>
      </c>
      <c r="J116" s="53"/>
      <c r="K116" s="53" t="str">
        <f t="shared" si="17"/>
        <v>퍼즐|정렬·잼</v>
      </c>
    </row>
    <row r="117" spans="1:11">
      <c r="A117" s="82" t="s">
        <v>897</v>
      </c>
      <c r="B117" s="53" t="str">
        <f>IFERROR(INDEX('4-5 매출 Top100(참조)'!$D$2:$D$101,MATCH($A117,'4-5 매출 Top100(참조)'!$B$2:$B$101,0)),IFERROR(INDEX('4-4 Google Play Top100(참조)'!$D$2:$D$101,MATCH($A117,'4-4 Google Play Top100(참조)'!$B$2:$B$101,0)),"확인 불가"))</f>
        <v>RPG</v>
      </c>
      <c r="C117" s="53" t="str">
        <f>IFERROR(INDEX('4-5 매출 Top100(참조)'!$E$2:$E$101,MATCH($A117,'4-5 매출 Top100(참조)'!$B$2:$B$101,0)),IFERROR(INDEX('4-4 Google Play Top100(참조)'!$E$2:$E$101,MATCH($A117,'4-4 Google Play Top100(참조)'!$B$2:$B$101,0)),"-"))</f>
        <v>수집형(가챠) RPG</v>
      </c>
      <c r="D117" s="55">
        <f>INDEX('4-6 매출-다운로드 비교(참조)'!$B$6:$B$177,MATCH($A117,'4-6 매출-다운로드 비교(참조)'!$A$6:$A$177,0))</f>
        <v>40</v>
      </c>
      <c r="E117" s="55" t="str">
        <f>INDEX('4-6 매출-다운로드 비교(참조)'!$C$6:$C$177,MATCH($A117,'4-6 매출-다운로드 비교(참조)'!$A$6:$A$177,0))</f>
        <v>-</v>
      </c>
      <c r="F117" s="53" t="str">
        <f>INDEX('4-6 매출-다운로드 비교(참조)'!$H$6:$H$177,MATCH($A117,'4-6 매출-다운로드 비교(참조)'!$A$6:$A$177,0))</f>
        <v>④ 둘 다 기준 밖</v>
      </c>
      <c r="G117" s="55" t="str">
        <f t="shared" si="14"/>
        <v>후보</v>
      </c>
      <c r="H117" s="55">
        <f t="shared" si="15"/>
        <v>29</v>
      </c>
      <c r="I117" s="55" t="str">
        <f t="shared" si="16"/>
        <v>2인 어려움</v>
      </c>
      <c r="J117" s="53"/>
      <c r="K117" s="53" t="str">
        <f t="shared" si="17"/>
        <v>RPG|수집형(가챠) RPG</v>
      </c>
    </row>
    <row r="118" spans="1:11">
      <c r="A118" s="82" t="s">
        <v>898</v>
      </c>
      <c r="B118" s="53" t="str">
        <f>IFERROR(INDEX('4-5 매출 Top100(참조)'!$D$2:$D$101,MATCH($A118,'4-5 매출 Top100(참조)'!$B$2:$B$101,0)),IFERROR(INDEX('4-4 Google Play Top100(참조)'!$D$2:$D$101,MATCH($A118,'4-4 Google Play Top100(참조)'!$B$2:$B$101,0)),"확인 불가"))</f>
        <v>카드·보드·카지노</v>
      </c>
      <c r="C118" s="53" t="str">
        <f>IFERROR(INDEX('4-5 매출 Top100(참조)'!$E$2:$E$101,MATCH($A118,'4-5 매출 Top100(참조)'!$B$2:$B$101,0)),IFERROR(INDEX('4-4 Google Play Top100(참조)'!$E$2:$E$101,MATCH($A118,'4-4 Google Play Top100(참조)'!$B$2:$B$101,0)),"-"))</f>
        <v>솔리테어</v>
      </c>
      <c r="D118" s="55">
        <f>INDEX('4-6 매출-다운로드 비교(참조)'!$B$6:$B$177,MATCH($A118,'4-6 매출-다운로드 비교(참조)'!$A$6:$A$177,0))</f>
        <v>41</v>
      </c>
      <c r="E118" s="55" t="str">
        <f>INDEX('4-6 매출-다운로드 비교(참조)'!$C$6:$C$177,MATCH($A118,'4-6 매출-다운로드 비교(참조)'!$A$6:$A$177,0))</f>
        <v>-</v>
      </c>
      <c r="F118" s="53" t="str">
        <f>INDEX('4-6 매출-다운로드 비교(참조)'!$H$6:$H$177,MATCH($A118,'4-6 매출-다운로드 비교(참조)'!$A$6:$A$177,0))</f>
        <v>④ 둘 다 기준 밖</v>
      </c>
      <c r="G118" s="55" t="str">
        <f t="shared" si="14"/>
        <v>후보</v>
      </c>
      <c r="H118" s="55">
        <f t="shared" si="15"/>
        <v>92</v>
      </c>
      <c r="I118" s="55" t="str">
        <f t="shared" si="16"/>
        <v>2인 가능</v>
      </c>
      <c r="J118" s="53"/>
      <c r="K118" s="53" t="str">
        <f t="shared" si="17"/>
        <v>카드·보드·카지노|솔리테어</v>
      </c>
    </row>
    <row r="119" spans="1:11">
      <c r="A119" s="82" t="s">
        <v>899</v>
      </c>
      <c r="B119" s="53" t="str">
        <f>IFERROR(INDEX('4-5 매출 Top100(참조)'!$D$2:$D$101,MATCH($A119,'4-5 매출 Top100(참조)'!$B$2:$B$101,0)),IFERROR(INDEX('4-4 Google Play Top100(참조)'!$D$2:$D$101,MATCH($A119,'4-4 Google Play Top100(참조)'!$B$2:$B$101,0)),"확인 불가"))</f>
        <v>RPG</v>
      </c>
      <c r="C119" s="53" t="str">
        <f>IFERROR(INDEX('4-5 매출 Top100(참조)'!$E$2:$E$101,MATCH($A119,'4-5 매출 Top100(참조)'!$B$2:$B$101,0)),IFERROR(INDEX('4-4 Google Play Top100(참조)'!$E$2:$E$101,MATCH($A119,'4-4 Google Play Top100(참조)'!$B$2:$B$101,0)),"-"))</f>
        <v>수집형 오픈월드</v>
      </c>
      <c r="D119" s="55">
        <f>INDEX('4-6 매출-다운로드 비교(참조)'!$B$6:$B$177,MATCH($A119,'4-6 매출-다운로드 비교(참조)'!$A$6:$A$177,0))</f>
        <v>42</v>
      </c>
      <c r="E119" s="55" t="str">
        <f>INDEX('4-6 매출-다운로드 비교(참조)'!$C$6:$C$177,MATCH($A119,'4-6 매출-다운로드 비교(참조)'!$A$6:$A$177,0))</f>
        <v>-</v>
      </c>
      <c r="F119" s="53" t="str">
        <f>INDEX('4-6 매출-다운로드 비교(참조)'!$H$6:$H$177,MATCH($A119,'4-6 매출-다운로드 비교(참조)'!$A$6:$A$177,0))</f>
        <v>④ 둘 다 기준 밖</v>
      </c>
      <c r="G119" s="55" t="str">
        <f t="shared" si="14"/>
        <v>후보</v>
      </c>
      <c r="H119" s="55">
        <f t="shared" si="15"/>
        <v>24</v>
      </c>
      <c r="I119" s="55" t="str">
        <f t="shared" si="16"/>
        <v>2인 어려움</v>
      </c>
      <c r="J119" s="53"/>
      <c r="K119" s="53" t="str">
        <f t="shared" si="17"/>
        <v>RPG|수집형 오픈월드</v>
      </c>
    </row>
    <row r="120" spans="1:11">
      <c r="A120" s="82" t="s">
        <v>900</v>
      </c>
      <c r="B120" s="53" t="str">
        <f>IFERROR(INDEX('4-5 매출 Top100(참조)'!$D$2:$D$101,MATCH($A120,'4-5 매출 Top100(참조)'!$B$2:$B$101,0)),IFERROR(INDEX('4-4 Google Play Top100(참조)'!$D$2:$D$101,MATCH($A120,'4-4 Google Play Top100(참조)'!$B$2:$B$101,0)),"확인 불가"))</f>
        <v>카드·보드·카지노</v>
      </c>
      <c r="C120" s="53" t="str">
        <f>IFERROR(INDEX('4-5 매출 Top100(참조)'!$E$2:$E$101,MATCH($A120,'4-5 매출 Top100(참조)'!$B$2:$B$101,0)),IFERROR(INDEX('4-4 Google Play Top100(참조)'!$E$2:$E$101,MATCH($A120,'4-4 Google Play Top100(참조)'!$B$2:$B$101,0)),"-"))</f>
        <v>솔리테어</v>
      </c>
      <c r="D120" s="55">
        <f>INDEX('4-6 매출-다운로드 비교(참조)'!$B$6:$B$177,MATCH($A120,'4-6 매출-다운로드 비교(참조)'!$A$6:$A$177,0))</f>
        <v>43</v>
      </c>
      <c r="E120" s="55">
        <f>INDEX('4-6 매출-다운로드 비교(참조)'!$C$6:$C$177,MATCH($A120,'4-6 매출-다운로드 비교(참조)'!$A$6:$A$177,0))</f>
        <v>62</v>
      </c>
      <c r="F120" s="53" t="str">
        <f>INDEX('4-6 매출-다운로드 비교(참조)'!$H$6:$H$177,MATCH($A120,'4-6 매출-다운로드 비교(참조)'!$A$6:$A$177,0))</f>
        <v>④ 둘 다 기준 밖</v>
      </c>
      <c r="G120" s="55" t="str">
        <f t="shared" si="14"/>
        <v>후보</v>
      </c>
      <c r="H120" s="55">
        <f t="shared" si="15"/>
        <v>92</v>
      </c>
      <c r="I120" s="55" t="str">
        <f t="shared" si="16"/>
        <v>2인 가능</v>
      </c>
      <c r="J120" s="53"/>
      <c r="K120" s="53" t="str">
        <f t="shared" si="17"/>
        <v>카드·보드·카지노|솔리테어</v>
      </c>
    </row>
    <row r="121" spans="1:11">
      <c r="A121" s="82" t="s">
        <v>901</v>
      </c>
      <c r="B121" s="53" t="str">
        <f>IFERROR(INDEX('4-5 매출 Top100(참조)'!$D$2:$D$101,MATCH($A121,'4-5 매출 Top100(참조)'!$B$2:$B$101,0)),IFERROR(INDEX('4-4 Google Play Top100(참조)'!$D$2:$D$101,MATCH($A121,'4-4 Google Play Top100(참조)'!$B$2:$B$101,0)),"확인 불가"))</f>
        <v>카드·보드·카지노</v>
      </c>
      <c r="C121" s="53" t="str">
        <f>IFERROR(INDEX('4-5 매출 Top100(참조)'!$E$2:$E$101,MATCH($A121,'4-5 매출 Top100(참조)'!$B$2:$B$101,0)),IFERROR(INDEX('4-4 Google Play Top100(참조)'!$E$2:$E$101,MATCH($A121,'4-4 Google Play Top100(참조)'!$B$2:$B$101,0)),"-"))</f>
        <v>보드·주사위 소셜캐주얼</v>
      </c>
      <c r="D121" s="55">
        <f>INDEX('4-6 매출-다운로드 비교(참조)'!$B$6:$B$177,MATCH($A121,'4-6 매출-다운로드 비교(참조)'!$A$6:$A$177,0))</f>
        <v>44</v>
      </c>
      <c r="E121" s="55" t="str">
        <f>INDEX('4-6 매출-다운로드 비교(참조)'!$C$6:$C$177,MATCH($A121,'4-6 매출-다운로드 비교(참조)'!$A$6:$A$177,0))</f>
        <v>-</v>
      </c>
      <c r="F121" s="53" t="str">
        <f>INDEX('4-6 매출-다운로드 비교(참조)'!$H$6:$H$177,MATCH($A121,'4-6 매출-다운로드 비교(참조)'!$A$6:$A$177,0))</f>
        <v>④ 둘 다 기준 밖</v>
      </c>
      <c r="G121" s="55" t="str">
        <f t="shared" si="14"/>
        <v>후보</v>
      </c>
      <c r="H121" s="55">
        <f t="shared" si="15"/>
        <v>38</v>
      </c>
      <c r="I121" s="55" t="str">
        <f t="shared" si="16"/>
        <v>2인 어려움</v>
      </c>
      <c r="J121" s="53"/>
      <c r="K121" s="53" t="str">
        <f t="shared" si="17"/>
        <v>카드·보드·카지노|보드·주사위 소셜캐주얼</v>
      </c>
    </row>
    <row r="122" spans="1:11">
      <c r="A122" s="82" t="s">
        <v>902</v>
      </c>
      <c r="B122" s="53" t="str">
        <f>IFERROR(INDEX('4-5 매출 Top100(참조)'!$D$2:$D$101,MATCH($A122,'4-5 매출 Top100(참조)'!$B$2:$B$101,0)),IFERROR(INDEX('4-4 Google Play Top100(참조)'!$D$2:$D$101,MATCH($A122,'4-4 Google Play Top100(참조)'!$B$2:$B$101,0)),"확인 불가"))</f>
        <v>퍼즐</v>
      </c>
      <c r="C122" s="53" t="str">
        <f>IFERROR(INDEX('4-5 매출 Top100(참조)'!$E$2:$E$101,MATCH($A122,'4-5 매출 Top100(참조)'!$B$2:$B$101,0)),IFERROR(INDEX('4-4 Google Play Top100(참조)'!$E$2:$E$101,MATCH($A122,'4-4 Google Play Top100(참조)'!$B$2:$B$101,0)),"-"))</f>
        <v>머지</v>
      </c>
      <c r="D122" s="55">
        <f>INDEX('4-6 매출-다운로드 비교(참조)'!$B$6:$B$177,MATCH($A122,'4-6 매출-다운로드 비교(참조)'!$A$6:$A$177,0))</f>
        <v>45</v>
      </c>
      <c r="E122" s="55" t="str">
        <f>INDEX('4-6 매출-다운로드 비교(참조)'!$C$6:$C$177,MATCH($A122,'4-6 매출-다운로드 비교(참조)'!$A$6:$A$177,0))</f>
        <v>-</v>
      </c>
      <c r="F122" s="53" t="str">
        <f>INDEX('4-6 매출-다운로드 비교(참조)'!$H$6:$H$177,MATCH($A122,'4-6 매출-다운로드 비교(참조)'!$A$6:$A$177,0))</f>
        <v>④ 둘 다 기준 밖</v>
      </c>
      <c r="G122" s="55" t="str">
        <f t="shared" si="14"/>
        <v>후보</v>
      </c>
      <c r="H122" s="55">
        <f t="shared" si="15"/>
        <v>56</v>
      </c>
      <c r="I122" s="55" t="str">
        <f t="shared" si="16"/>
        <v>조건부 (범위를 줄이면)</v>
      </c>
      <c r="J122" s="53"/>
      <c r="K122" s="53" t="str">
        <f t="shared" si="17"/>
        <v>퍼즐|머지</v>
      </c>
    </row>
    <row r="123" spans="1:11">
      <c r="A123" s="82" t="s">
        <v>903</v>
      </c>
      <c r="B123" s="53" t="str">
        <f>IFERROR(INDEX('4-5 매출 Top100(참조)'!$D$2:$D$101,MATCH($A123,'4-5 매출 Top100(참조)'!$B$2:$B$101,0)),IFERROR(INDEX('4-4 Google Play Top100(참조)'!$D$2:$D$101,MATCH($A123,'4-4 Google Play Top100(참조)'!$B$2:$B$101,0)),"확인 불가"))</f>
        <v>카드·보드·카지노</v>
      </c>
      <c r="C123" s="53" t="str">
        <f>IFERROR(INDEX('4-5 매출 Top100(참조)'!$E$2:$E$101,MATCH($A123,'4-5 매출 Top100(참조)'!$B$2:$B$101,0)),IFERROR(INDEX('4-4 Google Play Top100(참조)'!$E$2:$E$101,MATCH($A123,'4-4 Google Play Top100(참조)'!$B$2:$B$101,0)),"-"))</f>
        <v>소셜 카지노</v>
      </c>
      <c r="D123" s="55">
        <f>INDEX('4-6 매출-다운로드 비교(참조)'!$B$6:$B$177,MATCH($A123,'4-6 매출-다운로드 비교(참조)'!$A$6:$A$177,0))</f>
        <v>46</v>
      </c>
      <c r="E123" s="55" t="str">
        <f>INDEX('4-6 매출-다운로드 비교(참조)'!$C$6:$C$177,MATCH($A123,'4-6 매출-다운로드 비교(참조)'!$A$6:$A$177,0))</f>
        <v>-</v>
      </c>
      <c r="F123" s="53" t="str">
        <f>INDEX('4-6 매출-다운로드 비교(참조)'!$H$6:$H$177,MATCH($A123,'4-6 매출-다운로드 비교(참조)'!$A$6:$A$177,0))</f>
        <v>④ 둘 다 기준 밖</v>
      </c>
      <c r="G123" s="55" t="str">
        <f t="shared" si="14"/>
        <v>후보</v>
      </c>
      <c r="H123" s="55">
        <f t="shared" si="15"/>
        <v>39</v>
      </c>
      <c r="I123" s="55" t="str">
        <f t="shared" si="16"/>
        <v>2인 어려움</v>
      </c>
      <c r="J123" s="53"/>
      <c r="K123" s="53" t="str">
        <f t="shared" si="17"/>
        <v>카드·보드·카지노|소셜 카지노</v>
      </c>
    </row>
    <row r="124" spans="1:11">
      <c r="A124" s="82" t="s">
        <v>904</v>
      </c>
      <c r="B124" s="53" t="str">
        <f>IFERROR(INDEX('4-5 매출 Top100(참조)'!$D$2:$D$101,MATCH($A124,'4-5 매출 Top100(참조)'!$B$2:$B$101,0)),IFERROR(INDEX('4-4 Google Play Top100(참조)'!$D$2:$D$101,MATCH($A124,'4-4 Google Play Top100(참조)'!$B$2:$B$101,0)),"확인 불가"))</f>
        <v>전략</v>
      </c>
      <c r="C124" s="53" t="str">
        <f>IFERROR(INDEX('4-5 매출 Top100(참조)'!$E$2:$E$101,MATCH($A124,'4-5 매출 Top100(참조)'!$B$2:$B$101,0)),IFERROR(INDEX('4-4 Google Play Top100(참조)'!$E$2:$E$101,MATCH($A124,'4-4 Google Play Top100(참조)'!$B$2:$B$101,0)),"-"))</f>
        <v>4X·SLG</v>
      </c>
      <c r="D124" s="55">
        <f>INDEX('4-6 매출-다운로드 비교(참조)'!$B$6:$B$177,MATCH($A124,'4-6 매출-다운로드 비교(참조)'!$A$6:$A$177,0))</f>
        <v>47</v>
      </c>
      <c r="E124" s="55" t="str">
        <f>INDEX('4-6 매출-다운로드 비교(참조)'!$C$6:$C$177,MATCH($A124,'4-6 매출-다운로드 비교(참조)'!$A$6:$A$177,0))</f>
        <v>-</v>
      </c>
      <c r="F124" s="53" t="str">
        <f>INDEX('4-6 매출-다운로드 비교(참조)'!$H$6:$H$177,MATCH($A124,'4-6 매출-다운로드 비교(참조)'!$A$6:$A$177,0))</f>
        <v>④ 둘 다 기준 밖</v>
      </c>
      <c r="G124" s="55" t="str">
        <f t="shared" si="14"/>
        <v>후보</v>
      </c>
      <c r="H124" s="55">
        <f t="shared" si="15"/>
        <v>24</v>
      </c>
      <c r="I124" s="55" t="str">
        <f t="shared" si="16"/>
        <v>2인 어려움</v>
      </c>
      <c r="J124" s="53"/>
      <c r="K124" s="53" t="str">
        <f t="shared" si="17"/>
        <v>전략|4X·SLG</v>
      </c>
    </row>
    <row r="125" spans="1:11">
      <c r="A125" s="82" t="s">
        <v>905</v>
      </c>
      <c r="B125" s="53" t="str">
        <f>IFERROR(INDEX('4-5 매출 Top100(참조)'!$D$2:$D$101,MATCH($A125,'4-5 매출 Top100(참조)'!$B$2:$B$101,0)),IFERROR(INDEX('4-4 Google Play Top100(참조)'!$D$2:$D$101,MATCH($A125,'4-4 Google Play Top100(참조)'!$B$2:$B$101,0)),"확인 불가"))</f>
        <v>하이퍼·하이브리드 캐주얼</v>
      </c>
      <c r="C125" s="53" t="str">
        <f>IFERROR(INDEX('4-5 매출 Top100(참조)'!$E$2:$E$101,MATCH($A125,'4-5 매출 Top100(참조)'!$B$2:$B$101,0)),IFERROR(INDEX('4-4 Google Play Top100(참조)'!$E$2:$E$101,MATCH($A125,'4-4 Google Play Top100(참조)'!$B$2:$B$101,0)),"-"))</f>
        <v>하이브리드 캐주얼</v>
      </c>
      <c r="D125" s="55">
        <f>INDEX('4-6 매출-다운로드 비교(참조)'!$B$6:$B$177,MATCH($A125,'4-6 매출-다운로드 비교(참조)'!$A$6:$A$177,0))</f>
        <v>48</v>
      </c>
      <c r="E125" s="55" t="str">
        <f>INDEX('4-6 매출-다운로드 비교(참조)'!$C$6:$C$177,MATCH($A125,'4-6 매출-다운로드 비교(참조)'!$A$6:$A$177,0))</f>
        <v>-</v>
      </c>
      <c r="F125" s="53" t="str">
        <f>INDEX('4-6 매출-다운로드 비교(참조)'!$H$6:$H$177,MATCH($A125,'4-6 매출-다운로드 비교(참조)'!$A$6:$A$177,0))</f>
        <v>④ 둘 다 기준 밖</v>
      </c>
      <c r="G125" s="55" t="str">
        <f t="shared" si="14"/>
        <v>후보</v>
      </c>
      <c r="H125" s="55">
        <f t="shared" si="15"/>
        <v>74</v>
      </c>
      <c r="I125" s="55" t="str">
        <f t="shared" si="16"/>
        <v>2인 가능</v>
      </c>
      <c r="J125" s="53"/>
      <c r="K125" s="53" t="str">
        <f t="shared" si="17"/>
        <v>하이퍼·하이브리드 캐주얼|하이브리드 캐주얼</v>
      </c>
    </row>
    <row r="126" spans="1:11">
      <c r="A126" s="82" t="s">
        <v>906</v>
      </c>
      <c r="B126" s="53" t="str">
        <f>IFERROR(INDEX('4-5 매출 Top100(참조)'!$D$2:$D$101,MATCH($A126,'4-5 매출 Top100(참조)'!$B$2:$B$101,0)),IFERROR(INDEX('4-4 Google Play Top100(참조)'!$D$2:$D$101,MATCH($A126,'4-4 Google Play Top100(참조)'!$B$2:$B$101,0)),"확인 불가"))</f>
        <v>전략</v>
      </c>
      <c r="C126" s="53" t="str">
        <f>IFERROR(INDEX('4-5 매출 Top100(참조)'!$E$2:$E$101,MATCH($A126,'4-5 매출 Top100(참조)'!$B$2:$B$101,0)),IFERROR(INDEX('4-4 Google Play Top100(참조)'!$E$2:$E$101,MATCH($A126,'4-4 Google Play Top100(참조)'!$B$2:$B$101,0)),"-"))</f>
        <v>4X·SLG</v>
      </c>
      <c r="D126" s="55">
        <f>INDEX('4-6 매출-다운로드 비교(참조)'!$B$6:$B$177,MATCH($A126,'4-6 매출-다운로드 비교(참조)'!$A$6:$A$177,0))</f>
        <v>49</v>
      </c>
      <c r="E126" s="55">
        <f>INDEX('4-6 매출-다운로드 비교(참조)'!$C$6:$C$177,MATCH($A126,'4-6 매출-다운로드 비교(참조)'!$A$6:$A$177,0))</f>
        <v>67</v>
      </c>
      <c r="F126" s="53" t="str">
        <f>INDEX('4-6 매출-다운로드 비교(참조)'!$H$6:$H$177,MATCH($A126,'4-6 매출-다운로드 비교(참조)'!$A$6:$A$177,0))</f>
        <v>④ 둘 다 기준 밖</v>
      </c>
      <c r="G126" s="55" t="str">
        <f t="shared" si="14"/>
        <v>후보</v>
      </c>
      <c r="H126" s="55">
        <f t="shared" si="15"/>
        <v>24</v>
      </c>
      <c r="I126" s="55" t="str">
        <f t="shared" si="16"/>
        <v>2인 어려움</v>
      </c>
      <c r="J126" s="53"/>
      <c r="K126" s="53" t="str">
        <f t="shared" si="17"/>
        <v>전략|4X·SLG</v>
      </c>
    </row>
    <row r="127" spans="1:11">
      <c r="A127" s="82" t="s">
        <v>907</v>
      </c>
      <c r="B127" s="53" t="str">
        <f>IFERROR(INDEX('4-5 매출 Top100(참조)'!$D$2:$D$101,MATCH($A127,'4-5 매출 Top100(참조)'!$B$2:$B$101,0)),IFERROR(INDEX('4-4 Google Play Top100(참조)'!$D$2:$D$101,MATCH($A127,'4-4 Google Play Top100(참조)'!$B$2:$B$101,0)),"확인 불가"))</f>
        <v>카드·보드·카지노</v>
      </c>
      <c r="C127" s="53" t="str">
        <f>IFERROR(INDEX('4-5 매출 Top100(참조)'!$E$2:$E$101,MATCH($A127,'4-5 매출 Top100(참조)'!$B$2:$B$101,0)),IFERROR(INDEX('4-4 Google Play Top100(참조)'!$E$2:$E$101,MATCH($A127,'4-4 Google Play Top100(참조)'!$B$2:$B$101,0)),"-"))</f>
        <v>소셜 카지노</v>
      </c>
      <c r="D127" s="55">
        <f>INDEX('4-6 매출-다운로드 비교(참조)'!$B$6:$B$177,MATCH($A127,'4-6 매출-다운로드 비교(참조)'!$A$6:$A$177,0))</f>
        <v>50</v>
      </c>
      <c r="E127" s="55" t="str">
        <f>INDEX('4-6 매출-다운로드 비교(참조)'!$C$6:$C$177,MATCH($A127,'4-6 매출-다운로드 비교(참조)'!$A$6:$A$177,0))</f>
        <v>-</v>
      </c>
      <c r="F127" s="53" t="str">
        <f>INDEX('4-6 매출-다운로드 비교(참조)'!$H$6:$H$177,MATCH($A127,'4-6 매출-다운로드 비교(참조)'!$A$6:$A$177,0))</f>
        <v>④ 둘 다 기준 밖</v>
      </c>
      <c r="G127" s="55" t="str">
        <f t="shared" si="14"/>
        <v>후보</v>
      </c>
      <c r="H127" s="55">
        <f t="shared" si="15"/>
        <v>39</v>
      </c>
      <c r="I127" s="55" t="str">
        <f t="shared" si="16"/>
        <v>2인 어려움</v>
      </c>
      <c r="J127" s="53"/>
      <c r="K127" s="53" t="str">
        <f t="shared" si="17"/>
        <v>카드·보드·카지노|소셜 카지노</v>
      </c>
    </row>
    <row r="128" spans="1:11">
      <c r="A128" s="82" t="s">
        <v>908</v>
      </c>
      <c r="B128" s="53" t="str">
        <f>IFERROR(INDEX('4-5 매출 Top100(참조)'!$D$2:$D$101,MATCH($A128,'4-5 매출 Top100(참조)'!$B$2:$B$101,0)),IFERROR(INDEX('4-4 Google Play Top100(참조)'!$D$2:$D$101,MATCH($A128,'4-4 Google Play Top100(참조)'!$B$2:$B$101,0)),"확인 불가"))</f>
        <v>퍼즐</v>
      </c>
      <c r="C128" s="53" t="str">
        <f>IFERROR(INDEX('4-5 매출 Top100(참조)'!$E$2:$E$101,MATCH($A128,'4-5 매출 Top100(참조)'!$B$2:$B$101,0)),IFERROR(INDEX('4-4 Google Play Top100(참조)'!$E$2:$E$101,MATCH($A128,'4-4 Google Play Top100(참조)'!$B$2:$B$101,0)),"-"))</f>
        <v>머지</v>
      </c>
      <c r="D128" s="55">
        <f>INDEX('4-6 매출-다운로드 비교(참조)'!$B$6:$B$177,MATCH($A128,'4-6 매출-다운로드 비교(참조)'!$A$6:$A$177,0))</f>
        <v>51</v>
      </c>
      <c r="E128" s="55" t="str">
        <f>INDEX('4-6 매출-다운로드 비교(참조)'!$C$6:$C$177,MATCH($A128,'4-6 매출-다운로드 비교(참조)'!$A$6:$A$177,0))</f>
        <v>-</v>
      </c>
      <c r="F128" s="53" t="str">
        <f>INDEX('4-6 매출-다운로드 비교(참조)'!$H$6:$H$177,MATCH($A128,'4-6 매출-다운로드 비교(참조)'!$A$6:$A$177,0))</f>
        <v>④ 둘 다 기준 밖</v>
      </c>
      <c r="G128" s="55" t="str">
        <f t="shared" si="14"/>
        <v>후보</v>
      </c>
      <c r="H128" s="55">
        <f t="shared" si="15"/>
        <v>56</v>
      </c>
      <c r="I128" s="55" t="str">
        <f t="shared" si="16"/>
        <v>조건부 (범위를 줄이면)</v>
      </c>
      <c r="J128" s="53"/>
      <c r="K128" s="53" t="str">
        <f t="shared" si="17"/>
        <v>퍼즐|머지</v>
      </c>
    </row>
    <row r="129" spans="1:11">
      <c r="A129" s="82" t="s">
        <v>909</v>
      </c>
      <c r="B129" s="53" t="str">
        <f>IFERROR(INDEX('4-5 매출 Top100(참조)'!$D$2:$D$101,MATCH($A129,'4-5 매출 Top100(참조)'!$B$2:$B$101,0)),IFERROR(INDEX('4-4 Google Play Top100(참조)'!$D$2:$D$101,MATCH($A129,'4-4 Google Play Top100(참조)'!$B$2:$B$101,0)),"확인 불가"))</f>
        <v>퍼즐</v>
      </c>
      <c r="C129" s="53" t="str">
        <f>IFERROR(INDEX('4-5 매출 Top100(참조)'!$E$2:$E$101,MATCH($A129,'4-5 매출 Top100(참조)'!$B$2:$B$101,0)),IFERROR(INDEX('4-4 Google Play Top100(참조)'!$E$2:$E$101,MATCH($A129,'4-4 Google Play Top100(참조)'!$B$2:$B$101,0)),"-"))</f>
        <v>머지</v>
      </c>
      <c r="D129" s="55">
        <f>INDEX('4-6 매출-다운로드 비교(참조)'!$B$6:$B$177,MATCH($A129,'4-6 매출-다운로드 비교(참조)'!$A$6:$A$177,0))</f>
        <v>52</v>
      </c>
      <c r="E129" s="55" t="str">
        <f>INDEX('4-6 매출-다운로드 비교(참조)'!$C$6:$C$177,MATCH($A129,'4-6 매출-다운로드 비교(참조)'!$A$6:$A$177,0))</f>
        <v>-</v>
      </c>
      <c r="F129" s="53" t="str">
        <f>INDEX('4-6 매출-다운로드 비교(참조)'!$H$6:$H$177,MATCH($A129,'4-6 매출-다운로드 비교(참조)'!$A$6:$A$177,0))</f>
        <v>④ 둘 다 기준 밖</v>
      </c>
      <c r="G129" s="55" t="str">
        <f t="shared" si="14"/>
        <v>후보</v>
      </c>
      <c r="H129" s="55">
        <f t="shared" si="15"/>
        <v>56</v>
      </c>
      <c r="I129" s="55" t="str">
        <f t="shared" si="16"/>
        <v>조건부 (범위를 줄이면)</v>
      </c>
      <c r="J129" s="53"/>
      <c r="K129" s="53" t="str">
        <f t="shared" si="17"/>
        <v>퍼즐|머지</v>
      </c>
    </row>
    <row r="130" spans="1:11">
      <c r="A130" s="82" t="s">
        <v>910</v>
      </c>
      <c r="B130" s="53" t="str">
        <f>IFERROR(INDEX('4-5 매출 Top100(참조)'!$D$2:$D$101,MATCH($A130,'4-5 매출 Top100(참조)'!$B$2:$B$101,0)),IFERROR(INDEX('4-4 Google Play Top100(참조)'!$D$2:$D$101,MATCH($A130,'4-4 Google Play Top100(참조)'!$B$2:$B$101,0)),"확인 불가"))</f>
        <v>퍼즐</v>
      </c>
      <c r="C130" s="53" t="str">
        <f>IFERROR(INDEX('4-5 매출 Top100(참조)'!$E$2:$E$101,MATCH($A130,'4-5 매출 Top100(참조)'!$B$2:$B$101,0)),IFERROR(INDEX('4-4 Google Play Top100(참조)'!$E$2:$E$101,MATCH($A130,'4-4 Google Play Top100(참조)'!$B$2:$B$101,0)),"-"))</f>
        <v>타일·마작·트리플 매치</v>
      </c>
      <c r="D130" s="55">
        <f>INDEX('4-6 매출-다운로드 비교(참조)'!$B$6:$B$177,MATCH($A130,'4-6 매출-다운로드 비교(참조)'!$A$6:$A$177,0))</f>
        <v>53</v>
      </c>
      <c r="E130" s="55" t="str">
        <f>INDEX('4-6 매출-다운로드 비교(참조)'!$C$6:$C$177,MATCH($A130,'4-6 매출-다운로드 비교(참조)'!$A$6:$A$177,0))</f>
        <v>-</v>
      </c>
      <c r="F130" s="53" t="str">
        <f>INDEX('4-6 매출-다운로드 비교(참조)'!$H$6:$H$177,MATCH($A130,'4-6 매출-다운로드 비교(참조)'!$A$6:$A$177,0))</f>
        <v>④ 둘 다 기준 밖</v>
      </c>
      <c r="G130" s="55" t="str">
        <f t="shared" si="14"/>
        <v>후보</v>
      </c>
      <c r="H130" s="55">
        <f t="shared" si="15"/>
        <v>87</v>
      </c>
      <c r="I130" s="55" t="str">
        <f t="shared" si="16"/>
        <v>2인 가능</v>
      </c>
      <c r="J130" s="53"/>
      <c r="K130" s="53" t="str">
        <f t="shared" si="17"/>
        <v>퍼즐|타일·마작·트리플 매치</v>
      </c>
    </row>
    <row r="131" spans="1:11">
      <c r="A131" s="82" t="s">
        <v>911</v>
      </c>
      <c r="B131" s="53" t="str">
        <f>IFERROR(INDEX('4-5 매출 Top100(참조)'!$D$2:$D$101,MATCH($A131,'4-5 매출 Top100(참조)'!$B$2:$B$101,0)),IFERROR(INDEX('4-4 Google Play Top100(참조)'!$D$2:$D$101,MATCH($A131,'4-4 Google Play Top100(참조)'!$B$2:$B$101,0)),"확인 불가"))</f>
        <v>시뮬레이션</v>
      </c>
      <c r="C131" s="53" t="str">
        <f>IFERROR(INDEX('4-5 매출 Top100(참조)'!$E$2:$E$101,MATCH($A131,'4-5 매출 Top100(참조)'!$B$2:$B$101,0)),IFERROR(INDEX('4-4 Google Play Top100(참조)'!$E$2:$E$101,MATCH($A131,'4-4 Google Play Top100(참조)'!$B$2:$B$101,0)),"-"))</f>
        <v>농장·타운 빌딩</v>
      </c>
      <c r="D131" s="55">
        <f>INDEX('4-6 매출-다운로드 비교(참조)'!$B$6:$B$177,MATCH($A131,'4-6 매출-다운로드 비교(참조)'!$A$6:$A$177,0))</f>
        <v>54</v>
      </c>
      <c r="E131" s="55" t="str">
        <f>INDEX('4-6 매출-다운로드 비교(참조)'!$C$6:$C$177,MATCH($A131,'4-6 매출-다운로드 비교(참조)'!$A$6:$A$177,0))</f>
        <v>-</v>
      </c>
      <c r="F131" s="53" t="str">
        <f>INDEX('4-6 매출-다운로드 비교(참조)'!$H$6:$H$177,MATCH($A131,'4-6 매출-다운로드 비교(참조)'!$A$6:$A$177,0))</f>
        <v>④ 둘 다 기준 밖</v>
      </c>
      <c r="G131" s="55" t="str">
        <f t="shared" si="14"/>
        <v>후보</v>
      </c>
      <c r="H131" s="55">
        <f t="shared" si="15"/>
        <v>38</v>
      </c>
      <c r="I131" s="55" t="str">
        <f t="shared" si="16"/>
        <v>2인 어려움</v>
      </c>
      <c r="J131" s="53"/>
      <c r="K131" s="53" t="str">
        <f t="shared" si="17"/>
        <v>시뮬레이션|농장·타운 빌딩</v>
      </c>
    </row>
    <row r="132" spans="1:11">
      <c r="A132" s="82" t="s">
        <v>912</v>
      </c>
      <c r="B132" s="53" t="str">
        <f>IFERROR(INDEX('4-5 매출 Top100(참조)'!$D$2:$D$101,MATCH($A132,'4-5 매출 Top100(참조)'!$B$2:$B$101,0)),IFERROR(INDEX('4-4 Google Play Top100(참조)'!$D$2:$D$101,MATCH($A132,'4-4 Google Play Top100(참조)'!$B$2:$B$101,0)),"확인 불가"))</f>
        <v>퍼즐</v>
      </c>
      <c r="C132" s="53" t="str">
        <f>IFERROR(INDEX('4-5 매출 Top100(참조)'!$E$2:$E$101,MATCH($A132,'4-5 매출 Top100(참조)'!$B$2:$B$101,0)),IFERROR(INDEX('4-4 Google Play Top100(참조)'!$E$2:$E$101,MATCH($A132,'4-4 Google Play Top100(참조)'!$B$2:$B$101,0)),"-"))</f>
        <v>숨은그림</v>
      </c>
      <c r="D132" s="55">
        <f>INDEX('4-6 매출-다운로드 비교(참조)'!$B$6:$B$177,MATCH($A132,'4-6 매출-다운로드 비교(참조)'!$A$6:$A$177,0))</f>
        <v>55</v>
      </c>
      <c r="E132" s="55" t="str">
        <f>INDEX('4-6 매출-다운로드 비교(참조)'!$C$6:$C$177,MATCH($A132,'4-6 매출-다운로드 비교(참조)'!$A$6:$A$177,0))</f>
        <v>-</v>
      </c>
      <c r="F132" s="53" t="str">
        <f>INDEX('4-6 매출-다운로드 비교(참조)'!$H$6:$H$177,MATCH($A132,'4-6 매출-다운로드 비교(참조)'!$A$6:$A$177,0))</f>
        <v>④ 둘 다 기준 밖</v>
      </c>
      <c r="G132" s="55" t="str">
        <f t="shared" si="14"/>
        <v>후보</v>
      </c>
      <c r="H132" s="55">
        <f t="shared" si="15"/>
        <v>61</v>
      </c>
      <c r="I132" s="55" t="str">
        <f t="shared" si="16"/>
        <v>2인 어려움</v>
      </c>
      <c r="J132" s="53"/>
      <c r="K132" s="53" t="str">
        <f t="shared" si="17"/>
        <v>퍼즐|숨은그림</v>
      </c>
    </row>
    <row r="133" spans="1:11">
      <c r="A133" s="82" t="s">
        <v>913</v>
      </c>
      <c r="B133" s="53" t="str">
        <f>IFERROR(INDEX('4-5 매출 Top100(참조)'!$D$2:$D$101,MATCH($A133,'4-5 매출 Top100(참조)'!$B$2:$B$101,0)),IFERROR(INDEX('4-4 Google Play Top100(참조)'!$D$2:$D$101,MATCH($A133,'4-4 Google Play Top100(참조)'!$B$2:$B$101,0)),"확인 불가"))</f>
        <v>카드·보드·카지노</v>
      </c>
      <c r="C133" s="53" t="str">
        <f>IFERROR(INDEX('4-5 매출 Top100(참조)'!$E$2:$E$101,MATCH($A133,'4-5 매출 Top100(참조)'!$B$2:$B$101,0)),IFERROR(INDEX('4-4 Google Play Top100(참조)'!$E$2:$E$101,MATCH($A133,'4-4 Google Play Top100(참조)'!$B$2:$B$101,0)),"-"))</f>
        <v>트레이딩 카드</v>
      </c>
      <c r="D133" s="55">
        <f>INDEX('4-6 매출-다운로드 비교(참조)'!$B$6:$B$177,MATCH($A133,'4-6 매출-다운로드 비교(참조)'!$A$6:$A$177,0))</f>
        <v>56</v>
      </c>
      <c r="E133" s="55" t="str">
        <f>INDEX('4-6 매출-다운로드 비교(참조)'!$C$6:$C$177,MATCH($A133,'4-6 매출-다운로드 비교(참조)'!$A$6:$A$177,0))</f>
        <v>-</v>
      </c>
      <c r="F133" s="53" t="str">
        <f>INDEX('4-6 매출-다운로드 비교(참조)'!$H$6:$H$177,MATCH($A133,'4-6 매출-다운로드 비교(참조)'!$A$6:$A$177,0))</f>
        <v>④ 둘 다 기준 밖</v>
      </c>
      <c r="G133" s="55" t="str">
        <f t="shared" si="14"/>
        <v>후보</v>
      </c>
      <c r="H133" s="55">
        <f t="shared" si="15"/>
        <v>28</v>
      </c>
      <c r="I133" s="55" t="str">
        <f t="shared" si="16"/>
        <v>2인 어려움</v>
      </c>
      <c r="J133" s="53"/>
      <c r="K133" s="53" t="str">
        <f t="shared" si="17"/>
        <v>카드·보드·카지노|트레이딩 카드</v>
      </c>
    </row>
    <row r="134" spans="1:11">
      <c r="A134" s="82" t="s">
        <v>174</v>
      </c>
      <c r="B134" s="53" t="str">
        <f>IFERROR(INDEX('4-5 매출 Top100(참조)'!$D$2:$D$101,MATCH($A134,'4-5 매출 Top100(참조)'!$B$2:$B$101,0)),IFERROR(INDEX('4-4 Google Play Top100(참조)'!$D$2:$D$101,MATCH($A134,'4-4 Google Play Top100(참조)'!$B$2:$B$101,0)),"확인 불가"))</f>
        <v>퍼즐</v>
      </c>
      <c r="C134" s="53" t="str">
        <f>IFERROR(INDEX('4-5 매출 Top100(참조)'!$E$2:$E$101,MATCH($A134,'4-5 매출 Top100(참조)'!$B$2:$B$101,0)),IFERROR(INDEX('4-4 Google Play Top100(참조)'!$E$2:$E$101,MATCH($A134,'4-4 Google Play Top100(참조)'!$B$2:$B$101,0)),"-"))</f>
        <v>정렬·잼</v>
      </c>
      <c r="D134" s="55">
        <f>INDEX('4-6 매출-다운로드 비교(참조)'!$B$6:$B$177,MATCH($A134,'4-6 매출-다운로드 비교(참조)'!$A$6:$A$177,0))</f>
        <v>57</v>
      </c>
      <c r="E134" s="55">
        <f>INDEX('4-6 매출-다운로드 비교(참조)'!$C$6:$C$177,MATCH($A134,'4-6 매출-다운로드 비교(참조)'!$A$6:$A$177,0))</f>
        <v>11</v>
      </c>
      <c r="F134" s="53" t="str">
        <f>INDEX('4-6 매출-다운로드 비교(참조)'!$H$6:$H$177,MATCH($A134,'4-6 매출-다운로드 비교(참조)'!$A$6:$A$177,0))</f>
        <v>③ 다운로드만 높음</v>
      </c>
      <c r="G134" s="55" t="str">
        <f t="shared" si="14"/>
        <v>후보</v>
      </c>
      <c r="H134" s="55">
        <f t="shared" si="15"/>
        <v>92</v>
      </c>
      <c r="I134" s="55" t="str">
        <f t="shared" si="16"/>
        <v>2인 가능</v>
      </c>
      <c r="J134" s="53"/>
      <c r="K134" s="53" t="str">
        <f t="shared" si="17"/>
        <v>퍼즐|정렬·잼</v>
      </c>
    </row>
    <row r="135" spans="1:11">
      <c r="A135" s="82" t="s">
        <v>914</v>
      </c>
      <c r="B135" s="53" t="str">
        <f>IFERROR(INDEX('4-5 매출 Top100(참조)'!$D$2:$D$101,MATCH($A135,'4-5 매출 Top100(참조)'!$B$2:$B$101,0)),IFERROR(INDEX('4-4 Google Play Top100(참조)'!$D$2:$D$101,MATCH($A135,'4-4 Google Play Top100(참조)'!$B$2:$B$101,0)),"확인 불가"))</f>
        <v>카드·보드·카지노</v>
      </c>
      <c r="C135" s="53" t="str">
        <f>IFERROR(INDEX('4-5 매출 Top100(참조)'!$E$2:$E$101,MATCH($A135,'4-5 매출 Top100(참조)'!$B$2:$B$101,0)),IFERROR(INDEX('4-4 Google Play Top100(참조)'!$E$2:$E$101,MATCH($A135,'4-4 Google Play Top100(참조)'!$B$2:$B$101,0)),"-"))</f>
        <v>소셜 카지노</v>
      </c>
      <c r="D135" s="55">
        <f>INDEX('4-6 매출-다운로드 비교(참조)'!$B$6:$B$177,MATCH($A135,'4-6 매출-다운로드 비교(참조)'!$A$6:$A$177,0))</f>
        <v>58</v>
      </c>
      <c r="E135" s="55" t="str">
        <f>INDEX('4-6 매출-다운로드 비교(참조)'!$C$6:$C$177,MATCH($A135,'4-6 매출-다운로드 비교(참조)'!$A$6:$A$177,0))</f>
        <v>-</v>
      </c>
      <c r="F135" s="53" t="str">
        <f>INDEX('4-6 매출-다운로드 비교(참조)'!$H$6:$H$177,MATCH($A135,'4-6 매출-다운로드 비교(참조)'!$A$6:$A$177,0))</f>
        <v>④ 둘 다 기준 밖</v>
      </c>
      <c r="G135" s="55" t="str">
        <f t="shared" si="14"/>
        <v>후보</v>
      </c>
      <c r="H135" s="55">
        <f t="shared" si="15"/>
        <v>39</v>
      </c>
      <c r="I135" s="55" t="str">
        <f t="shared" si="16"/>
        <v>2인 어려움</v>
      </c>
      <c r="J135" s="53"/>
      <c r="K135" s="53" t="str">
        <f t="shared" si="17"/>
        <v>카드·보드·카지노|소셜 카지노</v>
      </c>
    </row>
    <row r="136" spans="1:11">
      <c r="A136" s="82" t="s">
        <v>915</v>
      </c>
      <c r="B136" s="53" t="str">
        <f>IFERROR(INDEX('4-5 매출 Top100(참조)'!$D$2:$D$101,MATCH($A136,'4-5 매출 Top100(참조)'!$B$2:$B$101,0)),IFERROR(INDEX('4-4 Google Play Top100(참조)'!$D$2:$D$101,MATCH($A136,'4-4 Google Play Top100(참조)'!$B$2:$B$101,0)),"확인 불가"))</f>
        <v>퍼즐</v>
      </c>
      <c r="C136" s="53" t="str">
        <f>IFERROR(INDEX('4-5 매출 Top100(참조)'!$E$2:$E$101,MATCH($A136,'4-5 매출 Top100(참조)'!$B$2:$B$101,0)),IFERROR(INDEX('4-4 Google Play Top100(참조)'!$E$2:$E$101,MATCH($A136,'4-4 Google Play Top100(참조)'!$B$2:$B$101,0)),"-"))</f>
        <v>머지</v>
      </c>
      <c r="D136" s="55">
        <f>INDEX('4-6 매출-다운로드 비교(참조)'!$B$6:$B$177,MATCH($A136,'4-6 매출-다운로드 비교(참조)'!$A$6:$A$177,0))</f>
        <v>59</v>
      </c>
      <c r="E136" s="55" t="str">
        <f>INDEX('4-6 매출-다운로드 비교(참조)'!$C$6:$C$177,MATCH($A136,'4-6 매출-다운로드 비교(참조)'!$A$6:$A$177,0))</f>
        <v>-</v>
      </c>
      <c r="F136" s="53" t="str">
        <f>INDEX('4-6 매출-다운로드 비교(참조)'!$H$6:$H$177,MATCH($A136,'4-6 매출-다운로드 비교(참조)'!$A$6:$A$177,0))</f>
        <v>④ 둘 다 기준 밖</v>
      </c>
      <c r="G136" s="55" t="str">
        <f t="shared" si="14"/>
        <v>후보</v>
      </c>
      <c r="H136" s="55">
        <f t="shared" si="15"/>
        <v>56</v>
      </c>
      <c r="I136" s="55" t="str">
        <f t="shared" si="16"/>
        <v>조건부 (범위를 줄이면)</v>
      </c>
      <c r="J136" s="53"/>
      <c r="K136" s="53" t="str">
        <f t="shared" si="17"/>
        <v>퍼즐|머지</v>
      </c>
    </row>
    <row r="137" spans="1:11">
      <c r="A137" s="82" t="s">
        <v>916</v>
      </c>
      <c r="B137" s="53" t="str">
        <f>IFERROR(INDEX('4-5 매출 Top100(참조)'!$D$2:$D$101,MATCH($A137,'4-5 매출 Top100(참조)'!$B$2:$B$101,0)),IFERROR(INDEX('4-4 Google Play Top100(참조)'!$D$2:$D$101,MATCH($A137,'4-4 Google Play Top100(참조)'!$B$2:$B$101,0)),"확인 불가"))</f>
        <v>액션·슈팅</v>
      </c>
      <c r="C137" s="53" t="str">
        <f>IFERROR(INDEX('4-5 매출 Top100(참조)'!$E$2:$E$101,MATCH($A137,'4-5 매출 Top100(참조)'!$B$2:$B$101,0)),IFERROR(INDEX('4-4 Google Play Top100(참조)'!$E$2:$E$101,MATCH($A137,'4-4 Google Play Top100(참조)'!$B$2:$B$101,0)),"-"))</f>
        <v>배틀로얄</v>
      </c>
      <c r="D137" s="55">
        <f>INDEX('4-6 매출-다운로드 비교(참조)'!$B$6:$B$177,MATCH($A137,'4-6 매출-다운로드 비교(참조)'!$A$6:$A$177,0))</f>
        <v>60</v>
      </c>
      <c r="E137" s="55" t="str">
        <f>INDEX('4-6 매출-다운로드 비교(참조)'!$C$6:$C$177,MATCH($A137,'4-6 매출-다운로드 비교(참조)'!$A$6:$A$177,0))</f>
        <v>-</v>
      </c>
      <c r="F137" s="53" t="str">
        <f>INDEX('4-6 매출-다운로드 비교(참조)'!$H$6:$H$177,MATCH($A137,'4-6 매출-다운로드 비교(참조)'!$A$6:$A$177,0))</f>
        <v>④ 둘 다 기준 밖</v>
      </c>
      <c r="G137" s="55" t="str">
        <f t="shared" si="14"/>
        <v>후보</v>
      </c>
      <c r="H137" s="55">
        <f t="shared" si="15"/>
        <v>26</v>
      </c>
      <c r="I137" s="55" t="str">
        <f t="shared" si="16"/>
        <v>2인 어려움</v>
      </c>
      <c r="J137" s="53"/>
      <c r="K137" s="53" t="str">
        <f t="shared" si="17"/>
        <v>액션·슈팅|배틀로얄</v>
      </c>
    </row>
    <row r="138" spans="1:11">
      <c r="A138" s="82" t="s">
        <v>917</v>
      </c>
      <c r="B138" s="53" t="str">
        <f>IFERROR(INDEX('4-5 매출 Top100(참조)'!$D$2:$D$101,MATCH($A138,'4-5 매출 Top100(참조)'!$B$2:$B$101,0)),IFERROR(INDEX('4-4 Google Play Top100(참조)'!$D$2:$D$101,MATCH($A138,'4-4 Google Play Top100(참조)'!$B$2:$B$101,0)),"확인 불가"))</f>
        <v>전략</v>
      </c>
      <c r="C138" s="53" t="str">
        <f>IFERROR(INDEX('4-5 매출 Top100(참조)'!$E$2:$E$101,MATCH($A138,'4-5 매출 Top100(참조)'!$B$2:$B$101,0)),IFERROR(INDEX('4-4 Google Play Top100(참조)'!$E$2:$E$101,MATCH($A138,'4-4 Google Play Top100(참조)'!$B$2:$B$101,0)),"-"))</f>
        <v>4X·SLG</v>
      </c>
      <c r="D138" s="55">
        <f>INDEX('4-6 매출-다운로드 비교(참조)'!$B$6:$B$177,MATCH($A138,'4-6 매출-다운로드 비교(참조)'!$A$6:$A$177,0))</f>
        <v>61</v>
      </c>
      <c r="E138" s="55" t="str">
        <f>INDEX('4-6 매출-다운로드 비교(참조)'!$C$6:$C$177,MATCH($A138,'4-6 매출-다운로드 비교(참조)'!$A$6:$A$177,0))</f>
        <v>-</v>
      </c>
      <c r="F138" s="53" t="str">
        <f>INDEX('4-6 매출-다운로드 비교(참조)'!$H$6:$H$177,MATCH($A138,'4-6 매출-다운로드 비교(참조)'!$A$6:$A$177,0))</f>
        <v>④ 둘 다 기준 밖</v>
      </c>
      <c r="G138" s="55" t="str">
        <f t="shared" si="14"/>
        <v>후보</v>
      </c>
      <c r="H138" s="55">
        <f t="shared" si="15"/>
        <v>24</v>
      </c>
      <c r="I138" s="55" t="str">
        <f t="shared" si="16"/>
        <v>2인 어려움</v>
      </c>
      <c r="J138" s="53"/>
      <c r="K138" s="53" t="str">
        <f t="shared" si="17"/>
        <v>전략|4X·SLG</v>
      </c>
    </row>
    <row r="139" spans="1:11">
      <c r="A139" s="82" t="s">
        <v>918</v>
      </c>
      <c r="B139" s="53" t="str">
        <f>IFERROR(INDEX('4-5 매출 Top100(참조)'!$D$2:$D$101,MATCH($A139,'4-5 매출 Top100(참조)'!$B$2:$B$101,0)),IFERROR(INDEX('4-4 Google Play Top100(참조)'!$D$2:$D$101,MATCH($A139,'4-4 Google Play Top100(참조)'!$B$2:$B$101,0)),"확인 불가"))</f>
        <v>RPG</v>
      </c>
      <c r="C139" s="53" t="str">
        <f>IFERROR(INDEX('4-5 매출 Top100(참조)'!$E$2:$E$101,MATCH($A139,'4-5 매출 Top100(참조)'!$B$2:$B$101,0)),IFERROR(INDEX('4-4 Google Play Top100(참조)'!$E$2:$E$101,MATCH($A139,'4-4 Google Play Top100(참조)'!$B$2:$B$101,0)),"-"))</f>
        <v>수집형(가챠) RPG</v>
      </c>
      <c r="D139" s="55">
        <f>INDEX('4-6 매출-다운로드 비교(참조)'!$B$6:$B$177,MATCH($A139,'4-6 매출-다운로드 비교(참조)'!$A$6:$A$177,0))</f>
        <v>62</v>
      </c>
      <c r="E139" s="55" t="str">
        <f>INDEX('4-6 매출-다운로드 비교(참조)'!$C$6:$C$177,MATCH($A139,'4-6 매출-다운로드 비교(참조)'!$A$6:$A$177,0))</f>
        <v>-</v>
      </c>
      <c r="F139" s="53" t="str">
        <f>INDEX('4-6 매출-다운로드 비교(참조)'!$H$6:$H$177,MATCH($A139,'4-6 매출-다운로드 비교(참조)'!$A$6:$A$177,0))</f>
        <v>④ 둘 다 기준 밖</v>
      </c>
      <c r="G139" s="55" t="str">
        <f t="shared" si="14"/>
        <v>후보</v>
      </c>
      <c r="H139" s="55">
        <f t="shared" si="15"/>
        <v>29</v>
      </c>
      <c r="I139" s="55" t="str">
        <f t="shared" si="16"/>
        <v>2인 어려움</v>
      </c>
      <c r="J139" s="53"/>
      <c r="K139" s="53" t="str">
        <f t="shared" si="17"/>
        <v>RPG|수집형(가챠) RPG</v>
      </c>
    </row>
    <row r="140" spans="1:11">
      <c r="A140" s="82" t="s">
        <v>919</v>
      </c>
      <c r="B140" s="53" t="str">
        <f>IFERROR(INDEX('4-5 매출 Top100(참조)'!$D$2:$D$101,MATCH($A140,'4-5 매출 Top100(참조)'!$B$2:$B$101,0)),IFERROR(INDEX('4-4 Google Play Top100(참조)'!$D$2:$D$101,MATCH($A140,'4-4 Google Play Top100(참조)'!$B$2:$B$101,0)),"확인 불가"))</f>
        <v>카드·보드·카지노</v>
      </c>
      <c r="C140" s="53" t="str">
        <f>IFERROR(INDEX('4-5 매출 Top100(참조)'!$E$2:$E$101,MATCH($A140,'4-5 매출 Top100(참조)'!$B$2:$B$101,0)),IFERROR(INDEX('4-4 Google Play Top100(참조)'!$E$2:$E$101,MATCH($A140,'4-4 Google Play Top100(참조)'!$B$2:$B$101,0)),"-"))</f>
        <v>빙고</v>
      </c>
      <c r="D140" s="55">
        <f>INDEX('4-6 매출-다운로드 비교(참조)'!$B$6:$B$177,MATCH($A140,'4-6 매출-다운로드 비교(참조)'!$A$6:$A$177,0))</f>
        <v>63</v>
      </c>
      <c r="E140" s="55" t="str">
        <f>INDEX('4-6 매출-다운로드 비교(참조)'!$C$6:$C$177,MATCH($A140,'4-6 매출-다운로드 비교(참조)'!$A$6:$A$177,0))</f>
        <v>-</v>
      </c>
      <c r="F140" s="53" t="str">
        <f>INDEX('4-6 매출-다운로드 비교(참조)'!$H$6:$H$177,MATCH($A140,'4-6 매출-다운로드 비교(참조)'!$A$6:$A$177,0))</f>
        <v>④ 둘 다 기준 밖</v>
      </c>
      <c r="G140" s="55" t="str">
        <f t="shared" si="14"/>
        <v>후보</v>
      </c>
      <c r="H140" s="55">
        <f t="shared" si="15"/>
        <v>45</v>
      </c>
      <c r="I140" s="55" t="str">
        <f t="shared" si="16"/>
        <v>2인 어려움</v>
      </c>
      <c r="J140" s="53"/>
      <c r="K140" s="53" t="str">
        <f t="shared" si="17"/>
        <v>카드·보드·카지노|빙고</v>
      </c>
    </row>
    <row r="141" spans="1:11">
      <c r="A141" s="82" t="s">
        <v>844</v>
      </c>
      <c r="B141" s="53" t="str">
        <f>IFERROR(INDEX('4-5 매출 Top100(참조)'!$D$2:$D$101,MATCH($A141,'4-5 매출 Top100(참조)'!$B$2:$B$101,0)),IFERROR(INDEX('4-4 Google Play Top100(참조)'!$D$2:$D$101,MATCH($A141,'4-4 Google Play Top100(참조)'!$B$2:$B$101,0)),"확인 불가"))</f>
        <v>퍼즐</v>
      </c>
      <c r="C141" s="53" t="str">
        <f>IFERROR(INDEX('4-5 매출 Top100(참조)'!$E$2:$E$101,MATCH($A141,'4-5 매출 Top100(참조)'!$B$2:$B$101,0)),IFERROR(INDEX('4-4 Google Play Top100(참조)'!$E$2:$E$101,MATCH($A141,'4-4 Google Play Top100(참조)'!$B$2:$B$101,0)),"-"))</f>
        <v>블록</v>
      </c>
      <c r="D141" s="55">
        <f>INDEX('4-6 매출-다운로드 비교(참조)'!$B$6:$B$177,MATCH($A141,'4-6 매출-다운로드 비교(참조)'!$A$6:$A$177,0))</f>
        <v>64</v>
      </c>
      <c r="E141" s="55">
        <f>INDEX('4-6 매출-다운로드 비교(참조)'!$C$6:$C$177,MATCH($A141,'4-6 매출-다운로드 비교(참조)'!$A$6:$A$177,0))</f>
        <v>27</v>
      </c>
      <c r="F141" s="53" t="str">
        <f>INDEX('4-6 매출-다운로드 비교(참조)'!$H$6:$H$177,MATCH($A141,'4-6 매출-다운로드 비교(참조)'!$A$6:$A$177,0))</f>
        <v>③ 다운로드만 높음</v>
      </c>
      <c r="G141" s="55" t="str">
        <f t="shared" si="14"/>
        <v>후보</v>
      </c>
      <c r="H141" s="55">
        <f t="shared" si="15"/>
        <v>96</v>
      </c>
      <c r="I141" s="55" t="str">
        <f t="shared" si="16"/>
        <v>2인 가능</v>
      </c>
      <c r="J141" s="53"/>
      <c r="K141" s="53" t="str">
        <f t="shared" si="17"/>
        <v>퍼즐|블록</v>
      </c>
    </row>
    <row r="142" spans="1:11">
      <c r="A142" s="82" t="s">
        <v>920</v>
      </c>
      <c r="B142" s="53" t="str">
        <f>IFERROR(INDEX('4-5 매출 Top100(참조)'!$D$2:$D$101,MATCH($A142,'4-5 매출 Top100(참조)'!$B$2:$B$101,0)),IFERROR(INDEX('4-4 Google Play Top100(참조)'!$D$2:$D$101,MATCH($A142,'4-4 Google Play Top100(참조)'!$B$2:$B$101,0)),"확인 불가"))</f>
        <v>퍼즐</v>
      </c>
      <c r="C142" s="53" t="str">
        <f>IFERROR(INDEX('4-5 매출 Top100(참조)'!$E$2:$E$101,MATCH($A142,'4-5 매출 Top100(참조)'!$B$2:$B$101,0)),IFERROR(INDEX('4-4 Google Play Top100(참조)'!$E$2:$E$101,MATCH($A142,'4-4 Google Play Top100(참조)'!$B$2:$B$101,0)),"-"))</f>
        <v>정렬·잼</v>
      </c>
      <c r="D142" s="55">
        <f>INDEX('4-6 매출-다운로드 비교(참조)'!$B$6:$B$177,MATCH($A142,'4-6 매출-다운로드 비교(참조)'!$A$6:$A$177,0))</f>
        <v>66</v>
      </c>
      <c r="E142" s="55">
        <f>INDEX('4-6 매출-다운로드 비교(참조)'!$C$6:$C$177,MATCH($A142,'4-6 매출-다운로드 비교(참조)'!$A$6:$A$177,0))</f>
        <v>21</v>
      </c>
      <c r="F142" s="53" t="str">
        <f>INDEX('4-6 매출-다운로드 비교(참조)'!$H$6:$H$177,MATCH($A142,'4-6 매출-다운로드 비교(참조)'!$A$6:$A$177,0))</f>
        <v>③ 다운로드만 높음</v>
      </c>
      <c r="G142" s="55" t="str">
        <f t="shared" si="14"/>
        <v>후보</v>
      </c>
      <c r="H142" s="55">
        <f t="shared" si="15"/>
        <v>92</v>
      </c>
      <c r="I142" s="55" t="str">
        <f t="shared" si="16"/>
        <v>2인 가능</v>
      </c>
      <c r="J142" s="53"/>
      <c r="K142" s="53" t="str">
        <f t="shared" si="17"/>
        <v>퍼즐|정렬·잼</v>
      </c>
    </row>
    <row r="143" spans="1:11">
      <c r="A143" s="82" t="s">
        <v>424</v>
      </c>
      <c r="B143" s="53" t="str">
        <f>IFERROR(INDEX('4-5 매출 Top100(참조)'!$D$2:$D$101,MATCH($A143,'4-5 매출 Top100(참조)'!$B$2:$B$101,0)),IFERROR(INDEX('4-4 Google Play Top100(참조)'!$D$2:$D$101,MATCH($A143,'4-4 Google Play Top100(참조)'!$B$2:$B$101,0)),"확인 불가"))</f>
        <v>액션·슈팅</v>
      </c>
      <c r="C143" s="53" t="str">
        <f>IFERROR(INDEX('4-5 매출 Top100(참조)'!$E$2:$E$101,MATCH($A143,'4-5 매출 Top100(참조)'!$B$2:$B$101,0)),IFERROR(INDEX('4-4 Google Play Top100(참조)'!$E$2:$E$101,MATCH($A143,'4-4 Google Play Top100(참조)'!$B$2:$B$101,0)),"-"))</f>
        <v>팀 대전 슈터</v>
      </c>
      <c r="D143" s="55">
        <f>INDEX('4-6 매출-다운로드 비교(참조)'!$B$6:$B$177,MATCH($A143,'4-6 매출-다운로드 비교(참조)'!$A$6:$A$177,0))</f>
        <v>67</v>
      </c>
      <c r="E143" s="55" t="str">
        <f>INDEX('4-6 매출-다운로드 비교(참조)'!$C$6:$C$177,MATCH($A143,'4-6 매출-다운로드 비교(참조)'!$A$6:$A$177,0))</f>
        <v>-</v>
      </c>
      <c r="F143" s="53" t="str">
        <f>INDEX('4-6 매출-다운로드 비교(참조)'!$H$6:$H$177,MATCH($A143,'4-6 매출-다운로드 비교(참조)'!$A$6:$A$177,0))</f>
        <v>④ 둘 다 기준 밖</v>
      </c>
      <c r="G143" s="55" t="str">
        <f t="shared" ref="G143:G174" si="18">IF(OR(ISNUMBER(D143),F143="③ 다운로드만 높음"),"후보","후보 아님")</f>
        <v>후보</v>
      </c>
      <c r="H143" s="55">
        <f t="shared" ref="H143:H174" si="19">IF(G143&lt;&gt;"후보","",IFERROR(INDEX($H$18:$H$54,MATCH(K143,$K$18:$K$54,0)),""))</f>
        <v>26</v>
      </c>
      <c r="I143" s="55" t="str">
        <f t="shared" ref="I143:I174" si="20">IF(G143&lt;&gt;"후보","-",IFERROR(INDEX($I$18:$I$54,MATCH(K143,$K$18:$K$54,0)),"판단 보류"))</f>
        <v>2인 어려움</v>
      </c>
      <c r="J143" s="53"/>
      <c r="K143" s="53" t="str">
        <f t="shared" ref="K143:K174" si="21">B143&amp;"|"&amp;C143</f>
        <v>액션·슈팅|팀 대전 슈터</v>
      </c>
    </row>
    <row r="144" spans="1:11">
      <c r="A144" s="82" t="s">
        <v>921</v>
      </c>
      <c r="B144" s="53" t="str">
        <f>IFERROR(INDEX('4-5 매출 Top100(참조)'!$D$2:$D$101,MATCH($A144,'4-5 매출 Top100(참조)'!$B$2:$B$101,0)),IFERROR(INDEX('4-4 Google Play Top100(참조)'!$D$2:$D$101,MATCH($A144,'4-4 Google Play Top100(참조)'!$B$2:$B$101,0)),"확인 불가"))</f>
        <v>전략</v>
      </c>
      <c r="C144" s="53" t="str">
        <f>IFERROR(INDEX('4-5 매출 Top100(참조)'!$E$2:$E$101,MATCH($A144,'4-5 매출 Top100(참조)'!$B$2:$B$101,0)),IFERROR(INDEX('4-4 Google Play Top100(참조)'!$E$2:$E$101,MATCH($A144,'4-4 Google Play Top100(참조)'!$B$2:$B$101,0)),"-"))</f>
        <v>4X·SLG</v>
      </c>
      <c r="D144" s="55">
        <f>INDEX('4-6 매출-다운로드 비교(참조)'!$B$6:$B$177,MATCH($A144,'4-6 매출-다운로드 비교(참조)'!$A$6:$A$177,0))</f>
        <v>68</v>
      </c>
      <c r="E144" s="55">
        <f>INDEX('4-6 매출-다운로드 비교(참조)'!$C$6:$C$177,MATCH($A144,'4-6 매출-다운로드 비교(참조)'!$A$6:$A$177,0))</f>
        <v>87</v>
      </c>
      <c r="F144" s="53" t="str">
        <f>INDEX('4-6 매출-다운로드 비교(참조)'!$H$6:$H$177,MATCH($A144,'4-6 매출-다운로드 비교(참조)'!$A$6:$A$177,0))</f>
        <v>④ 둘 다 기준 밖</v>
      </c>
      <c r="G144" s="55" t="str">
        <f t="shared" si="18"/>
        <v>후보</v>
      </c>
      <c r="H144" s="55">
        <f t="shared" si="19"/>
        <v>24</v>
      </c>
      <c r="I144" s="55" t="str">
        <f t="shared" si="20"/>
        <v>2인 어려움</v>
      </c>
      <c r="J144" s="53"/>
      <c r="K144" s="53" t="str">
        <f t="shared" si="21"/>
        <v>전략|4X·SLG</v>
      </c>
    </row>
    <row r="145" spans="1:11">
      <c r="A145" s="82" t="s">
        <v>922</v>
      </c>
      <c r="B145" s="53" t="str">
        <f>IFERROR(INDEX('4-5 매출 Top100(참조)'!$D$2:$D$101,MATCH($A145,'4-5 매출 Top100(참조)'!$B$2:$B$101,0)),IFERROR(INDEX('4-4 Google Play Top100(참조)'!$D$2:$D$101,MATCH($A145,'4-4 Google Play Top100(참조)'!$B$2:$B$101,0)),"확인 불가"))</f>
        <v>스포츠</v>
      </c>
      <c r="C145" s="53" t="str">
        <f>IFERROR(INDEX('4-5 매출 Top100(참조)'!$E$2:$E$101,MATCH($A145,'4-5 매출 Top100(참조)'!$B$2:$B$101,0)),IFERROR(INDEX('4-4 Google Play Top100(참조)'!$E$2:$E$101,MATCH($A145,'4-4 Google Play Top100(참조)'!$B$2:$B$101,0)),"-"))</f>
        <v>축구</v>
      </c>
      <c r="D145" s="55">
        <f>INDEX('4-6 매출-다운로드 비교(참조)'!$B$6:$B$177,MATCH($A145,'4-6 매출-다운로드 비교(참조)'!$A$6:$A$177,0))</f>
        <v>69</v>
      </c>
      <c r="E145" s="55" t="str">
        <f>INDEX('4-6 매출-다운로드 비교(참조)'!$C$6:$C$177,MATCH($A145,'4-6 매출-다운로드 비교(참조)'!$A$6:$A$177,0))</f>
        <v>-</v>
      </c>
      <c r="F145" s="53" t="str">
        <f>INDEX('4-6 매출-다운로드 비교(참조)'!$H$6:$H$177,MATCH($A145,'4-6 매출-다운로드 비교(참조)'!$A$6:$A$177,0))</f>
        <v>④ 둘 다 기준 밖</v>
      </c>
      <c r="G145" s="55" t="str">
        <f t="shared" si="18"/>
        <v>후보</v>
      </c>
      <c r="H145" s="55">
        <f t="shared" si="19"/>
        <v>30</v>
      </c>
      <c r="I145" s="55" t="str">
        <f t="shared" si="20"/>
        <v>2인 어려움</v>
      </c>
      <c r="J145" s="53"/>
      <c r="K145" s="53" t="str">
        <f t="shared" si="21"/>
        <v>스포츠|축구</v>
      </c>
    </row>
    <row r="146" spans="1:11">
      <c r="A146" s="82" t="s">
        <v>850</v>
      </c>
      <c r="B146" s="53" t="str">
        <f>IFERROR(INDEX('4-5 매출 Top100(참조)'!$D$2:$D$101,MATCH($A146,'4-5 매출 Top100(참조)'!$B$2:$B$101,0)),IFERROR(INDEX('4-4 Google Play Top100(참조)'!$D$2:$D$101,MATCH($A146,'4-4 Google Play Top100(참조)'!$B$2:$B$101,0)),"확인 불가"))</f>
        <v>하이퍼·하이브리드 캐주얼</v>
      </c>
      <c r="C146" s="53" t="str">
        <f>IFERROR(INDEX('4-5 매출 Top100(참조)'!$E$2:$E$101,MATCH($A146,'4-5 매출 Top100(참조)'!$B$2:$B$101,0)),IFERROR(INDEX('4-4 Google Play Top100(참조)'!$E$2:$E$101,MATCH($A146,'4-4 Google Play Top100(참조)'!$B$2:$B$101,0)),"-"))</f>
        <v>물리 파괴</v>
      </c>
      <c r="D146" s="55">
        <f>INDEX('4-6 매출-다운로드 비교(참조)'!$B$6:$B$177,MATCH($A146,'4-6 매출-다운로드 비교(참조)'!$A$6:$A$177,0))</f>
        <v>70</v>
      </c>
      <c r="E146" s="55">
        <f>INDEX('4-6 매출-다운로드 비교(참조)'!$C$6:$C$177,MATCH($A146,'4-6 매출-다운로드 비교(참조)'!$A$6:$A$177,0))</f>
        <v>9</v>
      </c>
      <c r="F146" s="53" t="str">
        <f>INDEX('4-6 매출-다운로드 비교(참조)'!$H$6:$H$177,MATCH($A146,'4-6 매출-다운로드 비교(참조)'!$A$6:$A$177,0))</f>
        <v>③ 다운로드만 높음</v>
      </c>
      <c r="G146" s="55" t="str">
        <f t="shared" si="18"/>
        <v>후보</v>
      </c>
      <c r="H146" s="55">
        <f t="shared" si="19"/>
        <v>79</v>
      </c>
      <c r="I146" s="55" t="str">
        <f t="shared" si="20"/>
        <v>2인 가능</v>
      </c>
      <c r="J146" s="53"/>
      <c r="K146" s="53" t="str">
        <f t="shared" si="21"/>
        <v>하이퍼·하이브리드 캐주얼|물리 파괴</v>
      </c>
    </row>
    <row r="147" spans="1:11">
      <c r="A147" s="82" t="s">
        <v>923</v>
      </c>
      <c r="B147" s="53" t="str">
        <f>IFERROR(INDEX('4-5 매출 Top100(참조)'!$D$2:$D$101,MATCH($A147,'4-5 매출 Top100(참조)'!$B$2:$B$101,0)),IFERROR(INDEX('4-4 Google Play Top100(참조)'!$D$2:$D$101,MATCH($A147,'4-4 Google Play Top100(참조)'!$B$2:$B$101,0)),"확인 불가"))</f>
        <v>시뮬레이션</v>
      </c>
      <c r="C147" s="53" t="str">
        <f>IFERROR(INDEX('4-5 매출 Top100(참조)'!$E$2:$E$101,MATCH($A147,'4-5 매출 Top100(참조)'!$B$2:$B$101,0)),IFERROR(INDEX('4-4 Google Play Top100(참조)'!$E$2:$E$101,MATCH($A147,'4-4 Google Play Top100(참조)'!$B$2:$B$101,0)),"-"))</f>
        <v>샌드박스</v>
      </c>
      <c r="D147" s="55">
        <f>INDEX('4-6 매출-다운로드 비교(참조)'!$B$6:$B$177,MATCH($A147,'4-6 매출-다운로드 비교(참조)'!$A$6:$A$177,0))</f>
        <v>71</v>
      </c>
      <c r="E147" s="55" t="str">
        <f>INDEX('4-6 매출-다운로드 비교(참조)'!$C$6:$C$177,MATCH($A147,'4-6 매출-다운로드 비교(참조)'!$A$6:$A$177,0))</f>
        <v>-</v>
      </c>
      <c r="F147" s="53" t="str">
        <f>INDEX('4-6 매출-다운로드 비교(참조)'!$H$6:$H$177,MATCH($A147,'4-6 매출-다운로드 비교(참조)'!$A$6:$A$177,0))</f>
        <v>④ 둘 다 기준 밖</v>
      </c>
      <c r="G147" s="55" t="str">
        <f t="shared" si="18"/>
        <v>후보</v>
      </c>
      <c r="H147" s="55">
        <f t="shared" si="19"/>
        <v>67</v>
      </c>
      <c r="I147" s="55" t="str">
        <f t="shared" si="20"/>
        <v>조건부 (범위를 줄이면)</v>
      </c>
      <c r="J147" s="53"/>
      <c r="K147" s="53" t="str">
        <f t="shared" si="21"/>
        <v>시뮬레이션|샌드박스</v>
      </c>
    </row>
    <row r="148" spans="1:11">
      <c r="A148" s="82" t="s">
        <v>924</v>
      </c>
      <c r="B148" s="53" t="str">
        <f>IFERROR(INDEX('4-5 매출 Top100(참조)'!$D$2:$D$101,MATCH($A148,'4-5 매출 Top100(참조)'!$B$2:$B$101,0)),IFERROR(INDEX('4-4 Google Play Top100(참조)'!$D$2:$D$101,MATCH($A148,'4-4 Google Play Top100(참조)'!$B$2:$B$101,0)),"확인 불가"))</f>
        <v>퍼즐</v>
      </c>
      <c r="C148" s="53" t="str">
        <f>IFERROR(INDEX('4-5 매출 Top100(참조)'!$E$2:$E$101,MATCH($A148,'4-5 매출 Top100(참조)'!$B$2:$B$101,0)),IFERROR(INDEX('4-4 Google Play Top100(참조)'!$E$2:$E$101,MATCH($A148,'4-4 Google Play Top100(참조)'!$B$2:$B$101,0)),"-"))</f>
        <v>머지</v>
      </c>
      <c r="D148" s="55">
        <f>INDEX('4-6 매출-다운로드 비교(참조)'!$B$6:$B$177,MATCH($A148,'4-6 매출-다운로드 비교(참조)'!$A$6:$A$177,0))</f>
        <v>72</v>
      </c>
      <c r="E148" s="55" t="str">
        <f>INDEX('4-6 매출-다운로드 비교(참조)'!$C$6:$C$177,MATCH($A148,'4-6 매출-다운로드 비교(참조)'!$A$6:$A$177,0))</f>
        <v>-</v>
      </c>
      <c r="F148" s="53" t="str">
        <f>INDEX('4-6 매출-다운로드 비교(참조)'!$H$6:$H$177,MATCH($A148,'4-6 매출-다운로드 비교(참조)'!$A$6:$A$177,0))</f>
        <v>④ 둘 다 기준 밖</v>
      </c>
      <c r="G148" s="55" t="str">
        <f t="shared" si="18"/>
        <v>후보</v>
      </c>
      <c r="H148" s="55">
        <f t="shared" si="19"/>
        <v>56</v>
      </c>
      <c r="I148" s="55" t="str">
        <f t="shared" si="20"/>
        <v>조건부 (범위를 줄이면)</v>
      </c>
      <c r="J148" s="53"/>
      <c r="K148" s="53" t="str">
        <f t="shared" si="21"/>
        <v>퍼즐|머지</v>
      </c>
    </row>
    <row r="149" spans="1:11">
      <c r="A149" s="82" t="s">
        <v>925</v>
      </c>
      <c r="B149" s="53" t="str">
        <f>IFERROR(INDEX('4-5 매출 Top100(참조)'!$D$2:$D$101,MATCH($A149,'4-5 매출 Top100(참조)'!$B$2:$B$101,0)),IFERROR(INDEX('4-4 Google Play Top100(참조)'!$D$2:$D$101,MATCH($A149,'4-4 Google Play Top100(참조)'!$B$2:$B$101,0)),"확인 불가"))</f>
        <v>확인 불가</v>
      </c>
      <c r="C149" s="53" t="str">
        <f>IFERROR(INDEX('4-5 매출 Top100(참조)'!$E$2:$E$101,MATCH($A149,'4-5 매출 Top100(참조)'!$B$2:$B$101,0)),IFERROR(INDEX('4-4 Google Play Top100(참조)'!$E$2:$E$101,MATCH($A149,'4-4 Google Play Top100(참조)'!$B$2:$B$101,0)),"-"))</f>
        <v>-</v>
      </c>
      <c r="D149" s="55">
        <f>INDEX('4-6 매출-다운로드 비교(참조)'!$B$6:$B$177,MATCH($A149,'4-6 매출-다운로드 비교(참조)'!$A$6:$A$177,0))</f>
        <v>73</v>
      </c>
      <c r="E149" s="55" t="str">
        <f>INDEX('4-6 매출-다운로드 비교(참조)'!$C$6:$C$177,MATCH($A149,'4-6 매출-다운로드 비교(참조)'!$A$6:$A$177,0))</f>
        <v>-</v>
      </c>
      <c r="F149" s="53" t="str">
        <f>INDEX('4-6 매출-다운로드 비교(참조)'!$H$6:$H$177,MATCH($A149,'4-6 매출-다운로드 비교(참조)'!$A$6:$A$177,0))</f>
        <v>④ 둘 다 기준 밖</v>
      </c>
      <c r="G149" s="55" t="str">
        <f t="shared" si="18"/>
        <v>후보</v>
      </c>
      <c r="H149" s="55" t="str">
        <f t="shared" si="19"/>
        <v/>
      </c>
      <c r="I149" s="55" t="str">
        <f t="shared" si="20"/>
        <v>판단 보류</v>
      </c>
      <c r="J149" s="53"/>
      <c r="K149" s="53" t="str">
        <f t="shared" si="21"/>
        <v>확인 불가|-</v>
      </c>
    </row>
    <row r="150" spans="1:11">
      <c r="A150" s="82" t="s">
        <v>926</v>
      </c>
      <c r="B150" s="53" t="str">
        <f>IFERROR(INDEX('4-5 매출 Top100(참조)'!$D$2:$D$101,MATCH($A150,'4-5 매출 Top100(참조)'!$B$2:$B$101,0)),IFERROR(INDEX('4-4 Google Play Top100(참조)'!$D$2:$D$101,MATCH($A150,'4-4 Google Play Top100(참조)'!$B$2:$B$101,0)),"확인 불가"))</f>
        <v>RPG</v>
      </c>
      <c r="C150" s="53" t="str">
        <f>IFERROR(INDEX('4-5 매출 Top100(참조)'!$E$2:$E$101,MATCH($A150,'4-5 매출 Top100(참조)'!$B$2:$B$101,0)),IFERROR(INDEX('4-4 Google Play Top100(참조)'!$E$2:$E$101,MATCH($A150,'4-4 Google Play Top100(참조)'!$B$2:$B$101,0)),"-"))</f>
        <v>수집형(가챠) RPG</v>
      </c>
      <c r="D150" s="55">
        <f>INDEX('4-6 매출-다운로드 비교(참조)'!$B$6:$B$177,MATCH($A150,'4-6 매출-다운로드 비교(참조)'!$A$6:$A$177,0))</f>
        <v>74</v>
      </c>
      <c r="E150" s="55" t="str">
        <f>INDEX('4-6 매출-다운로드 비교(참조)'!$C$6:$C$177,MATCH($A150,'4-6 매출-다운로드 비교(참조)'!$A$6:$A$177,0))</f>
        <v>-</v>
      </c>
      <c r="F150" s="53" t="str">
        <f>INDEX('4-6 매출-다운로드 비교(참조)'!$H$6:$H$177,MATCH($A150,'4-6 매출-다운로드 비교(참조)'!$A$6:$A$177,0))</f>
        <v>④ 둘 다 기준 밖</v>
      </c>
      <c r="G150" s="55" t="str">
        <f t="shared" si="18"/>
        <v>후보</v>
      </c>
      <c r="H150" s="55">
        <f t="shared" si="19"/>
        <v>29</v>
      </c>
      <c r="I150" s="55" t="str">
        <f t="shared" si="20"/>
        <v>2인 어려움</v>
      </c>
      <c r="J150" s="53"/>
      <c r="K150" s="53" t="str">
        <f t="shared" si="21"/>
        <v>RPG|수집형(가챠) RPG</v>
      </c>
    </row>
    <row r="151" spans="1:11">
      <c r="A151" s="82" t="s">
        <v>927</v>
      </c>
      <c r="B151" s="53" t="str">
        <f>IFERROR(INDEX('4-5 매출 Top100(참조)'!$D$2:$D$101,MATCH($A151,'4-5 매출 Top100(참조)'!$B$2:$B$101,0)),IFERROR(INDEX('4-4 Google Play Top100(참조)'!$D$2:$D$101,MATCH($A151,'4-4 Google Play Top100(참조)'!$B$2:$B$101,0)),"확인 불가"))</f>
        <v>스포츠</v>
      </c>
      <c r="C151" s="53" t="str">
        <f>IFERROR(INDEX('4-5 매출 Top100(참조)'!$E$2:$E$101,MATCH($A151,'4-5 매출 Top100(참조)'!$B$2:$B$101,0)),IFERROR(INDEX('4-4 Google Play Top100(참조)'!$E$2:$E$101,MATCH($A151,'4-4 Google Play Top100(참조)'!$B$2:$B$101,0)),"-"))</f>
        <v>골프</v>
      </c>
      <c r="D151" s="55">
        <f>INDEX('4-6 매출-다운로드 비교(참조)'!$B$6:$B$177,MATCH($A151,'4-6 매출-다운로드 비교(참조)'!$A$6:$A$177,0))</f>
        <v>75</v>
      </c>
      <c r="E151" s="55" t="str">
        <f>INDEX('4-6 매출-다운로드 비교(참조)'!$C$6:$C$177,MATCH($A151,'4-6 매출-다운로드 비교(참조)'!$A$6:$A$177,0))</f>
        <v>-</v>
      </c>
      <c r="F151" s="53" t="str">
        <f>INDEX('4-6 매출-다운로드 비교(참조)'!$H$6:$H$177,MATCH($A151,'4-6 매출-다운로드 비교(참조)'!$A$6:$A$177,0))</f>
        <v>④ 둘 다 기준 밖</v>
      </c>
      <c r="G151" s="55" t="str">
        <f t="shared" si="18"/>
        <v>후보</v>
      </c>
      <c r="H151" s="55">
        <f t="shared" si="19"/>
        <v>51</v>
      </c>
      <c r="I151" s="55" t="str">
        <f t="shared" si="20"/>
        <v>조건부 (범위를 줄이면)</v>
      </c>
      <c r="J151" s="53"/>
      <c r="K151" s="53" t="str">
        <f t="shared" si="21"/>
        <v>스포츠|골프</v>
      </c>
    </row>
    <row r="152" spans="1:11">
      <c r="A152" s="82" t="s">
        <v>928</v>
      </c>
      <c r="B152" s="53" t="str">
        <f>IFERROR(INDEX('4-5 매출 Top100(참조)'!$D$2:$D$101,MATCH($A152,'4-5 매출 Top100(참조)'!$B$2:$B$101,0)),IFERROR(INDEX('4-4 Google Play Top100(참조)'!$D$2:$D$101,MATCH($A152,'4-4 Google Play Top100(참조)'!$B$2:$B$101,0)),"확인 불가"))</f>
        <v>카드·보드·카지노</v>
      </c>
      <c r="C152" s="53" t="str">
        <f>IFERROR(INDEX('4-5 매출 Top100(참조)'!$E$2:$E$101,MATCH($A152,'4-5 매출 Top100(참조)'!$B$2:$B$101,0)),IFERROR(INDEX('4-4 Google Play Top100(참조)'!$E$2:$E$101,MATCH($A152,'4-4 Google Play Top100(참조)'!$B$2:$B$101,0)),"-"))</f>
        <v>빙고</v>
      </c>
      <c r="D152" s="55">
        <f>INDEX('4-6 매출-다운로드 비교(참조)'!$B$6:$B$177,MATCH($A152,'4-6 매출-다운로드 비교(참조)'!$A$6:$A$177,0))</f>
        <v>76</v>
      </c>
      <c r="E152" s="55" t="str">
        <f>INDEX('4-6 매출-다운로드 비교(참조)'!$C$6:$C$177,MATCH($A152,'4-6 매출-다운로드 비교(참조)'!$A$6:$A$177,0))</f>
        <v>-</v>
      </c>
      <c r="F152" s="53" t="str">
        <f>INDEX('4-6 매출-다운로드 비교(참조)'!$H$6:$H$177,MATCH($A152,'4-6 매출-다운로드 비교(참조)'!$A$6:$A$177,0))</f>
        <v>④ 둘 다 기준 밖</v>
      </c>
      <c r="G152" s="55" t="str">
        <f t="shared" si="18"/>
        <v>후보</v>
      </c>
      <c r="H152" s="55">
        <f t="shared" si="19"/>
        <v>45</v>
      </c>
      <c r="I152" s="55" t="str">
        <f t="shared" si="20"/>
        <v>2인 어려움</v>
      </c>
      <c r="J152" s="53"/>
      <c r="K152" s="53" t="str">
        <f t="shared" si="21"/>
        <v>카드·보드·카지노|빙고</v>
      </c>
    </row>
    <row r="153" spans="1:11">
      <c r="A153" s="82" t="s">
        <v>929</v>
      </c>
      <c r="B153" s="53" t="str">
        <f>IFERROR(INDEX('4-5 매출 Top100(참조)'!$D$2:$D$101,MATCH($A153,'4-5 매출 Top100(참조)'!$B$2:$B$101,0)),IFERROR(INDEX('4-4 Google Play Top100(참조)'!$D$2:$D$101,MATCH($A153,'4-4 Google Play Top100(참조)'!$B$2:$B$101,0)),"확인 불가"))</f>
        <v>확인 불가</v>
      </c>
      <c r="C153" s="53" t="str">
        <f>IFERROR(INDEX('4-5 매출 Top100(참조)'!$E$2:$E$101,MATCH($A153,'4-5 매출 Top100(참조)'!$B$2:$B$101,0)),IFERROR(INDEX('4-4 Google Play Top100(참조)'!$E$2:$E$101,MATCH($A153,'4-4 Google Play Top100(참조)'!$B$2:$B$101,0)),"-"))</f>
        <v>-</v>
      </c>
      <c r="D153" s="55">
        <f>INDEX('4-6 매출-다운로드 비교(참조)'!$B$6:$B$177,MATCH($A153,'4-6 매출-다운로드 비교(참조)'!$A$6:$A$177,0))</f>
        <v>77</v>
      </c>
      <c r="E153" s="55" t="str">
        <f>INDEX('4-6 매출-다운로드 비교(참조)'!$C$6:$C$177,MATCH($A153,'4-6 매출-다운로드 비교(참조)'!$A$6:$A$177,0))</f>
        <v>-</v>
      </c>
      <c r="F153" s="53" t="str">
        <f>INDEX('4-6 매출-다운로드 비교(참조)'!$H$6:$H$177,MATCH($A153,'4-6 매출-다운로드 비교(참조)'!$A$6:$A$177,0))</f>
        <v>④ 둘 다 기준 밖</v>
      </c>
      <c r="G153" s="55" t="str">
        <f t="shared" si="18"/>
        <v>후보</v>
      </c>
      <c r="H153" s="55" t="str">
        <f t="shared" si="19"/>
        <v/>
      </c>
      <c r="I153" s="55" t="str">
        <f t="shared" si="20"/>
        <v>판단 보류</v>
      </c>
      <c r="J153" s="53"/>
      <c r="K153" s="53" t="str">
        <f t="shared" si="21"/>
        <v>확인 불가|-</v>
      </c>
    </row>
    <row r="154" spans="1:11">
      <c r="A154" s="82" t="s">
        <v>930</v>
      </c>
      <c r="B154" s="53" t="str">
        <f>IFERROR(INDEX('4-5 매출 Top100(참조)'!$D$2:$D$101,MATCH($A154,'4-5 매출 Top100(참조)'!$B$2:$B$101,0)),IFERROR(INDEX('4-4 Google Play Top100(참조)'!$D$2:$D$101,MATCH($A154,'4-4 Google Play Top100(참조)'!$B$2:$B$101,0)),"확인 불가"))</f>
        <v>카드·보드·카지노</v>
      </c>
      <c r="C154" s="53" t="str">
        <f>IFERROR(INDEX('4-5 매출 Top100(참조)'!$E$2:$E$101,MATCH($A154,'4-5 매출 Top100(참조)'!$B$2:$B$101,0)),IFERROR(INDEX('4-4 Google Play Top100(참조)'!$E$2:$E$101,MATCH($A154,'4-4 Google Play Top100(참조)'!$B$2:$B$101,0)),"-"))</f>
        <v>포커</v>
      </c>
      <c r="D154" s="55">
        <f>INDEX('4-6 매출-다운로드 비교(참조)'!$B$6:$B$177,MATCH($A154,'4-6 매출-다운로드 비교(참조)'!$A$6:$A$177,0))</f>
        <v>78</v>
      </c>
      <c r="E154" s="55" t="str">
        <f>INDEX('4-6 매출-다운로드 비교(참조)'!$C$6:$C$177,MATCH($A154,'4-6 매출-다운로드 비교(참조)'!$A$6:$A$177,0))</f>
        <v>-</v>
      </c>
      <c r="F154" s="53" t="str">
        <f>INDEX('4-6 매출-다운로드 비교(참조)'!$H$6:$H$177,MATCH($A154,'4-6 매출-다운로드 비교(참조)'!$A$6:$A$177,0))</f>
        <v>④ 둘 다 기준 밖</v>
      </c>
      <c r="G154" s="55" t="str">
        <f t="shared" si="18"/>
        <v>후보</v>
      </c>
      <c r="H154" s="55">
        <f t="shared" si="19"/>
        <v>51</v>
      </c>
      <c r="I154" s="55" t="str">
        <f t="shared" si="20"/>
        <v>2인 어려움</v>
      </c>
      <c r="J154" s="53"/>
      <c r="K154" s="53" t="str">
        <f t="shared" si="21"/>
        <v>카드·보드·카지노|포커</v>
      </c>
    </row>
    <row r="155" spans="1:11">
      <c r="A155" s="82" t="s">
        <v>931</v>
      </c>
      <c r="B155" s="53" t="str">
        <f>IFERROR(INDEX('4-5 매출 Top100(참조)'!$D$2:$D$101,MATCH($A155,'4-5 매출 Top100(참조)'!$B$2:$B$101,0)),IFERROR(INDEX('4-4 Google Play Top100(참조)'!$D$2:$D$101,MATCH($A155,'4-4 Google Play Top100(참조)'!$B$2:$B$101,0)),"확인 불가"))</f>
        <v>퍼즐</v>
      </c>
      <c r="C155" s="53" t="str">
        <f>IFERROR(INDEX('4-5 매출 Top100(참조)'!$E$2:$E$101,MATCH($A155,'4-5 매출 Top100(참조)'!$B$2:$B$101,0)),IFERROR(INDEX('4-4 Google Play Top100(참조)'!$E$2:$E$101,MATCH($A155,'4-4 Google Play Top100(참조)'!$B$2:$B$101,0)),"-"))</f>
        <v>매치3</v>
      </c>
      <c r="D155" s="55">
        <f>INDEX('4-6 매출-다운로드 비교(참조)'!$B$6:$B$177,MATCH($A155,'4-6 매출-다운로드 비교(참조)'!$A$6:$A$177,0))</f>
        <v>79</v>
      </c>
      <c r="E155" s="55" t="str">
        <f>INDEX('4-6 매출-다운로드 비교(참조)'!$C$6:$C$177,MATCH($A155,'4-6 매출-다운로드 비교(참조)'!$A$6:$A$177,0))</f>
        <v>-</v>
      </c>
      <c r="F155" s="53" t="str">
        <f>INDEX('4-6 매출-다운로드 비교(참조)'!$H$6:$H$177,MATCH($A155,'4-6 매출-다운로드 비교(참조)'!$A$6:$A$177,0))</f>
        <v>④ 둘 다 기준 밖</v>
      </c>
      <c r="G155" s="55" t="str">
        <f t="shared" si="18"/>
        <v>후보</v>
      </c>
      <c r="H155" s="55">
        <f t="shared" si="19"/>
        <v>60</v>
      </c>
      <c r="I155" s="55" t="str">
        <f t="shared" si="20"/>
        <v>조건부 (범위를 줄이면)</v>
      </c>
      <c r="J155" s="53"/>
      <c r="K155" s="53" t="str">
        <f t="shared" si="21"/>
        <v>퍼즐|매치3</v>
      </c>
    </row>
    <row r="156" spans="1:11">
      <c r="A156" s="82" t="s">
        <v>932</v>
      </c>
      <c r="B156" s="53" t="str">
        <f>IFERROR(INDEX('4-5 매출 Top100(참조)'!$D$2:$D$101,MATCH($A156,'4-5 매출 Top100(참조)'!$B$2:$B$101,0)),IFERROR(INDEX('4-4 Google Play Top100(참조)'!$D$2:$D$101,MATCH($A156,'4-4 Google Play Top100(참조)'!$B$2:$B$101,0)),"확인 불가"))</f>
        <v>카드·보드·카지노</v>
      </c>
      <c r="C156" s="53" t="str">
        <f>IFERROR(INDEX('4-5 매출 Top100(참조)'!$E$2:$E$101,MATCH($A156,'4-5 매출 Top100(참조)'!$B$2:$B$101,0)),IFERROR(INDEX('4-4 Google Play Top100(참조)'!$E$2:$E$101,MATCH($A156,'4-4 Google Play Top100(참조)'!$B$2:$B$101,0)),"-"))</f>
        <v>소셜 카지노</v>
      </c>
      <c r="D156" s="55">
        <f>INDEX('4-6 매출-다운로드 비교(참조)'!$B$6:$B$177,MATCH($A156,'4-6 매출-다운로드 비교(참조)'!$A$6:$A$177,0))</f>
        <v>80</v>
      </c>
      <c r="E156" s="55" t="str">
        <f>INDEX('4-6 매출-다운로드 비교(참조)'!$C$6:$C$177,MATCH($A156,'4-6 매출-다운로드 비교(참조)'!$A$6:$A$177,0))</f>
        <v>-</v>
      </c>
      <c r="F156" s="53" t="str">
        <f>INDEX('4-6 매출-다운로드 비교(참조)'!$H$6:$H$177,MATCH($A156,'4-6 매출-다운로드 비교(참조)'!$A$6:$A$177,0))</f>
        <v>④ 둘 다 기준 밖</v>
      </c>
      <c r="G156" s="55" t="str">
        <f t="shared" si="18"/>
        <v>후보</v>
      </c>
      <c r="H156" s="55">
        <f t="shared" si="19"/>
        <v>39</v>
      </c>
      <c r="I156" s="55" t="str">
        <f t="shared" si="20"/>
        <v>2인 어려움</v>
      </c>
      <c r="J156" s="53"/>
      <c r="K156" s="53" t="str">
        <f t="shared" si="21"/>
        <v>카드·보드·카지노|소셜 카지노</v>
      </c>
    </row>
    <row r="157" spans="1:11">
      <c r="A157" s="82" t="s">
        <v>933</v>
      </c>
      <c r="B157" s="53" t="str">
        <f>IFERROR(INDEX('4-5 매출 Top100(참조)'!$D$2:$D$101,MATCH($A157,'4-5 매출 Top100(참조)'!$B$2:$B$101,0)),IFERROR(INDEX('4-4 Google Play Top100(참조)'!$D$2:$D$101,MATCH($A157,'4-4 Google Play Top100(참조)'!$B$2:$B$101,0)),"확인 불가"))</f>
        <v>카드·보드·카지노</v>
      </c>
      <c r="C157" s="53" t="str">
        <f>IFERROR(INDEX('4-5 매출 Top100(참조)'!$E$2:$E$101,MATCH($A157,'4-5 매출 Top100(참조)'!$B$2:$B$101,0)),IFERROR(INDEX('4-4 Google Play Top100(참조)'!$E$2:$E$101,MATCH($A157,'4-4 Google Play Top100(참조)'!$B$2:$B$101,0)),"-"))</f>
        <v>클래식 보드</v>
      </c>
      <c r="D157" s="55">
        <f>INDEX('4-6 매출-다운로드 비교(참조)'!$B$6:$B$177,MATCH($A157,'4-6 매출-다운로드 비교(참조)'!$A$6:$A$177,0))</f>
        <v>81</v>
      </c>
      <c r="E157" s="55" t="str">
        <f>INDEX('4-6 매출-다운로드 비교(참조)'!$C$6:$C$177,MATCH($A157,'4-6 매출-다운로드 비교(참조)'!$A$6:$A$177,0))</f>
        <v>-</v>
      </c>
      <c r="F157" s="53" t="str">
        <f>INDEX('4-6 매출-다운로드 비교(참조)'!$H$6:$H$177,MATCH($A157,'4-6 매출-다운로드 비교(참조)'!$A$6:$A$177,0))</f>
        <v>④ 둘 다 기준 밖</v>
      </c>
      <c r="G157" s="55" t="str">
        <f t="shared" si="18"/>
        <v>후보</v>
      </c>
      <c r="H157" s="55">
        <f t="shared" si="19"/>
        <v>81</v>
      </c>
      <c r="I157" s="55" t="str">
        <f t="shared" si="20"/>
        <v>2인 가능</v>
      </c>
      <c r="J157" s="53"/>
      <c r="K157" s="53" t="str">
        <f t="shared" si="21"/>
        <v>카드·보드·카지노|클래식 보드</v>
      </c>
    </row>
    <row r="158" spans="1:11">
      <c r="A158" s="82" t="s">
        <v>934</v>
      </c>
      <c r="B158" s="53" t="str">
        <f>IFERROR(INDEX('4-5 매출 Top100(참조)'!$D$2:$D$101,MATCH($A158,'4-5 매출 Top100(참조)'!$B$2:$B$101,0)),IFERROR(INDEX('4-4 Google Play Top100(참조)'!$D$2:$D$101,MATCH($A158,'4-4 Google Play Top100(참조)'!$B$2:$B$101,0)),"확인 불가"))</f>
        <v>퍼즐</v>
      </c>
      <c r="C158" s="53" t="str">
        <f>IFERROR(INDEX('4-5 매출 Top100(참조)'!$E$2:$E$101,MATCH($A158,'4-5 매출 Top100(참조)'!$B$2:$B$101,0)),IFERROR(INDEX('4-4 Google Play Top100(참조)'!$E$2:$E$101,MATCH($A158,'4-4 Google Play Top100(참조)'!$B$2:$B$101,0)),"-"))</f>
        <v>기타 퍼즐</v>
      </c>
      <c r="D158" s="55">
        <f>INDEX('4-6 매출-다운로드 비교(참조)'!$B$6:$B$177,MATCH($A158,'4-6 매출-다운로드 비교(참조)'!$A$6:$A$177,0))</f>
        <v>82</v>
      </c>
      <c r="E158" s="55">
        <f>INDEX('4-6 매출-다운로드 비교(참조)'!$C$6:$C$177,MATCH($A158,'4-6 매출-다운로드 비교(참조)'!$A$6:$A$177,0))</f>
        <v>73</v>
      </c>
      <c r="F158" s="53" t="str">
        <f>INDEX('4-6 매출-다운로드 비교(참조)'!$H$6:$H$177,MATCH($A158,'4-6 매출-다운로드 비교(참조)'!$A$6:$A$177,0))</f>
        <v>④ 둘 다 기준 밖</v>
      </c>
      <c r="G158" s="55" t="str">
        <f t="shared" si="18"/>
        <v>후보</v>
      </c>
      <c r="H158" s="55" t="str">
        <f t="shared" si="19"/>
        <v/>
      </c>
      <c r="I158" s="55" t="str">
        <f t="shared" si="20"/>
        <v>판단 보류</v>
      </c>
      <c r="J158" s="53"/>
      <c r="K158" s="53" t="str">
        <f t="shared" si="21"/>
        <v>퍼즐|기타 퍼즐</v>
      </c>
    </row>
    <row r="159" spans="1:11">
      <c r="A159" s="82" t="s">
        <v>935</v>
      </c>
      <c r="B159" s="53" t="str">
        <f>IFERROR(INDEX('4-5 매출 Top100(참조)'!$D$2:$D$101,MATCH($A159,'4-5 매출 Top100(참조)'!$B$2:$B$101,0)),IFERROR(INDEX('4-4 Google Play Top100(참조)'!$D$2:$D$101,MATCH($A159,'4-4 Google Play Top100(참조)'!$B$2:$B$101,0)),"확인 불가"))</f>
        <v>액션·슈팅</v>
      </c>
      <c r="C159" s="53" t="str">
        <f>IFERROR(INDEX('4-5 매출 Top100(참조)'!$E$2:$E$101,MATCH($A159,'4-5 매출 Top100(참조)'!$B$2:$B$101,0)),IFERROR(INDEX('4-4 Google Play Top100(참조)'!$E$2:$E$101,MATCH($A159,'4-4 Google Play Top100(참조)'!$B$2:$B$101,0)),"-"))</f>
        <v>스나이퍼</v>
      </c>
      <c r="D159" s="55">
        <f>INDEX('4-6 매출-다운로드 비교(참조)'!$B$6:$B$177,MATCH($A159,'4-6 매출-다운로드 비교(참조)'!$A$6:$A$177,0))</f>
        <v>83</v>
      </c>
      <c r="E159" s="55" t="str">
        <f>INDEX('4-6 매출-다운로드 비교(참조)'!$C$6:$C$177,MATCH($A159,'4-6 매출-다운로드 비교(참조)'!$A$6:$A$177,0))</f>
        <v>-</v>
      </c>
      <c r="F159" s="53" t="str">
        <f>INDEX('4-6 매출-다운로드 비교(참조)'!$H$6:$H$177,MATCH($A159,'4-6 매출-다운로드 비교(참조)'!$A$6:$A$177,0))</f>
        <v>④ 둘 다 기준 밖</v>
      </c>
      <c r="G159" s="55" t="str">
        <f t="shared" si="18"/>
        <v>후보</v>
      </c>
      <c r="H159" s="55">
        <f t="shared" si="19"/>
        <v>63</v>
      </c>
      <c r="I159" s="55" t="str">
        <f t="shared" si="20"/>
        <v>조건부 (범위를 줄이면)</v>
      </c>
      <c r="J159" s="53"/>
      <c r="K159" s="53" t="str">
        <f t="shared" si="21"/>
        <v>액션·슈팅|스나이퍼</v>
      </c>
    </row>
    <row r="160" spans="1:11">
      <c r="A160" s="82" t="s">
        <v>936</v>
      </c>
      <c r="B160" s="53" t="str">
        <f>IFERROR(INDEX('4-5 매출 Top100(참조)'!$D$2:$D$101,MATCH($A160,'4-5 매출 Top100(참조)'!$B$2:$B$101,0)),IFERROR(INDEX('4-4 Google Play Top100(참조)'!$D$2:$D$101,MATCH($A160,'4-4 Google Play Top100(참조)'!$B$2:$B$101,0)),"확인 불가"))</f>
        <v>퍼즐</v>
      </c>
      <c r="C160" s="53" t="str">
        <f>IFERROR(INDEX('4-5 매출 Top100(참조)'!$E$2:$E$101,MATCH($A160,'4-5 매출 Top100(참조)'!$B$2:$B$101,0)),IFERROR(INDEX('4-4 Google Play Top100(참조)'!$E$2:$E$101,MATCH($A160,'4-4 Google Play Top100(참조)'!$B$2:$B$101,0)),"-"))</f>
        <v>정렬·잼</v>
      </c>
      <c r="D160" s="55">
        <f>INDEX('4-6 매출-다운로드 비교(참조)'!$B$6:$B$177,MATCH($A160,'4-6 매출-다운로드 비교(참조)'!$A$6:$A$177,0))</f>
        <v>84</v>
      </c>
      <c r="E160" s="55">
        <f>INDEX('4-6 매출-다운로드 비교(참조)'!$C$6:$C$177,MATCH($A160,'4-6 매출-다운로드 비교(참조)'!$A$6:$A$177,0))</f>
        <v>35</v>
      </c>
      <c r="F160" s="53" t="str">
        <f>INDEX('4-6 매출-다운로드 비교(참조)'!$H$6:$H$177,MATCH($A160,'4-6 매출-다운로드 비교(참조)'!$A$6:$A$177,0))</f>
        <v>④ 둘 다 기준 밖</v>
      </c>
      <c r="G160" s="55" t="str">
        <f t="shared" si="18"/>
        <v>후보</v>
      </c>
      <c r="H160" s="55">
        <f t="shared" si="19"/>
        <v>92</v>
      </c>
      <c r="I160" s="55" t="str">
        <f t="shared" si="20"/>
        <v>2인 가능</v>
      </c>
      <c r="J160" s="53"/>
      <c r="K160" s="53" t="str">
        <f t="shared" si="21"/>
        <v>퍼즐|정렬·잼</v>
      </c>
    </row>
    <row r="161" spans="1:11">
      <c r="A161" s="82" t="s">
        <v>937</v>
      </c>
      <c r="B161" s="53" t="str">
        <f>IFERROR(INDEX('4-5 매출 Top100(참조)'!$D$2:$D$101,MATCH($A161,'4-5 매출 Top100(참조)'!$B$2:$B$101,0)),IFERROR(INDEX('4-4 Google Play Top100(참조)'!$D$2:$D$101,MATCH($A161,'4-4 Google Play Top100(참조)'!$B$2:$B$101,0)),"확인 불가"))</f>
        <v>RPG</v>
      </c>
      <c r="C161" s="53" t="str">
        <f>IFERROR(INDEX('4-5 매출 Top100(참조)'!$E$2:$E$101,MATCH($A161,'4-5 매출 Top100(참조)'!$B$2:$B$101,0)),IFERROR(INDEX('4-4 Google Play Top100(참조)'!$E$2:$E$101,MATCH($A161,'4-4 Google Play Top100(참조)'!$B$2:$B$101,0)),"-"))</f>
        <v>수집형(가챠) RPG</v>
      </c>
      <c r="D161" s="55">
        <f>INDEX('4-6 매출-다운로드 비교(참조)'!$B$6:$B$177,MATCH($A161,'4-6 매출-다운로드 비교(참조)'!$A$6:$A$177,0))</f>
        <v>85</v>
      </c>
      <c r="E161" s="55" t="str">
        <f>INDEX('4-6 매출-다운로드 비교(참조)'!$C$6:$C$177,MATCH($A161,'4-6 매출-다운로드 비교(참조)'!$A$6:$A$177,0))</f>
        <v>-</v>
      </c>
      <c r="F161" s="53" t="str">
        <f>INDEX('4-6 매출-다운로드 비교(참조)'!$H$6:$H$177,MATCH($A161,'4-6 매출-다운로드 비교(참조)'!$A$6:$A$177,0))</f>
        <v>④ 둘 다 기준 밖</v>
      </c>
      <c r="G161" s="55" t="str">
        <f t="shared" si="18"/>
        <v>후보</v>
      </c>
      <c r="H161" s="55">
        <f t="shared" si="19"/>
        <v>29</v>
      </c>
      <c r="I161" s="55" t="str">
        <f t="shared" si="20"/>
        <v>2인 어려움</v>
      </c>
      <c r="J161" s="53"/>
      <c r="K161" s="53" t="str">
        <f t="shared" si="21"/>
        <v>RPG|수집형(가챠) RPG</v>
      </c>
    </row>
    <row r="162" spans="1:11">
      <c r="A162" s="82" t="s">
        <v>847</v>
      </c>
      <c r="B162" s="53" t="str">
        <f>IFERROR(INDEX('4-5 매출 Top100(참조)'!$D$2:$D$101,MATCH($A162,'4-5 매출 Top100(참조)'!$B$2:$B$101,0)),IFERROR(INDEX('4-4 Google Play Top100(참조)'!$D$2:$D$101,MATCH($A162,'4-4 Google Play Top100(참조)'!$B$2:$B$101,0)),"확인 불가"))</f>
        <v>카드·보드·카지노</v>
      </c>
      <c r="C162" s="53" t="str">
        <f>IFERROR(INDEX('4-5 매출 Top100(참조)'!$E$2:$E$101,MATCH($A162,'4-5 매출 Top100(참조)'!$B$2:$B$101,0)),IFERROR(INDEX('4-4 Google Play Top100(참조)'!$E$2:$E$101,MATCH($A162,'4-4 Google Play Top100(참조)'!$B$2:$B$101,0)),"-"))</f>
        <v>솔리테어</v>
      </c>
      <c r="D162" s="55">
        <f>INDEX('4-6 매출-다운로드 비교(참조)'!$B$6:$B$177,MATCH($A162,'4-6 매출-다운로드 비교(참조)'!$A$6:$A$177,0))</f>
        <v>86</v>
      </c>
      <c r="E162" s="55" t="str">
        <f>INDEX('4-6 매출-다운로드 비교(참조)'!$C$6:$C$177,MATCH($A162,'4-6 매출-다운로드 비교(참조)'!$A$6:$A$177,0))</f>
        <v>-</v>
      </c>
      <c r="F162" s="53" t="str">
        <f>INDEX('4-6 매출-다운로드 비교(참조)'!$H$6:$H$177,MATCH($A162,'4-6 매출-다운로드 비교(참조)'!$A$6:$A$177,0))</f>
        <v>④ 둘 다 기준 밖</v>
      </c>
      <c r="G162" s="55" t="str">
        <f t="shared" si="18"/>
        <v>후보</v>
      </c>
      <c r="H162" s="55">
        <f t="shared" si="19"/>
        <v>92</v>
      </c>
      <c r="I162" s="55" t="str">
        <f t="shared" si="20"/>
        <v>2인 가능</v>
      </c>
      <c r="J162" s="53"/>
      <c r="K162" s="53" t="str">
        <f t="shared" si="21"/>
        <v>카드·보드·카지노|솔리테어</v>
      </c>
    </row>
    <row r="163" spans="1:11">
      <c r="A163" s="82" t="s">
        <v>938</v>
      </c>
      <c r="B163" s="53" t="str">
        <f>IFERROR(INDEX('4-5 매출 Top100(참조)'!$D$2:$D$101,MATCH($A163,'4-5 매출 Top100(참조)'!$B$2:$B$101,0)),IFERROR(INDEX('4-4 Google Play Top100(참조)'!$D$2:$D$101,MATCH($A163,'4-4 Google Play Top100(참조)'!$B$2:$B$101,0)),"확인 불가"))</f>
        <v>RPG</v>
      </c>
      <c r="C163" s="53" t="str">
        <f>IFERROR(INDEX('4-5 매출 Top100(참조)'!$E$2:$E$101,MATCH($A163,'4-5 매출 Top100(참조)'!$B$2:$B$101,0)),IFERROR(INDEX('4-4 Google Play Top100(참조)'!$E$2:$E$101,MATCH($A163,'4-4 Google Play Top100(참조)'!$B$2:$B$101,0)),"-"))</f>
        <v>수집형(가챠) RPG</v>
      </c>
      <c r="D163" s="55">
        <f>INDEX('4-6 매출-다운로드 비교(참조)'!$B$6:$B$177,MATCH($A163,'4-6 매출-다운로드 비교(참조)'!$A$6:$A$177,0))</f>
        <v>87</v>
      </c>
      <c r="E163" s="55" t="str">
        <f>INDEX('4-6 매출-다운로드 비교(참조)'!$C$6:$C$177,MATCH($A163,'4-6 매출-다운로드 비교(참조)'!$A$6:$A$177,0))</f>
        <v>-</v>
      </c>
      <c r="F163" s="53" t="str">
        <f>INDEX('4-6 매출-다운로드 비교(참조)'!$H$6:$H$177,MATCH($A163,'4-6 매출-다운로드 비교(참조)'!$A$6:$A$177,0))</f>
        <v>④ 둘 다 기준 밖</v>
      </c>
      <c r="G163" s="55" t="str">
        <f t="shared" si="18"/>
        <v>후보</v>
      </c>
      <c r="H163" s="55">
        <f t="shared" si="19"/>
        <v>29</v>
      </c>
      <c r="I163" s="55" t="str">
        <f t="shared" si="20"/>
        <v>2인 어려움</v>
      </c>
      <c r="J163" s="53"/>
      <c r="K163" s="53" t="str">
        <f t="shared" si="21"/>
        <v>RPG|수집형(가챠) RPG</v>
      </c>
    </row>
    <row r="164" spans="1:11">
      <c r="A164" s="82" t="s">
        <v>939</v>
      </c>
      <c r="B164" s="53" t="str">
        <f>IFERROR(INDEX('4-5 매출 Top100(참조)'!$D$2:$D$101,MATCH($A164,'4-5 매출 Top100(참조)'!$B$2:$B$101,0)),IFERROR(INDEX('4-4 Google Play Top100(참조)'!$D$2:$D$101,MATCH($A164,'4-4 Google Play Top100(참조)'!$B$2:$B$101,0)),"확인 불가"))</f>
        <v>카드·보드·카지노</v>
      </c>
      <c r="C164" s="53" t="str">
        <f>IFERROR(INDEX('4-5 매출 Top100(참조)'!$E$2:$E$101,MATCH($A164,'4-5 매출 Top100(참조)'!$B$2:$B$101,0)),IFERROR(INDEX('4-4 Google Play Top100(참조)'!$E$2:$E$101,MATCH($A164,'4-4 Google Play Top100(참조)'!$B$2:$B$101,0)),"-"))</f>
        <v>보드·주사위 소셜캐주얼</v>
      </c>
      <c r="D164" s="55">
        <f>INDEX('4-6 매출-다운로드 비교(참조)'!$B$6:$B$177,MATCH($A164,'4-6 매출-다운로드 비교(참조)'!$A$6:$A$177,0))</f>
        <v>88</v>
      </c>
      <c r="E164" s="55" t="str">
        <f>INDEX('4-6 매출-다운로드 비교(참조)'!$C$6:$C$177,MATCH($A164,'4-6 매출-다운로드 비교(참조)'!$A$6:$A$177,0))</f>
        <v>-</v>
      </c>
      <c r="F164" s="53" t="str">
        <f>INDEX('4-6 매출-다운로드 비교(참조)'!$H$6:$H$177,MATCH($A164,'4-6 매출-다운로드 비교(참조)'!$A$6:$A$177,0))</f>
        <v>④ 둘 다 기준 밖</v>
      </c>
      <c r="G164" s="55" t="str">
        <f t="shared" si="18"/>
        <v>후보</v>
      </c>
      <c r="H164" s="55">
        <f t="shared" si="19"/>
        <v>38</v>
      </c>
      <c r="I164" s="55" t="str">
        <f t="shared" si="20"/>
        <v>2인 어려움</v>
      </c>
      <c r="J164" s="53"/>
      <c r="K164" s="53" t="str">
        <f t="shared" si="21"/>
        <v>카드·보드·카지노|보드·주사위 소셜캐주얼</v>
      </c>
    </row>
    <row r="165" spans="1:11">
      <c r="A165" s="82" t="s">
        <v>940</v>
      </c>
      <c r="B165" s="53" t="str">
        <f>IFERROR(INDEX('4-5 매출 Top100(참조)'!$D$2:$D$101,MATCH($A165,'4-5 매출 Top100(참조)'!$B$2:$B$101,0)),IFERROR(INDEX('4-4 Google Play Top100(참조)'!$D$2:$D$101,MATCH($A165,'4-4 Google Play Top100(참조)'!$B$2:$B$101,0)),"확인 불가"))</f>
        <v>RPG</v>
      </c>
      <c r="C165" s="53" t="str">
        <f>IFERROR(INDEX('4-5 매출 Top100(참조)'!$E$2:$E$101,MATCH($A165,'4-5 매출 Top100(참조)'!$B$2:$B$101,0)),IFERROR(INDEX('4-4 Google Play Top100(참조)'!$E$2:$E$101,MATCH($A165,'4-4 Google Play Top100(참조)'!$B$2:$B$101,0)),"-"))</f>
        <v>수집형(가챠) RPG</v>
      </c>
      <c r="D165" s="55">
        <f>INDEX('4-6 매출-다운로드 비교(참조)'!$B$6:$B$177,MATCH($A165,'4-6 매출-다운로드 비교(참조)'!$A$6:$A$177,0))</f>
        <v>89</v>
      </c>
      <c r="E165" s="55" t="str">
        <f>INDEX('4-6 매출-다운로드 비교(참조)'!$C$6:$C$177,MATCH($A165,'4-6 매출-다운로드 비교(참조)'!$A$6:$A$177,0))</f>
        <v>-</v>
      </c>
      <c r="F165" s="53" t="str">
        <f>INDEX('4-6 매출-다운로드 비교(참조)'!$H$6:$H$177,MATCH($A165,'4-6 매출-다운로드 비교(참조)'!$A$6:$A$177,0))</f>
        <v>④ 둘 다 기준 밖</v>
      </c>
      <c r="G165" s="55" t="str">
        <f t="shared" si="18"/>
        <v>후보</v>
      </c>
      <c r="H165" s="55">
        <f t="shared" si="19"/>
        <v>29</v>
      </c>
      <c r="I165" s="55" t="str">
        <f t="shared" si="20"/>
        <v>2인 어려움</v>
      </c>
      <c r="J165" s="53"/>
      <c r="K165" s="53" t="str">
        <f t="shared" si="21"/>
        <v>RPG|수집형(가챠) RPG</v>
      </c>
    </row>
    <row r="166" spans="1:11">
      <c r="A166" s="82" t="s">
        <v>941</v>
      </c>
      <c r="B166" s="53" t="str">
        <f>IFERROR(INDEX('4-5 매출 Top100(참조)'!$D$2:$D$101,MATCH($A166,'4-5 매출 Top100(참조)'!$B$2:$B$101,0)),IFERROR(INDEX('4-4 Google Play Top100(참조)'!$D$2:$D$101,MATCH($A166,'4-4 Google Play Top100(참조)'!$B$2:$B$101,0)),"확인 불가"))</f>
        <v>전략</v>
      </c>
      <c r="C166" s="53" t="str">
        <f>IFERROR(INDEX('4-5 매출 Top100(참조)'!$E$2:$E$101,MATCH($A166,'4-5 매출 Top100(참조)'!$B$2:$B$101,0)),IFERROR(INDEX('4-4 Google Play Top100(참조)'!$E$2:$E$101,MATCH($A166,'4-4 Google Play Top100(참조)'!$B$2:$B$101,0)),"-"))</f>
        <v>4X·SLG</v>
      </c>
      <c r="D166" s="55">
        <f>INDEX('4-6 매출-다운로드 비교(참조)'!$B$6:$B$177,MATCH($A166,'4-6 매출-다운로드 비교(참조)'!$A$6:$A$177,0))</f>
        <v>90</v>
      </c>
      <c r="E166" s="55" t="str">
        <f>INDEX('4-6 매출-다운로드 비교(참조)'!$C$6:$C$177,MATCH($A166,'4-6 매출-다운로드 비교(참조)'!$A$6:$A$177,0))</f>
        <v>-</v>
      </c>
      <c r="F166" s="53" t="str">
        <f>INDEX('4-6 매출-다운로드 비교(참조)'!$H$6:$H$177,MATCH($A166,'4-6 매출-다운로드 비교(참조)'!$A$6:$A$177,0))</f>
        <v>④ 둘 다 기준 밖</v>
      </c>
      <c r="G166" s="55" t="str">
        <f t="shared" si="18"/>
        <v>후보</v>
      </c>
      <c r="H166" s="55">
        <f t="shared" si="19"/>
        <v>24</v>
      </c>
      <c r="I166" s="55" t="str">
        <f t="shared" si="20"/>
        <v>2인 어려움</v>
      </c>
      <c r="J166" s="53"/>
      <c r="K166" s="53" t="str">
        <f t="shared" si="21"/>
        <v>전략|4X·SLG</v>
      </c>
    </row>
    <row r="167" spans="1:11">
      <c r="A167" s="82" t="s">
        <v>942</v>
      </c>
      <c r="B167" s="53" t="str">
        <f>IFERROR(INDEX('4-5 매출 Top100(참조)'!$D$2:$D$101,MATCH($A167,'4-5 매출 Top100(참조)'!$B$2:$B$101,0)),IFERROR(INDEX('4-4 Google Play Top100(참조)'!$D$2:$D$101,MATCH($A167,'4-4 Google Play Top100(참조)'!$B$2:$B$101,0)),"확인 불가"))</f>
        <v>퍼즐</v>
      </c>
      <c r="C167" s="53" t="str">
        <f>IFERROR(INDEX('4-5 매출 Top100(참조)'!$E$2:$E$101,MATCH($A167,'4-5 매출 Top100(참조)'!$B$2:$B$101,0)),IFERROR(INDEX('4-4 Google Play Top100(참조)'!$E$2:$E$101,MATCH($A167,'4-4 Google Play Top100(참조)'!$B$2:$B$101,0)),"-"))</f>
        <v>정렬·잼</v>
      </c>
      <c r="D167" s="55">
        <f>INDEX('4-6 매출-다운로드 비교(참조)'!$B$6:$B$177,MATCH($A167,'4-6 매출-다운로드 비교(참조)'!$A$6:$A$177,0))</f>
        <v>91</v>
      </c>
      <c r="E167" s="55" t="str">
        <f>INDEX('4-6 매출-다운로드 비교(참조)'!$C$6:$C$177,MATCH($A167,'4-6 매출-다운로드 비교(참조)'!$A$6:$A$177,0))</f>
        <v>-</v>
      </c>
      <c r="F167" s="53" t="str">
        <f>INDEX('4-6 매출-다운로드 비교(참조)'!$H$6:$H$177,MATCH($A167,'4-6 매출-다운로드 비교(참조)'!$A$6:$A$177,0))</f>
        <v>④ 둘 다 기준 밖</v>
      </c>
      <c r="G167" s="55" t="str">
        <f t="shared" si="18"/>
        <v>후보</v>
      </c>
      <c r="H167" s="55">
        <f t="shared" si="19"/>
        <v>92</v>
      </c>
      <c r="I167" s="55" t="str">
        <f t="shared" si="20"/>
        <v>2인 가능</v>
      </c>
      <c r="J167" s="53"/>
      <c r="K167" s="53" t="str">
        <f t="shared" si="21"/>
        <v>퍼즐|정렬·잼</v>
      </c>
    </row>
    <row r="168" spans="1:11">
      <c r="A168" s="82" t="s">
        <v>943</v>
      </c>
      <c r="B168" s="53" t="str">
        <f>IFERROR(INDEX('4-5 매출 Top100(참조)'!$D$2:$D$101,MATCH($A168,'4-5 매출 Top100(참조)'!$B$2:$B$101,0)),IFERROR(INDEX('4-4 Google Play Top100(참조)'!$D$2:$D$101,MATCH($A168,'4-4 Google Play Top100(참조)'!$B$2:$B$101,0)),"확인 불가"))</f>
        <v>전략</v>
      </c>
      <c r="C168" s="53" t="str">
        <f>IFERROR(INDEX('4-5 매출 Top100(참조)'!$E$2:$E$101,MATCH($A168,'4-5 매출 Top100(참조)'!$B$2:$B$101,0)),IFERROR(INDEX('4-4 Google Play Top100(참조)'!$E$2:$E$101,MATCH($A168,'4-4 Google Play Top100(참조)'!$B$2:$B$101,0)),"-"))</f>
        <v>4X·SLG</v>
      </c>
      <c r="D168" s="55">
        <f>INDEX('4-6 매출-다운로드 비교(참조)'!$B$6:$B$177,MATCH($A168,'4-6 매출-다운로드 비교(참조)'!$A$6:$A$177,0))</f>
        <v>92</v>
      </c>
      <c r="E168" s="55" t="str">
        <f>INDEX('4-6 매출-다운로드 비교(참조)'!$C$6:$C$177,MATCH($A168,'4-6 매출-다운로드 비교(참조)'!$A$6:$A$177,0))</f>
        <v>-</v>
      </c>
      <c r="F168" s="53" t="str">
        <f>INDEX('4-6 매출-다운로드 비교(참조)'!$H$6:$H$177,MATCH($A168,'4-6 매출-다운로드 비교(참조)'!$A$6:$A$177,0))</f>
        <v>④ 둘 다 기준 밖</v>
      </c>
      <c r="G168" s="55" t="str">
        <f t="shared" si="18"/>
        <v>후보</v>
      </c>
      <c r="H168" s="55">
        <f t="shared" si="19"/>
        <v>24</v>
      </c>
      <c r="I168" s="55" t="str">
        <f t="shared" si="20"/>
        <v>2인 어려움</v>
      </c>
      <c r="J168" s="53"/>
      <c r="K168" s="53" t="str">
        <f t="shared" si="21"/>
        <v>전략|4X·SLG</v>
      </c>
    </row>
    <row r="169" spans="1:11">
      <c r="A169" s="82" t="s">
        <v>944</v>
      </c>
      <c r="B169" s="53" t="str">
        <f>IFERROR(INDEX('4-5 매출 Top100(참조)'!$D$2:$D$101,MATCH($A169,'4-5 매출 Top100(참조)'!$B$2:$B$101,0)),IFERROR(INDEX('4-4 Google Play Top100(참조)'!$D$2:$D$101,MATCH($A169,'4-4 Google Play Top100(참조)'!$B$2:$B$101,0)),"확인 불가"))</f>
        <v>전략</v>
      </c>
      <c r="C169" s="53" t="str">
        <f>IFERROR(INDEX('4-5 매출 Top100(참조)'!$E$2:$E$101,MATCH($A169,'4-5 매출 Top100(참조)'!$B$2:$B$101,0)),IFERROR(INDEX('4-4 Google Play Top100(참조)'!$E$2:$E$101,MATCH($A169,'4-4 Google Play Top100(참조)'!$B$2:$B$101,0)),"-"))</f>
        <v>4X·SLG</v>
      </c>
      <c r="D169" s="55">
        <f>INDEX('4-6 매출-다운로드 비교(참조)'!$B$6:$B$177,MATCH($A169,'4-6 매출-다운로드 비교(참조)'!$A$6:$A$177,0))</f>
        <v>93</v>
      </c>
      <c r="E169" s="55" t="str">
        <f>INDEX('4-6 매출-다운로드 비교(참조)'!$C$6:$C$177,MATCH($A169,'4-6 매출-다운로드 비교(참조)'!$A$6:$A$177,0))</f>
        <v>-</v>
      </c>
      <c r="F169" s="53" t="str">
        <f>INDEX('4-6 매출-다운로드 비교(참조)'!$H$6:$H$177,MATCH($A169,'4-6 매출-다운로드 비교(참조)'!$A$6:$A$177,0))</f>
        <v>④ 둘 다 기준 밖</v>
      </c>
      <c r="G169" s="55" t="str">
        <f t="shared" si="18"/>
        <v>후보</v>
      </c>
      <c r="H169" s="55">
        <f t="shared" si="19"/>
        <v>24</v>
      </c>
      <c r="I169" s="55" t="str">
        <f t="shared" si="20"/>
        <v>2인 어려움</v>
      </c>
      <c r="J169" s="53"/>
      <c r="K169" s="53" t="str">
        <f t="shared" si="21"/>
        <v>전략|4X·SLG</v>
      </c>
    </row>
    <row r="170" spans="1:11">
      <c r="A170" s="82" t="s">
        <v>857</v>
      </c>
      <c r="B170" s="53" t="str">
        <f>IFERROR(INDEX('4-5 매출 Top100(참조)'!$D$2:$D$101,MATCH($A170,'4-5 매출 Top100(참조)'!$B$2:$B$101,0)),IFERROR(INDEX('4-4 Google Play Top100(참조)'!$D$2:$D$101,MATCH($A170,'4-4 Google Play Top100(참조)'!$B$2:$B$101,0)),"확인 불가"))</f>
        <v>퍼즐</v>
      </c>
      <c r="C170" s="53" t="str">
        <f>IFERROR(INDEX('4-5 매출 Top100(참조)'!$E$2:$E$101,MATCH($A170,'4-5 매출 Top100(참조)'!$B$2:$B$101,0)),IFERROR(INDEX('4-4 Google Play Top100(참조)'!$E$2:$E$101,MATCH($A170,'4-4 Google Play Top100(참조)'!$B$2:$B$101,0)),"-"))</f>
        <v>워드</v>
      </c>
      <c r="D170" s="55">
        <f>INDEX('4-6 매출-다운로드 비교(참조)'!$B$6:$B$177,MATCH($A170,'4-6 매출-다운로드 비교(참조)'!$A$6:$A$177,0))</f>
        <v>94</v>
      </c>
      <c r="E170" s="55" t="str">
        <f>INDEX('4-6 매출-다운로드 비교(참조)'!$C$6:$C$177,MATCH($A170,'4-6 매출-다운로드 비교(참조)'!$A$6:$A$177,0))</f>
        <v>-</v>
      </c>
      <c r="F170" s="53" t="str">
        <f>INDEX('4-6 매출-다운로드 비교(참조)'!$H$6:$H$177,MATCH($A170,'4-6 매출-다운로드 비교(참조)'!$A$6:$A$177,0))</f>
        <v>④ 둘 다 기준 밖</v>
      </c>
      <c r="G170" s="55" t="str">
        <f t="shared" si="18"/>
        <v>후보</v>
      </c>
      <c r="H170" s="55">
        <f t="shared" si="19"/>
        <v>91</v>
      </c>
      <c r="I170" s="55" t="str">
        <f t="shared" si="20"/>
        <v>2인 가능</v>
      </c>
      <c r="J170" s="53"/>
      <c r="K170" s="53" t="str">
        <f t="shared" si="21"/>
        <v>퍼즐|워드</v>
      </c>
    </row>
    <row r="171" spans="1:11">
      <c r="A171" s="82" t="s">
        <v>945</v>
      </c>
      <c r="B171" s="53" t="str">
        <f>IFERROR(INDEX('4-5 매출 Top100(참조)'!$D$2:$D$101,MATCH($A171,'4-5 매출 Top100(참조)'!$B$2:$B$101,0)),IFERROR(INDEX('4-4 Google Play Top100(참조)'!$D$2:$D$101,MATCH($A171,'4-4 Google Play Top100(참조)'!$B$2:$B$101,0)),"확인 불가"))</f>
        <v>퍼즐</v>
      </c>
      <c r="C171" s="53" t="str">
        <f>IFERROR(INDEX('4-5 매출 Top100(참조)'!$E$2:$E$101,MATCH($A171,'4-5 매출 Top100(참조)'!$B$2:$B$101,0)),IFERROR(INDEX('4-4 Google Play Top100(참조)'!$E$2:$E$101,MATCH($A171,'4-4 Google Play Top100(참조)'!$B$2:$B$101,0)),"-"))</f>
        <v>머지</v>
      </c>
      <c r="D171" s="55">
        <f>INDEX('4-6 매출-다운로드 비교(참조)'!$B$6:$B$177,MATCH($A171,'4-6 매출-다운로드 비교(참조)'!$A$6:$A$177,0))</f>
        <v>95</v>
      </c>
      <c r="E171" s="55" t="str">
        <f>INDEX('4-6 매출-다운로드 비교(참조)'!$C$6:$C$177,MATCH($A171,'4-6 매출-다운로드 비교(참조)'!$A$6:$A$177,0))</f>
        <v>-</v>
      </c>
      <c r="F171" s="53" t="str">
        <f>INDEX('4-6 매출-다운로드 비교(참조)'!$H$6:$H$177,MATCH($A171,'4-6 매출-다운로드 비교(참조)'!$A$6:$A$177,0))</f>
        <v>④ 둘 다 기준 밖</v>
      </c>
      <c r="G171" s="55" t="str">
        <f t="shared" si="18"/>
        <v>후보</v>
      </c>
      <c r="H171" s="55">
        <f t="shared" si="19"/>
        <v>56</v>
      </c>
      <c r="I171" s="55" t="str">
        <f t="shared" si="20"/>
        <v>조건부 (범위를 줄이면)</v>
      </c>
      <c r="J171" s="53"/>
      <c r="K171" s="53" t="str">
        <f t="shared" si="21"/>
        <v>퍼즐|머지</v>
      </c>
    </row>
    <row r="172" spans="1:11">
      <c r="A172" s="82" t="s">
        <v>407</v>
      </c>
      <c r="B172" s="53" t="str">
        <f>IFERROR(INDEX('4-5 매출 Top100(참조)'!$D$2:$D$101,MATCH($A172,'4-5 매출 Top100(참조)'!$B$2:$B$101,0)),IFERROR(INDEX('4-4 Google Play Top100(참조)'!$D$2:$D$101,MATCH($A172,'4-4 Google Play Top100(참조)'!$B$2:$B$101,0)),"확인 불가"))</f>
        <v>전략</v>
      </c>
      <c r="C172" s="53" t="str">
        <f>IFERROR(INDEX('4-5 매출 Top100(참조)'!$E$2:$E$101,MATCH($A172,'4-5 매출 Top100(참조)'!$B$2:$B$101,0)),IFERROR(INDEX('4-4 Google Play Top100(참조)'!$E$2:$E$101,MATCH($A172,'4-4 Google Play Top100(참조)'!$B$2:$B$101,0)),"-"))</f>
        <v>실시간 카드 배틀</v>
      </c>
      <c r="D172" s="55">
        <f>INDEX('4-6 매출-다운로드 비교(참조)'!$B$6:$B$177,MATCH($A172,'4-6 매출-다운로드 비교(참조)'!$A$6:$A$177,0))</f>
        <v>96</v>
      </c>
      <c r="E172" s="55" t="str">
        <f>INDEX('4-6 매출-다운로드 비교(참조)'!$C$6:$C$177,MATCH($A172,'4-6 매출-다운로드 비교(참조)'!$A$6:$A$177,0))</f>
        <v>-</v>
      </c>
      <c r="F172" s="53" t="str">
        <f>INDEX('4-6 매출-다운로드 비교(참조)'!$H$6:$H$177,MATCH($A172,'4-6 매출-다운로드 비교(참조)'!$A$6:$A$177,0))</f>
        <v>④ 둘 다 기준 밖</v>
      </c>
      <c r="G172" s="55" t="str">
        <f t="shared" si="18"/>
        <v>후보</v>
      </c>
      <c r="H172" s="55">
        <f t="shared" si="19"/>
        <v>33</v>
      </c>
      <c r="I172" s="55" t="str">
        <f t="shared" si="20"/>
        <v>2인 어려움</v>
      </c>
      <c r="J172" s="53"/>
      <c r="K172" s="53" t="str">
        <f t="shared" si="21"/>
        <v>전략|실시간 카드 배틀</v>
      </c>
    </row>
    <row r="173" spans="1:11">
      <c r="A173" s="82" t="s">
        <v>946</v>
      </c>
      <c r="B173" s="53" t="str">
        <f>IFERROR(INDEX('4-5 매출 Top100(참조)'!$D$2:$D$101,MATCH($A173,'4-5 매출 Top100(참조)'!$B$2:$B$101,0)),IFERROR(INDEX('4-4 Google Play Top100(참조)'!$D$2:$D$101,MATCH($A173,'4-4 Google Play Top100(참조)'!$B$2:$B$101,0)),"확인 불가"))</f>
        <v>퍼즐</v>
      </c>
      <c r="C173" s="53" t="str">
        <f>IFERROR(INDEX('4-5 매출 Top100(참조)'!$E$2:$E$101,MATCH($A173,'4-5 매출 Top100(참조)'!$B$2:$B$101,0)),IFERROR(INDEX('4-4 Google Play Top100(참조)'!$E$2:$E$101,MATCH($A173,'4-4 Google Play Top100(참조)'!$B$2:$B$101,0)),"-"))</f>
        <v>정렬·잼</v>
      </c>
      <c r="D173" s="55">
        <f>INDEX('4-6 매출-다운로드 비교(참조)'!$B$6:$B$177,MATCH($A173,'4-6 매출-다운로드 비교(참조)'!$A$6:$A$177,0))</f>
        <v>97</v>
      </c>
      <c r="E173" s="55">
        <f>INDEX('4-6 매출-다운로드 비교(참조)'!$C$6:$C$177,MATCH($A173,'4-6 매출-다운로드 비교(참조)'!$A$6:$A$177,0))</f>
        <v>24</v>
      </c>
      <c r="F173" s="53" t="str">
        <f>INDEX('4-6 매출-다운로드 비교(참조)'!$H$6:$H$177,MATCH($A173,'4-6 매출-다운로드 비교(참조)'!$A$6:$A$177,0))</f>
        <v>③ 다운로드만 높음</v>
      </c>
      <c r="G173" s="55" t="str">
        <f t="shared" si="18"/>
        <v>후보</v>
      </c>
      <c r="H173" s="55">
        <f t="shared" si="19"/>
        <v>92</v>
      </c>
      <c r="I173" s="55" t="str">
        <f t="shared" si="20"/>
        <v>2인 가능</v>
      </c>
      <c r="J173" s="53"/>
      <c r="K173" s="53" t="str">
        <f t="shared" si="21"/>
        <v>퍼즐|정렬·잼</v>
      </c>
    </row>
    <row r="174" spans="1:11">
      <c r="A174" s="82" t="s">
        <v>947</v>
      </c>
      <c r="B174" s="53" t="str">
        <f>IFERROR(INDEX('4-5 매출 Top100(참조)'!$D$2:$D$101,MATCH($A174,'4-5 매출 Top100(참조)'!$B$2:$B$101,0)),IFERROR(INDEX('4-4 Google Play Top100(참조)'!$D$2:$D$101,MATCH($A174,'4-4 Google Play Top100(참조)'!$B$2:$B$101,0)),"확인 불가"))</f>
        <v>하이퍼·하이브리드 캐주얼</v>
      </c>
      <c r="C174" s="53" t="str">
        <f>IFERROR(INDEX('4-5 매출 Top100(참조)'!$E$2:$E$101,MATCH($A174,'4-5 매출 Top100(참조)'!$B$2:$B$101,0)),IFERROR(INDEX('4-4 Google Play Top100(참조)'!$E$2:$E$101,MATCH($A174,'4-4 Google Play Top100(참조)'!$B$2:$B$101,0)),"-"))</f>
        <v>물리 파괴</v>
      </c>
      <c r="D174" s="55">
        <f>INDEX('4-6 매출-다운로드 비교(참조)'!$B$6:$B$177,MATCH($A174,'4-6 매출-다운로드 비교(참조)'!$A$6:$A$177,0))</f>
        <v>98</v>
      </c>
      <c r="E174" s="55">
        <f>INDEX('4-6 매출-다운로드 비교(참조)'!$C$6:$C$177,MATCH($A174,'4-6 매출-다운로드 비교(참조)'!$A$6:$A$177,0))</f>
        <v>3</v>
      </c>
      <c r="F174" s="53" t="str">
        <f>INDEX('4-6 매출-다운로드 비교(참조)'!$H$6:$H$177,MATCH($A174,'4-6 매출-다운로드 비교(참조)'!$A$6:$A$177,0))</f>
        <v>③ 다운로드만 높음</v>
      </c>
      <c r="G174" s="55" t="str">
        <f t="shared" si="18"/>
        <v>후보</v>
      </c>
      <c r="H174" s="55">
        <f t="shared" si="19"/>
        <v>79</v>
      </c>
      <c r="I174" s="55" t="str">
        <f t="shared" si="20"/>
        <v>2인 가능</v>
      </c>
      <c r="J174" s="53"/>
      <c r="K174" s="53" t="str">
        <f t="shared" si="21"/>
        <v>하이퍼·하이브리드 캐주얼|물리 파괴</v>
      </c>
    </row>
    <row r="175" spans="1:11">
      <c r="A175" s="82" t="s">
        <v>948</v>
      </c>
      <c r="B175" s="53" t="str">
        <f>IFERROR(INDEX('4-5 매출 Top100(참조)'!$D$2:$D$101,MATCH($A175,'4-5 매출 Top100(참조)'!$B$2:$B$101,0)),IFERROR(INDEX('4-4 Google Play Top100(참조)'!$D$2:$D$101,MATCH($A175,'4-4 Google Play Top100(참조)'!$B$2:$B$101,0)),"확인 불가"))</f>
        <v>퍼즐</v>
      </c>
      <c r="C175" s="53" t="str">
        <f>IFERROR(INDEX('4-5 매출 Top100(참조)'!$E$2:$E$101,MATCH($A175,'4-5 매출 Top100(참조)'!$B$2:$B$101,0)),IFERROR(INDEX('4-4 Google Play Top100(참조)'!$E$2:$E$101,MATCH($A175,'4-4 Google Play Top100(참조)'!$B$2:$B$101,0)),"-"))</f>
        <v>매치3</v>
      </c>
      <c r="D175" s="55">
        <f>INDEX('4-6 매출-다운로드 비교(참조)'!$B$6:$B$177,MATCH($A175,'4-6 매출-다운로드 비교(참조)'!$A$6:$A$177,0))</f>
        <v>99</v>
      </c>
      <c r="E175" s="55" t="str">
        <f>INDEX('4-6 매출-다운로드 비교(참조)'!$C$6:$C$177,MATCH($A175,'4-6 매출-다운로드 비교(참조)'!$A$6:$A$177,0))</f>
        <v>-</v>
      </c>
      <c r="F175" s="53" t="str">
        <f>INDEX('4-6 매출-다운로드 비교(참조)'!$H$6:$H$177,MATCH($A175,'4-6 매출-다운로드 비교(참조)'!$A$6:$A$177,0))</f>
        <v>④ 둘 다 기준 밖</v>
      </c>
      <c r="G175" s="55" t="str">
        <f t="shared" ref="G175:G206" si="22">IF(OR(ISNUMBER(D175),F175="③ 다운로드만 높음"),"후보","후보 아님")</f>
        <v>후보</v>
      </c>
      <c r="H175" s="55">
        <f t="shared" ref="H175:H206" si="23">IF(G175&lt;&gt;"후보","",IFERROR(INDEX($H$18:$H$54,MATCH(K175,$K$18:$K$54,0)),""))</f>
        <v>60</v>
      </c>
      <c r="I175" s="55" t="str">
        <f t="shared" ref="I175:I206" si="24">IF(G175&lt;&gt;"후보","-",IFERROR(INDEX($I$18:$I$54,MATCH(K175,$K$18:$K$54,0)),"판단 보류"))</f>
        <v>조건부 (범위를 줄이면)</v>
      </c>
      <c r="J175" s="53"/>
      <c r="K175" s="53" t="str">
        <f t="shared" ref="K175:K206" si="25">B175&amp;"|"&amp;C175</f>
        <v>퍼즐|매치3</v>
      </c>
    </row>
    <row r="176" spans="1:11">
      <c r="A176" s="82" t="s">
        <v>949</v>
      </c>
      <c r="B176" s="53" t="str">
        <f>IFERROR(INDEX('4-5 매출 Top100(참조)'!$D$2:$D$101,MATCH($A176,'4-5 매출 Top100(참조)'!$B$2:$B$101,0)),IFERROR(INDEX('4-4 Google Play Top100(참조)'!$D$2:$D$101,MATCH($A176,'4-4 Google Play Top100(참조)'!$B$2:$B$101,0)),"확인 불가"))</f>
        <v>RPG</v>
      </c>
      <c r="C176" s="53" t="str">
        <f>IFERROR(INDEX('4-5 매출 Top100(참조)'!$E$2:$E$101,MATCH($A176,'4-5 매출 Top100(참조)'!$B$2:$B$101,0)),IFERROR(INDEX('4-4 Google Play Top100(참조)'!$E$2:$E$101,MATCH($A176,'4-4 Google Play Top100(참조)'!$B$2:$B$101,0)),"-"))</f>
        <v>수집형 오픈월드</v>
      </c>
      <c r="D176" s="55">
        <f>INDEX('4-6 매출-다운로드 비교(참조)'!$B$6:$B$177,MATCH($A176,'4-6 매출-다운로드 비교(참조)'!$A$6:$A$177,0))</f>
        <v>100</v>
      </c>
      <c r="E176" s="55" t="str">
        <f>INDEX('4-6 매출-다운로드 비교(참조)'!$C$6:$C$177,MATCH($A176,'4-6 매출-다운로드 비교(참조)'!$A$6:$A$177,0))</f>
        <v>-</v>
      </c>
      <c r="F176" s="53" t="str">
        <f>INDEX('4-6 매출-다운로드 비교(참조)'!$H$6:$H$177,MATCH($A176,'4-6 매출-다운로드 비교(참조)'!$A$6:$A$177,0))</f>
        <v>④ 둘 다 기준 밖</v>
      </c>
      <c r="G176" s="55" t="str">
        <f t="shared" si="22"/>
        <v>후보</v>
      </c>
      <c r="H176" s="55">
        <f t="shared" si="23"/>
        <v>24</v>
      </c>
      <c r="I176" s="55" t="str">
        <f t="shared" si="24"/>
        <v>2인 어려움</v>
      </c>
      <c r="J176" s="53"/>
      <c r="K176" s="53" t="str">
        <f t="shared" si="25"/>
        <v>RPG|수집형 오픈월드</v>
      </c>
    </row>
    <row r="177" spans="1:11">
      <c r="A177" s="82" t="s">
        <v>168</v>
      </c>
      <c r="B177" s="53" t="str">
        <f>IFERROR(INDEX('4-5 매출 Top100(참조)'!$D$2:$D$101,MATCH($A177,'4-5 매출 Top100(참조)'!$B$2:$B$101,0)),IFERROR(INDEX('4-4 Google Play Top100(참조)'!$D$2:$D$101,MATCH($A177,'4-4 Google Play Top100(참조)'!$B$2:$B$101,0)),"확인 불가"))</f>
        <v>퍼즐</v>
      </c>
      <c r="C177" s="53" t="str">
        <f>IFERROR(INDEX('4-5 매출 Top100(참조)'!$E$2:$E$101,MATCH($A177,'4-5 매출 Top100(참조)'!$B$2:$B$101,0)),IFERROR(INDEX('4-4 Google Play Top100(참조)'!$E$2:$E$101,MATCH($A177,'4-4 Google Play Top100(참조)'!$B$2:$B$101,0)),"-"))</f>
        <v>정렬·잼</v>
      </c>
      <c r="D177" s="55" t="str">
        <f>INDEX('4-6 매출-다운로드 비교(참조)'!$B$6:$B$177,MATCH($A177,'4-6 매출-다운로드 비교(참조)'!$A$6:$A$177,0))</f>
        <v>-</v>
      </c>
      <c r="E177" s="55">
        <f>INDEX('4-6 매출-다운로드 비교(참조)'!$C$6:$C$177,MATCH($A177,'4-6 매출-다운로드 비교(참조)'!$A$6:$A$177,0))</f>
        <v>1</v>
      </c>
      <c r="F177" s="53" t="str">
        <f>INDEX('4-6 매출-다운로드 비교(참조)'!$H$6:$H$177,MATCH($A177,'4-6 매출-다운로드 비교(참조)'!$A$6:$A$177,0))</f>
        <v>③ 다운로드만 높음</v>
      </c>
      <c r="G177" s="55" t="str">
        <f t="shared" si="22"/>
        <v>후보</v>
      </c>
      <c r="H177" s="55">
        <f t="shared" si="23"/>
        <v>92</v>
      </c>
      <c r="I177" s="55" t="str">
        <f t="shared" si="24"/>
        <v>2인 가능</v>
      </c>
      <c r="J177" s="53"/>
      <c r="K177" s="53" t="str">
        <f t="shared" si="25"/>
        <v>퍼즐|정렬·잼</v>
      </c>
    </row>
    <row r="178" spans="1:11">
      <c r="A178" s="82" t="s">
        <v>950</v>
      </c>
      <c r="B178" s="53" t="str">
        <f>IFERROR(INDEX('4-5 매출 Top100(참조)'!$D$2:$D$101,MATCH($A178,'4-5 매출 Top100(참조)'!$B$2:$B$101,0)),IFERROR(INDEX('4-4 Google Play Top100(참조)'!$D$2:$D$101,MATCH($A178,'4-4 Google Play Top100(참조)'!$B$2:$B$101,0)),"확인 불가"))</f>
        <v>퍼즐</v>
      </c>
      <c r="C178" s="53" t="str">
        <f>IFERROR(INDEX('4-5 매출 Top100(참조)'!$E$2:$E$101,MATCH($A178,'4-5 매출 Top100(참조)'!$B$2:$B$101,0)),IFERROR(INDEX('4-4 Google Play Top100(참조)'!$E$2:$E$101,MATCH($A178,'4-4 Google Play Top100(참조)'!$B$2:$B$101,0)),"-"))</f>
        <v>로직·두뇌 트릭</v>
      </c>
      <c r="D178" s="55" t="str">
        <f>INDEX('4-6 매출-다운로드 비교(참조)'!$B$6:$B$177,MATCH($A178,'4-6 매출-다운로드 비교(참조)'!$A$6:$A$177,0))</f>
        <v>-</v>
      </c>
      <c r="E178" s="55">
        <f>INDEX('4-6 매출-다운로드 비교(참조)'!$C$6:$C$177,MATCH($A178,'4-6 매출-다운로드 비교(참조)'!$A$6:$A$177,0))</f>
        <v>2</v>
      </c>
      <c r="F178" s="53" t="str">
        <f>INDEX('4-6 매출-다운로드 비교(참조)'!$H$6:$H$177,MATCH($A178,'4-6 매출-다운로드 비교(참조)'!$A$6:$A$177,0))</f>
        <v>③ 다운로드만 높음</v>
      </c>
      <c r="G178" s="55" t="str">
        <f t="shared" si="22"/>
        <v>후보</v>
      </c>
      <c r="H178" s="55">
        <f t="shared" si="23"/>
        <v>82</v>
      </c>
      <c r="I178" s="55" t="str">
        <f t="shared" si="24"/>
        <v>2인 가능</v>
      </c>
      <c r="J178" s="53"/>
      <c r="K178" s="53" t="str">
        <f t="shared" si="25"/>
        <v>퍼즐|로직·두뇌 트릭</v>
      </c>
    </row>
    <row r="179" spans="1:11">
      <c r="A179" s="82" t="s">
        <v>355</v>
      </c>
      <c r="B179" s="53" t="str">
        <f>IFERROR(INDEX('4-5 매출 Top100(참조)'!$D$2:$D$101,MATCH($A179,'4-5 매출 Top100(참조)'!$B$2:$B$101,0)),IFERROR(INDEX('4-4 Google Play Top100(참조)'!$D$2:$D$101,MATCH($A179,'4-4 Google Play Top100(참조)'!$B$2:$B$101,0)),"확인 불가"))</f>
        <v>퍼즐</v>
      </c>
      <c r="C179" s="53" t="str">
        <f>IFERROR(INDEX('4-5 매출 Top100(참조)'!$E$2:$E$101,MATCH($A179,'4-5 매출 Top100(참조)'!$B$2:$B$101,0)),IFERROR(INDEX('4-4 Google Play Top100(참조)'!$E$2:$E$101,MATCH($A179,'4-4 Google Play Top100(참조)'!$B$2:$B$101,0)),"-"))</f>
        <v>타일·마작·트리플 매치</v>
      </c>
      <c r="D179" s="55" t="str">
        <f>INDEX('4-6 매출-다운로드 비교(참조)'!$B$6:$B$177,MATCH($A179,'4-6 매출-다운로드 비교(참조)'!$A$6:$A$177,0))</f>
        <v>-</v>
      </c>
      <c r="E179" s="55">
        <f>INDEX('4-6 매출-다운로드 비교(참조)'!$C$6:$C$177,MATCH($A179,'4-6 매출-다운로드 비교(참조)'!$A$6:$A$177,0))</f>
        <v>5</v>
      </c>
      <c r="F179" s="53" t="str">
        <f>INDEX('4-6 매출-다운로드 비교(참조)'!$H$6:$H$177,MATCH($A179,'4-6 매출-다운로드 비교(참조)'!$A$6:$A$177,0))</f>
        <v>③ 다운로드만 높음</v>
      </c>
      <c r="G179" s="55" t="str">
        <f t="shared" si="22"/>
        <v>후보</v>
      </c>
      <c r="H179" s="55">
        <f t="shared" si="23"/>
        <v>87</v>
      </c>
      <c r="I179" s="55" t="str">
        <f t="shared" si="24"/>
        <v>2인 가능</v>
      </c>
      <c r="J179" s="53"/>
      <c r="K179" s="53" t="str">
        <f t="shared" si="25"/>
        <v>퍼즐|타일·마작·트리플 매치</v>
      </c>
    </row>
    <row r="180" spans="1:11">
      <c r="A180" s="82" t="s">
        <v>951</v>
      </c>
      <c r="B180" s="53" t="str">
        <f>IFERROR(INDEX('4-5 매출 Top100(참조)'!$D$2:$D$101,MATCH($A180,'4-5 매출 Top100(참조)'!$B$2:$B$101,0)),IFERROR(INDEX('4-4 Google Play Top100(참조)'!$D$2:$D$101,MATCH($A180,'4-4 Google Play Top100(참조)'!$B$2:$B$101,0)),"확인 불가"))</f>
        <v>하이퍼·하이브리드 캐주얼</v>
      </c>
      <c r="C180" s="53" t="str">
        <f>IFERROR(INDEX('4-5 매출 Top100(참조)'!$E$2:$E$101,MATCH($A180,'4-5 매출 Top100(참조)'!$B$2:$B$101,0)),IFERROR(INDEX('4-4 Google Play Top100(참조)'!$E$2:$E$101,MATCH($A180,'4-4 Google Play Top100(참조)'!$B$2:$B$101,0)),"-"))</f>
        <v>물리 파괴</v>
      </c>
      <c r="D180" s="55" t="str">
        <f>INDEX('4-6 매출-다운로드 비교(참조)'!$B$6:$B$177,MATCH($A180,'4-6 매출-다운로드 비교(참조)'!$A$6:$A$177,0))</f>
        <v>-</v>
      </c>
      <c r="E180" s="55">
        <f>INDEX('4-6 매출-다운로드 비교(참조)'!$C$6:$C$177,MATCH($A180,'4-6 매출-다운로드 비교(참조)'!$A$6:$A$177,0))</f>
        <v>6</v>
      </c>
      <c r="F180" s="53" t="str">
        <f>INDEX('4-6 매출-다운로드 비교(참조)'!$H$6:$H$177,MATCH($A180,'4-6 매출-다운로드 비교(참조)'!$A$6:$A$177,0))</f>
        <v>③ 다운로드만 높음</v>
      </c>
      <c r="G180" s="55" t="str">
        <f t="shared" si="22"/>
        <v>후보</v>
      </c>
      <c r="H180" s="55">
        <f t="shared" si="23"/>
        <v>79</v>
      </c>
      <c r="I180" s="55" t="str">
        <f t="shared" si="24"/>
        <v>2인 가능</v>
      </c>
      <c r="J180" s="53"/>
      <c r="K180" s="53" t="str">
        <f t="shared" si="25"/>
        <v>하이퍼·하이브리드 캐주얼|물리 파괴</v>
      </c>
    </row>
    <row r="181" spans="1:11">
      <c r="A181" s="82" t="s">
        <v>171</v>
      </c>
      <c r="B181" s="53" t="str">
        <f>IFERROR(INDEX('4-5 매출 Top100(참조)'!$D$2:$D$101,MATCH($A181,'4-5 매출 Top100(참조)'!$B$2:$B$101,0)),IFERROR(INDEX('4-4 Google Play Top100(참조)'!$D$2:$D$101,MATCH($A181,'4-4 Google Play Top100(참조)'!$B$2:$B$101,0)),"확인 불가"))</f>
        <v>퍼즐</v>
      </c>
      <c r="C181" s="53" t="str">
        <f>IFERROR(INDEX('4-5 매출 Top100(참조)'!$E$2:$E$101,MATCH($A181,'4-5 매출 Top100(참조)'!$B$2:$B$101,0)),IFERROR(INDEX('4-4 Google Play Top100(참조)'!$E$2:$E$101,MATCH($A181,'4-4 Google Play Top100(참조)'!$B$2:$B$101,0)),"-"))</f>
        <v>블록</v>
      </c>
      <c r="D181" s="55" t="str">
        <f>INDEX('4-6 매출-다운로드 비교(참조)'!$B$6:$B$177,MATCH($A181,'4-6 매출-다운로드 비교(참조)'!$A$6:$A$177,0))</f>
        <v>-</v>
      </c>
      <c r="E181" s="55">
        <f>INDEX('4-6 매출-다운로드 비교(참조)'!$C$6:$C$177,MATCH($A181,'4-6 매출-다운로드 비교(참조)'!$A$6:$A$177,0))</f>
        <v>7</v>
      </c>
      <c r="F181" s="53" t="str">
        <f>INDEX('4-6 매출-다운로드 비교(참조)'!$H$6:$H$177,MATCH($A181,'4-6 매출-다운로드 비교(참조)'!$A$6:$A$177,0))</f>
        <v>③ 다운로드만 높음</v>
      </c>
      <c r="G181" s="55" t="str">
        <f t="shared" si="22"/>
        <v>후보</v>
      </c>
      <c r="H181" s="55">
        <f t="shared" si="23"/>
        <v>96</v>
      </c>
      <c r="I181" s="55" t="str">
        <f t="shared" si="24"/>
        <v>2인 가능</v>
      </c>
      <c r="J181" s="53"/>
      <c r="K181" s="53" t="str">
        <f t="shared" si="25"/>
        <v>퍼즐|블록</v>
      </c>
    </row>
    <row r="182" spans="1:11">
      <c r="A182" s="82" t="s">
        <v>176</v>
      </c>
      <c r="B182" s="53" t="str">
        <f>IFERROR(INDEX('4-5 매출 Top100(참조)'!$D$2:$D$101,MATCH($A182,'4-5 매출 Top100(참조)'!$B$2:$B$101,0)),IFERROR(INDEX('4-4 Google Play Top100(참조)'!$D$2:$D$101,MATCH($A182,'4-4 Google Play Top100(참조)'!$B$2:$B$101,0)),"확인 불가"))</f>
        <v>퍼즐</v>
      </c>
      <c r="C182" s="53" t="str">
        <f>IFERROR(INDEX('4-5 매출 Top100(참조)'!$E$2:$E$101,MATCH($A182,'4-5 매출 Top100(참조)'!$B$2:$B$101,0)),IFERROR(INDEX('4-4 Google Play Top100(참조)'!$E$2:$E$101,MATCH($A182,'4-4 Google Play Top100(참조)'!$B$2:$B$101,0)),"-"))</f>
        <v>정렬·잼</v>
      </c>
      <c r="D182" s="55" t="str">
        <f>INDEX('4-6 매출-다운로드 비교(참조)'!$B$6:$B$177,MATCH($A182,'4-6 매출-다운로드 비교(참조)'!$A$6:$A$177,0))</f>
        <v>-</v>
      </c>
      <c r="E182" s="55">
        <f>INDEX('4-6 매출-다운로드 비교(참조)'!$C$6:$C$177,MATCH($A182,'4-6 매출-다운로드 비교(참조)'!$A$6:$A$177,0))</f>
        <v>8</v>
      </c>
      <c r="F182" s="53" t="str">
        <f>INDEX('4-6 매출-다운로드 비교(참조)'!$H$6:$H$177,MATCH($A182,'4-6 매출-다운로드 비교(참조)'!$A$6:$A$177,0))</f>
        <v>③ 다운로드만 높음</v>
      </c>
      <c r="G182" s="55" t="str">
        <f t="shared" si="22"/>
        <v>후보</v>
      </c>
      <c r="H182" s="55">
        <f t="shared" si="23"/>
        <v>92</v>
      </c>
      <c r="I182" s="55" t="str">
        <f t="shared" si="24"/>
        <v>2인 가능</v>
      </c>
      <c r="J182" s="53"/>
      <c r="K182" s="53" t="str">
        <f t="shared" si="25"/>
        <v>퍼즐|정렬·잼</v>
      </c>
    </row>
    <row r="183" spans="1:11">
      <c r="A183" s="82" t="s">
        <v>952</v>
      </c>
      <c r="B183" s="53" t="str">
        <f>IFERROR(INDEX('4-5 매출 Top100(참조)'!$D$2:$D$101,MATCH($A183,'4-5 매출 Top100(참조)'!$B$2:$B$101,0)),IFERROR(INDEX('4-4 Google Play Top100(참조)'!$D$2:$D$101,MATCH($A183,'4-4 Google Play Top100(참조)'!$B$2:$B$101,0)),"확인 불가"))</f>
        <v>파티·음악</v>
      </c>
      <c r="C183" s="53" t="str">
        <f>IFERROR(INDEX('4-5 매출 Top100(참조)'!$E$2:$E$101,MATCH($A183,'4-5 매출 Top100(참조)'!$B$2:$B$101,0)),IFERROR(INDEX('4-4 Google Play Top100(참조)'!$E$2:$E$101,MATCH($A183,'4-4 Google Play Top100(참조)'!$B$2:$B$101,0)),"-"))</f>
        <v>밈 챌린지</v>
      </c>
      <c r="D183" s="55" t="str">
        <f>INDEX('4-6 매출-다운로드 비교(참조)'!$B$6:$B$177,MATCH($A183,'4-6 매출-다운로드 비교(참조)'!$A$6:$A$177,0))</f>
        <v>-</v>
      </c>
      <c r="E183" s="55">
        <f>INDEX('4-6 매출-다운로드 비교(참조)'!$C$6:$C$177,MATCH($A183,'4-6 매출-다운로드 비교(참조)'!$A$6:$A$177,0))</f>
        <v>10</v>
      </c>
      <c r="F183" s="53" t="str">
        <f>INDEX('4-6 매출-다운로드 비교(참조)'!$H$6:$H$177,MATCH($A183,'4-6 매출-다운로드 비교(참조)'!$A$6:$A$177,0))</f>
        <v>③ 다운로드만 높음</v>
      </c>
      <c r="G183" s="55" t="str">
        <f t="shared" si="22"/>
        <v>후보</v>
      </c>
      <c r="H183" s="55">
        <f t="shared" si="23"/>
        <v>69</v>
      </c>
      <c r="I183" s="55" t="str">
        <f t="shared" si="24"/>
        <v>조건부 (범위를 줄이면)</v>
      </c>
      <c r="J183" s="53"/>
      <c r="K183" s="53" t="str">
        <f t="shared" si="25"/>
        <v>파티·음악|밈 챌린지</v>
      </c>
    </row>
    <row r="184" spans="1:11">
      <c r="A184" s="82" t="s">
        <v>953</v>
      </c>
      <c r="B184" s="53" t="str">
        <f>IFERROR(INDEX('4-5 매출 Top100(참조)'!$D$2:$D$101,MATCH($A184,'4-5 매출 Top100(참조)'!$B$2:$B$101,0)),IFERROR(INDEX('4-4 Google Play Top100(참조)'!$D$2:$D$101,MATCH($A184,'4-4 Google Play Top100(참조)'!$B$2:$B$101,0)),"확인 불가"))</f>
        <v>퍼즐</v>
      </c>
      <c r="C184" s="53" t="str">
        <f>IFERROR(INDEX('4-5 매출 Top100(참조)'!$E$2:$E$101,MATCH($A184,'4-5 매출 Top100(참조)'!$B$2:$B$101,0)),IFERROR(INDEX('4-4 Google Play Top100(참조)'!$E$2:$E$101,MATCH($A184,'4-4 Google Play Top100(참조)'!$B$2:$B$101,0)),"-"))</f>
        <v>로직·두뇌 트릭</v>
      </c>
      <c r="D184" s="55" t="str">
        <f>INDEX('4-6 매출-다운로드 비교(참조)'!$B$6:$B$177,MATCH($A184,'4-6 매출-다운로드 비교(참조)'!$A$6:$A$177,0))</f>
        <v>-</v>
      </c>
      <c r="E184" s="55">
        <f>INDEX('4-6 매출-다운로드 비교(참조)'!$C$6:$C$177,MATCH($A184,'4-6 매출-다운로드 비교(참조)'!$A$6:$A$177,0))</f>
        <v>12</v>
      </c>
      <c r="F184" s="53" t="str">
        <f>INDEX('4-6 매출-다운로드 비교(참조)'!$H$6:$H$177,MATCH($A184,'4-6 매출-다운로드 비교(참조)'!$A$6:$A$177,0))</f>
        <v>③ 다운로드만 높음</v>
      </c>
      <c r="G184" s="55" t="str">
        <f t="shared" si="22"/>
        <v>후보</v>
      </c>
      <c r="H184" s="55">
        <f t="shared" si="23"/>
        <v>82</v>
      </c>
      <c r="I184" s="55" t="str">
        <f t="shared" si="24"/>
        <v>2인 가능</v>
      </c>
      <c r="J184" s="53"/>
      <c r="K184" s="53" t="str">
        <f t="shared" si="25"/>
        <v>퍼즐|로직·두뇌 트릭</v>
      </c>
    </row>
    <row r="185" spans="1:11">
      <c r="A185" s="82" t="s">
        <v>954</v>
      </c>
      <c r="B185" s="53" t="str">
        <f>IFERROR(INDEX('4-5 매출 Top100(참조)'!$D$2:$D$101,MATCH($A185,'4-5 매출 Top100(참조)'!$B$2:$B$101,0)),IFERROR(INDEX('4-4 Google Play Top100(참조)'!$D$2:$D$101,MATCH($A185,'4-4 Google Play Top100(참조)'!$B$2:$B$101,0)),"확인 불가"))</f>
        <v>퍼즐</v>
      </c>
      <c r="C185" s="53" t="str">
        <f>IFERROR(INDEX('4-5 매출 Top100(참조)'!$E$2:$E$101,MATCH($A185,'4-5 매출 Top100(참조)'!$B$2:$B$101,0)),IFERROR(INDEX('4-4 Google Play Top100(참조)'!$E$2:$E$101,MATCH($A185,'4-4 Google Play Top100(참조)'!$B$2:$B$101,0)),"-"))</f>
        <v>블록</v>
      </c>
      <c r="D185" s="55" t="str">
        <f>INDEX('4-6 매출-다운로드 비교(참조)'!$B$6:$B$177,MATCH($A185,'4-6 매출-다운로드 비교(참조)'!$A$6:$A$177,0))</f>
        <v>-</v>
      </c>
      <c r="E185" s="55">
        <f>INDEX('4-6 매출-다운로드 비교(참조)'!$C$6:$C$177,MATCH($A185,'4-6 매출-다운로드 비교(참조)'!$A$6:$A$177,0))</f>
        <v>13</v>
      </c>
      <c r="F185" s="53" t="str">
        <f>INDEX('4-6 매출-다운로드 비교(참조)'!$H$6:$H$177,MATCH($A185,'4-6 매출-다운로드 비교(참조)'!$A$6:$A$177,0))</f>
        <v>③ 다운로드만 높음</v>
      </c>
      <c r="G185" s="55" t="str">
        <f t="shared" si="22"/>
        <v>후보</v>
      </c>
      <c r="H185" s="55">
        <f t="shared" si="23"/>
        <v>96</v>
      </c>
      <c r="I185" s="55" t="str">
        <f t="shared" si="24"/>
        <v>2인 가능</v>
      </c>
      <c r="J185" s="53"/>
      <c r="K185" s="53" t="str">
        <f t="shared" si="25"/>
        <v>퍼즐|블록</v>
      </c>
    </row>
    <row r="186" spans="1:11">
      <c r="A186" s="82" t="s">
        <v>955</v>
      </c>
      <c r="B186" s="53" t="str">
        <f>IFERROR(INDEX('4-5 매출 Top100(참조)'!$D$2:$D$101,MATCH($A186,'4-5 매출 Top100(참조)'!$B$2:$B$101,0)),IFERROR(INDEX('4-4 Google Play Top100(참조)'!$D$2:$D$101,MATCH($A186,'4-4 Google Play Top100(참조)'!$B$2:$B$101,0)),"확인 불가"))</f>
        <v>퍼즐</v>
      </c>
      <c r="C186" s="53" t="str">
        <f>IFERROR(INDEX('4-5 매출 Top100(참조)'!$E$2:$E$101,MATCH($A186,'4-5 매출 Top100(참조)'!$B$2:$B$101,0)),IFERROR(INDEX('4-4 Google Play Top100(참조)'!$E$2:$E$101,MATCH($A186,'4-4 Google Play Top100(참조)'!$B$2:$B$101,0)),"-"))</f>
        <v>탭 탈출</v>
      </c>
      <c r="D186" s="55" t="str">
        <f>INDEX('4-6 매출-다운로드 비교(참조)'!$B$6:$B$177,MATCH($A186,'4-6 매출-다운로드 비교(참조)'!$A$6:$A$177,0))</f>
        <v>-</v>
      </c>
      <c r="E186" s="55">
        <f>INDEX('4-6 매출-다운로드 비교(참조)'!$C$6:$C$177,MATCH($A186,'4-6 매출-다운로드 비교(참조)'!$A$6:$A$177,0))</f>
        <v>14</v>
      </c>
      <c r="F186" s="53" t="str">
        <f>INDEX('4-6 매출-다운로드 비교(참조)'!$H$6:$H$177,MATCH($A186,'4-6 매출-다운로드 비교(참조)'!$A$6:$A$177,0))</f>
        <v>③ 다운로드만 높음</v>
      </c>
      <c r="G186" s="55" t="str">
        <f t="shared" si="22"/>
        <v>후보</v>
      </c>
      <c r="H186" s="55">
        <f t="shared" si="23"/>
        <v>96</v>
      </c>
      <c r="I186" s="55" t="str">
        <f t="shared" si="24"/>
        <v>2인 가능</v>
      </c>
      <c r="J186" s="53"/>
      <c r="K186" s="53" t="str">
        <f t="shared" si="25"/>
        <v>퍼즐|탭 탈출</v>
      </c>
    </row>
    <row r="187" spans="1:11">
      <c r="A187" s="82" t="s">
        <v>956</v>
      </c>
      <c r="B187" s="53" t="str">
        <f>IFERROR(INDEX('4-5 매출 Top100(참조)'!$D$2:$D$101,MATCH($A187,'4-5 매출 Top100(참조)'!$B$2:$B$101,0)),IFERROR(INDEX('4-4 Google Play Top100(참조)'!$D$2:$D$101,MATCH($A187,'4-4 Google Play Top100(참조)'!$B$2:$B$101,0)),"확인 불가"))</f>
        <v>시뮬레이션</v>
      </c>
      <c r="C187" s="53" t="str">
        <f>IFERROR(INDEX('4-5 매출 Top100(참조)'!$E$2:$E$101,MATCH($A187,'4-5 매출 Top100(참조)'!$B$2:$B$101,0)),IFERROR(INDEX('4-4 Google Play Top100(참조)'!$E$2:$E$101,MATCH($A187,'4-4 Google Play Top100(참조)'!$B$2:$B$101,0)),"-"))</f>
        <v>샌드박스</v>
      </c>
      <c r="D187" s="55" t="str">
        <f>INDEX('4-6 매출-다운로드 비교(참조)'!$B$6:$B$177,MATCH($A187,'4-6 매출-다운로드 비교(참조)'!$A$6:$A$177,0))</f>
        <v>-</v>
      </c>
      <c r="E187" s="55">
        <f>INDEX('4-6 매출-다운로드 비교(참조)'!$C$6:$C$177,MATCH($A187,'4-6 매출-다운로드 비교(참조)'!$A$6:$A$177,0))</f>
        <v>15</v>
      </c>
      <c r="F187" s="53" t="str">
        <f>INDEX('4-6 매출-다운로드 비교(참조)'!$H$6:$H$177,MATCH($A187,'4-6 매출-다운로드 비교(참조)'!$A$6:$A$177,0))</f>
        <v>③ 다운로드만 높음</v>
      </c>
      <c r="G187" s="55" t="str">
        <f t="shared" si="22"/>
        <v>후보</v>
      </c>
      <c r="H187" s="55">
        <f t="shared" si="23"/>
        <v>67</v>
      </c>
      <c r="I187" s="55" t="str">
        <f t="shared" si="24"/>
        <v>조건부 (범위를 줄이면)</v>
      </c>
      <c r="J187" s="53"/>
      <c r="K187" s="53" t="str">
        <f t="shared" si="25"/>
        <v>시뮬레이션|샌드박스</v>
      </c>
    </row>
    <row r="188" spans="1:11">
      <c r="A188" s="82" t="s">
        <v>957</v>
      </c>
      <c r="B188" s="53" t="str">
        <f>IFERROR(INDEX('4-5 매출 Top100(참조)'!$D$2:$D$101,MATCH($A188,'4-5 매출 Top100(참조)'!$B$2:$B$101,0)),IFERROR(INDEX('4-4 Google Play Top100(참조)'!$D$2:$D$101,MATCH($A188,'4-4 Google Play Top100(참조)'!$B$2:$B$101,0)),"확인 불가"))</f>
        <v>퍼즐</v>
      </c>
      <c r="C188" s="53" t="str">
        <f>IFERROR(INDEX('4-5 매출 Top100(참조)'!$E$2:$E$101,MATCH($A188,'4-5 매출 Top100(참조)'!$B$2:$B$101,0)),IFERROR(INDEX('4-4 Google Play Top100(참조)'!$E$2:$E$101,MATCH($A188,'4-4 Google Play Top100(참조)'!$B$2:$B$101,0)),"-"))</f>
        <v>워드</v>
      </c>
      <c r="D188" s="55" t="str">
        <f>INDEX('4-6 매출-다운로드 비교(참조)'!$B$6:$B$177,MATCH($A188,'4-6 매출-다운로드 비교(참조)'!$A$6:$A$177,0))</f>
        <v>-</v>
      </c>
      <c r="E188" s="55">
        <f>INDEX('4-6 매출-다운로드 비교(참조)'!$C$6:$C$177,MATCH($A188,'4-6 매출-다운로드 비교(참조)'!$A$6:$A$177,0))</f>
        <v>16</v>
      </c>
      <c r="F188" s="53" t="str">
        <f>INDEX('4-6 매출-다운로드 비교(참조)'!$H$6:$H$177,MATCH($A188,'4-6 매출-다운로드 비교(참조)'!$A$6:$A$177,0))</f>
        <v>③ 다운로드만 높음</v>
      </c>
      <c r="G188" s="55" t="str">
        <f t="shared" si="22"/>
        <v>후보</v>
      </c>
      <c r="H188" s="55">
        <f t="shared" si="23"/>
        <v>91</v>
      </c>
      <c r="I188" s="55" t="str">
        <f t="shared" si="24"/>
        <v>2인 가능</v>
      </c>
      <c r="J188" s="53"/>
      <c r="K188" s="53" t="str">
        <f t="shared" si="25"/>
        <v>퍼즐|워드</v>
      </c>
    </row>
    <row r="189" spans="1:11">
      <c r="A189" s="82" t="s">
        <v>958</v>
      </c>
      <c r="B189" s="53" t="str">
        <f>IFERROR(INDEX('4-5 매출 Top100(참조)'!$D$2:$D$101,MATCH($A189,'4-5 매출 Top100(참조)'!$B$2:$B$101,0)),IFERROR(INDEX('4-4 Google Play Top100(참조)'!$D$2:$D$101,MATCH($A189,'4-4 Google Play Top100(참조)'!$B$2:$B$101,0)),"확인 불가"))</f>
        <v>퍼즐</v>
      </c>
      <c r="C189" s="53" t="str">
        <f>IFERROR(INDEX('4-5 매출 Top100(참조)'!$E$2:$E$101,MATCH($A189,'4-5 매출 Top100(참조)'!$B$2:$B$101,0)),IFERROR(INDEX('4-4 Google Play Top100(참조)'!$E$2:$E$101,MATCH($A189,'4-4 Google Play Top100(참조)'!$B$2:$B$101,0)),"-"))</f>
        <v>정렬·잼</v>
      </c>
      <c r="D189" s="55" t="str">
        <f>INDEX('4-6 매출-다운로드 비교(참조)'!$B$6:$B$177,MATCH($A189,'4-6 매출-다운로드 비교(참조)'!$A$6:$A$177,0))</f>
        <v>-</v>
      </c>
      <c r="E189" s="55">
        <f>INDEX('4-6 매출-다운로드 비교(참조)'!$C$6:$C$177,MATCH($A189,'4-6 매출-다운로드 비교(참조)'!$A$6:$A$177,0))</f>
        <v>18</v>
      </c>
      <c r="F189" s="53" t="str">
        <f>INDEX('4-6 매출-다운로드 비교(참조)'!$H$6:$H$177,MATCH($A189,'4-6 매출-다운로드 비교(참조)'!$A$6:$A$177,0))</f>
        <v>③ 다운로드만 높음</v>
      </c>
      <c r="G189" s="55" t="str">
        <f t="shared" si="22"/>
        <v>후보</v>
      </c>
      <c r="H189" s="55">
        <f t="shared" si="23"/>
        <v>92</v>
      </c>
      <c r="I189" s="55" t="str">
        <f t="shared" si="24"/>
        <v>2인 가능</v>
      </c>
      <c r="J189" s="53"/>
      <c r="K189" s="53" t="str">
        <f t="shared" si="25"/>
        <v>퍼즐|정렬·잼</v>
      </c>
    </row>
    <row r="190" spans="1:11">
      <c r="A190" s="82" t="s">
        <v>959</v>
      </c>
      <c r="B190" s="53" t="str">
        <f>IFERROR(INDEX('4-5 매출 Top100(참조)'!$D$2:$D$101,MATCH($A190,'4-5 매출 Top100(참조)'!$B$2:$B$101,0)),IFERROR(INDEX('4-4 Google Play Top100(참조)'!$D$2:$D$101,MATCH($A190,'4-4 Google Play Top100(참조)'!$B$2:$B$101,0)),"확인 불가"))</f>
        <v>퍼즐</v>
      </c>
      <c r="C190" s="53" t="str">
        <f>IFERROR(INDEX('4-5 매출 Top100(참조)'!$E$2:$E$101,MATCH($A190,'4-5 매출 Top100(참조)'!$B$2:$B$101,0)),IFERROR(INDEX('4-4 Google Play Top100(참조)'!$E$2:$E$101,MATCH($A190,'4-4 Google Play Top100(참조)'!$B$2:$B$101,0)),"-"))</f>
        <v>타일·마작·트리플 매치</v>
      </c>
      <c r="D190" s="55" t="str">
        <f>INDEX('4-6 매출-다운로드 비교(참조)'!$B$6:$B$177,MATCH($A190,'4-6 매출-다운로드 비교(참조)'!$A$6:$A$177,0))</f>
        <v>-</v>
      </c>
      <c r="E190" s="55">
        <f>INDEX('4-6 매출-다운로드 비교(참조)'!$C$6:$C$177,MATCH($A190,'4-6 매출-다운로드 비교(참조)'!$A$6:$A$177,0))</f>
        <v>19</v>
      </c>
      <c r="F190" s="53" t="str">
        <f>INDEX('4-6 매출-다운로드 비교(참조)'!$H$6:$H$177,MATCH($A190,'4-6 매출-다운로드 비교(참조)'!$A$6:$A$177,0))</f>
        <v>③ 다운로드만 높음</v>
      </c>
      <c r="G190" s="55" t="str">
        <f t="shared" si="22"/>
        <v>후보</v>
      </c>
      <c r="H190" s="55">
        <f t="shared" si="23"/>
        <v>87</v>
      </c>
      <c r="I190" s="55" t="str">
        <f t="shared" si="24"/>
        <v>2인 가능</v>
      </c>
      <c r="J190" s="53"/>
      <c r="K190" s="53" t="str">
        <f t="shared" si="25"/>
        <v>퍼즐|타일·마작·트리플 매치</v>
      </c>
    </row>
    <row r="191" spans="1:11">
      <c r="A191" s="82" t="s">
        <v>960</v>
      </c>
      <c r="B191" s="53" t="str">
        <f>IFERROR(INDEX('4-5 매출 Top100(참조)'!$D$2:$D$101,MATCH($A191,'4-5 매출 Top100(참조)'!$B$2:$B$101,0)),IFERROR(INDEX('4-4 Google Play Top100(참조)'!$D$2:$D$101,MATCH($A191,'4-4 Google Play Top100(참조)'!$B$2:$B$101,0)),"확인 불가"))</f>
        <v>퍼즐</v>
      </c>
      <c r="C191" s="53" t="str">
        <f>IFERROR(INDEX('4-5 매출 Top100(참조)'!$E$2:$E$101,MATCH($A191,'4-5 매출 Top100(참조)'!$B$2:$B$101,0)),IFERROR(INDEX('4-4 Google Play Top100(참조)'!$E$2:$E$101,MATCH($A191,'4-4 Google Play Top100(참조)'!$B$2:$B$101,0)),"-"))</f>
        <v>정렬·잼</v>
      </c>
      <c r="D191" s="55" t="str">
        <f>INDEX('4-6 매출-다운로드 비교(참조)'!$B$6:$B$177,MATCH($A191,'4-6 매출-다운로드 비교(참조)'!$A$6:$A$177,0))</f>
        <v>-</v>
      </c>
      <c r="E191" s="55">
        <f>INDEX('4-6 매출-다운로드 비교(참조)'!$C$6:$C$177,MATCH($A191,'4-6 매출-다운로드 비교(참조)'!$A$6:$A$177,0))</f>
        <v>20</v>
      </c>
      <c r="F191" s="53" t="str">
        <f>INDEX('4-6 매출-다운로드 비교(참조)'!$H$6:$H$177,MATCH($A191,'4-6 매출-다운로드 비교(참조)'!$A$6:$A$177,0))</f>
        <v>③ 다운로드만 높음</v>
      </c>
      <c r="G191" s="55" t="str">
        <f t="shared" si="22"/>
        <v>후보</v>
      </c>
      <c r="H191" s="55">
        <f t="shared" si="23"/>
        <v>92</v>
      </c>
      <c r="I191" s="55" t="str">
        <f t="shared" si="24"/>
        <v>2인 가능</v>
      </c>
      <c r="J191" s="53"/>
      <c r="K191" s="53" t="str">
        <f t="shared" si="25"/>
        <v>퍼즐|정렬·잼</v>
      </c>
    </row>
    <row r="192" spans="1:11">
      <c r="A192" s="82" t="s">
        <v>853</v>
      </c>
      <c r="B192" s="53" t="str">
        <f>IFERROR(INDEX('4-5 매출 Top100(참조)'!$D$2:$D$101,MATCH($A192,'4-5 매출 Top100(참조)'!$B$2:$B$101,0)),IFERROR(INDEX('4-4 Google Play Top100(참조)'!$D$2:$D$101,MATCH($A192,'4-4 Google Play Top100(참조)'!$B$2:$B$101,0)),"확인 불가"))</f>
        <v>퍼즐</v>
      </c>
      <c r="C192" s="53" t="str">
        <f>IFERROR(INDEX('4-5 매출 Top100(참조)'!$E$2:$E$101,MATCH($A192,'4-5 매출 Top100(참조)'!$B$2:$B$101,0)),IFERROR(INDEX('4-4 Google Play Top100(참조)'!$E$2:$E$101,MATCH($A192,'4-4 Google Play Top100(참조)'!$B$2:$B$101,0)),"-"))</f>
        <v>탭 탈출</v>
      </c>
      <c r="D192" s="55" t="str">
        <f>INDEX('4-6 매출-다운로드 비교(참조)'!$B$6:$B$177,MATCH($A192,'4-6 매출-다운로드 비교(참조)'!$A$6:$A$177,0))</f>
        <v>-</v>
      </c>
      <c r="E192" s="55">
        <f>INDEX('4-6 매출-다운로드 비교(참조)'!$C$6:$C$177,MATCH($A192,'4-6 매출-다운로드 비교(참조)'!$A$6:$A$177,0))</f>
        <v>23</v>
      </c>
      <c r="F192" s="53" t="str">
        <f>INDEX('4-6 매출-다운로드 비교(참조)'!$H$6:$H$177,MATCH($A192,'4-6 매출-다운로드 비교(참조)'!$A$6:$A$177,0))</f>
        <v>③ 다운로드만 높음</v>
      </c>
      <c r="G192" s="55" t="str">
        <f t="shared" si="22"/>
        <v>후보</v>
      </c>
      <c r="H192" s="55">
        <f t="shared" si="23"/>
        <v>96</v>
      </c>
      <c r="I192" s="55" t="str">
        <f t="shared" si="24"/>
        <v>2인 가능</v>
      </c>
      <c r="J192" s="53"/>
      <c r="K192" s="53" t="str">
        <f t="shared" si="25"/>
        <v>퍼즐|탭 탈출</v>
      </c>
    </row>
    <row r="193" spans="1:11">
      <c r="A193" s="82" t="s">
        <v>416</v>
      </c>
      <c r="B193" s="53" t="str">
        <f>IFERROR(INDEX('4-5 매출 Top100(참조)'!$D$2:$D$101,MATCH($A193,'4-5 매출 Top100(참조)'!$B$2:$B$101,0)),IFERROR(INDEX('4-4 Google Play Top100(참조)'!$D$2:$D$101,MATCH($A193,'4-4 Google Play Top100(참조)'!$B$2:$B$101,0)),"확인 불가"))</f>
        <v>액션·슈팅</v>
      </c>
      <c r="C193" s="53" t="str">
        <f>IFERROR(INDEX('4-5 매출 Top100(참조)'!$E$2:$E$101,MATCH($A193,'4-5 매출 Top100(참조)'!$B$2:$B$101,0)),IFERROR(INDEX('4-4 Google Play Top100(참조)'!$E$2:$E$101,MATCH($A193,'4-4 Google Play Top100(참조)'!$B$2:$B$101,0)),"-"))</f>
        <v>배틀로얄</v>
      </c>
      <c r="D193" s="55" t="str">
        <f>INDEX('4-6 매출-다운로드 비교(참조)'!$B$6:$B$177,MATCH($A193,'4-6 매출-다운로드 비교(참조)'!$A$6:$A$177,0))</f>
        <v>-</v>
      </c>
      <c r="E193" s="55">
        <f>INDEX('4-6 매출-다운로드 비교(참조)'!$C$6:$C$177,MATCH($A193,'4-6 매출-다운로드 비교(참조)'!$A$6:$A$177,0))</f>
        <v>25</v>
      </c>
      <c r="F193" s="53" t="str">
        <f>INDEX('4-6 매출-다운로드 비교(참조)'!$H$6:$H$177,MATCH($A193,'4-6 매출-다운로드 비교(참조)'!$A$6:$A$177,0))</f>
        <v>③ 다운로드만 높음</v>
      </c>
      <c r="G193" s="55" t="str">
        <f t="shared" si="22"/>
        <v>후보</v>
      </c>
      <c r="H193" s="55">
        <f t="shared" si="23"/>
        <v>26</v>
      </c>
      <c r="I193" s="55" t="str">
        <f t="shared" si="24"/>
        <v>2인 어려움</v>
      </c>
      <c r="J193" s="53"/>
      <c r="K193" s="53" t="str">
        <f t="shared" si="25"/>
        <v>액션·슈팅|배틀로얄</v>
      </c>
    </row>
    <row r="194" spans="1:11">
      <c r="A194" s="82" t="s">
        <v>961</v>
      </c>
      <c r="B194" s="53" t="str">
        <f>IFERROR(INDEX('4-5 매출 Top100(참조)'!$D$2:$D$101,MATCH($A194,'4-5 매출 Top100(참조)'!$B$2:$B$101,0)),IFERROR(INDEX('4-4 Google Play Top100(참조)'!$D$2:$D$101,MATCH($A194,'4-4 Google Play Top100(참조)'!$B$2:$B$101,0)),"확인 불가"))</f>
        <v>하이퍼·하이브리드 캐주얼</v>
      </c>
      <c r="C194" s="53" t="str">
        <f>IFERROR(INDEX('4-5 매출 Top100(참조)'!$E$2:$E$101,MATCH($A194,'4-5 매출 Top100(참조)'!$B$2:$B$101,0)),IFERROR(INDEX('4-4 Google Play Top100(참조)'!$E$2:$E$101,MATCH($A194,'4-4 Google Play Top100(참조)'!$B$2:$B$101,0)),"-"))</f>
        <v>하이브리드 캐주얼</v>
      </c>
      <c r="D194" s="55" t="str">
        <f>INDEX('4-6 매출-다운로드 비교(참조)'!$B$6:$B$177,MATCH($A194,'4-6 매출-다운로드 비교(참조)'!$A$6:$A$177,0))</f>
        <v>-</v>
      </c>
      <c r="E194" s="55">
        <f>INDEX('4-6 매출-다운로드 비교(참조)'!$C$6:$C$177,MATCH($A194,'4-6 매출-다운로드 비교(참조)'!$A$6:$A$177,0))</f>
        <v>28</v>
      </c>
      <c r="F194" s="53" t="str">
        <f>INDEX('4-6 매출-다운로드 비교(참조)'!$H$6:$H$177,MATCH($A194,'4-6 매출-다운로드 비교(참조)'!$A$6:$A$177,0))</f>
        <v>③ 다운로드만 높음</v>
      </c>
      <c r="G194" s="55" t="str">
        <f t="shared" si="22"/>
        <v>후보</v>
      </c>
      <c r="H194" s="55">
        <f t="shared" si="23"/>
        <v>74</v>
      </c>
      <c r="I194" s="55" t="str">
        <f t="shared" si="24"/>
        <v>2인 가능</v>
      </c>
      <c r="J194" s="53"/>
      <c r="K194" s="53" t="str">
        <f t="shared" si="25"/>
        <v>하이퍼·하이브리드 캐주얼|하이브리드 캐주얼</v>
      </c>
    </row>
    <row r="195" spans="1:11">
      <c r="A195" s="82" t="s">
        <v>962</v>
      </c>
      <c r="B195" s="53" t="str">
        <f>IFERROR(INDEX('4-5 매출 Top100(참조)'!$D$2:$D$101,MATCH($A195,'4-5 매출 Top100(참조)'!$B$2:$B$101,0)),IFERROR(INDEX('4-4 Google Play Top100(참조)'!$D$2:$D$101,MATCH($A195,'4-4 Google Play Top100(참조)'!$B$2:$B$101,0)),"확인 불가"))</f>
        <v>하이퍼·하이브리드 캐주얼</v>
      </c>
      <c r="C195" s="53" t="str">
        <f>IFERROR(INDEX('4-5 매출 Top100(참조)'!$E$2:$E$101,MATCH($A195,'4-5 매출 Top100(참조)'!$B$2:$B$101,0)),IFERROR(INDEX('4-4 Google Play Top100(참조)'!$E$2:$E$101,MATCH($A195,'4-4 Google Play Top100(참조)'!$B$2:$B$101,0)),"-"))</f>
        <v>물리 파괴</v>
      </c>
      <c r="D195" s="55" t="str">
        <f>INDEX('4-6 매출-다운로드 비교(참조)'!$B$6:$B$177,MATCH($A195,'4-6 매출-다운로드 비교(참조)'!$A$6:$A$177,0))</f>
        <v>-</v>
      </c>
      <c r="E195" s="55">
        <f>INDEX('4-6 매출-다운로드 비교(참조)'!$C$6:$C$177,MATCH($A195,'4-6 매출-다운로드 비교(참조)'!$A$6:$A$177,0))</f>
        <v>29</v>
      </c>
      <c r="F195" s="53" t="str">
        <f>INDEX('4-6 매출-다운로드 비교(참조)'!$H$6:$H$177,MATCH($A195,'4-6 매출-다운로드 비교(참조)'!$A$6:$A$177,0))</f>
        <v>③ 다운로드만 높음</v>
      </c>
      <c r="G195" s="55" t="str">
        <f t="shared" si="22"/>
        <v>후보</v>
      </c>
      <c r="H195" s="55">
        <f t="shared" si="23"/>
        <v>79</v>
      </c>
      <c r="I195" s="55" t="str">
        <f t="shared" si="24"/>
        <v>2인 가능</v>
      </c>
      <c r="J195" s="53"/>
      <c r="K195" s="53" t="str">
        <f t="shared" si="25"/>
        <v>하이퍼·하이브리드 캐주얼|물리 파괴</v>
      </c>
    </row>
    <row r="196" spans="1:11">
      <c r="A196" s="82" t="s">
        <v>963</v>
      </c>
      <c r="B196" s="53" t="str">
        <f>IFERROR(INDEX('4-5 매출 Top100(참조)'!$D$2:$D$101,MATCH($A196,'4-5 매출 Top100(참조)'!$B$2:$B$101,0)),IFERROR(INDEX('4-4 Google Play Top100(참조)'!$D$2:$D$101,MATCH($A196,'4-4 Google Play Top100(참조)'!$B$2:$B$101,0)),"확인 불가"))</f>
        <v>하이퍼·하이브리드 캐주얼</v>
      </c>
      <c r="C196" s="53" t="str">
        <f>IFERROR(INDEX('4-5 매출 Top100(참조)'!$E$2:$E$101,MATCH($A196,'4-5 매출 Top100(참조)'!$B$2:$B$101,0)),IFERROR(INDEX('4-4 Google Play Top100(참조)'!$E$2:$E$101,MATCH($A196,'4-4 Google Play Top100(참조)'!$B$2:$B$101,0)),"-"))</f>
        <v>군중 러너·디펜스</v>
      </c>
      <c r="D196" s="55" t="str">
        <f>INDEX('4-6 매출-다운로드 비교(참조)'!$B$6:$B$177,MATCH($A196,'4-6 매출-다운로드 비교(참조)'!$A$6:$A$177,0))</f>
        <v>-</v>
      </c>
      <c r="E196" s="55">
        <f>INDEX('4-6 매출-다운로드 비교(참조)'!$C$6:$C$177,MATCH($A196,'4-6 매출-다운로드 비교(참조)'!$A$6:$A$177,0))</f>
        <v>30</v>
      </c>
      <c r="F196" s="53" t="str">
        <f>INDEX('4-6 매출-다운로드 비교(참조)'!$H$6:$H$177,MATCH($A196,'4-6 매출-다운로드 비교(참조)'!$A$6:$A$177,0))</f>
        <v>③ 다운로드만 높음</v>
      </c>
      <c r="G196" s="55" t="str">
        <f t="shared" si="22"/>
        <v>후보</v>
      </c>
      <c r="H196" s="55">
        <f t="shared" si="23"/>
        <v>74</v>
      </c>
      <c r="I196" s="55" t="str">
        <f t="shared" si="24"/>
        <v>2인 가능</v>
      </c>
      <c r="J196" s="53"/>
      <c r="K196" s="53" t="str">
        <f t="shared" si="25"/>
        <v>하이퍼·하이브리드 캐주얼|군중 러너·디펜스</v>
      </c>
    </row>
    <row r="197" spans="1:11">
      <c r="A197" s="82" t="s">
        <v>964</v>
      </c>
      <c r="B197" s="53" t="str">
        <f>IFERROR(INDEX('4-5 매출 Top100(참조)'!$D$2:$D$101,MATCH($A197,'4-5 매출 Top100(참조)'!$B$2:$B$101,0)),IFERROR(INDEX('4-4 Google Play Top100(참조)'!$D$2:$D$101,MATCH($A197,'4-4 Google Play Top100(참조)'!$B$2:$B$101,0)),"확인 불가"))</f>
        <v>퍼즐</v>
      </c>
      <c r="C197" s="53" t="str">
        <f>IFERROR(INDEX('4-5 매출 Top100(참조)'!$E$2:$E$101,MATCH($A197,'4-5 매출 Top100(참조)'!$B$2:$B$101,0)),IFERROR(INDEX('4-4 Google Play Top100(참조)'!$E$2:$E$101,MATCH($A197,'4-4 Google Play Top100(참조)'!$B$2:$B$101,0)),"-"))</f>
        <v>탭 탈출</v>
      </c>
      <c r="D197" s="55" t="str">
        <f>INDEX('4-6 매출-다운로드 비교(참조)'!$B$6:$B$177,MATCH($A197,'4-6 매출-다운로드 비교(참조)'!$A$6:$A$177,0))</f>
        <v>-</v>
      </c>
      <c r="E197" s="55">
        <f>INDEX('4-6 매출-다운로드 비교(참조)'!$C$6:$C$177,MATCH($A197,'4-6 매출-다운로드 비교(참조)'!$A$6:$A$177,0))</f>
        <v>31</v>
      </c>
      <c r="F197" s="53" t="str">
        <f>INDEX('4-6 매출-다운로드 비교(참조)'!$H$6:$H$177,MATCH($A197,'4-6 매출-다운로드 비교(참조)'!$A$6:$A$177,0))</f>
        <v>④ 둘 다 기준 밖</v>
      </c>
      <c r="G197" s="55" t="str">
        <f t="shared" si="22"/>
        <v>후보 아님</v>
      </c>
      <c r="H197" s="55" t="str">
        <f t="shared" si="23"/>
        <v/>
      </c>
      <c r="I197" s="55" t="str">
        <f t="shared" si="24"/>
        <v>-</v>
      </c>
      <c r="J197" s="53"/>
      <c r="K197" s="53" t="str">
        <f t="shared" si="25"/>
        <v>퍼즐|탭 탈출</v>
      </c>
    </row>
    <row r="198" spans="1:11">
      <c r="A198" s="82" t="s">
        <v>965</v>
      </c>
      <c r="B198" s="53" t="str">
        <f>IFERROR(INDEX('4-5 매출 Top100(참조)'!$D$2:$D$101,MATCH($A198,'4-5 매출 Top100(참조)'!$B$2:$B$101,0)),IFERROR(INDEX('4-4 Google Play Top100(참조)'!$D$2:$D$101,MATCH($A198,'4-4 Google Play Top100(참조)'!$B$2:$B$101,0)),"확인 불가"))</f>
        <v>하이퍼·하이브리드 캐주얼</v>
      </c>
      <c r="C198" s="53" t="str">
        <f>IFERROR(INDEX('4-5 매출 Top100(참조)'!$E$2:$E$101,MATCH($A198,'4-5 매출 Top100(참조)'!$B$2:$B$101,0)),IFERROR(INDEX('4-4 Google Play Top100(참조)'!$E$2:$E$101,MATCH($A198,'4-4 Google Play Top100(참조)'!$B$2:$B$101,0)),"-"))</f>
        <v>io</v>
      </c>
      <c r="D198" s="55" t="str">
        <f>INDEX('4-6 매출-다운로드 비교(참조)'!$B$6:$B$177,MATCH($A198,'4-6 매출-다운로드 비교(참조)'!$A$6:$A$177,0))</f>
        <v>-</v>
      </c>
      <c r="E198" s="55">
        <f>INDEX('4-6 매출-다운로드 비교(참조)'!$C$6:$C$177,MATCH($A198,'4-6 매출-다운로드 비교(참조)'!$A$6:$A$177,0))</f>
        <v>32</v>
      </c>
      <c r="F198" s="53" t="str">
        <f>INDEX('4-6 매출-다운로드 비교(참조)'!$H$6:$H$177,MATCH($A198,'4-6 매출-다운로드 비교(참조)'!$A$6:$A$177,0))</f>
        <v>④ 둘 다 기준 밖</v>
      </c>
      <c r="G198" s="55" t="str">
        <f t="shared" si="22"/>
        <v>후보 아님</v>
      </c>
      <c r="H198" s="55" t="str">
        <f t="shared" si="23"/>
        <v/>
      </c>
      <c r="I198" s="55" t="str">
        <f t="shared" si="24"/>
        <v>-</v>
      </c>
      <c r="J198" s="53"/>
      <c r="K198" s="53" t="str">
        <f t="shared" si="25"/>
        <v>하이퍼·하이브리드 캐주얼|io</v>
      </c>
    </row>
    <row r="199" spans="1:11">
      <c r="A199" s="82" t="s">
        <v>966</v>
      </c>
      <c r="B199" s="53" t="str">
        <f>IFERROR(INDEX('4-5 매출 Top100(참조)'!$D$2:$D$101,MATCH($A199,'4-5 매출 Top100(참조)'!$B$2:$B$101,0)),IFERROR(INDEX('4-4 Google Play Top100(참조)'!$D$2:$D$101,MATCH($A199,'4-4 Google Play Top100(참조)'!$B$2:$B$101,0)),"확인 불가"))</f>
        <v>파티·음악</v>
      </c>
      <c r="C199" s="53" t="str">
        <f>IFERROR(INDEX('4-5 매출 Top100(참조)'!$E$2:$E$101,MATCH($A199,'4-5 매출 Top100(참조)'!$B$2:$B$101,0)),IFERROR(INDEX('4-4 Google Play Top100(참조)'!$E$2:$E$101,MATCH($A199,'4-4 Google Play Top100(참조)'!$B$2:$B$101,0)),"-"))</f>
        <v>리듬</v>
      </c>
      <c r="D199" s="55" t="str">
        <f>INDEX('4-6 매출-다운로드 비교(참조)'!$B$6:$B$177,MATCH($A199,'4-6 매출-다운로드 비교(참조)'!$A$6:$A$177,0))</f>
        <v>-</v>
      </c>
      <c r="E199" s="55">
        <f>INDEX('4-6 매출-다운로드 비교(참조)'!$C$6:$C$177,MATCH($A199,'4-6 매출-다운로드 비교(참조)'!$A$6:$A$177,0))</f>
        <v>33</v>
      </c>
      <c r="F199" s="53" t="str">
        <f>INDEX('4-6 매출-다운로드 비교(참조)'!$H$6:$H$177,MATCH($A199,'4-6 매출-다운로드 비교(참조)'!$A$6:$A$177,0))</f>
        <v>④ 둘 다 기준 밖</v>
      </c>
      <c r="G199" s="55" t="str">
        <f t="shared" si="22"/>
        <v>후보 아님</v>
      </c>
      <c r="H199" s="55" t="str">
        <f t="shared" si="23"/>
        <v/>
      </c>
      <c r="I199" s="55" t="str">
        <f t="shared" si="24"/>
        <v>-</v>
      </c>
      <c r="J199" s="53"/>
      <c r="K199" s="53" t="str">
        <f t="shared" si="25"/>
        <v>파티·음악|리듬</v>
      </c>
    </row>
    <row r="200" spans="1:11">
      <c r="A200" s="82" t="s">
        <v>967</v>
      </c>
      <c r="B200" s="53" t="str">
        <f>IFERROR(INDEX('4-5 매출 Top100(참조)'!$D$2:$D$101,MATCH($A200,'4-5 매출 Top100(참조)'!$B$2:$B$101,0)),IFERROR(INDEX('4-4 Google Play Top100(참조)'!$D$2:$D$101,MATCH($A200,'4-4 Google Play Top100(참조)'!$B$2:$B$101,0)),"확인 불가"))</f>
        <v>퍼즐</v>
      </c>
      <c r="C200" s="53" t="str">
        <f>IFERROR(INDEX('4-5 매출 Top100(참조)'!$E$2:$E$101,MATCH($A200,'4-5 매출 Top100(참조)'!$B$2:$B$101,0)),IFERROR(INDEX('4-4 Google Play Top100(참조)'!$E$2:$E$101,MATCH($A200,'4-4 Google Play Top100(참조)'!$B$2:$B$101,0)),"-"))</f>
        <v>탭 탈출</v>
      </c>
      <c r="D200" s="55" t="str">
        <f>INDEX('4-6 매출-다운로드 비교(참조)'!$B$6:$B$177,MATCH($A200,'4-6 매출-다운로드 비교(참조)'!$A$6:$A$177,0))</f>
        <v>-</v>
      </c>
      <c r="E200" s="55">
        <f>INDEX('4-6 매출-다운로드 비교(참조)'!$C$6:$C$177,MATCH($A200,'4-6 매출-다운로드 비교(참조)'!$A$6:$A$177,0))</f>
        <v>34</v>
      </c>
      <c r="F200" s="53" t="str">
        <f>INDEX('4-6 매출-다운로드 비교(참조)'!$H$6:$H$177,MATCH($A200,'4-6 매출-다운로드 비교(참조)'!$A$6:$A$177,0))</f>
        <v>④ 둘 다 기준 밖</v>
      </c>
      <c r="G200" s="55" t="str">
        <f t="shared" si="22"/>
        <v>후보 아님</v>
      </c>
      <c r="H200" s="55" t="str">
        <f t="shared" si="23"/>
        <v/>
      </c>
      <c r="I200" s="55" t="str">
        <f t="shared" si="24"/>
        <v>-</v>
      </c>
      <c r="J200" s="53"/>
      <c r="K200" s="53" t="str">
        <f t="shared" si="25"/>
        <v>퍼즐|탭 탈출</v>
      </c>
    </row>
    <row r="201" spans="1:11">
      <c r="A201" s="82" t="s">
        <v>968</v>
      </c>
      <c r="B201" s="53" t="str">
        <f>IFERROR(INDEX('4-5 매출 Top100(참조)'!$D$2:$D$101,MATCH($A201,'4-5 매출 Top100(참조)'!$B$2:$B$101,0)),IFERROR(INDEX('4-4 Google Play Top100(참조)'!$D$2:$D$101,MATCH($A201,'4-4 Google Play Top100(참조)'!$B$2:$B$101,0)),"확인 불가"))</f>
        <v>스포츠</v>
      </c>
      <c r="C201" s="53" t="str">
        <f>IFERROR(INDEX('4-5 매출 Top100(참조)'!$E$2:$E$101,MATCH($A201,'4-5 매출 Top100(참조)'!$B$2:$B$101,0)),IFERROR(INDEX('4-4 Google Play Top100(참조)'!$E$2:$E$101,MATCH($A201,'4-4 Google Play Top100(참조)'!$B$2:$B$101,0)),"-"))</f>
        <v>당구 PvP</v>
      </c>
      <c r="D201" s="55" t="str">
        <f>INDEX('4-6 매출-다운로드 비교(참조)'!$B$6:$B$177,MATCH($A201,'4-6 매출-다운로드 비교(참조)'!$A$6:$A$177,0))</f>
        <v>-</v>
      </c>
      <c r="E201" s="55">
        <f>INDEX('4-6 매출-다운로드 비교(참조)'!$C$6:$C$177,MATCH($A201,'4-6 매출-다운로드 비교(참조)'!$A$6:$A$177,0))</f>
        <v>36</v>
      </c>
      <c r="F201" s="53" t="str">
        <f>INDEX('4-6 매출-다운로드 비교(참조)'!$H$6:$H$177,MATCH($A201,'4-6 매출-다운로드 비교(참조)'!$A$6:$A$177,0))</f>
        <v>④ 둘 다 기준 밖</v>
      </c>
      <c r="G201" s="55" t="str">
        <f t="shared" si="22"/>
        <v>후보 아님</v>
      </c>
      <c r="H201" s="55" t="str">
        <f t="shared" si="23"/>
        <v/>
      </c>
      <c r="I201" s="55" t="str">
        <f t="shared" si="24"/>
        <v>-</v>
      </c>
      <c r="J201" s="53"/>
      <c r="K201" s="53" t="str">
        <f t="shared" si="25"/>
        <v>스포츠|당구 PvP</v>
      </c>
    </row>
    <row r="202" spans="1:11">
      <c r="A202" s="82" t="s">
        <v>969</v>
      </c>
      <c r="B202" s="53" t="str">
        <f>IFERROR(INDEX('4-5 매출 Top100(참조)'!$D$2:$D$101,MATCH($A202,'4-5 매출 Top100(참조)'!$B$2:$B$101,0)),IFERROR(INDEX('4-4 Google Play Top100(참조)'!$D$2:$D$101,MATCH($A202,'4-4 Google Play Top100(참조)'!$B$2:$B$101,0)),"확인 불가"))</f>
        <v>하이퍼·하이브리드 캐주얼</v>
      </c>
      <c r="C202" s="53" t="str">
        <f>IFERROR(INDEX('4-5 매출 Top100(참조)'!$E$2:$E$101,MATCH($A202,'4-5 매출 Top100(참조)'!$B$2:$B$101,0)),IFERROR(INDEX('4-4 Google Play Top100(참조)'!$E$2:$E$101,MATCH($A202,'4-4 Google Play Top100(참조)'!$B$2:$B$101,0)),"-"))</f>
        <v>러너</v>
      </c>
      <c r="D202" s="55" t="str">
        <f>INDEX('4-6 매출-다운로드 비교(참조)'!$B$6:$B$177,MATCH($A202,'4-6 매출-다운로드 비교(참조)'!$A$6:$A$177,0))</f>
        <v>-</v>
      </c>
      <c r="E202" s="55">
        <f>INDEX('4-6 매출-다운로드 비교(참조)'!$C$6:$C$177,MATCH($A202,'4-6 매출-다운로드 비교(참조)'!$A$6:$A$177,0))</f>
        <v>37</v>
      </c>
      <c r="F202" s="53" t="str">
        <f>INDEX('4-6 매출-다운로드 비교(참조)'!$H$6:$H$177,MATCH($A202,'4-6 매출-다운로드 비교(참조)'!$A$6:$A$177,0))</f>
        <v>④ 둘 다 기준 밖</v>
      </c>
      <c r="G202" s="55" t="str">
        <f t="shared" si="22"/>
        <v>후보 아님</v>
      </c>
      <c r="H202" s="55" t="str">
        <f t="shared" si="23"/>
        <v/>
      </c>
      <c r="I202" s="55" t="str">
        <f t="shared" si="24"/>
        <v>-</v>
      </c>
      <c r="J202" s="53"/>
      <c r="K202" s="53" t="str">
        <f t="shared" si="25"/>
        <v>하이퍼·하이브리드 캐주얼|러너</v>
      </c>
    </row>
    <row r="203" spans="1:11">
      <c r="A203" s="82" t="s">
        <v>970</v>
      </c>
      <c r="B203" s="53" t="str">
        <f>IFERROR(INDEX('4-5 매출 Top100(참조)'!$D$2:$D$101,MATCH($A203,'4-5 매출 Top100(참조)'!$B$2:$B$101,0)),IFERROR(INDEX('4-4 Google Play Top100(참조)'!$D$2:$D$101,MATCH($A203,'4-4 Google Play Top100(참조)'!$B$2:$B$101,0)),"확인 불가"))</f>
        <v>퍼즐</v>
      </c>
      <c r="C203" s="53" t="str">
        <f>IFERROR(INDEX('4-5 매출 Top100(참조)'!$E$2:$E$101,MATCH($A203,'4-5 매출 Top100(참조)'!$B$2:$B$101,0)),IFERROR(INDEX('4-4 Google Play Top100(참조)'!$E$2:$E$101,MATCH($A203,'4-4 Google Play Top100(참조)'!$B$2:$B$101,0)),"-"))</f>
        <v>직소·솔리테어 하이브리드</v>
      </c>
      <c r="D203" s="55" t="str">
        <f>INDEX('4-6 매출-다운로드 비교(참조)'!$B$6:$B$177,MATCH($A203,'4-6 매출-다운로드 비교(참조)'!$A$6:$A$177,0))</f>
        <v>-</v>
      </c>
      <c r="E203" s="55">
        <f>INDEX('4-6 매출-다운로드 비교(참조)'!$C$6:$C$177,MATCH($A203,'4-6 매출-다운로드 비교(참조)'!$A$6:$A$177,0))</f>
        <v>38</v>
      </c>
      <c r="F203" s="53" t="str">
        <f>INDEX('4-6 매출-다운로드 비교(참조)'!$H$6:$H$177,MATCH($A203,'4-6 매출-다운로드 비교(참조)'!$A$6:$A$177,0))</f>
        <v>④ 둘 다 기준 밖</v>
      </c>
      <c r="G203" s="55" t="str">
        <f t="shared" si="22"/>
        <v>후보 아님</v>
      </c>
      <c r="H203" s="55" t="str">
        <f t="shared" si="23"/>
        <v/>
      </c>
      <c r="I203" s="55" t="str">
        <f t="shared" si="24"/>
        <v>-</v>
      </c>
      <c r="J203" s="53"/>
      <c r="K203" s="53" t="str">
        <f t="shared" si="25"/>
        <v>퍼즐|직소·솔리테어 하이브리드</v>
      </c>
    </row>
    <row r="204" spans="1:11">
      <c r="A204" s="82" t="s">
        <v>971</v>
      </c>
      <c r="B204" s="53" t="str">
        <f>IFERROR(INDEX('4-5 매출 Top100(참조)'!$D$2:$D$101,MATCH($A204,'4-5 매출 Top100(참조)'!$B$2:$B$101,0)),IFERROR(INDEX('4-4 Google Play Top100(참조)'!$D$2:$D$101,MATCH($A204,'4-4 Google Play Top100(참조)'!$B$2:$B$101,0)),"확인 불가"))</f>
        <v>퍼즐</v>
      </c>
      <c r="C204" s="53" t="str">
        <f>IFERROR(INDEX('4-5 매출 Top100(참조)'!$E$2:$E$101,MATCH($A204,'4-5 매출 Top100(참조)'!$B$2:$B$101,0)),IFERROR(INDEX('4-4 Google Play Top100(참조)'!$E$2:$E$101,MATCH($A204,'4-4 Google Play Top100(참조)'!$B$2:$B$101,0)),"-"))</f>
        <v>픽셀·컬러 아트</v>
      </c>
      <c r="D204" s="55" t="str">
        <f>INDEX('4-6 매출-다운로드 비교(참조)'!$B$6:$B$177,MATCH($A204,'4-6 매출-다운로드 비교(참조)'!$A$6:$A$177,0))</f>
        <v>-</v>
      </c>
      <c r="E204" s="55">
        <f>INDEX('4-6 매출-다운로드 비교(참조)'!$C$6:$C$177,MATCH($A204,'4-6 매출-다운로드 비교(참조)'!$A$6:$A$177,0))</f>
        <v>39</v>
      </c>
      <c r="F204" s="53" t="str">
        <f>INDEX('4-6 매출-다운로드 비교(참조)'!$H$6:$H$177,MATCH($A204,'4-6 매출-다운로드 비교(참조)'!$A$6:$A$177,0))</f>
        <v>④ 둘 다 기준 밖</v>
      </c>
      <c r="G204" s="55" t="str">
        <f t="shared" si="22"/>
        <v>후보 아님</v>
      </c>
      <c r="H204" s="55" t="str">
        <f t="shared" si="23"/>
        <v/>
      </c>
      <c r="I204" s="55" t="str">
        <f t="shared" si="24"/>
        <v>-</v>
      </c>
      <c r="J204" s="53"/>
      <c r="K204" s="53" t="str">
        <f t="shared" si="25"/>
        <v>퍼즐|픽셀·컬러 아트</v>
      </c>
    </row>
    <row r="205" spans="1:11">
      <c r="A205" s="82" t="s">
        <v>972</v>
      </c>
      <c r="B205" s="53" t="str">
        <f>IFERROR(INDEX('4-5 매출 Top100(참조)'!$D$2:$D$101,MATCH($A205,'4-5 매출 Top100(참조)'!$B$2:$B$101,0)),IFERROR(INDEX('4-4 Google Play Top100(참조)'!$D$2:$D$101,MATCH($A205,'4-4 Google Play Top100(참조)'!$B$2:$B$101,0)),"확인 불가"))</f>
        <v>액션·슈팅</v>
      </c>
      <c r="C205" s="53" t="str">
        <f>IFERROR(INDEX('4-5 매출 Top100(참조)'!$E$2:$E$101,MATCH($A205,'4-5 매출 Top100(참조)'!$B$2:$B$101,0)),IFERROR(INDEX('4-4 Google Play Top100(참조)'!$E$2:$E$101,MATCH($A205,'4-4 Google Play Top100(참조)'!$B$2:$B$101,0)),"-"))</f>
        <v>스나이퍼</v>
      </c>
      <c r="D205" s="55" t="str">
        <f>INDEX('4-6 매출-다운로드 비교(참조)'!$B$6:$B$177,MATCH($A205,'4-6 매출-다운로드 비교(참조)'!$A$6:$A$177,0))</f>
        <v>-</v>
      </c>
      <c r="E205" s="55">
        <f>INDEX('4-6 매출-다운로드 비교(참조)'!$C$6:$C$177,MATCH($A205,'4-6 매출-다운로드 비교(참조)'!$A$6:$A$177,0))</f>
        <v>41</v>
      </c>
      <c r="F205" s="53" t="str">
        <f>INDEX('4-6 매출-다운로드 비교(참조)'!$H$6:$H$177,MATCH($A205,'4-6 매출-다운로드 비교(참조)'!$A$6:$A$177,0))</f>
        <v>④ 둘 다 기준 밖</v>
      </c>
      <c r="G205" s="55" t="str">
        <f t="shared" si="22"/>
        <v>후보 아님</v>
      </c>
      <c r="H205" s="55" t="str">
        <f t="shared" si="23"/>
        <v/>
      </c>
      <c r="I205" s="55" t="str">
        <f t="shared" si="24"/>
        <v>-</v>
      </c>
      <c r="J205" s="53"/>
      <c r="K205" s="53" t="str">
        <f t="shared" si="25"/>
        <v>액션·슈팅|스나이퍼</v>
      </c>
    </row>
    <row r="206" spans="1:11">
      <c r="A206" s="82" t="s">
        <v>973</v>
      </c>
      <c r="B206" s="53" t="str">
        <f>IFERROR(INDEX('4-5 매출 Top100(참조)'!$D$2:$D$101,MATCH($A206,'4-5 매출 Top100(참조)'!$B$2:$B$101,0)),IFERROR(INDEX('4-4 Google Play Top100(참조)'!$D$2:$D$101,MATCH($A206,'4-4 Google Play Top100(참조)'!$B$2:$B$101,0)),"확인 불가"))</f>
        <v>퍼즐</v>
      </c>
      <c r="C206" s="53" t="str">
        <f>IFERROR(INDEX('4-5 매출 Top100(참조)'!$E$2:$E$101,MATCH($A206,'4-5 매출 Top100(참조)'!$B$2:$B$101,0)),IFERROR(INDEX('4-4 Google Play Top100(참조)'!$E$2:$E$101,MATCH($A206,'4-4 Google Play Top100(참조)'!$B$2:$B$101,0)),"-"))</f>
        <v>블록</v>
      </c>
      <c r="D206" s="55" t="str">
        <f>INDEX('4-6 매출-다운로드 비교(참조)'!$B$6:$B$177,MATCH($A206,'4-6 매출-다운로드 비교(참조)'!$A$6:$A$177,0))</f>
        <v>-</v>
      </c>
      <c r="E206" s="55">
        <f>INDEX('4-6 매출-다운로드 비교(참조)'!$C$6:$C$177,MATCH($A206,'4-6 매출-다운로드 비교(참조)'!$A$6:$A$177,0))</f>
        <v>43</v>
      </c>
      <c r="F206" s="53" t="str">
        <f>INDEX('4-6 매출-다운로드 비교(참조)'!$H$6:$H$177,MATCH($A206,'4-6 매출-다운로드 비교(참조)'!$A$6:$A$177,0))</f>
        <v>④ 둘 다 기준 밖</v>
      </c>
      <c r="G206" s="55" t="str">
        <f t="shared" si="22"/>
        <v>후보 아님</v>
      </c>
      <c r="H206" s="55" t="str">
        <f t="shared" si="23"/>
        <v/>
      </c>
      <c r="I206" s="55" t="str">
        <f t="shared" si="24"/>
        <v>-</v>
      </c>
      <c r="J206" s="53"/>
      <c r="K206" s="53" t="str">
        <f t="shared" si="25"/>
        <v>퍼즐|블록</v>
      </c>
    </row>
    <row r="207" spans="1:11">
      <c r="A207" s="82" t="s">
        <v>974</v>
      </c>
      <c r="B207" s="53" t="str">
        <f>IFERROR(INDEX('4-5 매출 Top100(참조)'!$D$2:$D$101,MATCH($A207,'4-5 매출 Top100(참조)'!$B$2:$B$101,0)),IFERROR(INDEX('4-4 Google Play Top100(참조)'!$D$2:$D$101,MATCH($A207,'4-4 Google Play Top100(참조)'!$B$2:$B$101,0)),"확인 불가"))</f>
        <v>퍼즐</v>
      </c>
      <c r="C207" s="53" t="str">
        <f>IFERROR(INDEX('4-5 매출 Top100(참조)'!$E$2:$E$101,MATCH($A207,'4-5 매출 Top100(참조)'!$B$2:$B$101,0)),IFERROR(INDEX('4-4 Google Play Top100(참조)'!$E$2:$E$101,MATCH($A207,'4-4 Google Play Top100(참조)'!$B$2:$B$101,0)),"-"))</f>
        <v>로직·두뇌 트릭</v>
      </c>
      <c r="D207" s="55" t="str">
        <f>INDEX('4-6 매출-다운로드 비교(참조)'!$B$6:$B$177,MATCH($A207,'4-6 매출-다운로드 비교(참조)'!$A$6:$A$177,0))</f>
        <v>-</v>
      </c>
      <c r="E207" s="55">
        <f>INDEX('4-6 매출-다운로드 비교(참조)'!$C$6:$C$177,MATCH($A207,'4-6 매출-다운로드 비교(참조)'!$A$6:$A$177,0))</f>
        <v>44</v>
      </c>
      <c r="F207" s="53" t="str">
        <f>INDEX('4-6 매출-다운로드 비교(참조)'!$H$6:$H$177,MATCH($A207,'4-6 매출-다운로드 비교(참조)'!$A$6:$A$177,0))</f>
        <v>④ 둘 다 기준 밖</v>
      </c>
      <c r="G207" s="55" t="str">
        <f t="shared" ref="G207:G238" si="26">IF(OR(ISNUMBER(D207),F207="③ 다운로드만 높음"),"후보","후보 아님")</f>
        <v>후보 아님</v>
      </c>
      <c r="H207" s="55" t="str">
        <f t="shared" ref="H207:H238" si="27">IF(G207&lt;&gt;"후보","",IFERROR(INDEX($H$18:$H$54,MATCH(K207,$K$18:$K$54,0)),""))</f>
        <v/>
      </c>
      <c r="I207" s="55" t="str">
        <f t="shared" ref="I207:I238" si="28">IF(G207&lt;&gt;"후보","-",IFERROR(INDEX($I$18:$I$54,MATCH(K207,$K$18:$K$54,0)),"판단 보류"))</f>
        <v>-</v>
      </c>
      <c r="J207" s="53"/>
      <c r="K207" s="53" t="str">
        <f t="shared" ref="K207:K238" si="29">B207&amp;"|"&amp;C207</f>
        <v>퍼즐|로직·두뇌 트릭</v>
      </c>
    </row>
    <row r="208" spans="1:11">
      <c r="A208" s="82" t="s">
        <v>975</v>
      </c>
      <c r="B208" s="53" t="str">
        <f>IFERROR(INDEX('4-5 매출 Top100(참조)'!$D$2:$D$101,MATCH($A208,'4-5 매출 Top100(참조)'!$B$2:$B$101,0)),IFERROR(INDEX('4-4 Google Play Top100(참조)'!$D$2:$D$101,MATCH($A208,'4-4 Google Play Top100(참조)'!$B$2:$B$101,0)),"확인 불가"))</f>
        <v>퍼즐</v>
      </c>
      <c r="C208" s="53" t="str">
        <f>IFERROR(INDEX('4-5 매출 Top100(참조)'!$E$2:$E$101,MATCH($A208,'4-5 매출 Top100(참조)'!$B$2:$B$101,0)),IFERROR(INDEX('4-4 Google Play Top100(참조)'!$E$2:$E$101,MATCH($A208,'4-4 Google Play Top100(참조)'!$B$2:$B$101,0)),"-"))</f>
        <v>정렬·잼</v>
      </c>
      <c r="D208" s="55" t="str">
        <f>INDEX('4-6 매출-다운로드 비교(참조)'!$B$6:$B$177,MATCH($A208,'4-6 매출-다운로드 비교(참조)'!$A$6:$A$177,0))</f>
        <v>-</v>
      </c>
      <c r="E208" s="55">
        <f>INDEX('4-6 매출-다운로드 비교(참조)'!$C$6:$C$177,MATCH($A208,'4-6 매출-다운로드 비교(참조)'!$A$6:$A$177,0))</f>
        <v>45</v>
      </c>
      <c r="F208" s="53" t="str">
        <f>INDEX('4-6 매출-다운로드 비교(참조)'!$H$6:$H$177,MATCH($A208,'4-6 매출-다운로드 비교(참조)'!$A$6:$A$177,0))</f>
        <v>④ 둘 다 기준 밖</v>
      </c>
      <c r="G208" s="55" t="str">
        <f t="shared" si="26"/>
        <v>후보 아님</v>
      </c>
      <c r="H208" s="55" t="str">
        <f t="shared" si="27"/>
        <v/>
      </c>
      <c r="I208" s="55" t="str">
        <f t="shared" si="28"/>
        <v>-</v>
      </c>
      <c r="J208" s="53"/>
      <c r="K208" s="53" t="str">
        <f t="shared" si="29"/>
        <v>퍼즐|정렬·잼</v>
      </c>
    </row>
    <row r="209" spans="1:11">
      <c r="A209" s="82" t="s">
        <v>976</v>
      </c>
      <c r="B209" s="53" t="str">
        <f>IFERROR(INDEX('4-5 매출 Top100(참조)'!$D$2:$D$101,MATCH($A209,'4-5 매출 Top100(참조)'!$B$2:$B$101,0)),IFERROR(INDEX('4-4 Google Play Top100(참조)'!$D$2:$D$101,MATCH($A209,'4-4 Google Play Top100(참조)'!$B$2:$B$101,0)),"확인 불가"))</f>
        <v>카드·보드·카지노</v>
      </c>
      <c r="C209" s="53" t="str">
        <f>IFERROR(INDEX('4-5 매출 Top100(참조)'!$E$2:$E$101,MATCH($A209,'4-5 매출 Top100(참조)'!$B$2:$B$101,0)),IFERROR(INDEX('4-4 Google Play Top100(참조)'!$E$2:$E$101,MATCH($A209,'4-4 Google Play Top100(참조)'!$B$2:$B$101,0)),"-"))</f>
        <v>솔리테어</v>
      </c>
      <c r="D209" s="55" t="str">
        <f>INDEX('4-6 매출-다운로드 비교(참조)'!$B$6:$B$177,MATCH($A209,'4-6 매출-다운로드 비교(참조)'!$A$6:$A$177,0))</f>
        <v>-</v>
      </c>
      <c r="E209" s="55">
        <f>INDEX('4-6 매출-다운로드 비교(참조)'!$C$6:$C$177,MATCH($A209,'4-6 매출-다운로드 비교(참조)'!$A$6:$A$177,0))</f>
        <v>46</v>
      </c>
      <c r="F209" s="53" t="str">
        <f>INDEX('4-6 매출-다운로드 비교(참조)'!$H$6:$H$177,MATCH($A209,'4-6 매출-다운로드 비교(참조)'!$A$6:$A$177,0))</f>
        <v>④ 둘 다 기준 밖</v>
      </c>
      <c r="G209" s="55" t="str">
        <f t="shared" si="26"/>
        <v>후보 아님</v>
      </c>
      <c r="H209" s="55" t="str">
        <f t="shared" si="27"/>
        <v/>
      </c>
      <c r="I209" s="55" t="str">
        <f t="shared" si="28"/>
        <v>-</v>
      </c>
      <c r="J209" s="53"/>
      <c r="K209" s="53" t="str">
        <f t="shared" si="29"/>
        <v>카드·보드·카지노|솔리테어</v>
      </c>
    </row>
    <row r="210" spans="1:11">
      <c r="A210" s="82" t="s">
        <v>977</v>
      </c>
      <c r="B210" s="53" t="str">
        <f>IFERROR(INDEX('4-5 매출 Top100(참조)'!$D$2:$D$101,MATCH($A210,'4-5 매출 Top100(참조)'!$B$2:$B$101,0)),IFERROR(INDEX('4-4 Google Play Top100(참조)'!$D$2:$D$101,MATCH($A210,'4-4 Google Play Top100(참조)'!$B$2:$B$101,0)),"확인 불가"))</f>
        <v>하이퍼·하이브리드 캐주얼</v>
      </c>
      <c r="C210" s="53" t="str">
        <f>IFERROR(INDEX('4-5 매출 Top100(참조)'!$E$2:$E$101,MATCH($A210,'4-5 매출 Top100(참조)'!$B$2:$B$101,0)),IFERROR(INDEX('4-4 Google Play Top100(참조)'!$E$2:$E$101,MATCH($A210,'4-4 Google Play Top100(참조)'!$B$2:$B$101,0)),"-"))</f>
        <v>아케이드</v>
      </c>
      <c r="D210" s="55" t="str">
        <f>INDEX('4-6 매출-다운로드 비교(참조)'!$B$6:$B$177,MATCH($A210,'4-6 매출-다운로드 비교(참조)'!$A$6:$A$177,0))</f>
        <v>-</v>
      </c>
      <c r="E210" s="55">
        <f>INDEX('4-6 매출-다운로드 비교(참조)'!$C$6:$C$177,MATCH($A210,'4-6 매출-다운로드 비교(참조)'!$A$6:$A$177,0))</f>
        <v>50</v>
      </c>
      <c r="F210" s="53" t="str">
        <f>INDEX('4-6 매출-다운로드 비교(참조)'!$H$6:$H$177,MATCH($A210,'4-6 매출-다운로드 비교(참조)'!$A$6:$A$177,0))</f>
        <v>④ 둘 다 기준 밖</v>
      </c>
      <c r="G210" s="55" t="str">
        <f t="shared" si="26"/>
        <v>후보 아님</v>
      </c>
      <c r="H210" s="55" t="str">
        <f t="shared" si="27"/>
        <v/>
      </c>
      <c r="I210" s="55" t="str">
        <f t="shared" si="28"/>
        <v>-</v>
      </c>
      <c r="J210" s="53"/>
      <c r="K210" s="53" t="str">
        <f t="shared" si="29"/>
        <v>하이퍼·하이브리드 캐주얼|아케이드</v>
      </c>
    </row>
    <row r="211" spans="1:11">
      <c r="A211" s="82" t="s">
        <v>978</v>
      </c>
      <c r="B211" s="53" t="str">
        <f>IFERROR(INDEX('4-5 매출 Top100(참조)'!$D$2:$D$101,MATCH($A211,'4-5 매출 Top100(참조)'!$B$2:$B$101,0)),IFERROR(INDEX('4-4 Google Play Top100(참조)'!$D$2:$D$101,MATCH($A211,'4-4 Google Play Top100(참조)'!$B$2:$B$101,0)),"확인 불가"))</f>
        <v>RPG</v>
      </c>
      <c r="C211" s="53" t="str">
        <f>IFERROR(INDEX('4-5 매출 Top100(참조)'!$E$2:$E$101,MATCH($A211,'4-5 매출 Top100(참조)'!$B$2:$B$101,0)),IFERROR(INDEX('4-4 Google Play Top100(참조)'!$E$2:$E$101,MATCH($A211,'4-4 Google Play Top100(참조)'!$B$2:$B$101,0)),"-"))</f>
        <v>방치형 슈터</v>
      </c>
      <c r="D211" s="55" t="str">
        <f>INDEX('4-6 매출-다운로드 비교(참조)'!$B$6:$B$177,MATCH($A211,'4-6 매출-다운로드 비교(참조)'!$A$6:$A$177,0))</f>
        <v>-</v>
      </c>
      <c r="E211" s="55">
        <f>INDEX('4-6 매출-다운로드 비교(참조)'!$C$6:$C$177,MATCH($A211,'4-6 매출-다운로드 비교(참조)'!$A$6:$A$177,0))</f>
        <v>51</v>
      </c>
      <c r="F211" s="53" t="str">
        <f>INDEX('4-6 매출-다운로드 비교(참조)'!$H$6:$H$177,MATCH($A211,'4-6 매출-다운로드 비교(참조)'!$A$6:$A$177,0))</f>
        <v>④ 둘 다 기준 밖</v>
      </c>
      <c r="G211" s="55" t="str">
        <f t="shared" si="26"/>
        <v>후보 아님</v>
      </c>
      <c r="H211" s="55" t="str">
        <f t="shared" si="27"/>
        <v/>
      </c>
      <c r="I211" s="55" t="str">
        <f t="shared" si="28"/>
        <v>-</v>
      </c>
      <c r="J211" s="53"/>
      <c r="K211" s="53" t="str">
        <f t="shared" si="29"/>
        <v>RPG|방치형 슈터</v>
      </c>
    </row>
    <row r="212" spans="1:11">
      <c r="A212" s="82" t="s">
        <v>979</v>
      </c>
      <c r="B212" s="53" t="str">
        <f>IFERROR(INDEX('4-5 매출 Top100(참조)'!$D$2:$D$101,MATCH($A212,'4-5 매출 Top100(참조)'!$B$2:$B$101,0)),IFERROR(INDEX('4-4 Google Play Top100(참조)'!$D$2:$D$101,MATCH($A212,'4-4 Google Play Top100(참조)'!$B$2:$B$101,0)),"확인 불가"))</f>
        <v>하이퍼·하이브리드 캐주얼</v>
      </c>
      <c r="C212" s="53" t="str">
        <f>IFERROR(INDEX('4-5 매출 Top100(참조)'!$E$2:$E$101,MATCH($A212,'4-5 매출 Top100(참조)'!$B$2:$B$101,0)),IFERROR(INDEX('4-4 Google Play Top100(참조)'!$E$2:$E$101,MATCH($A212,'4-4 Google Play Top100(참조)'!$B$2:$B$101,0)),"-"))</f>
        <v>러너</v>
      </c>
      <c r="D212" s="55" t="str">
        <f>INDEX('4-6 매출-다운로드 비교(참조)'!$B$6:$B$177,MATCH($A212,'4-6 매출-다운로드 비교(참조)'!$A$6:$A$177,0))</f>
        <v>-</v>
      </c>
      <c r="E212" s="55">
        <f>INDEX('4-6 매출-다운로드 비교(참조)'!$C$6:$C$177,MATCH($A212,'4-6 매출-다운로드 비교(참조)'!$A$6:$A$177,0))</f>
        <v>52</v>
      </c>
      <c r="F212" s="53" t="str">
        <f>INDEX('4-6 매출-다운로드 비교(참조)'!$H$6:$H$177,MATCH($A212,'4-6 매출-다운로드 비교(참조)'!$A$6:$A$177,0))</f>
        <v>④ 둘 다 기준 밖</v>
      </c>
      <c r="G212" s="55" t="str">
        <f t="shared" si="26"/>
        <v>후보 아님</v>
      </c>
      <c r="H212" s="55" t="str">
        <f t="shared" si="27"/>
        <v/>
      </c>
      <c r="I212" s="55" t="str">
        <f t="shared" si="28"/>
        <v>-</v>
      </c>
      <c r="J212" s="53"/>
      <c r="K212" s="53" t="str">
        <f t="shared" si="29"/>
        <v>하이퍼·하이브리드 캐주얼|러너</v>
      </c>
    </row>
    <row r="213" spans="1:11">
      <c r="A213" s="82" t="s">
        <v>980</v>
      </c>
      <c r="B213" s="53" t="str">
        <f>IFERROR(INDEX('4-5 매출 Top100(참조)'!$D$2:$D$101,MATCH($A213,'4-5 매출 Top100(참조)'!$B$2:$B$101,0)),IFERROR(INDEX('4-4 Google Play Top100(참조)'!$D$2:$D$101,MATCH($A213,'4-4 Google Play Top100(참조)'!$B$2:$B$101,0)),"확인 불가"))</f>
        <v>퍼즐</v>
      </c>
      <c r="C213" s="53" t="str">
        <f>IFERROR(INDEX('4-5 매출 Top100(참조)'!$E$2:$E$101,MATCH($A213,'4-5 매출 Top100(참조)'!$B$2:$B$101,0)),IFERROR(INDEX('4-4 Google Play Top100(참조)'!$E$2:$E$101,MATCH($A213,'4-4 Google Play Top100(참조)'!$B$2:$B$101,0)),"-"))</f>
        <v>워드</v>
      </c>
      <c r="D213" s="55" t="str">
        <f>INDEX('4-6 매출-다운로드 비교(참조)'!$B$6:$B$177,MATCH($A213,'4-6 매출-다운로드 비교(참조)'!$A$6:$A$177,0))</f>
        <v>-</v>
      </c>
      <c r="E213" s="55">
        <f>INDEX('4-6 매출-다운로드 비교(참조)'!$C$6:$C$177,MATCH($A213,'4-6 매출-다운로드 비교(참조)'!$A$6:$A$177,0))</f>
        <v>53</v>
      </c>
      <c r="F213" s="53" t="str">
        <f>INDEX('4-6 매출-다운로드 비교(참조)'!$H$6:$H$177,MATCH($A213,'4-6 매출-다운로드 비교(참조)'!$A$6:$A$177,0))</f>
        <v>④ 둘 다 기준 밖</v>
      </c>
      <c r="G213" s="55" t="str">
        <f t="shared" si="26"/>
        <v>후보 아님</v>
      </c>
      <c r="H213" s="55" t="str">
        <f t="shared" si="27"/>
        <v/>
      </c>
      <c r="I213" s="55" t="str">
        <f t="shared" si="28"/>
        <v>-</v>
      </c>
      <c r="J213" s="53"/>
      <c r="K213" s="53" t="str">
        <f t="shared" si="29"/>
        <v>퍼즐|워드</v>
      </c>
    </row>
    <row r="214" spans="1:11">
      <c r="A214" s="82" t="s">
        <v>981</v>
      </c>
      <c r="B214" s="53" t="str">
        <f>IFERROR(INDEX('4-5 매출 Top100(참조)'!$D$2:$D$101,MATCH($A214,'4-5 매출 Top100(참조)'!$B$2:$B$101,0)),IFERROR(INDEX('4-4 Google Play Top100(참조)'!$D$2:$D$101,MATCH($A214,'4-4 Google Play Top100(참조)'!$B$2:$B$101,0)),"확인 불가"))</f>
        <v>하이퍼·하이브리드 캐주얼</v>
      </c>
      <c r="C214" s="53" t="str">
        <f>IFERROR(INDEX('4-5 매출 Top100(참조)'!$E$2:$E$101,MATCH($A214,'4-5 매출 Top100(참조)'!$B$2:$B$101,0)),IFERROR(INDEX('4-4 Google Play Top100(참조)'!$E$2:$E$101,MATCH($A214,'4-4 Google Play Top100(참조)'!$B$2:$B$101,0)),"-"))</f>
        <v>아케이드</v>
      </c>
      <c r="D214" s="55" t="str">
        <f>INDEX('4-6 매출-다운로드 비교(참조)'!$B$6:$B$177,MATCH($A214,'4-6 매출-다운로드 비교(참조)'!$A$6:$A$177,0))</f>
        <v>-</v>
      </c>
      <c r="E214" s="55">
        <f>INDEX('4-6 매출-다운로드 비교(참조)'!$C$6:$C$177,MATCH($A214,'4-6 매출-다운로드 비교(참조)'!$A$6:$A$177,0))</f>
        <v>54</v>
      </c>
      <c r="F214" s="53" t="str">
        <f>INDEX('4-6 매출-다운로드 비교(참조)'!$H$6:$H$177,MATCH($A214,'4-6 매출-다운로드 비교(참조)'!$A$6:$A$177,0))</f>
        <v>④ 둘 다 기준 밖</v>
      </c>
      <c r="G214" s="55" t="str">
        <f t="shared" si="26"/>
        <v>후보 아님</v>
      </c>
      <c r="H214" s="55" t="str">
        <f t="shared" si="27"/>
        <v/>
      </c>
      <c r="I214" s="55" t="str">
        <f t="shared" si="28"/>
        <v>-</v>
      </c>
      <c r="J214" s="53"/>
      <c r="K214" s="53" t="str">
        <f t="shared" si="29"/>
        <v>하이퍼·하이브리드 캐주얼|아케이드</v>
      </c>
    </row>
    <row r="215" spans="1:11">
      <c r="A215" s="82" t="s">
        <v>982</v>
      </c>
      <c r="B215" s="53" t="str">
        <f>IFERROR(INDEX('4-5 매출 Top100(참조)'!$D$2:$D$101,MATCH($A215,'4-5 매출 Top100(참조)'!$B$2:$B$101,0)),IFERROR(INDEX('4-4 Google Play Top100(참조)'!$D$2:$D$101,MATCH($A215,'4-4 Google Play Top100(참조)'!$B$2:$B$101,0)),"확인 불가"))</f>
        <v>퍼즐</v>
      </c>
      <c r="C215" s="53" t="str">
        <f>IFERROR(INDEX('4-5 매출 Top100(참조)'!$E$2:$E$101,MATCH($A215,'4-5 매출 Top100(참조)'!$B$2:$B$101,0)),IFERROR(INDEX('4-4 Google Play Top100(참조)'!$E$2:$E$101,MATCH($A215,'4-4 Google Play Top100(참조)'!$B$2:$B$101,0)),"-"))</f>
        <v>타일·마작·트리플 매치</v>
      </c>
      <c r="D215" s="55" t="str">
        <f>INDEX('4-6 매출-다운로드 비교(참조)'!$B$6:$B$177,MATCH($A215,'4-6 매출-다운로드 비교(참조)'!$A$6:$A$177,0))</f>
        <v>-</v>
      </c>
      <c r="E215" s="55">
        <f>INDEX('4-6 매출-다운로드 비교(참조)'!$C$6:$C$177,MATCH($A215,'4-6 매출-다운로드 비교(참조)'!$A$6:$A$177,0))</f>
        <v>55</v>
      </c>
      <c r="F215" s="53" t="str">
        <f>INDEX('4-6 매출-다운로드 비교(참조)'!$H$6:$H$177,MATCH($A215,'4-6 매출-다운로드 비교(참조)'!$A$6:$A$177,0))</f>
        <v>④ 둘 다 기준 밖</v>
      </c>
      <c r="G215" s="55" t="str">
        <f t="shared" si="26"/>
        <v>후보 아님</v>
      </c>
      <c r="H215" s="55" t="str">
        <f t="shared" si="27"/>
        <v/>
      </c>
      <c r="I215" s="55" t="str">
        <f t="shared" si="28"/>
        <v>-</v>
      </c>
      <c r="J215" s="53"/>
      <c r="K215" s="53" t="str">
        <f t="shared" si="29"/>
        <v>퍼즐|타일·마작·트리플 매치</v>
      </c>
    </row>
    <row r="216" spans="1:11">
      <c r="A216" s="82" t="s">
        <v>983</v>
      </c>
      <c r="B216" s="53" t="str">
        <f>IFERROR(INDEX('4-5 매출 Top100(참조)'!$D$2:$D$101,MATCH($A216,'4-5 매출 Top100(참조)'!$B$2:$B$101,0)),IFERROR(INDEX('4-4 Google Play Top100(참조)'!$D$2:$D$101,MATCH($A216,'4-4 Google Play Top100(참조)'!$B$2:$B$101,0)),"확인 불가"))</f>
        <v>퍼즐</v>
      </c>
      <c r="C216" s="53" t="str">
        <f>IFERROR(INDEX('4-5 매출 Top100(참조)'!$E$2:$E$101,MATCH($A216,'4-5 매출 Top100(참조)'!$B$2:$B$101,0)),IFERROR(INDEX('4-4 Google Play Top100(참조)'!$E$2:$E$101,MATCH($A216,'4-4 Google Play Top100(참조)'!$B$2:$B$101,0)),"-"))</f>
        <v>숨은그림</v>
      </c>
      <c r="D216" s="55" t="str">
        <f>INDEX('4-6 매출-다운로드 비교(참조)'!$B$6:$B$177,MATCH($A216,'4-6 매출-다운로드 비교(참조)'!$A$6:$A$177,0))</f>
        <v>-</v>
      </c>
      <c r="E216" s="55">
        <f>INDEX('4-6 매출-다운로드 비교(참조)'!$C$6:$C$177,MATCH($A216,'4-6 매출-다운로드 비교(참조)'!$A$6:$A$177,0))</f>
        <v>56</v>
      </c>
      <c r="F216" s="53" t="str">
        <f>INDEX('4-6 매출-다운로드 비교(참조)'!$H$6:$H$177,MATCH($A216,'4-6 매출-다운로드 비교(참조)'!$A$6:$A$177,0))</f>
        <v>④ 둘 다 기준 밖</v>
      </c>
      <c r="G216" s="55" t="str">
        <f t="shared" si="26"/>
        <v>후보 아님</v>
      </c>
      <c r="H216" s="55" t="str">
        <f t="shared" si="27"/>
        <v/>
      </c>
      <c r="I216" s="55" t="str">
        <f t="shared" si="28"/>
        <v>-</v>
      </c>
      <c r="J216" s="53"/>
      <c r="K216" s="53" t="str">
        <f t="shared" si="29"/>
        <v>퍼즐|숨은그림</v>
      </c>
    </row>
    <row r="217" spans="1:11">
      <c r="A217" s="82" t="s">
        <v>984</v>
      </c>
      <c r="B217" s="53" t="str">
        <f>IFERROR(INDEX('4-5 매출 Top100(참조)'!$D$2:$D$101,MATCH($A217,'4-5 매출 Top100(참조)'!$B$2:$B$101,0)),IFERROR(INDEX('4-4 Google Play Top100(참조)'!$D$2:$D$101,MATCH($A217,'4-4 Google Play Top100(참조)'!$B$2:$B$101,0)),"확인 불가"))</f>
        <v>퍼즐</v>
      </c>
      <c r="C217" s="53" t="str">
        <f>IFERROR(INDEX('4-5 매출 Top100(참조)'!$E$2:$E$101,MATCH($A217,'4-5 매출 Top100(참조)'!$B$2:$B$101,0)),IFERROR(INDEX('4-4 Google Play Top100(참조)'!$E$2:$E$101,MATCH($A217,'4-4 Google Play Top100(참조)'!$B$2:$B$101,0)),"-"))</f>
        <v>픽셀·컬러 아트</v>
      </c>
      <c r="D217" s="55" t="str">
        <f>INDEX('4-6 매출-다운로드 비교(참조)'!$B$6:$B$177,MATCH($A217,'4-6 매출-다운로드 비교(참조)'!$A$6:$A$177,0))</f>
        <v>-</v>
      </c>
      <c r="E217" s="55">
        <f>INDEX('4-6 매출-다운로드 비교(참조)'!$C$6:$C$177,MATCH($A217,'4-6 매출-다운로드 비교(참조)'!$A$6:$A$177,0))</f>
        <v>57</v>
      </c>
      <c r="F217" s="53" t="str">
        <f>INDEX('4-6 매출-다운로드 비교(참조)'!$H$6:$H$177,MATCH($A217,'4-6 매출-다운로드 비교(참조)'!$A$6:$A$177,0))</f>
        <v>④ 둘 다 기준 밖</v>
      </c>
      <c r="G217" s="55" t="str">
        <f t="shared" si="26"/>
        <v>후보 아님</v>
      </c>
      <c r="H217" s="55" t="str">
        <f t="shared" si="27"/>
        <v/>
      </c>
      <c r="I217" s="55" t="str">
        <f t="shared" si="28"/>
        <v>-</v>
      </c>
      <c r="J217" s="53"/>
      <c r="K217" s="53" t="str">
        <f t="shared" si="29"/>
        <v>퍼즐|픽셀·컬러 아트</v>
      </c>
    </row>
    <row r="218" spans="1:11">
      <c r="A218" s="82" t="s">
        <v>985</v>
      </c>
      <c r="B218" s="53" t="str">
        <f>IFERROR(INDEX('4-5 매출 Top100(참조)'!$D$2:$D$101,MATCH($A218,'4-5 매출 Top100(참조)'!$B$2:$B$101,0)),IFERROR(INDEX('4-4 Google Play Top100(참조)'!$D$2:$D$101,MATCH($A218,'4-4 Google Play Top100(참조)'!$B$2:$B$101,0)),"확인 불가"))</f>
        <v>액션·슈팅</v>
      </c>
      <c r="C218" s="53" t="str">
        <f>IFERROR(INDEX('4-5 매출 Top100(참조)'!$E$2:$E$101,MATCH($A218,'4-5 매출 Top100(참조)'!$B$2:$B$101,0)),IFERROR(INDEX('4-4 Google Play Top100(참조)'!$E$2:$E$101,MATCH($A218,'4-4 Google Play Top100(참조)'!$B$2:$B$101,0)),"-"))</f>
        <v>스나이퍼</v>
      </c>
      <c r="D218" s="55" t="str">
        <f>INDEX('4-6 매출-다운로드 비교(참조)'!$B$6:$B$177,MATCH($A218,'4-6 매출-다운로드 비교(참조)'!$A$6:$A$177,0))</f>
        <v>-</v>
      </c>
      <c r="E218" s="55">
        <f>INDEX('4-6 매출-다운로드 비교(참조)'!$C$6:$C$177,MATCH($A218,'4-6 매출-다운로드 비교(참조)'!$A$6:$A$177,0))</f>
        <v>58</v>
      </c>
      <c r="F218" s="53" t="str">
        <f>INDEX('4-6 매출-다운로드 비교(참조)'!$H$6:$H$177,MATCH($A218,'4-6 매출-다운로드 비교(참조)'!$A$6:$A$177,0))</f>
        <v>④ 둘 다 기준 밖</v>
      </c>
      <c r="G218" s="55" t="str">
        <f t="shared" si="26"/>
        <v>후보 아님</v>
      </c>
      <c r="H218" s="55" t="str">
        <f t="shared" si="27"/>
        <v/>
      </c>
      <c r="I218" s="55" t="str">
        <f t="shared" si="28"/>
        <v>-</v>
      </c>
      <c r="J218" s="53"/>
      <c r="K218" s="53" t="str">
        <f t="shared" si="29"/>
        <v>액션·슈팅|스나이퍼</v>
      </c>
    </row>
    <row r="219" spans="1:11">
      <c r="A219" s="82" t="s">
        <v>986</v>
      </c>
      <c r="B219" s="53" t="str">
        <f>IFERROR(INDEX('4-5 매출 Top100(참조)'!$D$2:$D$101,MATCH($A219,'4-5 매출 Top100(참조)'!$B$2:$B$101,0)),IFERROR(INDEX('4-4 Google Play Top100(참조)'!$D$2:$D$101,MATCH($A219,'4-4 Google Play Top100(참조)'!$B$2:$B$101,0)),"확인 불가"))</f>
        <v>시뮬레이션</v>
      </c>
      <c r="C219" s="53" t="str">
        <f>IFERROR(INDEX('4-5 매출 Top100(참조)'!$E$2:$E$101,MATCH($A219,'4-5 매출 Top100(참조)'!$B$2:$B$101,0)),IFERROR(INDEX('4-4 Google Play Top100(참조)'!$E$2:$E$101,MATCH($A219,'4-4 Google Play Top100(참조)'!$B$2:$B$101,0)),"-"))</f>
        <v>샌드박스</v>
      </c>
      <c r="D219" s="55" t="str">
        <f>INDEX('4-6 매출-다운로드 비교(참조)'!$B$6:$B$177,MATCH($A219,'4-6 매출-다운로드 비교(참조)'!$A$6:$A$177,0))</f>
        <v>-</v>
      </c>
      <c r="E219" s="55">
        <f>INDEX('4-6 매출-다운로드 비교(참조)'!$C$6:$C$177,MATCH($A219,'4-6 매출-다운로드 비교(참조)'!$A$6:$A$177,0))</f>
        <v>59</v>
      </c>
      <c r="F219" s="53" t="str">
        <f>INDEX('4-6 매출-다운로드 비교(참조)'!$H$6:$H$177,MATCH($A219,'4-6 매출-다운로드 비교(참조)'!$A$6:$A$177,0))</f>
        <v>④ 둘 다 기준 밖</v>
      </c>
      <c r="G219" s="55" t="str">
        <f t="shared" si="26"/>
        <v>후보 아님</v>
      </c>
      <c r="H219" s="55" t="str">
        <f t="shared" si="27"/>
        <v/>
      </c>
      <c r="I219" s="55" t="str">
        <f t="shared" si="28"/>
        <v>-</v>
      </c>
      <c r="J219" s="53"/>
      <c r="K219" s="53" t="str">
        <f t="shared" si="29"/>
        <v>시뮬레이션|샌드박스</v>
      </c>
    </row>
    <row r="220" spans="1:11">
      <c r="A220" s="82" t="s">
        <v>987</v>
      </c>
      <c r="B220" s="53" t="str">
        <f>IFERROR(INDEX('4-5 매출 Top100(참조)'!$D$2:$D$101,MATCH($A220,'4-5 매출 Top100(참조)'!$B$2:$B$101,0)),IFERROR(INDEX('4-4 Google Play Top100(참조)'!$D$2:$D$101,MATCH($A220,'4-4 Google Play Top100(참조)'!$B$2:$B$101,0)),"확인 불가"))</f>
        <v>파티·음악</v>
      </c>
      <c r="C220" s="53" t="str">
        <f>IFERROR(INDEX('4-5 매출 Top100(참조)'!$E$2:$E$101,MATCH($A220,'4-5 매출 Top100(참조)'!$B$2:$B$101,0)),IFERROR(INDEX('4-4 Google Play Top100(참조)'!$E$2:$E$101,MATCH($A220,'4-4 Google Play Top100(참조)'!$B$2:$B$101,0)),"-"))</f>
        <v>소셜 디덕션</v>
      </c>
      <c r="D220" s="55" t="str">
        <f>INDEX('4-6 매출-다운로드 비교(참조)'!$B$6:$B$177,MATCH($A220,'4-6 매출-다운로드 비교(참조)'!$A$6:$A$177,0))</f>
        <v>-</v>
      </c>
      <c r="E220" s="55">
        <f>INDEX('4-6 매출-다운로드 비교(참조)'!$C$6:$C$177,MATCH($A220,'4-6 매출-다운로드 비교(참조)'!$A$6:$A$177,0))</f>
        <v>60</v>
      </c>
      <c r="F220" s="53" t="str">
        <f>INDEX('4-6 매출-다운로드 비교(참조)'!$H$6:$H$177,MATCH($A220,'4-6 매출-다운로드 비교(참조)'!$A$6:$A$177,0))</f>
        <v>④ 둘 다 기준 밖</v>
      </c>
      <c r="G220" s="55" t="str">
        <f t="shared" si="26"/>
        <v>후보 아님</v>
      </c>
      <c r="H220" s="55" t="str">
        <f t="shared" si="27"/>
        <v/>
      </c>
      <c r="I220" s="55" t="str">
        <f t="shared" si="28"/>
        <v>-</v>
      </c>
      <c r="J220" s="53"/>
      <c r="K220" s="53" t="str">
        <f t="shared" si="29"/>
        <v>파티·음악|소셜 디덕션</v>
      </c>
    </row>
    <row r="221" spans="1:11">
      <c r="A221" s="82" t="s">
        <v>988</v>
      </c>
      <c r="B221" s="53" t="str">
        <f>IFERROR(INDEX('4-5 매출 Top100(참조)'!$D$2:$D$101,MATCH($A221,'4-5 매출 Top100(참조)'!$B$2:$B$101,0)),IFERROR(INDEX('4-4 Google Play Top100(참조)'!$D$2:$D$101,MATCH($A221,'4-4 Google Play Top100(참조)'!$B$2:$B$101,0)),"확인 불가"))</f>
        <v>퍼즐</v>
      </c>
      <c r="C221" s="53" t="str">
        <f>IFERROR(INDEX('4-5 매출 Top100(참조)'!$E$2:$E$101,MATCH($A221,'4-5 매출 Top100(참조)'!$B$2:$B$101,0)),IFERROR(INDEX('4-4 Google Play Top100(참조)'!$E$2:$E$101,MATCH($A221,'4-4 Google Play Top100(참조)'!$B$2:$B$101,0)),"-"))</f>
        <v>정렬·잼</v>
      </c>
      <c r="D221" s="55" t="str">
        <f>INDEX('4-6 매출-다운로드 비교(참조)'!$B$6:$B$177,MATCH($A221,'4-6 매출-다운로드 비교(참조)'!$A$6:$A$177,0))</f>
        <v>-</v>
      </c>
      <c r="E221" s="55">
        <f>INDEX('4-6 매출-다운로드 비교(참조)'!$C$6:$C$177,MATCH($A221,'4-6 매출-다운로드 비교(참조)'!$A$6:$A$177,0))</f>
        <v>61</v>
      </c>
      <c r="F221" s="53" t="str">
        <f>INDEX('4-6 매출-다운로드 비교(참조)'!$H$6:$H$177,MATCH($A221,'4-6 매출-다운로드 비교(참조)'!$A$6:$A$177,0))</f>
        <v>④ 둘 다 기준 밖</v>
      </c>
      <c r="G221" s="55" t="str">
        <f t="shared" si="26"/>
        <v>후보 아님</v>
      </c>
      <c r="H221" s="55" t="str">
        <f t="shared" si="27"/>
        <v/>
      </c>
      <c r="I221" s="55" t="str">
        <f t="shared" si="28"/>
        <v>-</v>
      </c>
      <c r="J221" s="53"/>
      <c r="K221" s="53" t="str">
        <f t="shared" si="29"/>
        <v>퍼즐|정렬·잼</v>
      </c>
    </row>
    <row r="222" spans="1:11">
      <c r="A222" s="82" t="s">
        <v>989</v>
      </c>
      <c r="B222" s="53" t="str">
        <f>IFERROR(INDEX('4-5 매출 Top100(참조)'!$D$2:$D$101,MATCH($A222,'4-5 매출 Top100(참조)'!$B$2:$B$101,0)),IFERROR(INDEX('4-4 Google Play Top100(참조)'!$D$2:$D$101,MATCH($A222,'4-4 Google Play Top100(참조)'!$B$2:$B$101,0)),"확인 불가"))</f>
        <v>스포츠</v>
      </c>
      <c r="C222" s="53" t="str">
        <f>IFERROR(INDEX('4-5 매출 Top100(참조)'!$E$2:$E$101,MATCH($A222,'4-5 매출 Top100(참조)'!$B$2:$B$101,0)),IFERROR(INDEX('4-4 Google Play Top100(참조)'!$E$2:$E$101,MATCH($A222,'4-4 Google Play Top100(참조)'!$B$2:$B$101,0)),"-"))</f>
        <v>축구</v>
      </c>
      <c r="D222" s="55" t="str">
        <f>INDEX('4-6 매출-다운로드 비교(참조)'!$B$6:$B$177,MATCH($A222,'4-6 매출-다운로드 비교(참조)'!$A$6:$A$177,0))</f>
        <v>-</v>
      </c>
      <c r="E222" s="55">
        <f>INDEX('4-6 매출-다운로드 비교(참조)'!$C$6:$C$177,MATCH($A222,'4-6 매출-다운로드 비교(참조)'!$A$6:$A$177,0))</f>
        <v>64</v>
      </c>
      <c r="F222" s="53" t="str">
        <f>INDEX('4-6 매출-다운로드 비교(참조)'!$H$6:$H$177,MATCH($A222,'4-6 매출-다운로드 비교(참조)'!$A$6:$A$177,0))</f>
        <v>④ 둘 다 기준 밖</v>
      </c>
      <c r="G222" s="55" t="str">
        <f t="shared" si="26"/>
        <v>후보 아님</v>
      </c>
      <c r="H222" s="55" t="str">
        <f t="shared" si="27"/>
        <v/>
      </c>
      <c r="I222" s="55" t="str">
        <f t="shared" si="28"/>
        <v>-</v>
      </c>
      <c r="J222" s="53"/>
      <c r="K222" s="53" t="str">
        <f t="shared" si="29"/>
        <v>스포츠|축구</v>
      </c>
    </row>
    <row r="223" spans="1:11">
      <c r="A223" s="82" t="s">
        <v>990</v>
      </c>
      <c r="B223" s="53" t="str">
        <f>IFERROR(INDEX('4-5 매출 Top100(참조)'!$D$2:$D$101,MATCH($A223,'4-5 매출 Top100(참조)'!$B$2:$B$101,0)),IFERROR(INDEX('4-4 Google Play Top100(참조)'!$D$2:$D$101,MATCH($A223,'4-4 Google Play Top100(참조)'!$B$2:$B$101,0)),"확인 불가"))</f>
        <v>퍼즐</v>
      </c>
      <c r="C223" s="53" t="str">
        <f>IFERROR(INDEX('4-5 매출 Top100(참조)'!$E$2:$E$101,MATCH($A223,'4-5 매출 Top100(참조)'!$B$2:$B$101,0)),IFERROR(INDEX('4-4 Google Play Top100(참조)'!$E$2:$E$101,MATCH($A223,'4-4 Google Play Top100(참조)'!$B$2:$B$101,0)),"-"))</f>
        <v>숨은그림</v>
      </c>
      <c r="D223" s="55" t="str">
        <f>INDEX('4-6 매출-다운로드 비교(참조)'!$B$6:$B$177,MATCH($A223,'4-6 매출-다운로드 비교(참조)'!$A$6:$A$177,0))</f>
        <v>-</v>
      </c>
      <c r="E223" s="55">
        <f>INDEX('4-6 매출-다운로드 비교(참조)'!$C$6:$C$177,MATCH($A223,'4-6 매출-다운로드 비교(참조)'!$A$6:$A$177,0))</f>
        <v>65</v>
      </c>
      <c r="F223" s="53" t="str">
        <f>INDEX('4-6 매출-다운로드 비교(참조)'!$H$6:$H$177,MATCH($A223,'4-6 매출-다운로드 비교(참조)'!$A$6:$A$177,0))</f>
        <v>④ 둘 다 기준 밖</v>
      </c>
      <c r="G223" s="55" t="str">
        <f t="shared" si="26"/>
        <v>후보 아님</v>
      </c>
      <c r="H223" s="55" t="str">
        <f t="shared" si="27"/>
        <v/>
      </c>
      <c r="I223" s="55" t="str">
        <f t="shared" si="28"/>
        <v>-</v>
      </c>
      <c r="J223" s="53"/>
      <c r="K223" s="53" t="str">
        <f t="shared" si="29"/>
        <v>퍼즐|숨은그림</v>
      </c>
    </row>
    <row r="224" spans="1:11">
      <c r="A224" s="82" t="s">
        <v>991</v>
      </c>
      <c r="B224" s="53" t="str">
        <f>IFERROR(INDEX('4-5 매출 Top100(참조)'!$D$2:$D$101,MATCH($A224,'4-5 매출 Top100(참조)'!$B$2:$B$101,0)),IFERROR(INDEX('4-4 Google Play Top100(참조)'!$D$2:$D$101,MATCH($A224,'4-4 Google Play Top100(참조)'!$B$2:$B$101,0)),"확인 불가"))</f>
        <v>RPG</v>
      </c>
      <c r="C224" s="53" t="str">
        <f>IFERROR(INDEX('4-5 매출 Top100(참조)'!$E$2:$E$101,MATCH($A224,'4-5 매출 Top100(참조)'!$B$2:$B$101,0)),IFERROR(INDEX('4-4 Google Play Top100(참조)'!$E$2:$E$101,MATCH($A224,'4-4 Google Play Top100(참조)'!$B$2:$B$101,0)),"-"))</f>
        <v>수집형 오픈월드</v>
      </c>
      <c r="D224" s="55" t="str">
        <f>INDEX('4-6 매출-다운로드 비교(참조)'!$B$6:$B$177,MATCH($A224,'4-6 매출-다운로드 비교(참조)'!$A$6:$A$177,0))</f>
        <v>-</v>
      </c>
      <c r="E224" s="55">
        <f>INDEX('4-6 매출-다운로드 비교(참조)'!$C$6:$C$177,MATCH($A224,'4-6 매출-다운로드 비교(참조)'!$A$6:$A$177,0))</f>
        <v>66</v>
      </c>
      <c r="F224" s="53" t="str">
        <f>INDEX('4-6 매출-다운로드 비교(참조)'!$H$6:$H$177,MATCH($A224,'4-6 매출-다운로드 비교(참조)'!$A$6:$A$177,0))</f>
        <v>④ 둘 다 기준 밖</v>
      </c>
      <c r="G224" s="55" t="str">
        <f t="shared" si="26"/>
        <v>후보 아님</v>
      </c>
      <c r="H224" s="55" t="str">
        <f t="shared" si="27"/>
        <v/>
      </c>
      <c r="I224" s="55" t="str">
        <f t="shared" si="28"/>
        <v>-</v>
      </c>
      <c r="J224" s="53"/>
      <c r="K224" s="53" t="str">
        <f t="shared" si="29"/>
        <v>RPG|수집형 오픈월드</v>
      </c>
    </row>
    <row r="225" spans="1:11">
      <c r="A225" s="82" t="s">
        <v>992</v>
      </c>
      <c r="B225" s="53" t="str">
        <f>IFERROR(INDEX('4-5 매출 Top100(참조)'!$D$2:$D$101,MATCH($A225,'4-5 매출 Top100(참조)'!$B$2:$B$101,0)),IFERROR(INDEX('4-4 Google Play Top100(참조)'!$D$2:$D$101,MATCH($A225,'4-4 Google Play Top100(참조)'!$B$2:$B$101,0)),"확인 불가"))</f>
        <v>하이퍼·하이브리드 캐주얼</v>
      </c>
      <c r="C225" s="53" t="str">
        <f>IFERROR(INDEX('4-5 매출 Top100(참조)'!$E$2:$E$101,MATCH($A225,'4-5 매출 Top100(참조)'!$B$2:$B$101,0)),IFERROR(INDEX('4-4 Google Play Top100(참조)'!$E$2:$E$101,MATCH($A225,'4-4 Google Play Top100(참조)'!$B$2:$B$101,0)),"-"))</f>
        <v>물리 파괴</v>
      </c>
      <c r="D225" s="55" t="str">
        <f>INDEX('4-6 매출-다운로드 비교(참조)'!$B$6:$B$177,MATCH($A225,'4-6 매출-다운로드 비교(참조)'!$A$6:$A$177,0))</f>
        <v>-</v>
      </c>
      <c r="E225" s="55">
        <f>INDEX('4-6 매출-다운로드 비교(참조)'!$C$6:$C$177,MATCH($A225,'4-6 매출-다운로드 비교(참조)'!$A$6:$A$177,0))</f>
        <v>69</v>
      </c>
      <c r="F225" s="53" t="str">
        <f>INDEX('4-6 매출-다운로드 비교(참조)'!$H$6:$H$177,MATCH($A225,'4-6 매출-다운로드 비교(참조)'!$A$6:$A$177,0))</f>
        <v>④ 둘 다 기준 밖</v>
      </c>
      <c r="G225" s="55" t="str">
        <f t="shared" si="26"/>
        <v>후보 아님</v>
      </c>
      <c r="H225" s="55" t="str">
        <f t="shared" si="27"/>
        <v/>
      </c>
      <c r="I225" s="55" t="str">
        <f t="shared" si="28"/>
        <v>-</v>
      </c>
      <c r="J225" s="53"/>
      <c r="K225" s="53" t="str">
        <f t="shared" si="29"/>
        <v>하이퍼·하이브리드 캐주얼|물리 파괴</v>
      </c>
    </row>
    <row r="226" spans="1:11">
      <c r="A226" s="82" t="s">
        <v>993</v>
      </c>
      <c r="B226" s="53" t="str">
        <f>IFERROR(INDEX('4-5 매출 Top100(참조)'!$D$2:$D$101,MATCH($A226,'4-5 매출 Top100(참조)'!$B$2:$B$101,0)),IFERROR(INDEX('4-4 Google Play Top100(참조)'!$D$2:$D$101,MATCH($A226,'4-4 Google Play Top100(참조)'!$B$2:$B$101,0)),"확인 불가"))</f>
        <v>퍼즐</v>
      </c>
      <c r="C226" s="53" t="str">
        <f>IFERROR(INDEX('4-5 매출 Top100(참조)'!$E$2:$E$101,MATCH($A226,'4-5 매출 Top100(참조)'!$B$2:$B$101,0)),IFERROR(INDEX('4-4 Google Play Top100(참조)'!$E$2:$E$101,MATCH($A226,'4-4 Google Play Top100(참조)'!$B$2:$B$101,0)),"-"))</f>
        <v>블록</v>
      </c>
      <c r="D226" s="55" t="str">
        <f>INDEX('4-6 매출-다운로드 비교(참조)'!$B$6:$B$177,MATCH($A226,'4-6 매출-다운로드 비교(참조)'!$A$6:$A$177,0))</f>
        <v>-</v>
      </c>
      <c r="E226" s="55">
        <f>INDEX('4-6 매출-다운로드 비교(참조)'!$C$6:$C$177,MATCH($A226,'4-6 매출-다운로드 비교(참조)'!$A$6:$A$177,0))</f>
        <v>70</v>
      </c>
      <c r="F226" s="53" t="str">
        <f>INDEX('4-6 매출-다운로드 비교(참조)'!$H$6:$H$177,MATCH($A226,'4-6 매출-다운로드 비교(참조)'!$A$6:$A$177,0))</f>
        <v>④ 둘 다 기준 밖</v>
      </c>
      <c r="G226" s="55" t="str">
        <f t="shared" si="26"/>
        <v>후보 아님</v>
      </c>
      <c r="H226" s="55" t="str">
        <f t="shared" si="27"/>
        <v/>
      </c>
      <c r="I226" s="55" t="str">
        <f t="shared" si="28"/>
        <v>-</v>
      </c>
      <c r="J226" s="53"/>
      <c r="K226" s="53" t="str">
        <f t="shared" si="29"/>
        <v>퍼즐|블록</v>
      </c>
    </row>
    <row r="227" spans="1:11">
      <c r="A227" s="82" t="s">
        <v>994</v>
      </c>
      <c r="B227" s="53" t="str">
        <f>IFERROR(INDEX('4-5 매출 Top100(참조)'!$D$2:$D$101,MATCH($A227,'4-5 매출 Top100(참조)'!$B$2:$B$101,0)),IFERROR(INDEX('4-4 Google Play Top100(참조)'!$D$2:$D$101,MATCH($A227,'4-4 Google Play Top100(참조)'!$B$2:$B$101,0)),"확인 불가"))</f>
        <v>퍼즐</v>
      </c>
      <c r="C227" s="53" t="str">
        <f>IFERROR(INDEX('4-5 매출 Top100(참조)'!$E$2:$E$101,MATCH($A227,'4-5 매출 Top100(참조)'!$B$2:$B$101,0)),IFERROR(INDEX('4-4 Google Play Top100(참조)'!$E$2:$E$101,MATCH($A227,'4-4 Google Play Top100(참조)'!$B$2:$B$101,0)),"-"))</f>
        <v>워드</v>
      </c>
      <c r="D227" s="55" t="str">
        <f>INDEX('4-6 매출-다운로드 비교(참조)'!$B$6:$B$177,MATCH($A227,'4-6 매출-다운로드 비교(참조)'!$A$6:$A$177,0))</f>
        <v>-</v>
      </c>
      <c r="E227" s="55">
        <f>INDEX('4-6 매출-다운로드 비교(참조)'!$C$6:$C$177,MATCH($A227,'4-6 매출-다운로드 비교(참조)'!$A$6:$A$177,0))</f>
        <v>71</v>
      </c>
      <c r="F227" s="53" t="str">
        <f>INDEX('4-6 매출-다운로드 비교(참조)'!$H$6:$H$177,MATCH($A227,'4-6 매출-다운로드 비교(참조)'!$A$6:$A$177,0))</f>
        <v>④ 둘 다 기준 밖</v>
      </c>
      <c r="G227" s="55" t="str">
        <f t="shared" si="26"/>
        <v>후보 아님</v>
      </c>
      <c r="H227" s="55" t="str">
        <f t="shared" si="27"/>
        <v/>
      </c>
      <c r="I227" s="55" t="str">
        <f t="shared" si="28"/>
        <v>-</v>
      </c>
      <c r="J227" s="53"/>
      <c r="K227" s="53" t="str">
        <f t="shared" si="29"/>
        <v>퍼즐|워드</v>
      </c>
    </row>
    <row r="228" spans="1:11">
      <c r="A228" s="82" t="s">
        <v>995</v>
      </c>
      <c r="B228" s="53" t="str">
        <f>IFERROR(INDEX('4-5 매출 Top100(참조)'!$D$2:$D$101,MATCH($A228,'4-5 매출 Top100(참조)'!$B$2:$B$101,0)),IFERROR(INDEX('4-4 Google Play Top100(참조)'!$D$2:$D$101,MATCH($A228,'4-4 Google Play Top100(참조)'!$B$2:$B$101,0)),"확인 불가"))</f>
        <v>시뮬레이션</v>
      </c>
      <c r="C228" s="53" t="str">
        <f>IFERROR(INDEX('4-5 매출 Top100(참조)'!$E$2:$E$101,MATCH($A228,'4-5 매출 Top100(참조)'!$B$2:$B$101,0)),IFERROR(INDEX('4-4 Google Play Top100(참조)'!$E$2:$E$101,MATCH($A228,'4-4 Google Play Top100(참조)'!$B$2:$B$101,0)),"-"))</f>
        <v>샌드박스</v>
      </c>
      <c r="D228" s="55" t="str">
        <f>INDEX('4-6 매출-다운로드 비교(참조)'!$B$6:$B$177,MATCH($A228,'4-6 매출-다운로드 비교(참조)'!$A$6:$A$177,0))</f>
        <v>-</v>
      </c>
      <c r="E228" s="55">
        <f>INDEX('4-6 매출-다운로드 비교(참조)'!$C$6:$C$177,MATCH($A228,'4-6 매출-다운로드 비교(참조)'!$A$6:$A$177,0))</f>
        <v>72</v>
      </c>
      <c r="F228" s="53" t="str">
        <f>INDEX('4-6 매출-다운로드 비교(참조)'!$H$6:$H$177,MATCH($A228,'4-6 매출-다운로드 비교(참조)'!$A$6:$A$177,0))</f>
        <v>④ 둘 다 기준 밖</v>
      </c>
      <c r="G228" s="55" t="str">
        <f t="shared" si="26"/>
        <v>후보 아님</v>
      </c>
      <c r="H228" s="55" t="str">
        <f t="shared" si="27"/>
        <v/>
      </c>
      <c r="I228" s="55" t="str">
        <f t="shared" si="28"/>
        <v>-</v>
      </c>
      <c r="J228" s="53"/>
      <c r="K228" s="53" t="str">
        <f t="shared" si="29"/>
        <v>시뮬레이션|샌드박스</v>
      </c>
    </row>
    <row r="229" spans="1:11">
      <c r="A229" s="82" t="s">
        <v>996</v>
      </c>
      <c r="B229" s="53" t="str">
        <f>IFERROR(INDEX('4-5 매출 Top100(참조)'!$D$2:$D$101,MATCH($A229,'4-5 매출 Top100(참조)'!$B$2:$B$101,0)),IFERROR(INDEX('4-4 Google Play Top100(참조)'!$D$2:$D$101,MATCH($A229,'4-4 Google Play Top100(참조)'!$B$2:$B$101,0)),"확인 불가"))</f>
        <v>퍼즐</v>
      </c>
      <c r="C229" s="53" t="str">
        <f>IFERROR(INDEX('4-5 매출 Top100(참조)'!$E$2:$E$101,MATCH($A229,'4-5 매출 Top100(참조)'!$B$2:$B$101,0)),IFERROR(INDEX('4-4 Google Play Top100(참조)'!$E$2:$E$101,MATCH($A229,'4-4 Google Play Top100(참조)'!$B$2:$B$101,0)),"-"))</f>
        <v>타일·마작·트리플 매치</v>
      </c>
      <c r="D229" s="55" t="str">
        <f>INDEX('4-6 매출-다운로드 비교(참조)'!$B$6:$B$177,MATCH($A229,'4-6 매출-다운로드 비교(참조)'!$A$6:$A$177,0))</f>
        <v>-</v>
      </c>
      <c r="E229" s="55">
        <f>INDEX('4-6 매출-다운로드 비교(참조)'!$C$6:$C$177,MATCH($A229,'4-6 매출-다운로드 비교(참조)'!$A$6:$A$177,0))</f>
        <v>74</v>
      </c>
      <c r="F229" s="53" t="str">
        <f>INDEX('4-6 매출-다운로드 비교(참조)'!$H$6:$H$177,MATCH($A229,'4-6 매출-다운로드 비교(참조)'!$A$6:$A$177,0))</f>
        <v>④ 둘 다 기준 밖</v>
      </c>
      <c r="G229" s="55" t="str">
        <f t="shared" si="26"/>
        <v>후보 아님</v>
      </c>
      <c r="H229" s="55" t="str">
        <f t="shared" si="27"/>
        <v/>
      </c>
      <c r="I229" s="55" t="str">
        <f t="shared" si="28"/>
        <v>-</v>
      </c>
      <c r="J229" s="53"/>
      <c r="K229" s="53" t="str">
        <f t="shared" si="29"/>
        <v>퍼즐|타일·마작·트리플 매치</v>
      </c>
    </row>
    <row r="230" spans="1:11">
      <c r="A230" s="82" t="s">
        <v>997</v>
      </c>
      <c r="B230" s="53" t="str">
        <f>IFERROR(INDEX('4-5 매출 Top100(참조)'!$D$2:$D$101,MATCH($A230,'4-5 매출 Top100(참조)'!$B$2:$B$101,0)),IFERROR(INDEX('4-4 Google Play Top100(참조)'!$D$2:$D$101,MATCH($A230,'4-4 Google Play Top100(참조)'!$B$2:$B$101,0)),"확인 불가"))</f>
        <v>퍼즐</v>
      </c>
      <c r="C230" s="53" t="str">
        <f>IFERROR(INDEX('4-5 매출 Top100(참조)'!$E$2:$E$101,MATCH($A230,'4-5 매출 Top100(참조)'!$B$2:$B$101,0)),IFERROR(INDEX('4-4 Google Play Top100(참조)'!$E$2:$E$101,MATCH($A230,'4-4 Google Play Top100(참조)'!$B$2:$B$101,0)),"-"))</f>
        <v>로직·두뇌 트릭</v>
      </c>
      <c r="D230" s="55" t="str">
        <f>INDEX('4-6 매출-다운로드 비교(참조)'!$B$6:$B$177,MATCH($A230,'4-6 매출-다운로드 비교(참조)'!$A$6:$A$177,0))</f>
        <v>-</v>
      </c>
      <c r="E230" s="55">
        <f>INDEX('4-6 매출-다운로드 비교(참조)'!$C$6:$C$177,MATCH($A230,'4-6 매출-다운로드 비교(참조)'!$A$6:$A$177,0))</f>
        <v>75</v>
      </c>
      <c r="F230" s="53" t="str">
        <f>INDEX('4-6 매출-다운로드 비교(참조)'!$H$6:$H$177,MATCH($A230,'4-6 매출-다운로드 비교(참조)'!$A$6:$A$177,0))</f>
        <v>④ 둘 다 기준 밖</v>
      </c>
      <c r="G230" s="55" t="str">
        <f t="shared" si="26"/>
        <v>후보 아님</v>
      </c>
      <c r="H230" s="55" t="str">
        <f t="shared" si="27"/>
        <v/>
      </c>
      <c r="I230" s="55" t="str">
        <f t="shared" si="28"/>
        <v>-</v>
      </c>
      <c r="J230" s="53"/>
      <c r="K230" s="53" t="str">
        <f t="shared" si="29"/>
        <v>퍼즐|로직·두뇌 트릭</v>
      </c>
    </row>
    <row r="231" spans="1:11">
      <c r="A231" s="82" t="s">
        <v>998</v>
      </c>
      <c r="B231" s="53" t="str">
        <f>IFERROR(INDEX('4-5 매출 Top100(참조)'!$D$2:$D$101,MATCH($A231,'4-5 매출 Top100(참조)'!$B$2:$B$101,0)),IFERROR(INDEX('4-4 Google Play Top100(참조)'!$D$2:$D$101,MATCH($A231,'4-4 Google Play Top100(참조)'!$B$2:$B$101,0)),"확인 불가"))</f>
        <v>퍼즐</v>
      </c>
      <c r="C231" s="53" t="str">
        <f>IFERROR(INDEX('4-5 매출 Top100(참조)'!$E$2:$E$101,MATCH($A231,'4-5 매출 Top100(참조)'!$B$2:$B$101,0)),IFERROR(INDEX('4-4 Google Play Top100(참조)'!$E$2:$E$101,MATCH($A231,'4-4 Google Play Top100(참조)'!$B$2:$B$101,0)),"-"))</f>
        <v>머지</v>
      </c>
      <c r="D231" s="55" t="str">
        <f>INDEX('4-6 매출-다운로드 비교(참조)'!$B$6:$B$177,MATCH($A231,'4-6 매출-다운로드 비교(참조)'!$A$6:$A$177,0))</f>
        <v>-</v>
      </c>
      <c r="E231" s="55">
        <f>INDEX('4-6 매출-다운로드 비교(참조)'!$C$6:$C$177,MATCH($A231,'4-6 매출-다운로드 비교(참조)'!$A$6:$A$177,0))</f>
        <v>76</v>
      </c>
      <c r="F231" s="53" t="str">
        <f>INDEX('4-6 매출-다운로드 비교(참조)'!$H$6:$H$177,MATCH($A231,'4-6 매출-다운로드 비교(참조)'!$A$6:$A$177,0))</f>
        <v>④ 둘 다 기준 밖</v>
      </c>
      <c r="G231" s="55" t="str">
        <f t="shared" si="26"/>
        <v>후보 아님</v>
      </c>
      <c r="H231" s="55" t="str">
        <f t="shared" si="27"/>
        <v/>
      </c>
      <c r="I231" s="55" t="str">
        <f t="shared" si="28"/>
        <v>-</v>
      </c>
      <c r="J231" s="53"/>
      <c r="K231" s="53" t="str">
        <f t="shared" si="29"/>
        <v>퍼즐|머지</v>
      </c>
    </row>
    <row r="232" spans="1:11">
      <c r="A232" s="82" t="s">
        <v>999</v>
      </c>
      <c r="B232" s="53" t="str">
        <f>IFERROR(INDEX('4-5 매출 Top100(참조)'!$D$2:$D$101,MATCH($A232,'4-5 매출 Top100(참조)'!$B$2:$B$101,0)),IFERROR(INDEX('4-4 Google Play Top100(참조)'!$D$2:$D$101,MATCH($A232,'4-4 Google Play Top100(참조)'!$B$2:$B$101,0)),"확인 불가"))</f>
        <v>카드·보드·카지노</v>
      </c>
      <c r="C232" s="53" t="str">
        <f>IFERROR(INDEX('4-5 매출 Top100(참조)'!$E$2:$E$101,MATCH($A232,'4-5 매출 Top100(참조)'!$B$2:$B$101,0)),IFERROR(INDEX('4-4 Google Play Top100(참조)'!$E$2:$E$101,MATCH($A232,'4-4 Google Play Top100(참조)'!$B$2:$B$101,0)),"-"))</f>
        <v>솔리테어</v>
      </c>
      <c r="D232" s="55" t="str">
        <f>INDEX('4-6 매출-다운로드 비교(참조)'!$B$6:$B$177,MATCH($A232,'4-6 매출-다운로드 비교(참조)'!$A$6:$A$177,0))</f>
        <v>-</v>
      </c>
      <c r="E232" s="55">
        <f>INDEX('4-6 매출-다운로드 비교(참조)'!$C$6:$C$177,MATCH($A232,'4-6 매출-다운로드 비교(참조)'!$A$6:$A$177,0))</f>
        <v>77</v>
      </c>
      <c r="F232" s="53" t="str">
        <f>INDEX('4-6 매출-다운로드 비교(참조)'!$H$6:$H$177,MATCH($A232,'4-6 매출-다운로드 비교(참조)'!$A$6:$A$177,0))</f>
        <v>④ 둘 다 기준 밖</v>
      </c>
      <c r="G232" s="55" t="str">
        <f t="shared" si="26"/>
        <v>후보 아님</v>
      </c>
      <c r="H232" s="55" t="str">
        <f t="shared" si="27"/>
        <v/>
      </c>
      <c r="I232" s="55" t="str">
        <f t="shared" si="28"/>
        <v>-</v>
      </c>
      <c r="J232" s="53"/>
      <c r="K232" s="53" t="str">
        <f t="shared" si="29"/>
        <v>카드·보드·카지노|솔리테어</v>
      </c>
    </row>
    <row r="233" spans="1:11">
      <c r="A233" s="82" t="s">
        <v>1000</v>
      </c>
      <c r="B233" s="53" t="str">
        <f>IFERROR(INDEX('4-5 매출 Top100(참조)'!$D$2:$D$101,MATCH($A233,'4-5 매출 Top100(참조)'!$B$2:$B$101,0)),IFERROR(INDEX('4-4 Google Play Top100(참조)'!$D$2:$D$101,MATCH($A233,'4-4 Google Play Top100(참조)'!$B$2:$B$101,0)),"확인 불가"))</f>
        <v>퍼즐</v>
      </c>
      <c r="C233" s="53" t="str">
        <f>IFERROR(INDEX('4-5 매출 Top100(참조)'!$E$2:$E$101,MATCH($A233,'4-5 매출 Top100(참조)'!$B$2:$B$101,0)),IFERROR(INDEX('4-4 Google Play Top100(참조)'!$E$2:$E$101,MATCH($A233,'4-4 Google Play Top100(참조)'!$B$2:$B$101,0)),"-"))</f>
        <v>픽셀·컬러 아트</v>
      </c>
      <c r="D233" s="55" t="str">
        <f>INDEX('4-6 매출-다운로드 비교(참조)'!$B$6:$B$177,MATCH($A233,'4-6 매출-다운로드 비교(참조)'!$A$6:$A$177,0))</f>
        <v>-</v>
      </c>
      <c r="E233" s="55">
        <f>INDEX('4-6 매출-다운로드 비교(참조)'!$C$6:$C$177,MATCH($A233,'4-6 매출-다운로드 비교(참조)'!$A$6:$A$177,0))</f>
        <v>78</v>
      </c>
      <c r="F233" s="53" t="str">
        <f>INDEX('4-6 매출-다운로드 비교(참조)'!$H$6:$H$177,MATCH($A233,'4-6 매출-다운로드 비교(참조)'!$A$6:$A$177,0))</f>
        <v>④ 둘 다 기준 밖</v>
      </c>
      <c r="G233" s="55" t="str">
        <f t="shared" si="26"/>
        <v>후보 아님</v>
      </c>
      <c r="H233" s="55" t="str">
        <f t="shared" si="27"/>
        <v/>
      </c>
      <c r="I233" s="55" t="str">
        <f t="shared" si="28"/>
        <v>-</v>
      </c>
      <c r="J233" s="53"/>
      <c r="K233" s="53" t="str">
        <f t="shared" si="29"/>
        <v>퍼즐|픽셀·컬러 아트</v>
      </c>
    </row>
    <row r="234" spans="1:11">
      <c r="A234" s="82" t="s">
        <v>1001</v>
      </c>
      <c r="B234" s="53" t="str">
        <f>IFERROR(INDEX('4-5 매출 Top100(참조)'!$D$2:$D$101,MATCH($A234,'4-5 매출 Top100(참조)'!$B$2:$B$101,0)),IFERROR(INDEX('4-4 Google Play Top100(참조)'!$D$2:$D$101,MATCH($A234,'4-4 Google Play Top100(참조)'!$B$2:$B$101,0)),"확인 불가"))</f>
        <v>하이퍼·하이브리드 캐주얼</v>
      </c>
      <c r="C234" s="53" t="str">
        <f>IFERROR(INDEX('4-5 매출 Top100(참조)'!$E$2:$E$101,MATCH($A234,'4-5 매출 Top100(참조)'!$B$2:$B$101,0)),IFERROR(INDEX('4-4 Google Play Top100(참조)'!$E$2:$E$101,MATCH($A234,'4-4 Google Play Top100(참조)'!$B$2:$B$101,0)),"-"))</f>
        <v>물리 파괴</v>
      </c>
      <c r="D234" s="55" t="str">
        <f>INDEX('4-6 매출-다운로드 비교(참조)'!$B$6:$B$177,MATCH($A234,'4-6 매출-다운로드 비교(참조)'!$A$6:$A$177,0))</f>
        <v>-</v>
      </c>
      <c r="E234" s="55">
        <f>INDEX('4-6 매출-다운로드 비교(참조)'!$C$6:$C$177,MATCH($A234,'4-6 매출-다운로드 비교(참조)'!$A$6:$A$177,0))</f>
        <v>79</v>
      </c>
      <c r="F234" s="53" t="str">
        <f>INDEX('4-6 매출-다운로드 비교(참조)'!$H$6:$H$177,MATCH($A234,'4-6 매출-다운로드 비교(참조)'!$A$6:$A$177,0))</f>
        <v>④ 둘 다 기준 밖</v>
      </c>
      <c r="G234" s="55" t="str">
        <f t="shared" si="26"/>
        <v>후보 아님</v>
      </c>
      <c r="H234" s="55" t="str">
        <f t="shared" si="27"/>
        <v/>
      </c>
      <c r="I234" s="55" t="str">
        <f t="shared" si="28"/>
        <v>-</v>
      </c>
      <c r="J234" s="53"/>
      <c r="K234" s="53" t="str">
        <f t="shared" si="29"/>
        <v>하이퍼·하이브리드 캐주얼|물리 파괴</v>
      </c>
    </row>
    <row r="235" spans="1:11">
      <c r="A235" s="82" t="s">
        <v>1002</v>
      </c>
      <c r="B235" s="53" t="str">
        <f>IFERROR(INDEX('4-5 매출 Top100(참조)'!$D$2:$D$101,MATCH($A235,'4-5 매출 Top100(참조)'!$B$2:$B$101,0)),IFERROR(INDEX('4-4 Google Play Top100(참조)'!$D$2:$D$101,MATCH($A235,'4-4 Google Play Top100(참조)'!$B$2:$B$101,0)),"확인 불가"))</f>
        <v>퍼즐</v>
      </c>
      <c r="C235" s="53" t="str">
        <f>IFERROR(INDEX('4-5 매출 Top100(참조)'!$E$2:$E$101,MATCH($A235,'4-5 매출 Top100(참조)'!$B$2:$B$101,0)),IFERROR(INDEX('4-4 Google Play Top100(참조)'!$E$2:$E$101,MATCH($A235,'4-4 Google Play Top100(참조)'!$B$2:$B$101,0)),"-"))</f>
        <v>정렬·잼</v>
      </c>
      <c r="D235" s="55" t="str">
        <f>INDEX('4-6 매출-다운로드 비교(참조)'!$B$6:$B$177,MATCH($A235,'4-6 매출-다운로드 비교(참조)'!$A$6:$A$177,0))</f>
        <v>-</v>
      </c>
      <c r="E235" s="55">
        <f>INDEX('4-6 매출-다운로드 비교(참조)'!$C$6:$C$177,MATCH($A235,'4-6 매출-다운로드 비교(참조)'!$A$6:$A$177,0))</f>
        <v>81</v>
      </c>
      <c r="F235" s="53" t="str">
        <f>INDEX('4-6 매출-다운로드 비교(참조)'!$H$6:$H$177,MATCH($A235,'4-6 매출-다운로드 비교(참조)'!$A$6:$A$177,0))</f>
        <v>④ 둘 다 기준 밖</v>
      </c>
      <c r="G235" s="55" t="str">
        <f t="shared" si="26"/>
        <v>후보 아님</v>
      </c>
      <c r="H235" s="55" t="str">
        <f t="shared" si="27"/>
        <v/>
      </c>
      <c r="I235" s="55" t="str">
        <f t="shared" si="28"/>
        <v>-</v>
      </c>
      <c r="J235" s="53"/>
      <c r="K235" s="53" t="str">
        <f t="shared" si="29"/>
        <v>퍼즐|정렬·잼</v>
      </c>
    </row>
    <row r="236" spans="1:11">
      <c r="A236" s="82" t="s">
        <v>1003</v>
      </c>
      <c r="B236" s="53" t="str">
        <f>IFERROR(INDEX('4-5 매출 Top100(참조)'!$D$2:$D$101,MATCH($A236,'4-5 매출 Top100(참조)'!$B$2:$B$101,0)),IFERROR(INDEX('4-4 Google Play Top100(참조)'!$D$2:$D$101,MATCH($A236,'4-4 Google Play Top100(참조)'!$B$2:$B$101,0)),"확인 불가"))</f>
        <v>퍼즐</v>
      </c>
      <c r="C236" s="53" t="str">
        <f>IFERROR(INDEX('4-5 매출 Top100(참조)'!$E$2:$E$101,MATCH($A236,'4-5 매출 Top100(참조)'!$B$2:$B$101,0)),IFERROR(INDEX('4-4 Google Play Top100(참조)'!$E$2:$E$101,MATCH($A236,'4-4 Google Play Top100(참조)'!$B$2:$B$101,0)),"-"))</f>
        <v>워드</v>
      </c>
      <c r="D236" s="55" t="str">
        <f>INDEX('4-6 매출-다운로드 비교(참조)'!$B$6:$B$177,MATCH($A236,'4-6 매출-다운로드 비교(참조)'!$A$6:$A$177,0))</f>
        <v>-</v>
      </c>
      <c r="E236" s="55">
        <f>INDEX('4-6 매출-다운로드 비교(참조)'!$C$6:$C$177,MATCH($A236,'4-6 매출-다운로드 비교(참조)'!$A$6:$A$177,0))</f>
        <v>82</v>
      </c>
      <c r="F236" s="53" t="str">
        <f>INDEX('4-6 매출-다운로드 비교(참조)'!$H$6:$H$177,MATCH($A236,'4-6 매출-다운로드 비교(참조)'!$A$6:$A$177,0))</f>
        <v>④ 둘 다 기준 밖</v>
      </c>
      <c r="G236" s="55" t="str">
        <f t="shared" si="26"/>
        <v>후보 아님</v>
      </c>
      <c r="H236" s="55" t="str">
        <f t="shared" si="27"/>
        <v/>
      </c>
      <c r="I236" s="55" t="str">
        <f t="shared" si="28"/>
        <v>-</v>
      </c>
      <c r="J236" s="53"/>
      <c r="K236" s="53" t="str">
        <f t="shared" si="29"/>
        <v>퍼즐|워드</v>
      </c>
    </row>
    <row r="237" spans="1:11">
      <c r="A237" s="82" t="s">
        <v>1004</v>
      </c>
      <c r="B237" s="53" t="str">
        <f>IFERROR(INDEX('4-5 매출 Top100(참조)'!$D$2:$D$101,MATCH($A237,'4-5 매출 Top100(참조)'!$B$2:$B$101,0)),IFERROR(INDEX('4-4 Google Play Top100(참조)'!$D$2:$D$101,MATCH($A237,'4-4 Google Play Top100(참조)'!$B$2:$B$101,0)),"확인 불가"))</f>
        <v>하이퍼·하이브리드 캐주얼</v>
      </c>
      <c r="C237" s="53" t="str">
        <f>IFERROR(INDEX('4-5 매출 Top100(참조)'!$E$2:$E$101,MATCH($A237,'4-5 매출 Top100(참조)'!$B$2:$B$101,0)),IFERROR(INDEX('4-4 Google Play Top100(참조)'!$E$2:$E$101,MATCH($A237,'4-4 Google Play Top100(참조)'!$B$2:$B$101,0)),"-"))</f>
        <v>아케이드</v>
      </c>
      <c r="D237" s="55" t="str">
        <f>INDEX('4-6 매출-다운로드 비교(참조)'!$B$6:$B$177,MATCH($A237,'4-6 매출-다운로드 비교(참조)'!$A$6:$A$177,0))</f>
        <v>-</v>
      </c>
      <c r="E237" s="55">
        <f>INDEX('4-6 매출-다운로드 비교(참조)'!$C$6:$C$177,MATCH($A237,'4-6 매출-다운로드 비교(참조)'!$A$6:$A$177,0))</f>
        <v>84</v>
      </c>
      <c r="F237" s="53" t="str">
        <f>INDEX('4-6 매출-다운로드 비교(참조)'!$H$6:$H$177,MATCH($A237,'4-6 매출-다운로드 비교(참조)'!$A$6:$A$177,0))</f>
        <v>④ 둘 다 기준 밖</v>
      </c>
      <c r="G237" s="55" t="str">
        <f t="shared" si="26"/>
        <v>후보 아님</v>
      </c>
      <c r="H237" s="55" t="str">
        <f t="shared" si="27"/>
        <v/>
      </c>
      <c r="I237" s="55" t="str">
        <f t="shared" si="28"/>
        <v>-</v>
      </c>
      <c r="J237" s="53"/>
      <c r="K237" s="53" t="str">
        <f t="shared" si="29"/>
        <v>하이퍼·하이브리드 캐주얼|아케이드</v>
      </c>
    </row>
    <row r="238" spans="1:11">
      <c r="A238" s="82" t="s">
        <v>1005</v>
      </c>
      <c r="B238" s="53" t="str">
        <f>IFERROR(INDEX('4-5 매출 Top100(참조)'!$D$2:$D$101,MATCH($A238,'4-5 매출 Top100(참조)'!$B$2:$B$101,0)),IFERROR(INDEX('4-4 Google Play Top100(참조)'!$D$2:$D$101,MATCH($A238,'4-4 Google Play Top100(참조)'!$B$2:$B$101,0)),"확인 불가"))</f>
        <v>하이퍼·하이브리드 캐주얼</v>
      </c>
      <c r="C238" s="53" t="str">
        <f>IFERROR(INDEX('4-5 매출 Top100(참조)'!$E$2:$E$101,MATCH($A238,'4-5 매출 Top100(참조)'!$B$2:$B$101,0)),IFERROR(INDEX('4-4 Google Play Top100(참조)'!$E$2:$E$101,MATCH($A238,'4-4 Google Play Top100(참조)'!$B$2:$B$101,0)),"-"))</f>
        <v>러너</v>
      </c>
      <c r="D238" s="55" t="str">
        <f>INDEX('4-6 매출-다운로드 비교(참조)'!$B$6:$B$177,MATCH($A238,'4-6 매출-다운로드 비교(참조)'!$A$6:$A$177,0))</f>
        <v>-</v>
      </c>
      <c r="E238" s="55">
        <f>INDEX('4-6 매출-다운로드 비교(참조)'!$C$6:$C$177,MATCH($A238,'4-6 매출-다운로드 비교(참조)'!$A$6:$A$177,0))</f>
        <v>85</v>
      </c>
      <c r="F238" s="53" t="str">
        <f>INDEX('4-6 매출-다운로드 비교(참조)'!$H$6:$H$177,MATCH($A238,'4-6 매출-다운로드 비교(참조)'!$A$6:$A$177,0))</f>
        <v>④ 둘 다 기준 밖</v>
      </c>
      <c r="G238" s="55" t="str">
        <f t="shared" si="26"/>
        <v>후보 아님</v>
      </c>
      <c r="H238" s="55" t="str">
        <f t="shared" si="27"/>
        <v/>
      </c>
      <c r="I238" s="55" t="str">
        <f t="shared" si="28"/>
        <v>-</v>
      </c>
      <c r="J238" s="53"/>
      <c r="K238" s="53" t="str">
        <f t="shared" si="29"/>
        <v>하이퍼·하이브리드 캐주얼|러너</v>
      </c>
    </row>
    <row r="239" spans="1:11">
      <c r="A239" s="82" t="s">
        <v>1006</v>
      </c>
      <c r="B239" s="53" t="str">
        <f>IFERROR(INDEX('4-5 매출 Top100(참조)'!$D$2:$D$101,MATCH($A239,'4-5 매출 Top100(참조)'!$B$2:$B$101,0)),IFERROR(INDEX('4-4 Google Play Top100(참조)'!$D$2:$D$101,MATCH($A239,'4-4 Google Play Top100(참조)'!$B$2:$B$101,0)),"확인 불가"))</f>
        <v>퍼즐</v>
      </c>
      <c r="C239" s="53" t="str">
        <f>IFERROR(INDEX('4-5 매출 Top100(참조)'!$E$2:$E$101,MATCH($A239,'4-5 매출 Top100(참조)'!$B$2:$B$101,0)),IFERROR(INDEX('4-4 Google Play Top100(참조)'!$E$2:$E$101,MATCH($A239,'4-4 Google Play Top100(참조)'!$B$2:$B$101,0)),"-"))</f>
        <v>기타 퍼즐</v>
      </c>
      <c r="D239" s="55" t="str">
        <f>INDEX('4-6 매출-다운로드 비교(참조)'!$B$6:$B$177,MATCH($A239,'4-6 매출-다운로드 비교(참조)'!$A$6:$A$177,0))</f>
        <v>-</v>
      </c>
      <c r="E239" s="55">
        <f>INDEX('4-6 매출-다운로드 비교(참조)'!$C$6:$C$177,MATCH($A239,'4-6 매출-다운로드 비교(참조)'!$A$6:$A$177,0))</f>
        <v>86</v>
      </c>
      <c r="F239" s="53" t="str">
        <f>INDEX('4-6 매출-다운로드 비교(참조)'!$H$6:$H$177,MATCH($A239,'4-6 매출-다운로드 비교(참조)'!$A$6:$A$177,0))</f>
        <v>④ 둘 다 기준 밖</v>
      </c>
      <c r="G239" s="55" t="str">
        <f t="shared" ref="G239:G270" si="30">IF(OR(ISNUMBER(D239),F239="③ 다운로드만 높음"),"후보","후보 아님")</f>
        <v>후보 아님</v>
      </c>
      <c r="H239" s="55" t="str">
        <f t="shared" ref="H239:H270" si="31">IF(G239&lt;&gt;"후보","",IFERROR(INDEX($H$18:$H$54,MATCH(K239,$K$18:$K$54,0)),""))</f>
        <v/>
      </c>
      <c r="I239" s="55" t="str">
        <f t="shared" ref="I239:I250" si="32">IF(G239&lt;&gt;"후보","-",IFERROR(INDEX($I$18:$I$54,MATCH(K239,$K$18:$K$54,0)),"판단 보류"))</f>
        <v>-</v>
      </c>
      <c r="J239" s="53"/>
      <c r="K239" s="53" t="str">
        <f t="shared" ref="K239:K250" si="33">B239&amp;"|"&amp;C239</f>
        <v>퍼즐|기타 퍼즐</v>
      </c>
    </row>
    <row r="240" spans="1:11">
      <c r="A240" s="82" t="s">
        <v>1007</v>
      </c>
      <c r="B240" s="53" t="str">
        <f>IFERROR(INDEX('4-5 매출 Top100(참조)'!$D$2:$D$101,MATCH($A240,'4-5 매출 Top100(참조)'!$B$2:$B$101,0)),IFERROR(INDEX('4-4 Google Play Top100(참조)'!$D$2:$D$101,MATCH($A240,'4-4 Google Play Top100(참조)'!$B$2:$B$101,0)),"확인 불가"))</f>
        <v>퍼즐</v>
      </c>
      <c r="C240" s="53" t="str">
        <f>IFERROR(INDEX('4-5 매출 Top100(참조)'!$E$2:$E$101,MATCH($A240,'4-5 매출 Top100(참조)'!$B$2:$B$101,0)),IFERROR(INDEX('4-4 Google Play Top100(참조)'!$E$2:$E$101,MATCH($A240,'4-4 Google Play Top100(참조)'!$B$2:$B$101,0)),"-"))</f>
        <v>정렬·잼</v>
      </c>
      <c r="D240" s="55" t="str">
        <f>INDEX('4-6 매출-다운로드 비교(참조)'!$B$6:$B$177,MATCH($A240,'4-6 매출-다운로드 비교(참조)'!$A$6:$A$177,0))</f>
        <v>-</v>
      </c>
      <c r="E240" s="55">
        <f>INDEX('4-6 매출-다운로드 비교(참조)'!$C$6:$C$177,MATCH($A240,'4-6 매출-다운로드 비교(참조)'!$A$6:$A$177,0))</f>
        <v>88</v>
      </c>
      <c r="F240" s="53" t="str">
        <f>INDEX('4-6 매출-다운로드 비교(참조)'!$H$6:$H$177,MATCH($A240,'4-6 매출-다운로드 비교(참조)'!$A$6:$A$177,0))</f>
        <v>④ 둘 다 기준 밖</v>
      </c>
      <c r="G240" s="55" t="str">
        <f t="shared" si="30"/>
        <v>후보 아님</v>
      </c>
      <c r="H240" s="55" t="str">
        <f t="shared" si="31"/>
        <v/>
      </c>
      <c r="I240" s="55" t="str">
        <f t="shared" si="32"/>
        <v>-</v>
      </c>
      <c r="J240" s="53"/>
      <c r="K240" s="53" t="str">
        <f t="shared" si="33"/>
        <v>퍼즐|정렬·잼</v>
      </c>
    </row>
    <row r="241" spans="1:11">
      <c r="A241" s="82" t="s">
        <v>1008</v>
      </c>
      <c r="B241" s="53" t="str">
        <f>IFERROR(INDEX('4-5 매출 Top100(참조)'!$D$2:$D$101,MATCH($A241,'4-5 매출 Top100(참조)'!$B$2:$B$101,0)),IFERROR(INDEX('4-4 Google Play Top100(참조)'!$D$2:$D$101,MATCH($A241,'4-4 Google Play Top100(참조)'!$B$2:$B$101,0)),"확인 불가"))</f>
        <v>시뮬레이션</v>
      </c>
      <c r="C241" s="53" t="str">
        <f>IFERROR(INDEX('4-5 매출 Top100(참조)'!$E$2:$E$101,MATCH($A241,'4-5 매출 Top100(참조)'!$B$2:$B$101,0)),IFERROR(INDEX('4-4 Google Play Top100(참조)'!$E$2:$E$101,MATCH($A241,'4-4 Google Play Top100(참조)'!$B$2:$B$101,0)),"-"))</f>
        <v>샌드박스</v>
      </c>
      <c r="D241" s="55" t="str">
        <f>INDEX('4-6 매출-다운로드 비교(참조)'!$B$6:$B$177,MATCH($A241,'4-6 매출-다운로드 비교(참조)'!$A$6:$A$177,0))</f>
        <v>-</v>
      </c>
      <c r="E241" s="55">
        <f>INDEX('4-6 매출-다운로드 비교(참조)'!$C$6:$C$177,MATCH($A241,'4-6 매출-다운로드 비교(참조)'!$A$6:$A$177,0))</f>
        <v>89</v>
      </c>
      <c r="F241" s="53" t="str">
        <f>INDEX('4-6 매출-다운로드 비교(참조)'!$H$6:$H$177,MATCH($A241,'4-6 매출-다운로드 비교(참조)'!$A$6:$A$177,0))</f>
        <v>④ 둘 다 기준 밖</v>
      </c>
      <c r="G241" s="55" t="str">
        <f t="shared" si="30"/>
        <v>후보 아님</v>
      </c>
      <c r="H241" s="55" t="str">
        <f t="shared" si="31"/>
        <v/>
      </c>
      <c r="I241" s="55" t="str">
        <f t="shared" si="32"/>
        <v>-</v>
      </c>
      <c r="J241" s="53"/>
      <c r="K241" s="53" t="str">
        <f t="shared" si="33"/>
        <v>시뮬레이션|샌드박스</v>
      </c>
    </row>
    <row r="242" spans="1:11">
      <c r="A242" s="82" t="s">
        <v>1009</v>
      </c>
      <c r="B242" s="53" t="str">
        <f>IFERROR(INDEX('4-5 매출 Top100(참조)'!$D$2:$D$101,MATCH($A242,'4-5 매출 Top100(참조)'!$B$2:$B$101,0)),IFERROR(INDEX('4-4 Google Play Top100(참조)'!$D$2:$D$101,MATCH($A242,'4-4 Google Play Top100(참조)'!$B$2:$B$101,0)),"확인 불가"))</f>
        <v>퍼즐</v>
      </c>
      <c r="C242" s="53" t="str">
        <f>IFERROR(INDEX('4-5 매출 Top100(참조)'!$E$2:$E$101,MATCH($A242,'4-5 매출 Top100(참조)'!$B$2:$B$101,0)),IFERROR(INDEX('4-4 Google Play Top100(참조)'!$E$2:$E$101,MATCH($A242,'4-4 Google Play Top100(참조)'!$B$2:$B$101,0)),"-"))</f>
        <v>워드</v>
      </c>
      <c r="D242" s="55" t="str">
        <f>INDEX('4-6 매출-다운로드 비교(참조)'!$B$6:$B$177,MATCH($A242,'4-6 매출-다운로드 비교(참조)'!$A$6:$A$177,0))</f>
        <v>-</v>
      </c>
      <c r="E242" s="55">
        <f>INDEX('4-6 매출-다운로드 비교(참조)'!$C$6:$C$177,MATCH($A242,'4-6 매출-다운로드 비교(참조)'!$A$6:$A$177,0))</f>
        <v>90</v>
      </c>
      <c r="F242" s="53" t="str">
        <f>INDEX('4-6 매출-다운로드 비교(참조)'!$H$6:$H$177,MATCH($A242,'4-6 매출-다운로드 비교(참조)'!$A$6:$A$177,0))</f>
        <v>④ 둘 다 기준 밖</v>
      </c>
      <c r="G242" s="55" t="str">
        <f t="shared" si="30"/>
        <v>후보 아님</v>
      </c>
      <c r="H242" s="55" t="str">
        <f t="shared" si="31"/>
        <v/>
      </c>
      <c r="I242" s="55" t="str">
        <f t="shared" si="32"/>
        <v>-</v>
      </c>
      <c r="J242" s="53"/>
      <c r="K242" s="53" t="str">
        <f t="shared" si="33"/>
        <v>퍼즐|워드</v>
      </c>
    </row>
    <row r="243" spans="1:11">
      <c r="A243" s="82" t="s">
        <v>1010</v>
      </c>
      <c r="B243" s="53" t="str">
        <f>IFERROR(INDEX('4-5 매출 Top100(참조)'!$D$2:$D$101,MATCH($A243,'4-5 매출 Top100(참조)'!$B$2:$B$101,0)),IFERROR(INDEX('4-4 Google Play Top100(참조)'!$D$2:$D$101,MATCH($A243,'4-4 Google Play Top100(참조)'!$B$2:$B$101,0)),"확인 불가"))</f>
        <v>액션·슈팅</v>
      </c>
      <c r="C243" s="53" t="str">
        <f>IFERROR(INDEX('4-5 매출 Top100(참조)'!$E$2:$E$101,MATCH($A243,'4-5 매출 Top100(참조)'!$B$2:$B$101,0)),IFERROR(INDEX('4-4 Google Play Top100(참조)'!$E$2:$E$101,MATCH($A243,'4-4 Google Play Top100(참조)'!$B$2:$B$101,0)),"-"))</f>
        <v>익스트랙션 슈터</v>
      </c>
      <c r="D243" s="55" t="str">
        <f>INDEX('4-6 매출-다운로드 비교(참조)'!$B$6:$B$177,MATCH($A243,'4-6 매출-다운로드 비교(참조)'!$A$6:$A$177,0))</f>
        <v>-</v>
      </c>
      <c r="E243" s="55">
        <f>INDEX('4-6 매출-다운로드 비교(참조)'!$C$6:$C$177,MATCH($A243,'4-6 매출-다운로드 비교(참조)'!$A$6:$A$177,0))</f>
        <v>91</v>
      </c>
      <c r="F243" s="53" t="str">
        <f>INDEX('4-6 매출-다운로드 비교(참조)'!$H$6:$H$177,MATCH($A243,'4-6 매출-다운로드 비교(참조)'!$A$6:$A$177,0))</f>
        <v>④ 둘 다 기준 밖</v>
      </c>
      <c r="G243" s="55" t="str">
        <f t="shared" si="30"/>
        <v>후보 아님</v>
      </c>
      <c r="H243" s="55" t="str">
        <f t="shared" si="31"/>
        <v/>
      </c>
      <c r="I243" s="55" t="str">
        <f t="shared" si="32"/>
        <v>-</v>
      </c>
      <c r="J243" s="53"/>
      <c r="K243" s="53" t="str">
        <f t="shared" si="33"/>
        <v>액션·슈팅|익스트랙션 슈터</v>
      </c>
    </row>
    <row r="244" spans="1:11">
      <c r="A244" s="82" t="s">
        <v>1011</v>
      </c>
      <c r="B244" s="53" t="str">
        <f>IFERROR(INDEX('4-5 매출 Top100(참조)'!$D$2:$D$101,MATCH($A244,'4-5 매출 Top100(참조)'!$B$2:$B$101,0)),IFERROR(INDEX('4-4 Google Play Top100(참조)'!$D$2:$D$101,MATCH($A244,'4-4 Google Play Top100(참조)'!$B$2:$B$101,0)),"확인 불가"))</f>
        <v>퍼즐</v>
      </c>
      <c r="C244" s="53" t="str">
        <f>IFERROR(INDEX('4-5 매출 Top100(참조)'!$E$2:$E$101,MATCH($A244,'4-5 매출 Top100(참조)'!$B$2:$B$101,0)),IFERROR(INDEX('4-4 Google Play Top100(참조)'!$E$2:$E$101,MATCH($A244,'4-4 Google Play Top100(참조)'!$B$2:$B$101,0)),"-"))</f>
        <v>타일·마작·트리플 매치</v>
      </c>
      <c r="D244" s="55" t="str">
        <f>INDEX('4-6 매출-다운로드 비교(참조)'!$B$6:$B$177,MATCH($A244,'4-6 매출-다운로드 비교(참조)'!$A$6:$A$177,0))</f>
        <v>-</v>
      </c>
      <c r="E244" s="55">
        <f>INDEX('4-6 매출-다운로드 비교(참조)'!$C$6:$C$177,MATCH($A244,'4-6 매출-다운로드 비교(참조)'!$A$6:$A$177,0))</f>
        <v>92</v>
      </c>
      <c r="F244" s="53" t="str">
        <f>INDEX('4-6 매출-다운로드 비교(참조)'!$H$6:$H$177,MATCH($A244,'4-6 매출-다운로드 비교(참조)'!$A$6:$A$177,0))</f>
        <v>④ 둘 다 기준 밖</v>
      </c>
      <c r="G244" s="55" t="str">
        <f t="shared" si="30"/>
        <v>후보 아님</v>
      </c>
      <c r="H244" s="55" t="str">
        <f t="shared" si="31"/>
        <v/>
      </c>
      <c r="I244" s="55" t="str">
        <f t="shared" si="32"/>
        <v>-</v>
      </c>
      <c r="J244" s="53"/>
      <c r="K244" s="53" t="str">
        <f t="shared" si="33"/>
        <v>퍼즐|타일·마작·트리플 매치</v>
      </c>
    </row>
    <row r="245" spans="1:11">
      <c r="A245" s="82" t="s">
        <v>1012</v>
      </c>
      <c r="B245" s="53" t="str">
        <f>IFERROR(INDEX('4-5 매출 Top100(참조)'!$D$2:$D$101,MATCH($A245,'4-5 매출 Top100(참조)'!$B$2:$B$101,0)),IFERROR(INDEX('4-4 Google Play Top100(참조)'!$D$2:$D$101,MATCH($A245,'4-4 Google Play Top100(참조)'!$B$2:$B$101,0)),"확인 불가"))</f>
        <v>시뮬레이션</v>
      </c>
      <c r="C245" s="53" t="str">
        <f>IFERROR(INDEX('4-5 매출 Top100(참조)'!$E$2:$E$101,MATCH($A245,'4-5 매출 Top100(참조)'!$B$2:$B$101,0)),IFERROR(INDEX('4-4 Google Play Top100(참조)'!$E$2:$E$101,MATCH($A245,'4-4 Google Play Top100(참조)'!$B$2:$B$101,0)),"-"))</f>
        <v>샌드박스</v>
      </c>
      <c r="D245" s="55" t="str">
        <f>INDEX('4-6 매출-다운로드 비교(참조)'!$B$6:$B$177,MATCH($A245,'4-6 매출-다운로드 비교(참조)'!$A$6:$A$177,0))</f>
        <v>-</v>
      </c>
      <c r="E245" s="55">
        <f>INDEX('4-6 매출-다운로드 비교(참조)'!$C$6:$C$177,MATCH($A245,'4-6 매출-다운로드 비교(참조)'!$A$6:$A$177,0))</f>
        <v>93</v>
      </c>
      <c r="F245" s="53" t="str">
        <f>INDEX('4-6 매출-다운로드 비교(참조)'!$H$6:$H$177,MATCH($A245,'4-6 매출-다운로드 비교(참조)'!$A$6:$A$177,0))</f>
        <v>④ 둘 다 기준 밖</v>
      </c>
      <c r="G245" s="55" t="str">
        <f t="shared" si="30"/>
        <v>후보 아님</v>
      </c>
      <c r="H245" s="55" t="str">
        <f t="shared" si="31"/>
        <v/>
      </c>
      <c r="I245" s="55" t="str">
        <f t="shared" si="32"/>
        <v>-</v>
      </c>
      <c r="J245" s="53"/>
      <c r="K245" s="53" t="str">
        <f t="shared" si="33"/>
        <v>시뮬레이션|샌드박스</v>
      </c>
    </row>
    <row r="246" spans="1:11">
      <c r="A246" s="82" t="s">
        <v>1013</v>
      </c>
      <c r="B246" s="53" t="str">
        <f>IFERROR(INDEX('4-5 매출 Top100(참조)'!$D$2:$D$101,MATCH($A246,'4-5 매출 Top100(참조)'!$B$2:$B$101,0)),IFERROR(INDEX('4-4 Google Play Top100(참조)'!$D$2:$D$101,MATCH($A246,'4-4 Google Play Top100(참조)'!$B$2:$B$101,0)),"확인 불가"))</f>
        <v>퍼즐</v>
      </c>
      <c r="C246" s="53" t="str">
        <f>IFERROR(INDEX('4-5 매출 Top100(참조)'!$E$2:$E$101,MATCH($A246,'4-5 매출 Top100(참조)'!$B$2:$B$101,0)),IFERROR(INDEX('4-4 Google Play Top100(참조)'!$E$2:$E$101,MATCH($A246,'4-4 Google Play Top100(참조)'!$B$2:$B$101,0)),"-"))</f>
        <v>탭 탈출</v>
      </c>
      <c r="D246" s="55" t="str">
        <f>INDEX('4-6 매출-다운로드 비교(참조)'!$B$6:$B$177,MATCH($A246,'4-6 매출-다운로드 비교(참조)'!$A$6:$A$177,0))</f>
        <v>-</v>
      </c>
      <c r="E246" s="55">
        <f>INDEX('4-6 매출-다운로드 비교(참조)'!$C$6:$C$177,MATCH($A246,'4-6 매출-다운로드 비교(참조)'!$A$6:$A$177,0))</f>
        <v>94</v>
      </c>
      <c r="F246" s="53" t="str">
        <f>INDEX('4-6 매출-다운로드 비교(참조)'!$H$6:$H$177,MATCH($A246,'4-6 매출-다운로드 비교(참조)'!$A$6:$A$177,0))</f>
        <v>④ 둘 다 기준 밖</v>
      </c>
      <c r="G246" s="55" t="str">
        <f t="shared" si="30"/>
        <v>후보 아님</v>
      </c>
      <c r="H246" s="55" t="str">
        <f t="shared" si="31"/>
        <v/>
      </c>
      <c r="I246" s="55" t="str">
        <f t="shared" si="32"/>
        <v>-</v>
      </c>
      <c r="J246" s="53"/>
      <c r="K246" s="53" t="str">
        <f t="shared" si="33"/>
        <v>퍼즐|탭 탈출</v>
      </c>
    </row>
    <row r="247" spans="1:11">
      <c r="A247" s="82" t="s">
        <v>1014</v>
      </c>
      <c r="B247" s="53" t="str">
        <f>IFERROR(INDEX('4-5 매출 Top100(참조)'!$D$2:$D$101,MATCH($A247,'4-5 매출 Top100(참조)'!$B$2:$B$101,0)),IFERROR(INDEX('4-4 Google Play Top100(참조)'!$D$2:$D$101,MATCH($A247,'4-4 Google Play Top100(참조)'!$B$2:$B$101,0)),"확인 불가"))</f>
        <v>하이퍼·하이브리드 캐주얼</v>
      </c>
      <c r="C247" s="53" t="str">
        <f>IFERROR(INDEX('4-5 매출 Top100(참조)'!$E$2:$E$101,MATCH($A247,'4-5 매출 Top100(참조)'!$B$2:$B$101,0)),IFERROR(INDEX('4-4 Google Play Top100(참조)'!$E$2:$E$101,MATCH($A247,'4-4 Google Play Top100(참조)'!$B$2:$B$101,0)),"-"))</f>
        <v>기타</v>
      </c>
      <c r="D247" s="55" t="str">
        <f>INDEX('4-6 매출-다운로드 비교(참조)'!$B$6:$B$177,MATCH($A247,'4-6 매출-다운로드 비교(참조)'!$A$6:$A$177,0))</f>
        <v>-</v>
      </c>
      <c r="E247" s="55">
        <f>INDEX('4-6 매출-다운로드 비교(참조)'!$C$6:$C$177,MATCH($A247,'4-6 매출-다운로드 비교(참조)'!$A$6:$A$177,0))</f>
        <v>95</v>
      </c>
      <c r="F247" s="53" t="str">
        <f>INDEX('4-6 매출-다운로드 비교(참조)'!$H$6:$H$177,MATCH($A247,'4-6 매출-다운로드 비교(참조)'!$A$6:$A$177,0))</f>
        <v>④ 둘 다 기준 밖</v>
      </c>
      <c r="G247" s="55" t="str">
        <f t="shared" si="30"/>
        <v>후보 아님</v>
      </c>
      <c r="H247" s="55" t="str">
        <f t="shared" si="31"/>
        <v/>
      </c>
      <c r="I247" s="55" t="str">
        <f t="shared" si="32"/>
        <v>-</v>
      </c>
      <c r="J247" s="53"/>
      <c r="K247" s="53" t="str">
        <f t="shared" si="33"/>
        <v>하이퍼·하이브리드 캐주얼|기타</v>
      </c>
    </row>
    <row r="248" spans="1:11">
      <c r="A248" s="82" t="s">
        <v>1015</v>
      </c>
      <c r="B248" s="53" t="str">
        <f>IFERROR(INDEX('4-5 매출 Top100(참조)'!$D$2:$D$101,MATCH($A248,'4-5 매출 Top100(참조)'!$B$2:$B$101,0)),IFERROR(INDEX('4-4 Google Play Top100(참조)'!$D$2:$D$101,MATCH($A248,'4-4 Google Play Top100(참조)'!$B$2:$B$101,0)),"확인 불가"))</f>
        <v>퍼즐</v>
      </c>
      <c r="C248" s="53" t="str">
        <f>IFERROR(INDEX('4-5 매출 Top100(참조)'!$E$2:$E$101,MATCH($A248,'4-5 매출 Top100(참조)'!$B$2:$B$101,0)),IFERROR(INDEX('4-4 Google Play Top100(참조)'!$E$2:$E$101,MATCH($A248,'4-4 Google Play Top100(참조)'!$B$2:$B$101,0)),"-"))</f>
        <v>정렬·잼</v>
      </c>
      <c r="D248" s="55" t="str">
        <f>INDEX('4-6 매출-다운로드 비교(참조)'!$B$6:$B$177,MATCH($A248,'4-6 매출-다운로드 비교(참조)'!$A$6:$A$177,0))</f>
        <v>-</v>
      </c>
      <c r="E248" s="55">
        <f>INDEX('4-6 매출-다운로드 비교(참조)'!$C$6:$C$177,MATCH($A248,'4-6 매출-다운로드 비교(참조)'!$A$6:$A$177,0))</f>
        <v>96</v>
      </c>
      <c r="F248" s="53" t="str">
        <f>INDEX('4-6 매출-다운로드 비교(참조)'!$H$6:$H$177,MATCH($A248,'4-6 매출-다운로드 비교(참조)'!$A$6:$A$177,0))</f>
        <v>④ 둘 다 기준 밖</v>
      </c>
      <c r="G248" s="55" t="str">
        <f t="shared" si="30"/>
        <v>후보 아님</v>
      </c>
      <c r="H248" s="55" t="str">
        <f t="shared" si="31"/>
        <v/>
      </c>
      <c r="I248" s="55" t="str">
        <f t="shared" si="32"/>
        <v>-</v>
      </c>
      <c r="J248" s="53"/>
      <c r="K248" s="53" t="str">
        <f t="shared" si="33"/>
        <v>퍼즐|정렬·잼</v>
      </c>
    </row>
    <row r="249" spans="1:11">
      <c r="A249" s="82" t="s">
        <v>1016</v>
      </c>
      <c r="B249" s="53" t="str">
        <f>IFERROR(INDEX('4-5 매출 Top100(참조)'!$D$2:$D$101,MATCH($A249,'4-5 매출 Top100(참조)'!$B$2:$B$101,0)),IFERROR(INDEX('4-4 Google Play Top100(참조)'!$D$2:$D$101,MATCH($A249,'4-4 Google Play Top100(참조)'!$B$2:$B$101,0)),"확인 불가"))</f>
        <v>카드·보드·카지노</v>
      </c>
      <c r="C249" s="53" t="str">
        <f>IFERROR(INDEX('4-5 매출 Top100(참조)'!$E$2:$E$101,MATCH($A249,'4-5 매출 Top100(참조)'!$B$2:$B$101,0)),IFERROR(INDEX('4-4 Google Play Top100(참조)'!$E$2:$E$101,MATCH($A249,'4-4 Google Play Top100(참조)'!$B$2:$B$101,0)),"-"))</f>
        <v>리얼머니 스킬게임</v>
      </c>
      <c r="D249" s="55" t="str">
        <f>INDEX('4-6 매출-다운로드 비교(참조)'!$B$6:$B$177,MATCH($A249,'4-6 매출-다운로드 비교(참조)'!$A$6:$A$177,0))</f>
        <v>-</v>
      </c>
      <c r="E249" s="55">
        <f>INDEX('4-6 매출-다운로드 비교(참조)'!$C$6:$C$177,MATCH($A249,'4-6 매출-다운로드 비교(참조)'!$A$6:$A$177,0))</f>
        <v>99</v>
      </c>
      <c r="F249" s="53" t="str">
        <f>INDEX('4-6 매출-다운로드 비교(참조)'!$H$6:$H$177,MATCH($A249,'4-6 매출-다운로드 비교(참조)'!$A$6:$A$177,0))</f>
        <v>④ 둘 다 기준 밖</v>
      </c>
      <c r="G249" s="55" t="str">
        <f t="shared" si="30"/>
        <v>후보 아님</v>
      </c>
      <c r="H249" s="55" t="str">
        <f t="shared" si="31"/>
        <v/>
      </c>
      <c r="I249" s="55" t="str">
        <f t="shared" si="32"/>
        <v>-</v>
      </c>
      <c r="J249" s="53"/>
      <c r="K249" s="53" t="str">
        <f t="shared" si="33"/>
        <v>카드·보드·카지노|리얼머니 스킬게임</v>
      </c>
    </row>
    <row r="250" spans="1:11">
      <c r="A250" s="82" t="s">
        <v>1017</v>
      </c>
      <c r="B250" s="53" t="str">
        <f>IFERROR(INDEX('4-5 매출 Top100(참조)'!$D$2:$D$101,MATCH($A250,'4-5 매출 Top100(참조)'!$B$2:$B$101,0)),IFERROR(INDEX('4-4 Google Play Top100(참조)'!$D$2:$D$101,MATCH($A250,'4-4 Google Play Top100(참조)'!$B$2:$B$101,0)),"확인 불가"))</f>
        <v>하이퍼·하이브리드 캐주얼</v>
      </c>
      <c r="C250" s="53" t="str">
        <f>IFERROR(INDEX('4-5 매출 Top100(참조)'!$E$2:$E$101,MATCH($A250,'4-5 매출 Top100(참조)'!$B$2:$B$101,0)),IFERROR(INDEX('4-4 Google Play Top100(참조)'!$E$2:$E$101,MATCH($A250,'4-4 Google Play Top100(참조)'!$B$2:$B$101,0)),"-"))</f>
        <v>아케이드</v>
      </c>
      <c r="D250" s="55" t="str">
        <f>INDEX('4-6 매출-다운로드 비교(참조)'!$B$6:$B$177,MATCH($A250,'4-6 매출-다운로드 비교(참조)'!$A$6:$A$177,0))</f>
        <v>-</v>
      </c>
      <c r="E250" s="55">
        <f>INDEX('4-6 매출-다운로드 비교(참조)'!$C$6:$C$177,MATCH($A250,'4-6 매출-다운로드 비교(참조)'!$A$6:$A$177,0))</f>
        <v>100</v>
      </c>
      <c r="F250" s="53" t="str">
        <f>INDEX('4-6 매출-다운로드 비교(참조)'!$H$6:$H$177,MATCH($A250,'4-6 매출-다운로드 비교(참조)'!$A$6:$A$177,0))</f>
        <v>④ 둘 다 기준 밖</v>
      </c>
      <c r="G250" s="55" t="str">
        <f t="shared" si="30"/>
        <v>후보 아님</v>
      </c>
      <c r="H250" s="55" t="str">
        <f t="shared" si="31"/>
        <v/>
      </c>
      <c r="I250" s="55" t="str">
        <f t="shared" si="32"/>
        <v>-</v>
      </c>
      <c r="J250" s="53"/>
      <c r="K250" s="53" t="str">
        <f t="shared" si="33"/>
        <v>하이퍼·하이브리드 캐주얼|아케이드</v>
      </c>
    </row>
  </sheetData>
  <autoFilter ref="A78:K250" xr:uid="{00000000-0009-0000-0000-00000C000000}"/>
  <phoneticPr fontId="33" type="noConversion"/>
  <conditionalFormatting sqref="G5:G8">
    <cfRule type="expression" dxfId="11" priority="8">
      <formula>$G5="2인 가능"</formula>
    </cfRule>
    <cfRule type="expression" dxfId="10" priority="9">
      <formula>$G5="조건부 (범위를 줄이면)"</formula>
    </cfRule>
    <cfRule type="expression" dxfId="9" priority="10">
      <formula>$G5="2인 어려움"</formula>
    </cfRule>
  </conditionalFormatting>
  <conditionalFormatting sqref="G58:G64">
    <cfRule type="expression" dxfId="8" priority="5">
      <formula>$G58="2인 가능"</formula>
    </cfRule>
    <cfRule type="expression" dxfId="7" priority="6">
      <formula>$G58="조건부 (범위를 줄이면)"</formula>
    </cfRule>
    <cfRule type="expression" dxfId="6" priority="7">
      <formula>$G58="2인 어려움"</formula>
    </cfRule>
  </conditionalFormatting>
  <conditionalFormatting sqref="I18:I54">
    <cfRule type="expression" dxfId="5" priority="2">
      <formula>$I18="2인 가능"</formula>
    </cfRule>
    <cfRule type="expression" dxfId="4" priority="3">
      <formula>$I18="조건부 (범위를 줄이면)"</formula>
    </cfRule>
    <cfRule type="expression" dxfId="3" priority="4">
      <formula>$I18="2인 어려움"</formula>
    </cfRule>
  </conditionalFormatting>
  <conditionalFormatting sqref="I79:I250">
    <cfRule type="expression" dxfId="2" priority="11">
      <formula>$I79="2인 가능"</formula>
    </cfRule>
    <cfRule type="expression" dxfId="1" priority="12">
      <formula>$I79="조건부 (범위를 줄이면)"</formula>
    </cfRule>
    <cfRule type="expression" dxfId="0" priority="13">
      <formula>$I79="2인 어려움"</formula>
    </cfRule>
  </conditionalFormatting>
  <dataValidations count="1">
    <dataValidation type="list" sqref="E14" xr:uid="{00000000-0002-0000-0C00-000000000000}">
      <formula1>"예,아니오"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BF9000"/>
  </sheetPr>
  <dimension ref="A1:Q46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640625" defaultRowHeight="15"/>
  <cols>
    <col min="1" max="1" width="8" customWidth="1"/>
    <col min="2" max="2" width="44" customWidth="1"/>
    <col min="3" max="3" width="18" customWidth="1"/>
    <col min="4" max="4" width="24" customWidth="1"/>
    <col min="5" max="5" width="11" customWidth="1"/>
    <col min="6" max="6" width="16" customWidth="1"/>
    <col min="7" max="7" width="12" customWidth="1"/>
    <col min="8" max="8" width="30" customWidth="1"/>
    <col min="9" max="9" width="16" customWidth="1"/>
    <col min="10" max="16" width="11" customWidth="1"/>
    <col min="17" max="17" width="16" customWidth="1"/>
  </cols>
  <sheetData>
    <row r="1" spans="1:9" ht="16">
      <c r="A1" s="49" t="s">
        <v>1018</v>
      </c>
    </row>
    <row r="2" spans="1:9">
      <c r="A2" s="29" t="s">
        <v>1019</v>
      </c>
    </row>
    <row r="4" spans="1:9">
      <c r="A4" s="93" t="s">
        <v>1020</v>
      </c>
    </row>
    <row r="5" spans="1:9">
      <c r="A5" s="94" t="s">
        <v>1021</v>
      </c>
    </row>
    <row r="6" spans="1:9">
      <c r="A6" s="94" t="s">
        <v>1022</v>
      </c>
    </row>
    <row r="7" spans="1:9">
      <c r="A7" s="95" t="s">
        <v>1023</v>
      </c>
    </row>
    <row r="9" spans="1:9" ht="16">
      <c r="A9" s="78" t="s">
        <v>1024</v>
      </c>
    </row>
    <row r="10" spans="1:9" ht="16">
      <c r="A10" s="80" t="s">
        <v>1025</v>
      </c>
      <c r="B10" s="79" t="s">
        <v>1026</v>
      </c>
      <c r="C10" s="80" t="s">
        <v>1027</v>
      </c>
      <c r="D10" s="79" t="s">
        <v>144</v>
      </c>
      <c r="E10" s="80" t="s">
        <v>1028</v>
      </c>
      <c r="F10" s="79" t="s">
        <v>1029</v>
      </c>
      <c r="G10" s="79" t="s">
        <v>1030</v>
      </c>
      <c r="H10" s="79" t="s">
        <v>6</v>
      </c>
      <c r="I10" s="79" t="s">
        <v>1031</v>
      </c>
    </row>
    <row r="11" spans="1:9">
      <c r="A11" s="56" t="s">
        <v>1032</v>
      </c>
      <c r="B11" s="83" t="s">
        <v>1033</v>
      </c>
      <c r="C11" s="56" t="s">
        <v>1034</v>
      </c>
      <c r="D11" s="83" t="s">
        <v>1035</v>
      </c>
      <c r="E11" s="96">
        <v>0.56000000000000005</v>
      </c>
      <c r="F11" s="82" t="s">
        <v>1036</v>
      </c>
      <c r="G11" s="97" t="s">
        <v>1037</v>
      </c>
      <c r="H11" s="25" t="s">
        <v>1038</v>
      </c>
      <c r="I11" s="82" t="s">
        <v>1039</v>
      </c>
    </row>
    <row r="12" spans="1:9">
      <c r="A12" s="56" t="s">
        <v>1040</v>
      </c>
      <c r="B12" s="83" t="s">
        <v>619</v>
      </c>
      <c r="C12" s="56" t="s">
        <v>1034</v>
      </c>
      <c r="D12" s="83" t="s">
        <v>1035</v>
      </c>
      <c r="E12" s="96">
        <v>1.68</v>
      </c>
      <c r="F12" s="82" t="s">
        <v>1036</v>
      </c>
      <c r="G12" s="97" t="s">
        <v>1037</v>
      </c>
      <c r="H12" s="25" t="s">
        <v>1041</v>
      </c>
      <c r="I12" s="82" t="s">
        <v>1039</v>
      </c>
    </row>
    <row r="13" spans="1:9">
      <c r="A13" s="56" t="s">
        <v>1042</v>
      </c>
      <c r="B13" s="83" t="s">
        <v>145</v>
      </c>
      <c r="C13" s="56" t="s">
        <v>1034</v>
      </c>
      <c r="D13" s="83" t="s">
        <v>1035</v>
      </c>
      <c r="E13" s="96">
        <v>1.71</v>
      </c>
      <c r="F13" s="82" t="s">
        <v>1036</v>
      </c>
      <c r="G13" s="97" t="s">
        <v>1037</v>
      </c>
      <c r="H13" s="25" t="s">
        <v>1043</v>
      </c>
      <c r="I13" s="82" t="s">
        <v>1039</v>
      </c>
    </row>
    <row r="14" spans="1:9">
      <c r="A14" s="56" t="s">
        <v>1044</v>
      </c>
      <c r="B14" s="83" t="s">
        <v>1045</v>
      </c>
      <c r="C14" s="56" t="s">
        <v>1034</v>
      </c>
      <c r="D14" s="83" t="s">
        <v>1035</v>
      </c>
      <c r="E14" s="96">
        <v>0.14000000000000001</v>
      </c>
      <c r="F14" s="82" t="s">
        <v>1036</v>
      </c>
      <c r="G14" s="97" t="s">
        <v>1037</v>
      </c>
      <c r="H14" s="25" t="s">
        <v>1046</v>
      </c>
      <c r="I14" s="82" t="s">
        <v>1039</v>
      </c>
    </row>
    <row r="15" spans="1:9" ht="30">
      <c r="A15" s="56" t="s">
        <v>1047</v>
      </c>
      <c r="B15" s="83" t="s">
        <v>1048</v>
      </c>
      <c r="C15" s="56" t="s">
        <v>1034</v>
      </c>
      <c r="D15" s="83" t="s">
        <v>1035</v>
      </c>
      <c r="E15" s="96">
        <v>0.27</v>
      </c>
      <c r="F15" s="82" t="s">
        <v>1036</v>
      </c>
      <c r="G15" s="97" t="s">
        <v>1037</v>
      </c>
      <c r="H15" s="25" t="s">
        <v>1049</v>
      </c>
      <c r="I15" s="82" t="s">
        <v>1039</v>
      </c>
    </row>
    <row r="16" spans="1:9">
      <c r="A16" s="56" t="s">
        <v>1050</v>
      </c>
      <c r="B16" s="83" t="s">
        <v>1051</v>
      </c>
      <c r="C16" s="56" t="s">
        <v>1034</v>
      </c>
      <c r="D16" s="83" t="s">
        <v>1035</v>
      </c>
      <c r="E16" s="96">
        <v>0.53</v>
      </c>
      <c r="F16" s="82" t="s">
        <v>1036</v>
      </c>
      <c r="G16" s="97" t="s">
        <v>1037</v>
      </c>
      <c r="H16" s="25" t="s">
        <v>1052</v>
      </c>
      <c r="I16" s="82" t="s">
        <v>1039</v>
      </c>
    </row>
    <row r="17" spans="1:17">
      <c r="A17" s="56" t="s">
        <v>1053</v>
      </c>
      <c r="B17" s="83" t="s">
        <v>1033</v>
      </c>
      <c r="C17" s="56" t="s">
        <v>1034</v>
      </c>
      <c r="D17" s="83" t="s">
        <v>1054</v>
      </c>
      <c r="E17" s="96">
        <v>4.47</v>
      </c>
      <c r="F17" s="82" t="s">
        <v>1036</v>
      </c>
      <c r="G17" s="97" t="s">
        <v>1037</v>
      </c>
      <c r="H17" s="25" t="s">
        <v>1055</v>
      </c>
      <c r="I17" s="82" t="s">
        <v>1039</v>
      </c>
    </row>
    <row r="18" spans="1:17">
      <c r="A18" s="56" t="s">
        <v>1056</v>
      </c>
      <c r="B18" s="83" t="s">
        <v>1033</v>
      </c>
      <c r="C18" s="56" t="s">
        <v>1034</v>
      </c>
      <c r="D18" s="83" t="s">
        <v>202</v>
      </c>
      <c r="E18" s="96">
        <v>3.19</v>
      </c>
      <c r="F18" s="82" t="s">
        <v>1036</v>
      </c>
      <c r="G18" s="97" t="s">
        <v>1037</v>
      </c>
      <c r="H18" s="24"/>
      <c r="I18" s="82" t="s">
        <v>1039</v>
      </c>
    </row>
    <row r="19" spans="1:17">
      <c r="A19" s="56" t="s">
        <v>1057</v>
      </c>
      <c r="B19" s="83" t="s">
        <v>1033</v>
      </c>
      <c r="C19" s="56" t="s">
        <v>1034</v>
      </c>
      <c r="D19" s="83" t="s">
        <v>740</v>
      </c>
      <c r="E19" s="96">
        <v>1.03</v>
      </c>
      <c r="F19" s="82" t="s">
        <v>1036</v>
      </c>
      <c r="G19" s="97" t="s">
        <v>1037</v>
      </c>
      <c r="H19" s="24"/>
      <c r="I19" s="82" t="s">
        <v>1039</v>
      </c>
    </row>
    <row r="20" spans="1:17">
      <c r="A20" s="56" t="s">
        <v>1058</v>
      </c>
      <c r="B20" s="83" t="s">
        <v>1033</v>
      </c>
      <c r="C20" s="56" t="s">
        <v>1059</v>
      </c>
      <c r="D20" s="83" t="s">
        <v>1060</v>
      </c>
      <c r="E20" s="96">
        <v>1.41</v>
      </c>
      <c r="F20" s="82" t="s">
        <v>1061</v>
      </c>
      <c r="G20" s="97" t="s">
        <v>1037</v>
      </c>
      <c r="H20" s="24"/>
      <c r="I20" s="82" t="s">
        <v>1062</v>
      </c>
    </row>
    <row r="21" spans="1:17">
      <c r="A21" s="56" t="s">
        <v>1063</v>
      </c>
      <c r="B21" s="83" t="s">
        <v>1033</v>
      </c>
      <c r="C21" s="56" t="s">
        <v>1064</v>
      </c>
      <c r="D21" s="83" t="s">
        <v>1060</v>
      </c>
      <c r="E21" s="96">
        <v>0.14000000000000001</v>
      </c>
      <c r="F21" s="82" t="s">
        <v>1061</v>
      </c>
      <c r="G21" s="97" t="s">
        <v>1037</v>
      </c>
      <c r="H21" s="24"/>
      <c r="I21" s="82" t="s">
        <v>1062</v>
      </c>
    </row>
    <row r="22" spans="1:17">
      <c r="A22" s="56" t="s">
        <v>1065</v>
      </c>
      <c r="B22" s="83" t="s">
        <v>1033</v>
      </c>
      <c r="C22" s="56" t="s">
        <v>1059</v>
      </c>
      <c r="D22" s="83" t="s">
        <v>1066</v>
      </c>
      <c r="E22" s="96">
        <v>21.03</v>
      </c>
      <c r="F22" s="82" t="s">
        <v>1061</v>
      </c>
      <c r="G22" s="97" t="s">
        <v>1037</v>
      </c>
      <c r="H22" s="24"/>
      <c r="I22" s="82" t="s">
        <v>1062</v>
      </c>
    </row>
    <row r="23" spans="1:17" ht="30">
      <c r="A23" s="89" t="s">
        <v>1067</v>
      </c>
      <c r="B23" s="98" t="s">
        <v>1033</v>
      </c>
      <c r="C23" s="89" t="s">
        <v>1064</v>
      </c>
      <c r="D23" s="98" t="s">
        <v>1066</v>
      </c>
      <c r="E23" s="99">
        <v>4.0999999999999996</v>
      </c>
      <c r="F23" s="100" t="s">
        <v>1061</v>
      </c>
      <c r="G23" s="89" t="s">
        <v>1068</v>
      </c>
      <c r="H23" s="43" t="s">
        <v>1069</v>
      </c>
      <c r="I23" s="100" t="s">
        <v>1070</v>
      </c>
    </row>
    <row r="24" spans="1:17" ht="60">
      <c r="A24" s="89" t="s">
        <v>1071</v>
      </c>
      <c r="B24" s="98" t="s">
        <v>1033</v>
      </c>
      <c r="C24" s="89" t="s">
        <v>1059</v>
      </c>
      <c r="D24" s="98" t="s">
        <v>743</v>
      </c>
      <c r="E24" s="99">
        <v>2.8</v>
      </c>
      <c r="F24" s="100" t="s">
        <v>1061</v>
      </c>
      <c r="G24" s="89" t="s">
        <v>1068</v>
      </c>
      <c r="H24" s="90" t="s">
        <v>1072</v>
      </c>
      <c r="I24" s="100" t="s">
        <v>1073</v>
      </c>
    </row>
    <row r="25" spans="1:17">
      <c r="A25" s="89" t="s">
        <v>1074</v>
      </c>
      <c r="B25" s="98" t="s">
        <v>1033</v>
      </c>
      <c r="C25" s="89" t="s">
        <v>1064</v>
      </c>
      <c r="D25" s="98" t="s">
        <v>743</v>
      </c>
      <c r="E25" s="99">
        <v>0.64</v>
      </c>
      <c r="F25" s="100" t="s">
        <v>1061</v>
      </c>
      <c r="G25" s="89" t="s">
        <v>1068</v>
      </c>
      <c r="H25" s="90" t="s">
        <v>1075</v>
      </c>
      <c r="I25" s="100" t="s">
        <v>1073</v>
      </c>
    </row>
    <row r="26" spans="1:17" ht="30">
      <c r="A26" s="89" t="s">
        <v>1076</v>
      </c>
      <c r="B26" s="98" t="s">
        <v>1033</v>
      </c>
      <c r="C26" s="89" t="s">
        <v>1064</v>
      </c>
      <c r="D26" s="100" t="s">
        <v>748</v>
      </c>
      <c r="E26" s="99">
        <v>4.29</v>
      </c>
      <c r="F26" s="100" t="s">
        <v>1061</v>
      </c>
      <c r="G26" s="89" t="s">
        <v>1068</v>
      </c>
      <c r="H26" s="43" t="s">
        <v>1077</v>
      </c>
      <c r="I26" s="100" t="s">
        <v>1078</v>
      </c>
    </row>
    <row r="27" spans="1:17" ht="30">
      <c r="A27" s="89" t="s">
        <v>1079</v>
      </c>
      <c r="B27" s="98" t="s">
        <v>1080</v>
      </c>
      <c r="C27" s="89" t="s">
        <v>1081</v>
      </c>
      <c r="D27" s="98" t="s">
        <v>1082</v>
      </c>
      <c r="E27" s="101" t="s">
        <v>789</v>
      </c>
      <c r="F27" s="100" t="s">
        <v>682</v>
      </c>
      <c r="G27" s="102" t="s">
        <v>789</v>
      </c>
      <c r="H27" s="43" t="s">
        <v>1083</v>
      </c>
      <c r="I27" s="100" t="s">
        <v>682</v>
      </c>
    </row>
    <row r="29" spans="1:17" ht="16">
      <c r="A29" s="49" t="s">
        <v>1084</v>
      </c>
    </row>
    <row r="30" spans="1:17" ht="48" customHeight="1">
      <c r="A30" s="79" t="s">
        <v>1085</v>
      </c>
      <c r="B30" s="79" t="s">
        <v>106</v>
      </c>
      <c r="C30" s="79" t="s">
        <v>1086</v>
      </c>
      <c r="D30" s="80" t="s">
        <v>1087</v>
      </c>
      <c r="E30" s="79" t="s">
        <v>1088</v>
      </c>
      <c r="F30" s="79" t="s">
        <v>1089</v>
      </c>
      <c r="G30" s="79" t="s">
        <v>1090</v>
      </c>
      <c r="H30" s="79" t="s">
        <v>1091</v>
      </c>
      <c r="I30" s="79" t="s">
        <v>1092</v>
      </c>
      <c r="J30" s="79" t="s">
        <v>1093</v>
      </c>
      <c r="K30" s="80" t="s">
        <v>606</v>
      </c>
      <c r="L30" s="80" t="s">
        <v>607</v>
      </c>
      <c r="M30" s="80" t="s">
        <v>608</v>
      </c>
      <c r="N30" s="80" t="s">
        <v>1094</v>
      </c>
      <c r="O30" s="80" t="s">
        <v>1095</v>
      </c>
      <c r="P30" s="80" t="s">
        <v>1096</v>
      </c>
      <c r="Q30" s="80" t="s">
        <v>1097</v>
      </c>
    </row>
    <row r="31" spans="1:17" ht="30">
      <c r="A31" s="39" t="s">
        <v>1098</v>
      </c>
      <c r="B31" s="24" t="s">
        <v>1099</v>
      </c>
      <c r="C31" s="103">
        <v>1000</v>
      </c>
      <c r="D31" s="87" t="s">
        <v>1042</v>
      </c>
      <c r="E31" s="104">
        <f t="shared" ref="E31:E38" si="0">IFERROR(INDEX($E$11:$E$27,MATCH($D31,$A$11:$A$27,0)),"")</f>
        <v>1.71</v>
      </c>
      <c r="F31" s="105"/>
      <c r="G31" s="104">
        <f t="shared" ref="G31:G38" si="1">IF($F31&lt;&gt;"",$F31,$E31)</f>
        <v>1.71</v>
      </c>
      <c r="H31" s="106">
        <f t="shared" ref="H31:H38" si="2">IFERROR($C31/$G31,"")</f>
        <v>584.79532163742692</v>
      </c>
      <c r="I31" s="88" t="s">
        <v>619</v>
      </c>
      <c r="J31" s="87" t="s">
        <v>1100</v>
      </c>
      <c r="K31" s="107">
        <f>IF($J31="P50",SUMIFS('4-1 지역 벤치마크(참조)'!$C$2:$C$28,'4-1 지역 벤치마크(참조)'!$A$2:$A$28,$I31,'4-1 지역 벤치마크(참조)'!$B$2:$B$28,"D1 리텐션"),IF($J31="P90",SUMIFS('4-1 지역 벤치마크(참조)'!$D$2:$D$28,'4-1 지역 벤치마크(참조)'!$A$2:$A$28,$I31,'4-1 지역 벤치마크(참조)'!$B$2:$B$28,"D1 리텐션"),IF($J31="P99",SUMIFS('4-1 지역 벤치마크(참조)'!$E$2:$E$28,'4-1 지역 벤치마크(참조)'!$A$2:$A$28,$I31,'4-1 지역 벤치마크(참조)'!$B$2:$B$28,"D1 리텐션"),"")))</f>
        <v>0.23280000000000001</v>
      </c>
      <c r="L31" s="107">
        <f>IF($J31="P50",SUMIFS('4-1 지역 벤치마크(참조)'!$C$2:$C$28,'4-1 지역 벤치마크(참조)'!$A$2:$A$28,$I31,'4-1 지역 벤치마크(참조)'!$B$2:$B$28,"D7 리텐션"),IF($J31="P90",SUMIFS('4-1 지역 벤치마크(참조)'!$D$2:$D$28,'4-1 지역 벤치마크(참조)'!$A$2:$A$28,$I31,'4-1 지역 벤치마크(참조)'!$B$2:$B$28,"D7 리텐션"),IF($J31="P99",SUMIFS('4-1 지역 벤치마크(참조)'!$E$2:$E$28,'4-1 지역 벤치마크(참조)'!$A$2:$A$28,$I31,'4-1 지역 벤치마크(참조)'!$B$2:$B$28,"D7 리텐션"),"")))</f>
        <v>4.9700000000000001E-2</v>
      </c>
      <c r="M31" s="107">
        <f>IF($J31="P50",SUMIFS('4-1 지역 벤치마크(참조)'!$C$2:$C$28,'4-1 지역 벤치마크(참조)'!$A$2:$A$28,$I31,'4-1 지역 벤치마크(참조)'!$B$2:$B$28,"D30 리텐션"),IF($J31="P90",SUMIFS('4-1 지역 벤치마크(참조)'!$D$2:$D$28,'4-1 지역 벤치마크(참조)'!$A$2:$A$28,$I31,'4-1 지역 벤치마크(참조)'!$B$2:$B$28,"D30 리텐션"),IF($J31="P99",SUMIFS('4-1 지역 벤치마크(참조)'!$E$2:$E$28,'4-1 지역 벤치마크(참조)'!$A$2:$A$28,$I31,'4-1 지역 벤치마크(참조)'!$B$2:$B$28,"D30 리텐션"),"")))</f>
        <v>1.18E-2</v>
      </c>
      <c r="N31" s="108">
        <f t="shared" ref="N31:P38" si="3">IFERROR($H31*K31,"")</f>
        <v>136.14035087719299</v>
      </c>
      <c r="O31" s="108">
        <f t="shared" si="3"/>
        <v>29.064327485380119</v>
      </c>
      <c r="P31" s="108">
        <f t="shared" si="3"/>
        <v>6.9005847953216373</v>
      </c>
      <c r="Q31" s="109">
        <f t="shared" ref="Q31:Q38" si="4">IFERROR(100/$L31*$G31,"")</f>
        <v>3440.6438631790743</v>
      </c>
    </row>
    <row r="32" spans="1:17" ht="30">
      <c r="A32" s="39" t="s">
        <v>1101</v>
      </c>
      <c r="B32" s="24" t="s">
        <v>1102</v>
      </c>
      <c r="C32" s="103">
        <v>1000</v>
      </c>
      <c r="D32" s="87" t="s">
        <v>1042</v>
      </c>
      <c r="E32" s="104">
        <f t="shared" si="0"/>
        <v>1.71</v>
      </c>
      <c r="F32" s="105"/>
      <c r="G32" s="104">
        <f t="shared" si="1"/>
        <v>1.71</v>
      </c>
      <c r="H32" s="106">
        <f t="shared" si="2"/>
        <v>584.79532163742692</v>
      </c>
      <c r="I32" s="88" t="s">
        <v>619</v>
      </c>
      <c r="J32" s="87" t="s">
        <v>1103</v>
      </c>
      <c r="K32" s="107">
        <f>IF($J32="P50",SUMIFS('4-1 지역 벤치마크(참조)'!$C$2:$C$28,'4-1 지역 벤치마크(참조)'!$A$2:$A$28,$I32,'4-1 지역 벤치마크(참조)'!$B$2:$B$28,"D1 리텐션"),IF($J32="P90",SUMIFS('4-1 지역 벤치마크(참조)'!$D$2:$D$28,'4-1 지역 벤치마크(참조)'!$A$2:$A$28,$I32,'4-1 지역 벤치마크(참조)'!$B$2:$B$28,"D1 리텐션"),IF($J32="P99",SUMIFS('4-1 지역 벤치마크(참조)'!$E$2:$E$28,'4-1 지역 벤치마크(참조)'!$A$2:$A$28,$I32,'4-1 지역 벤치마크(참조)'!$B$2:$B$28,"D1 리텐션"),"")))</f>
        <v>0.36899999999999999</v>
      </c>
      <c r="L32" s="107">
        <f>IF($J32="P50",SUMIFS('4-1 지역 벤치마크(참조)'!$C$2:$C$28,'4-1 지역 벤치마크(참조)'!$A$2:$A$28,$I32,'4-1 지역 벤치마크(참조)'!$B$2:$B$28,"D7 리텐션"),IF($J32="P90",SUMIFS('4-1 지역 벤치마크(참조)'!$D$2:$D$28,'4-1 지역 벤치마크(참조)'!$A$2:$A$28,$I32,'4-1 지역 벤치마크(참조)'!$B$2:$B$28,"D7 리텐션"),IF($J32="P99",SUMIFS('4-1 지역 벤치마크(참조)'!$E$2:$E$28,'4-1 지역 벤치마크(참조)'!$A$2:$A$28,$I32,'4-1 지역 벤치마크(참조)'!$B$2:$B$28,"D7 리텐션"),"")))</f>
        <v>0.1258</v>
      </c>
      <c r="M32" s="107">
        <f>IF($J32="P50",SUMIFS('4-1 지역 벤치마크(참조)'!$C$2:$C$28,'4-1 지역 벤치마크(참조)'!$A$2:$A$28,$I32,'4-1 지역 벤치마크(참조)'!$B$2:$B$28,"D30 리텐션"),IF($J32="P90",SUMIFS('4-1 지역 벤치마크(참조)'!$D$2:$D$28,'4-1 지역 벤치마크(참조)'!$A$2:$A$28,$I32,'4-1 지역 벤치마크(참조)'!$B$2:$B$28,"D30 리텐션"),IF($J32="P99",SUMIFS('4-1 지역 벤치마크(참조)'!$E$2:$E$28,'4-1 지역 벤치마크(참조)'!$A$2:$A$28,$I32,'4-1 지역 벤치마크(참조)'!$B$2:$B$28,"D30 리텐션"),"")))</f>
        <v>4.7800000000000002E-2</v>
      </c>
      <c r="N32" s="108">
        <f t="shared" si="3"/>
        <v>215.78947368421052</v>
      </c>
      <c r="O32" s="108">
        <f t="shared" si="3"/>
        <v>73.567251461988306</v>
      </c>
      <c r="P32" s="108">
        <f t="shared" si="3"/>
        <v>27.953216374269008</v>
      </c>
      <c r="Q32" s="109">
        <f t="shared" si="4"/>
        <v>1359.3004769475358</v>
      </c>
    </row>
    <row r="33" spans="1:17">
      <c r="A33" s="39" t="s">
        <v>1104</v>
      </c>
      <c r="B33" s="24" t="s">
        <v>1105</v>
      </c>
      <c r="C33" s="103">
        <v>1000</v>
      </c>
      <c r="D33" s="87" t="s">
        <v>1044</v>
      </c>
      <c r="E33" s="104">
        <f t="shared" si="0"/>
        <v>0.14000000000000001</v>
      </c>
      <c r="F33" s="105"/>
      <c r="G33" s="104">
        <f t="shared" si="1"/>
        <v>0.14000000000000001</v>
      </c>
      <c r="H33" s="106">
        <f t="shared" si="2"/>
        <v>7142.8571428571422</v>
      </c>
      <c r="I33" s="88" t="s">
        <v>626</v>
      </c>
      <c r="J33" s="87" t="s">
        <v>1100</v>
      </c>
      <c r="K33" s="107">
        <f>IF($J33="P50",SUMIFS('4-1 지역 벤치마크(참조)'!$C$2:$C$28,'4-1 지역 벤치마크(참조)'!$A$2:$A$28,$I33,'4-1 지역 벤치마크(참조)'!$B$2:$B$28,"D1 리텐션"),IF($J33="P90",SUMIFS('4-1 지역 벤치마크(참조)'!$D$2:$D$28,'4-1 지역 벤치마크(참조)'!$A$2:$A$28,$I33,'4-1 지역 벤치마크(참조)'!$B$2:$B$28,"D1 리텐션"),IF($J33="P99",SUMIFS('4-1 지역 벤치마크(참조)'!$E$2:$E$28,'4-1 지역 벤치마크(참조)'!$A$2:$A$28,$I33,'4-1 지역 벤치마크(참조)'!$B$2:$B$28,"D1 리텐션"),"")))</f>
        <v>0.2009</v>
      </c>
      <c r="L33" s="107">
        <f>IF($J33="P50",SUMIFS('4-1 지역 벤치마크(참조)'!$C$2:$C$28,'4-1 지역 벤치마크(참조)'!$A$2:$A$28,$I33,'4-1 지역 벤치마크(참조)'!$B$2:$B$28,"D7 리텐션"),IF($J33="P90",SUMIFS('4-1 지역 벤치마크(참조)'!$D$2:$D$28,'4-1 지역 벤치마크(참조)'!$A$2:$A$28,$I33,'4-1 지역 벤치마크(참조)'!$B$2:$B$28,"D7 리텐션"),IF($J33="P99",SUMIFS('4-1 지역 벤치마크(참조)'!$E$2:$E$28,'4-1 지역 벤치마크(참조)'!$A$2:$A$28,$I33,'4-1 지역 벤치마크(참조)'!$B$2:$B$28,"D7 리텐션"),"")))</f>
        <v>3.2500000000000001E-2</v>
      </c>
      <c r="M33" s="107">
        <f>IF($J33="P50",SUMIFS('4-1 지역 벤치마크(참조)'!$C$2:$C$28,'4-1 지역 벤치마크(참조)'!$A$2:$A$28,$I33,'4-1 지역 벤치마크(참조)'!$B$2:$B$28,"D30 리텐션"),IF($J33="P90",SUMIFS('4-1 지역 벤치마크(참조)'!$D$2:$D$28,'4-1 지역 벤치마크(참조)'!$A$2:$A$28,$I33,'4-1 지역 벤치마크(참조)'!$B$2:$B$28,"D30 리텐션"),IF($J33="P99",SUMIFS('4-1 지역 벤치마크(참조)'!$E$2:$E$28,'4-1 지역 벤치마크(참조)'!$A$2:$A$28,$I33,'4-1 지역 벤치마크(참조)'!$B$2:$B$28,"D30 리텐션"),"")))</f>
        <v>6.4999999999999997E-3</v>
      </c>
      <c r="N33" s="108">
        <f t="shared" si="3"/>
        <v>1434.9999999999998</v>
      </c>
      <c r="O33" s="108">
        <f t="shared" si="3"/>
        <v>232.14285714285714</v>
      </c>
      <c r="P33" s="108">
        <f t="shared" si="3"/>
        <v>46.428571428571423</v>
      </c>
      <c r="Q33" s="109">
        <f t="shared" si="4"/>
        <v>430.76923076923077</v>
      </c>
    </row>
    <row r="34" spans="1:17" ht="30">
      <c r="A34" s="39" t="s">
        <v>1106</v>
      </c>
      <c r="B34" s="43" t="s">
        <v>1107</v>
      </c>
      <c r="C34" s="103">
        <v>1000</v>
      </c>
      <c r="D34" s="87" t="s">
        <v>1047</v>
      </c>
      <c r="E34" s="104">
        <f t="shared" si="0"/>
        <v>0.27</v>
      </c>
      <c r="F34" s="105"/>
      <c r="G34" s="104">
        <f t="shared" si="1"/>
        <v>0.27</v>
      </c>
      <c r="H34" s="106">
        <f t="shared" si="2"/>
        <v>3703.7037037037035</v>
      </c>
      <c r="I34" s="88" t="s">
        <v>627</v>
      </c>
      <c r="J34" s="87" t="s">
        <v>1100</v>
      </c>
      <c r="K34" s="107">
        <f>IF($J34="P50",SUMIFS('4-1 지역 벤치마크(참조)'!$C$2:$C$28,'4-1 지역 벤치마크(참조)'!$A$2:$A$28,$I34,'4-1 지역 벤치마크(참조)'!$B$2:$B$28,"D1 리텐션"),IF($J34="P90",SUMIFS('4-1 지역 벤치마크(참조)'!$D$2:$D$28,'4-1 지역 벤치마크(참조)'!$A$2:$A$28,$I34,'4-1 지역 벤치마크(참조)'!$B$2:$B$28,"D1 리텐션"),IF($J34="P99",SUMIFS('4-1 지역 벤치마크(참조)'!$E$2:$E$28,'4-1 지역 벤치마크(참조)'!$A$2:$A$28,$I34,'4-1 지역 벤치마크(참조)'!$B$2:$B$28,"D1 리텐션"),"")))</f>
        <v>0.17499999999999999</v>
      </c>
      <c r="L34" s="107">
        <f>IF($J34="P50",SUMIFS('4-1 지역 벤치마크(참조)'!$C$2:$C$28,'4-1 지역 벤치마크(참조)'!$A$2:$A$28,$I34,'4-1 지역 벤치마크(참조)'!$B$2:$B$28,"D7 리텐션"),IF($J34="P90",SUMIFS('4-1 지역 벤치마크(참조)'!$D$2:$D$28,'4-1 지역 벤치마크(참조)'!$A$2:$A$28,$I34,'4-1 지역 벤치마크(참조)'!$B$2:$B$28,"D7 리텐션"),IF($J34="P99",SUMIFS('4-1 지역 벤치마크(참조)'!$E$2:$E$28,'4-1 지역 벤치마크(참조)'!$A$2:$A$28,$I34,'4-1 지역 벤치마크(참조)'!$B$2:$B$28,"D7 리텐션"),"")))</f>
        <v>2.6800000000000001E-2</v>
      </c>
      <c r="M34" s="107">
        <f>IF($J34="P50",SUMIFS('4-1 지역 벤치마크(참조)'!$C$2:$C$28,'4-1 지역 벤치마크(참조)'!$A$2:$A$28,$I34,'4-1 지역 벤치마크(참조)'!$B$2:$B$28,"D30 리텐션"),IF($J34="P90",SUMIFS('4-1 지역 벤치마크(참조)'!$D$2:$D$28,'4-1 지역 벤치마크(참조)'!$A$2:$A$28,$I34,'4-1 지역 벤치마크(참조)'!$B$2:$B$28,"D30 리텐션"),IF($J34="P99",SUMIFS('4-1 지역 벤치마크(참조)'!$E$2:$E$28,'4-1 지역 벤치마크(참조)'!$A$2:$A$28,$I34,'4-1 지역 벤치마크(참조)'!$B$2:$B$28,"D30 리텐션"),"")))</f>
        <v>5.3E-3</v>
      </c>
      <c r="N34" s="108">
        <f t="shared" si="3"/>
        <v>648.14814814814804</v>
      </c>
      <c r="O34" s="108">
        <f t="shared" si="3"/>
        <v>99.259259259259252</v>
      </c>
      <c r="P34" s="108">
        <f t="shared" si="3"/>
        <v>19.62962962962963</v>
      </c>
      <c r="Q34" s="109">
        <f t="shared" si="4"/>
        <v>1007.4626865671643</v>
      </c>
    </row>
    <row r="35" spans="1:17" ht="30">
      <c r="A35" s="39" t="s">
        <v>1108</v>
      </c>
      <c r="B35" s="90" t="s">
        <v>1109</v>
      </c>
      <c r="C35" s="103">
        <v>1000</v>
      </c>
      <c r="D35" s="87" t="s">
        <v>1058</v>
      </c>
      <c r="E35" s="104">
        <f t="shared" si="0"/>
        <v>1.41</v>
      </c>
      <c r="F35" s="105"/>
      <c r="G35" s="104">
        <f t="shared" si="1"/>
        <v>1.41</v>
      </c>
      <c r="H35" s="106">
        <f t="shared" si="2"/>
        <v>709.21985815602841</v>
      </c>
      <c r="I35" s="88" t="s">
        <v>619</v>
      </c>
      <c r="J35" s="87" t="s">
        <v>1100</v>
      </c>
      <c r="K35" s="107">
        <f>IF($J35="P50",SUMIFS('4-1 지역 벤치마크(참조)'!$C$2:$C$28,'4-1 지역 벤치마크(참조)'!$A$2:$A$28,$I35,'4-1 지역 벤치마크(참조)'!$B$2:$B$28,"D1 리텐션"),IF($J35="P90",SUMIFS('4-1 지역 벤치마크(참조)'!$D$2:$D$28,'4-1 지역 벤치마크(참조)'!$A$2:$A$28,$I35,'4-1 지역 벤치마크(참조)'!$B$2:$B$28,"D1 리텐션"),IF($J35="P99",SUMIFS('4-1 지역 벤치마크(참조)'!$E$2:$E$28,'4-1 지역 벤치마크(참조)'!$A$2:$A$28,$I35,'4-1 지역 벤치마크(참조)'!$B$2:$B$28,"D1 리텐션"),"")))</f>
        <v>0.23280000000000001</v>
      </c>
      <c r="L35" s="107">
        <f>IF($J35="P50",SUMIFS('4-1 지역 벤치마크(참조)'!$C$2:$C$28,'4-1 지역 벤치마크(참조)'!$A$2:$A$28,$I35,'4-1 지역 벤치마크(참조)'!$B$2:$B$28,"D7 리텐션"),IF($J35="P90",SUMIFS('4-1 지역 벤치마크(참조)'!$D$2:$D$28,'4-1 지역 벤치마크(참조)'!$A$2:$A$28,$I35,'4-1 지역 벤치마크(참조)'!$B$2:$B$28,"D7 리텐션"),IF($J35="P99",SUMIFS('4-1 지역 벤치마크(참조)'!$E$2:$E$28,'4-1 지역 벤치마크(참조)'!$A$2:$A$28,$I35,'4-1 지역 벤치마크(참조)'!$B$2:$B$28,"D7 리텐션"),"")))</f>
        <v>4.9700000000000001E-2</v>
      </c>
      <c r="M35" s="107">
        <f>IF($J35="P50",SUMIFS('4-1 지역 벤치마크(참조)'!$C$2:$C$28,'4-1 지역 벤치마크(참조)'!$A$2:$A$28,$I35,'4-1 지역 벤치마크(참조)'!$B$2:$B$28,"D30 리텐션"),IF($J35="P90",SUMIFS('4-1 지역 벤치마크(참조)'!$D$2:$D$28,'4-1 지역 벤치마크(참조)'!$A$2:$A$28,$I35,'4-1 지역 벤치마크(참조)'!$B$2:$B$28,"D30 리텐션"),IF($J35="P99",SUMIFS('4-1 지역 벤치마크(참조)'!$E$2:$E$28,'4-1 지역 벤치마크(참조)'!$A$2:$A$28,$I35,'4-1 지역 벤치마크(참조)'!$B$2:$B$28,"D30 리텐션"),"")))</f>
        <v>1.18E-2</v>
      </c>
      <c r="N35" s="108">
        <f t="shared" si="3"/>
        <v>165.10638297872342</v>
      </c>
      <c r="O35" s="108">
        <f t="shared" si="3"/>
        <v>35.248226950354614</v>
      </c>
      <c r="P35" s="108">
        <f t="shared" si="3"/>
        <v>8.3687943262411348</v>
      </c>
      <c r="Q35" s="109">
        <f t="shared" si="4"/>
        <v>2837.0221327967806</v>
      </c>
    </row>
    <row r="36" spans="1:17" ht="30">
      <c r="A36" s="39" t="s">
        <v>1110</v>
      </c>
      <c r="B36" s="90" t="s">
        <v>1111</v>
      </c>
      <c r="C36" s="103">
        <v>1000</v>
      </c>
      <c r="D36" s="87" t="s">
        <v>1063</v>
      </c>
      <c r="E36" s="104">
        <f t="shared" si="0"/>
        <v>0.14000000000000001</v>
      </c>
      <c r="F36" s="105"/>
      <c r="G36" s="104">
        <f t="shared" si="1"/>
        <v>0.14000000000000001</v>
      </c>
      <c r="H36" s="106">
        <f t="shared" si="2"/>
        <v>7142.8571428571422</v>
      </c>
      <c r="I36" s="88" t="s">
        <v>619</v>
      </c>
      <c r="J36" s="87" t="s">
        <v>1100</v>
      </c>
      <c r="K36" s="107">
        <f>IF($J36="P50",SUMIFS('4-1 지역 벤치마크(참조)'!$C$2:$C$28,'4-1 지역 벤치마크(참조)'!$A$2:$A$28,$I36,'4-1 지역 벤치마크(참조)'!$B$2:$B$28,"D1 리텐션"),IF($J36="P90",SUMIFS('4-1 지역 벤치마크(참조)'!$D$2:$D$28,'4-1 지역 벤치마크(참조)'!$A$2:$A$28,$I36,'4-1 지역 벤치마크(참조)'!$B$2:$B$28,"D1 리텐션"),IF($J36="P99",SUMIFS('4-1 지역 벤치마크(참조)'!$E$2:$E$28,'4-1 지역 벤치마크(참조)'!$A$2:$A$28,$I36,'4-1 지역 벤치마크(참조)'!$B$2:$B$28,"D1 리텐션"),"")))</f>
        <v>0.23280000000000001</v>
      </c>
      <c r="L36" s="107">
        <f>IF($J36="P50",SUMIFS('4-1 지역 벤치마크(참조)'!$C$2:$C$28,'4-1 지역 벤치마크(참조)'!$A$2:$A$28,$I36,'4-1 지역 벤치마크(참조)'!$B$2:$B$28,"D7 리텐션"),IF($J36="P90",SUMIFS('4-1 지역 벤치마크(참조)'!$D$2:$D$28,'4-1 지역 벤치마크(참조)'!$A$2:$A$28,$I36,'4-1 지역 벤치마크(참조)'!$B$2:$B$28,"D7 리텐션"),IF($J36="P99",SUMIFS('4-1 지역 벤치마크(참조)'!$E$2:$E$28,'4-1 지역 벤치마크(참조)'!$A$2:$A$28,$I36,'4-1 지역 벤치마크(참조)'!$B$2:$B$28,"D7 리텐션"),"")))</f>
        <v>4.9700000000000001E-2</v>
      </c>
      <c r="M36" s="107">
        <f>IF($J36="P50",SUMIFS('4-1 지역 벤치마크(참조)'!$C$2:$C$28,'4-1 지역 벤치마크(참조)'!$A$2:$A$28,$I36,'4-1 지역 벤치마크(참조)'!$B$2:$B$28,"D30 리텐션"),IF($J36="P90",SUMIFS('4-1 지역 벤치마크(참조)'!$D$2:$D$28,'4-1 지역 벤치마크(참조)'!$A$2:$A$28,$I36,'4-1 지역 벤치마크(참조)'!$B$2:$B$28,"D30 리텐션"),IF($J36="P99",SUMIFS('4-1 지역 벤치마크(참조)'!$E$2:$E$28,'4-1 지역 벤치마크(참조)'!$A$2:$A$28,$I36,'4-1 지역 벤치마크(참조)'!$B$2:$B$28,"D30 리텐션"),"")))</f>
        <v>1.18E-2</v>
      </c>
      <c r="N36" s="108">
        <f t="shared" si="3"/>
        <v>1662.8571428571427</v>
      </c>
      <c r="O36" s="108">
        <f t="shared" si="3"/>
        <v>355</v>
      </c>
      <c r="P36" s="108">
        <f t="shared" si="3"/>
        <v>84.285714285714278</v>
      </c>
      <c r="Q36" s="109">
        <f t="shared" si="4"/>
        <v>281.69014084507046</v>
      </c>
    </row>
    <row r="37" spans="1:17" ht="30">
      <c r="A37" s="39" t="s">
        <v>1112</v>
      </c>
      <c r="B37" s="90" t="s">
        <v>1113</v>
      </c>
      <c r="C37" s="103">
        <v>1000</v>
      </c>
      <c r="D37" s="87" t="s">
        <v>1071</v>
      </c>
      <c r="E37" s="104">
        <f t="shared" si="0"/>
        <v>2.8</v>
      </c>
      <c r="F37" s="105"/>
      <c r="G37" s="104">
        <f t="shared" si="1"/>
        <v>2.8</v>
      </c>
      <c r="H37" s="106">
        <f t="shared" si="2"/>
        <v>357.14285714285717</v>
      </c>
      <c r="I37" s="88" t="s">
        <v>619</v>
      </c>
      <c r="J37" s="87" t="s">
        <v>1100</v>
      </c>
      <c r="K37" s="107">
        <f>IF($J37="P50",SUMIFS('4-1 지역 벤치마크(참조)'!$C$2:$C$28,'4-1 지역 벤치마크(참조)'!$A$2:$A$28,$I37,'4-1 지역 벤치마크(참조)'!$B$2:$B$28,"D1 리텐션"),IF($J37="P90",SUMIFS('4-1 지역 벤치마크(참조)'!$D$2:$D$28,'4-1 지역 벤치마크(참조)'!$A$2:$A$28,$I37,'4-1 지역 벤치마크(참조)'!$B$2:$B$28,"D1 리텐션"),IF($J37="P99",SUMIFS('4-1 지역 벤치마크(참조)'!$E$2:$E$28,'4-1 지역 벤치마크(참조)'!$A$2:$A$28,$I37,'4-1 지역 벤치마크(참조)'!$B$2:$B$28,"D1 리텐션"),"")))</f>
        <v>0.23280000000000001</v>
      </c>
      <c r="L37" s="107">
        <f>IF($J37="P50",SUMIFS('4-1 지역 벤치마크(참조)'!$C$2:$C$28,'4-1 지역 벤치마크(참조)'!$A$2:$A$28,$I37,'4-1 지역 벤치마크(참조)'!$B$2:$B$28,"D7 리텐션"),IF($J37="P90",SUMIFS('4-1 지역 벤치마크(참조)'!$D$2:$D$28,'4-1 지역 벤치마크(참조)'!$A$2:$A$28,$I37,'4-1 지역 벤치마크(참조)'!$B$2:$B$28,"D7 리텐션"),IF($J37="P99",SUMIFS('4-1 지역 벤치마크(참조)'!$E$2:$E$28,'4-1 지역 벤치마크(참조)'!$A$2:$A$28,$I37,'4-1 지역 벤치마크(참조)'!$B$2:$B$28,"D7 리텐션"),"")))</f>
        <v>4.9700000000000001E-2</v>
      </c>
      <c r="M37" s="107">
        <f>IF($J37="P50",SUMIFS('4-1 지역 벤치마크(참조)'!$C$2:$C$28,'4-1 지역 벤치마크(참조)'!$A$2:$A$28,$I37,'4-1 지역 벤치마크(참조)'!$B$2:$B$28,"D30 리텐션"),IF($J37="P90",SUMIFS('4-1 지역 벤치마크(참조)'!$D$2:$D$28,'4-1 지역 벤치마크(참조)'!$A$2:$A$28,$I37,'4-1 지역 벤치마크(참조)'!$B$2:$B$28,"D30 리텐션"),IF($J37="P99",SUMIFS('4-1 지역 벤치마크(참조)'!$E$2:$E$28,'4-1 지역 벤치마크(참조)'!$A$2:$A$28,$I37,'4-1 지역 벤치마크(참조)'!$B$2:$B$28,"D30 리텐션"),"")))</f>
        <v>1.18E-2</v>
      </c>
      <c r="N37" s="108">
        <f t="shared" si="3"/>
        <v>83.142857142857153</v>
      </c>
      <c r="O37" s="108">
        <f t="shared" si="3"/>
        <v>17.75</v>
      </c>
      <c r="P37" s="108">
        <f t="shared" si="3"/>
        <v>4.2142857142857144</v>
      </c>
      <c r="Q37" s="109">
        <f t="shared" si="4"/>
        <v>5633.8028169014078</v>
      </c>
    </row>
    <row r="38" spans="1:17" ht="30">
      <c r="A38" s="39" t="s">
        <v>1114</v>
      </c>
      <c r="B38" s="90" t="s">
        <v>1115</v>
      </c>
      <c r="C38" s="103">
        <v>1000</v>
      </c>
      <c r="D38" s="87" t="s">
        <v>1074</v>
      </c>
      <c r="E38" s="104">
        <f t="shared" si="0"/>
        <v>0.64</v>
      </c>
      <c r="F38" s="105"/>
      <c r="G38" s="104">
        <f t="shared" si="1"/>
        <v>0.64</v>
      </c>
      <c r="H38" s="106">
        <f t="shared" si="2"/>
        <v>1562.5</v>
      </c>
      <c r="I38" s="88" t="s">
        <v>619</v>
      </c>
      <c r="J38" s="87" t="s">
        <v>1100</v>
      </c>
      <c r="K38" s="107">
        <f>IF($J38="P50",SUMIFS('4-1 지역 벤치마크(참조)'!$C$2:$C$28,'4-1 지역 벤치마크(참조)'!$A$2:$A$28,$I38,'4-1 지역 벤치마크(참조)'!$B$2:$B$28,"D1 리텐션"),IF($J38="P90",SUMIFS('4-1 지역 벤치마크(참조)'!$D$2:$D$28,'4-1 지역 벤치마크(참조)'!$A$2:$A$28,$I38,'4-1 지역 벤치마크(참조)'!$B$2:$B$28,"D1 리텐션"),IF($J38="P99",SUMIFS('4-1 지역 벤치마크(참조)'!$E$2:$E$28,'4-1 지역 벤치마크(참조)'!$A$2:$A$28,$I38,'4-1 지역 벤치마크(참조)'!$B$2:$B$28,"D1 리텐션"),"")))</f>
        <v>0.23280000000000001</v>
      </c>
      <c r="L38" s="107">
        <f>IF($J38="P50",SUMIFS('4-1 지역 벤치마크(참조)'!$C$2:$C$28,'4-1 지역 벤치마크(참조)'!$A$2:$A$28,$I38,'4-1 지역 벤치마크(참조)'!$B$2:$B$28,"D7 리텐션"),IF($J38="P90",SUMIFS('4-1 지역 벤치마크(참조)'!$D$2:$D$28,'4-1 지역 벤치마크(참조)'!$A$2:$A$28,$I38,'4-1 지역 벤치마크(참조)'!$B$2:$B$28,"D7 리텐션"),IF($J38="P99",SUMIFS('4-1 지역 벤치마크(참조)'!$E$2:$E$28,'4-1 지역 벤치마크(참조)'!$A$2:$A$28,$I38,'4-1 지역 벤치마크(참조)'!$B$2:$B$28,"D7 리텐션"),"")))</f>
        <v>4.9700000000000001E-2</v>
      </c>
      <c r="M38" s="107">
        <f>IF($J38="P50",SUMIFS('4-1 지역 벤치마크(참조)'!$C$2:$C$28,'4-1 지역 벤치마크(참조)'!$A$2:$A$28,$I38,'4-1 지역 벤치마크(참조)'!$B$2:$B$28,"D30 리텐션"),IF($J38="P90",SUMIFS('4-1 지역 벤치마크(참조)'!$D$2:$D$28,'4-1 지역 벤치마크(참조)'!$A$2:$A$28,$I38,'4-1 지역 벤치마크(참조)'!$B$2:$B$28,"D30 리텐션"),IF($J38="P99",SUMIFS('4-1 지역 벤치마크(참조)'!$E$2:$E$28,'4-1 지역 벤치마크(참조)'!$A$2:$A$28,$I38,'4-1 지역 벤치마크(참조)'!$B$2:$B$28,"D30 리텐션"),"")))</f>
        <v>1.18E-2</v>
      </c>
      <c r="N38" s="108">
        <f t="shared" si="3"/>
        <v>363.75</v>
      </c>
      <c r="O38" s="108">
        <f t="shared" si="3"/>
        <v>77.65625</v>
      </c>
      <c r="P38" s="108">
        <f t="shared" si="3"/>
        <v>18.4375</v>
      </c>
      <c r="Q38" s="109">
        <f t="shared" si="4"/>
        <v>1287.7263581488933</v>
      </c>
    </row>
    <row r="40" spans="1:17">
      <c r="A40" s="29" t="s">
        <v>1116</v>
      </c>
    </row>
    <row r="41" spans="1:17">
      <c r="A41" s="44" t="s">
        <v>1117</v>
      </c>
    </row>
    <row r="42" spans="1:17">
      <c r="A42" s="29" t="s">
        <v>1118</v>
      </c>
    </row>
    <row r="43" spans="1:17">
      <c r="A43" s="29" t="s">
        <v>1119</v>
      </c>
    </row>
    <row r="44" spans="1:17">
      <c r="A44" s="29" t="s">
        <v>1120</v>
      </c>
    </row>
    <row r="45" spans="1:17">
      <c r="A45" s="29" t="s">
        <v>1121</v>
      </c>
    </row>
    <row r="46" spans="1:17">
      <c r="A46" s="29" t="s">
        <v>1122</v>
      </c>
    </row>
  </sheetData>
  <phoneticPr fontId="33" type="noConversion"/>
  <dataValidations count="3">
    <dataValidation type="list" sqref="D31:D38" xr:uid="{00000000-0002-0000-0D00-000000000000}">
      <formula1>$A$11:$A$26</formula1>
      <formula2>0</formula2>
    </dataValidation>
    <dataValidation type="list" sqref="I31:I38" xr:uid="{00000000-0002-0000-0D00-000001000000}">
      <formula1>"북미,중미,남미,아시아"</formula1>
      <formula2>0</formula2>
    </dataValidation>
    <dataValidation type="list" sqref="J31:J38" xr:uid="{00000000-0002-0000-0D00-000002000000}">
      <formula1>"P50,P90,P99"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A6A6A6"/>
  </sheetPr>
  <dimension ref="A1:I2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/>
  <cols>
    <col min="1" max="1" width="10" customWidth="1"/>
    <col min="2" max="2" width="18" customWidth="1"/>
    <col min="3" max="3" width="14" customWidth="1"/>
    <col min="4" max="4" width="15" customWidth="1"/>
    <col min="5" max="5" width="14" customWidth="1"/>
    <col min="6" max="6" width="6" customWidth="1"/>
    <col min="7" max="7" width="60" customWidth="1"/>
  </cols>
  <sheetData>
    <row r="1" spans="1:9" ht="16">
      <c r="A1" s="26" t="s">
        <v>1026</v>
      </c>
      <c r="B1" s="26" t="s">
        <v>1123</v>
      </c>
      <c r="C1" s="30" t="s">
        <v>1124</v>
      </c>
      <c r="D1" s="30" t="s">
        <v>1125</v>
      </c>
      <c r="E1" s="30" t="s">
        <v>1126</v>
      </c>
      <c r="F1" s="26" t="s">
        <v>1127</v>
      </c>
      <c r="G1" s="26" t="s">
        <v>1128</v>
      </c>
      <c r="I1" s="110" t="s">
        <v>1129</v>
      </c>
    </row>
    <row r="2" spans="1:9">
      <c r="A2" s="83" t="s">
        <v>619</v>
      </c>
      <c r="B2" s="82" t="s">
        <v>1130</v>
      </c>
      <c r="C2" s="111">
        <v>0.23280000000000001</v>
      </c>
      <c r="D2" s="111">
        <v>0.36899999999999999</v>
      </c>
      <c r="E2" s="111">
        <v>0.50890000000000002</v>
      </c>
      <c r="F2" s="82" t="s">
        <v>1131</v>
      </c>
      <c r="G2" s="82" t="s">
        <v>1132</v>
      </c>
    </row>
    <row r="3" spans="1:9">
      <c r="A3" s="83" t="s">
        <v>619</v>
      </c>
      <c r="B3" s="82" t="s">
        <v>1133</v>
      </c>
      <c r="C3" s="111">
        <v>4.9700000000000001E-2</v>
      </c>
      <c r="D3" s="111">
        <v>0.1258</v>
      </c>
      <c r="E3" s="111">
        <v>0.24779999999999999</v>
      </c>
      <c r="F3" s="82" t="s">
        <v>1131</v>
      </c>
      <c r="G3" s="82" t="s">
        <v>1132</v>
      </c>
    </row>
    <row r="4" spans="1:9">
      <c r="A4" s="83" t="s">
        <v>619</v>
      </c>
      <c r="B4" s="82" t="s">
        <v>1134</v>
      </c>
      <c r="C4" s="111">
        <v>1.18E-2</v>
      </c>
      <c r="D4" s="111">
        <v>4.7800000000000002E-2</v>
      </c>
      <c r="E4" s="111">
        <v>0.1326</v>
      </c>
      <c r="F4" s="82" t="s">
        <v>1131</v>
      </c>
      <c r="G4" s="82" t="s">
        <v>1132</v>
      </c>
    </row>
    <row r="5" spans="1:9">
      <c r="A5" s="83" t="s">
        <v>619</v>
      </c>
      <c r="B5" s="83" t="s">
        <v>1135</v>
      </c>
      <c r="C5" s="112">
        <v>14.45</v>
      </c>
      <c r="D5" s="112">
        <v>45.84</v>
      </c>
      <c r="E5" s="112">
        <v>89.43</v>
      </c>
      <c r="F5" s="83" t="s">
        <v>1136</v>
      </c>
      <c r="G5" s="82" t="s">
        <v>1132</v>
      </c>
    </row>
    <row r="6" spans="1:9">
      <c r="A6" s="83" t="s">
        <v>619</v>
      </c>
      <c r="B6" s="83" t="s">
        <v>1137</v>
      </c>
      <c r="C6" s="112">
        <v>3.64</v>
      </c>
      <c r="D6" s="112">
        <v>8.5</v>
      </c>
      <c r="E6" s="112">
        <v>20.22</v>
      </c>
      <c r="F6" s="83" t="s">
        <v>1136</v>
      </c>
      <c r="G6" s="82" t="s">
        <v>1132</v>
      </c>
    </row>
    <row r="7" spans="1:9">
      <c r="A7" s="83" t="s">
        <v>619</v>
      </c>
      <c r="B7" s="83" t="s">
        <v>648</v>
      </c>
      <c r="C7" s="112">
        <v>4.2300000000000004</v>
      </c>
      <c r="D7" s="112">
        <v>7.59</v>
      </c>
      <c r="E7" s="112">
        <v>12.85</v>
      </c>
      <c r="F7" s="83" t="s">
        <v>1138</v>
      </c>
      <c r="G7" s="82" t="s">
        <v>1132</v>
      </c>
    </row>
    <row r="8" spans="1:9">
      <c r="A8" s="83" t="s">
        <v>1139</v>
      </c>
      <c r="B8" s="82" t="s">
        <v>1130</v>
      </c>
      <c r="C8" s="111">
        <v>0.2137</v>
      </c>
      <c r="D8" s="111">
        <v>0.34239999999999998</v>
      </c>
      <c r="E8" s="111">
        <v>0.46829999999999999</v>
      </c>
      <c r="F8" s="82" t="s">
        <v>1131</v>
      </c>
      <c r="G8" s="82" t="s">
        <v>1132</v>
      </c>
    </row>
    <row r="9" spans="1:9">
      <c r="A9" s="83" t="s">
        <v>1139</v>
      </c>
      <c r="B9" s="82" t="s">
        <v>1133</v>
      </c>
      <c r="C9" s="111">
        <v>3.7100000000000001E-2</v>
      </c>
      <c r="D9" s="111">
        <v>9.6000000000000002E-2</v>
      </c>
      <c r="E9" s="111">
        <v>0.18149999999999999</v>
      </c>
      <c r="F9" s="82" t="s">
        <v>1131</v>
      </c>
      <c r="G9" s="82" t="s">
        <v>1132</v>
      </c>
    </row>
    <row r="10" spans="1:9">
      <c r="A10" s="83" t="s">
        <v>1139</v>
      </c>
      <c r="B10" s="82" t="s">
        <v>1134</v>
      </c>
      <c r="C10" s="111">
        <v>7.7999999999999996E-3</v>
      </c>
      <c r="D10" s="111">
        <v>2.8500000000000001E-2</v>
      </c>
      <c r="E10" s="111">
        <v>8.1000000000000003E-2</v>
      </c>
      <c r="F10" s="82" t="s">
        <v>1131</v>
      </c>
      <c r="G10" s="82" t="s">
        <v>1132</v>
      </c>
    </row>
    <row r="11" spans="1:9">
      <c r="A11" s="83" t="s">
        <v>1139</v>
      </c>
      <c r="B11" s="83" t="s">
        <v>1135</v>
      </c>
      <c r="C11" s="112">
        <v>12.41</v>
      </c>
      <c r="D11" s="112">
        <v>36.42</v>
      </c>
      <c r="E11" s="112">
        <v>66.260000000000005</v>
      </c>
      <c r="F11" s="83" t="s">
        <v>1136</v>
      </c>
      <c r="G11" s="82" t="s">
        <v>1132</v>
      </c>
    </row>
    <row r="12" spans="1:9">
      <c r="A12" s="83" t="s">
        <v>1139</v>
      </c>
      <c r="B12" s="83" t="s">
        <v>1137</v>
      </c>
      <c r="C12" s="112">
        <v>2.83</v>
      </c>
      <c r="D12" s="112">
        <v>6.25</v>
      </c>
      <c r="E12" s="112">
        <v>17.32</v>
      </c>
      <c r="F12" s="83" t="s">
        <v>1136</v>
      </c>
      <c r="G12" s="82" t="s">
        <v>1132</v>
      </c>
    </row>
    <row r="13" spans="1:9">
      <c r="A13" s="83" t="s">
        <v>1139</v>
      </c>
      <c r="B13" s="83" t="s">
        <v>648</v>
      </c>
      <c r="C13" s="112">
        <v>4.9000000000000004</v>
      </c>
      <c r="D13" s="112">
        <v>7.62</v>
      </c>
      <c r="E13" s="112">
        <v>11.06</v>
      </c>
      <c r="F13" s="83" t="s">
        <v>1138</v>
      </c>
      <c r="G13" s="82" t="s">
        <v>1132</v>
      </c>
    </row>
    <row r="14" spans="1:9">
      <c r="A14" s="83" t="s">
        <v>626</v>
      </c>
      <c r="B14" s="82" t="s">
        <v>1130</v>
      </c>
      <c r="C14" s="111">
        <v>0.2009</v>
      </c>
      <c r="D14" s="111">
        <v>0.34060000000000001</v>
      </c>
      <c r="E14" s="111">
        <v>0.46889999999999998</v>
      </c>
      <c r="F14" s="82" t="s">
        <v>1131</v>
      </c>
      <c r="G14" s="82" t="s">
        <v>1132</v>
      </c>
    </row>
    <row r="15" spans="1:9">
      <c r="A15" s="83" t="s">
        <v>626</v>
      </c>
      <c r="B15" s="82" t="s">
        <v>1133</v>
      </c>
      <c r="C15" s="111">
        <v>3.2500000000000001E-2</v>
      </c>
      <c r="D15" s="111">
        <v>9.1399999999999995E-2</v>
      </c>
      <c r="E15" s="111">
        <v>0.18940000000000001</v>
      </c>
      <c r="F15" s="82" t="s">
        <v>1131</v>
      </c>
      <c r="G15" s="82" t="s">
        <v>1132</v>
      </c>
    </row>
    <row r="16" spans="1:9">
      <c r="A16" s="83" t="s">
        <v>626</v>
      </c>
      <c r="B16" s="82" t="s">
        <v>1134</v>
      </c>
      <c r="C16" s="111">
        <v>6.4999999999999997E-3</v>
      </c>
      <c r="D16" s="111">
        <v>2.5399999999999999E-2</v>
      </c>
      <c r="E16" s="111">
        <v>7.9299999999999995E-2</v>
      </c>
      <c r="F16" s="82" t="s">
        <v>1131</v>
      </c>
      <c r="G16" s="82" t="s">
        <v>1132</v>
      </c>
    </row>
    <row r="17" spans="1:7">
      <c r="A17" s="83" t="s">
        <v>626</v>
      </c>
      <c r="B17" s="83" t="s">
        <v>1135</v>
      </c>
      <c r="C17" s="112">
        <v>11.14</v>
      </c>
      <c r="D17" s="112">
        <v>35.770000000000003</v>
      </c>
      <c r="E17" s="112">
        <v>67.52</v>
      </c>
      <c r="F17" s="83" t="s">
        <v>1136</v>
      </c>
      <c r="G17" s="82" t="s">
        <v>1132</v>
      </c>
    </row>
    <row r="18" spans="1:7">
      <c r="A18" s="83" t="s">
        <v>626</v>
      </c>
      <c r="B18" s="83" t="s">
        <v>1137</v>
      </c>
      <c r="C18" s="112">
        <v>2.77</v>
      </c>
      <c r="D18" s="112">
        <v>6.44</v>
      </c>
      <c r="E18" s="112">
        <v>15.62</v>
      </c>
      <c r="F18" s="83" t="s">
        <v>1136</v>
      </c>
      <c r="G18" s="82" t="s">
        <v>1132</v>
      </c>
    </row>
    <row r="19" spans="1:7">
      <c r="A19" s="83" t="s">
        <v>626</v>
      </c>
      <c r="B19" s="83" t="s">
        <v>648</v>
      </c>
      <c r="C19" s="112">
        <v>4.49</v>
      </c>
      <c r="D19" s="112">
        <v>7.32</v>
      </c>
      <c r="E19" s="112">
        <v>10.49</v>
      </c>
      <c r="F19" s="83" t="s">
        <v>1138</v>
      </c>
      <c r="G19" s="82" t="s">
        <v>1132</v>
      </c>
    </row>
    <row r="20" spans="1:7">
      <c r="A20" s="83" t="s">
        <v>627</v>
      </c>
      <c r="B20" s="82" t="s">
        <v>1130</v>
      </c>
      <c r="C20" s="111">
        <v>0.17499999999999999</v>
      </c>
      <c r="D20" s="111">
        <v>0.32769999999999999</v>
      </c>
      <c r="E20" s="111">
        <v>0.45579999999999998</v>
      </c>
      <c r="F20" s="82" t="s">
        <v>1131</v>
      </c>
      <c r="G20" s="82" t="s">
        <v>1132</v>
      </c>
    </row>
    <row r="21" spans="1:7">
      <c r="A21" s="83" t="s">
        <v>627</v>
      </c>
      <c r="B21" s="82" t="s">
        <v>1133</v>
      </c>
      <c r="C21" s="111">
        <v>2.6800000000000001E-2</v>
      </c>
      <c r="D21" s="111">
        <v>8.6499999999999994E-2</v>
      </c>
      <c r="E21" s="111">
        <v>0.20080000000000001</v>
      </c>
      <c r="F21" s="82" t="s">
        <v>1131</v>
      </c>
      <c r="G21" s="82" t="s">
        <v>1132</v>
      </c>
    </row>
    <row r="22" spans="1:7">
      <c r="A22" s="83" t="s">
        <v>627</v>
      </c>
      <c r="B22" s="82" t="s">
        <v>1134</v>
      </c>
      <c r="C22" s="111">
        <v>5.3E-3</v>
      </c>
      <c r="D22" s="111">
        <v>2.5899999999999999E-2</v>
      </c>
      <c r="E22" s="111">
        <v>0.10050000000000001</v>
      </c>
      <c r="F22" s="82" t="s">
        <v>1131</v>
      </c>
      <c r="G22" s="82" t="s">
        <v>1132</v>
      </c>
    </row>
    <row r="23" spans="1:7">
      <c r="A23" s="83" t="s">
        <v>627</v>
      </c>
      <c r="B23" s="83" t="s">
        <v>1135</v>
      </c>
      <c r="C23" s="112">
        <v>11.79</v>
      </c>
      <c r="D23" s="112">
        <v>40.72</v>
      </c>
      <c r="E23" s="112">
        <v>92.07</v>
      </c>
      <c r="F23" s="83" t="s">
        <v>1136</v>
      </c>
      <c r="G23" s="82" t="s">
        <v>1132</v>
      </c>
    </row>
    <row r="24" spans="1:7">
      <c r="A24" s="83" t="s">
        <v>627</v>
      </c>
      <c r="B24" s="83" t="s">
        <v>1137</v>
      </c>
      <c r="C24" s="112">
        <v>3.12</v>
      </c>
      <c r="D24" s="112">
        <v>7.15</v>
      </c>
      <c r="E24" s="112">
        <v>17.690000000000001</v>
      </c>
      <c r="F24" s="83" t="s">
        <v>1136</v>
      </c>
      <c r="G24" s="82" t="s">
        <v>1132</v>
      </c>
    </row>
    <row r="25" spans="1:7">
      <c r="A25" s="83" t="s">
        <v>627</v>
      </c>
      <c r="B25" s="83" t="s">
        <v>648</v>
      </c>
      <c r="C25" s="112">
        <v>4.1900000000000004</v>
      </c>
      <c r="D25" s="112">
        <v>7.79</v>
      </c>
      <c r="E25" s="112">
        <v>13.32</v>
      </c>
      <c r="F25" s="83" t="s">
        <v>1138</v>
      </c>
      <c r="G25" s="82" t="s">
        <v>1132</v>
      </c>
    </row>
    <row r="27" spans="1:7">
      <c r="A27" s="29" t="s">
        <v>1140</v>
      </c>
    </row>
    <row r="28" spans="1:7">
      <c r="A28" s="29" t="s">
        <v>1141</v>
      </c>
    </row>
  </sheetData>
  <autoFilter ref="A1:G25" xr:uid="{00000000-0009-0000-0000-00000E000000}"/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U12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5"/>
  <cols>
    <col min="1" max="1" width="18" customWidth="1"/>
    <col min="2" max="2" width="15" customWidth="1"/>
    <col min="3" max="14" width="8.5" customWidth="1"/>
    <col min="15" max="15" width="10" customWidth="1"/>
    <col min="16" max="17" width="9" customWidth="1"/>
    <col min="18" max="18" width="11" customWidth="1"/>
    <col min="19" max="19" width="14" customWidth="1"/>
  </cols>
  <sheetData>
    <row r="1" spans="1:21" ht="17">
      <c r="A1" s="113" t="s">
        <v>1142</v>
      </c>
      <c r="U1" s="110" t="s">
        <v>1143</v>
      </c>
    </row>
    <row r="2" spans="1:21">
      <c r="A2" s="70" t="s">
        <v>1144</v>
      </c>
    </row>
    <row r="3" spans="1:21">
      <c r="A3" s="29" t="s">
        <v>1145</v>
      </c>
    </row>
    <row r="5" spans="1:21" ht="16">
      <c r="A5" s="114" t="s">
        <v>1146</v>
      </c>
    </row>
    <row r="6" spans="1:21" ht="45.75" customHeight="1">
      <c r="A6" s="26" t="s">
        <v>1147</v>
      </c>
      <c r="B6" s="26" t="s">
        <v>1148</v>
      </c>
      <c r="C6" s="30" t="s">
        <v>1149</v>
      </c>
      <c r="D6" s="30" t="s">
        <v>1150</v>
      </c>
      <c r="E6" s="30" t="s">
        <v>1151</v>
      </c>
      <c r="F6" s="30" t="s">
        <v>1152</v>
      </c>
      <c r="G6" s="30" t="s">
        <v>1153</v>
      </c>
      <c r="H6" s="30" t="s">
        <v>1154</v>
      </c>
      <c r="I6" s="30" t="s">
        <v>1155</v>
      </c>
      <c r="J6" s="30" t="s">
        <v>1156</v>
      </c>
      <c r="K6" s="30" t="s">
        <v>1157</v>
      </c>
      <c r="L6" s="30" t="s">
        <v>1158</v>
      </c>
      <c r="M6" s="30" t="s">
        <v>1159</v>
      </c>
      <c r="N6" s="30" t="s">
        <v>1160</v>
      </c>
      <c r="O6" s="26" t="s">
        <v>1161</v>
      </c>
      <c r="P6" s="26" t="s">
        <v>1162</v>
      </c>
      <c r="Q6" s="26" t="s">
        <v>1163</v>
      </c>
      <c r="R6" s="26" t="s">
        <v>1164</v>
      </c>
      <c r="S6" s="30" t="s">
        <v>1165</v>
      </c>
    </row>
    <row r="7" spans="1:21">
      <c r="A7" s="23" t="s">
        <v>673</v>
      </c>
      <c r="B7" s="115" t="s">
        <v>1166</v>
      </c>
      <c r="C7" s="111">
        <v>0.185</v>
      </c>
      <c r="D7" s="111">
        <v>0.18509999999999999</v>
      </c>
      <c r="E7" s="111">
        <v>0.18779999999999999</v>
      </c>
      <c r="F7" s="111">
        <v>0.18759999999999999</v>
      </c>
      <c r="G7" s="111">
        <v>0.187</v>
      </c>
      <c r="H7" s="111">
        <v>0.184</v>
      </c>
      <c r="I7" s="111">
        <v>0.18060000000000001</v>
      </c>
      <c r="J7" s="111">
        <v>0.18329999999999999</v>
      </c>
      <c r="K7" s="111">
        <v>0.18210000000000001</v>
      </c>
      <c r="L7" s="111">
        <v>0.1827</v>
      </c>
      <c r="M7" s="111">
        <v>0.18</v>
      </c>
      <c r="N7" s="111">
        <v>0.1772</v>
      </c>
      <c r="O7" s="116">
        <f t="shared" ref="O7:O22" si="0">AVERAGE(C7:N7)</f>
        <v>0.18353333333333333</v>
      </c>
      <c r="P7" s="117">
        <f t="shared" ref="P7:P22" si="1">MIN(C7:N7)</f>
        <v>0.1772</v>
      </c>
      <c r="Q7" s="117">
        <f t="shared" ref="Q7:Q22" si="2">MAX(C7:N7)</f>
        <v>0.18779999999999999</v>
      </c>
      <c r="R7" s="117">
        <f t="shared" ref="R7:R22" si="3">Q7-P7</f>
        <v>1.0599999999999998E-2</v>
      </c>
      <c r="S7" s="118">
        <f t="shared" ref="S7:S22" si="4">RANK(O7,$O$7:$O$22)</f>
        <v>10</v>
      </c>
    </row>
    <row r="8" spans="1:21">
      <c r="A8" s="23" t="s">
        <v>676</v>
      </c>
      <c r="B8" s="115" t="s">
        <v>1167</v>
      </c>
      <c r="C8" s="111">
        <v>0.16500000000000001</v>
      </c>
      <c r="D8" s="111">
        <v>0.1653</v>
      </c>
      <c r="E8" s="111">
        <v>0.16639999999999999</v>
      </c>
      <c r="F8" s="111">
        <v>0.1653</v>
      </c>
      <c r="G8" s="111">
        <v>0.16139999999999999</v>
      </c>
      <c r="H8" s="111">
        <v>0.15659999999999999</v>
      </c>
      <c r="I8" s="111">
        <v>0.1547</v>
      </c>
      <c r="J8" s="111">
        <v>0.15559999999999999</v>
      </c>
      <c r="K8" s="111">
        <v>0.16070000000000001</v>
      </c>
      <c r="L8" s="111">
        <v>0.15970000000000001</v>
      </c>
      <c r="M8" s="111">
        <v>0.1585</v>
      </c>
      <c r="N8" s="111">
        <v>0.157</v>
      </c>
      <c r="O8" s="116">
        <f t="shared" si="0"/>
        <v>0.16051666666666667</v>
      </c>
      <c r="P8" s="117">
        <f t="shared" si="1"/>
        <v>0.1547</v>
      </c>
      <c r="Q8" s="117">
        <f t="shared" si="2"/>
        <v>0.16639999999999999</v>
      </c>
      <c r="R8" s="117">
        <f t="shared" si="3"/>
        <v>1.1699999999999988E-2</v>
      </c>
      <c r="S8" s="118">
        <f t="shared" si="4"/>
        <v>14</v>
      </c>
    </row>
    <row r="9" spans="1:21">
      <c r="A9" s="23" t="s">
        <v>1168</v>
      </c>
      <c r="B9" s="115" t="s">
        <v>1169</v>
      </c>
      <c r="C9" s="111">
        <v>0.2233</v>
      </c>
      <c r="D9" s="111">
        <v>0.21640000000000001</v>
      </c>
      <c r="E9" s="111">
        <v>0.2253</v>
      </c>
      <c r="F9" s="111">
        <v>0.2266</v>
      </c>
      <c r="G9" s="111">
        <v>0.2263</v>
      </c>
      <c r="H9" s="111">
        <v>0.22289999999999999</v>
      </c>
      <c r="I9" s="111">
        <v>0.2203</v>
      </c>
      <c r="J9" s="111">
        <v>0.22140000000000001</v>
      </c>
      <c r="K9" s="111">
        <v>0.2235</v>
      </c>
      <c r="L9" s="111">
        <v>0.22470000000000001</v>
      </c>
      <c r="M9" s="111">
        <v>0.22059999999999999</v>
      </c>
      <c r="N9" s="111">
        <v>0.21790000000000001</v>
      </c>
      <c r="O9" s="116">
        <f t="shared" si="0"/>
        <v>0.22243333333333337</v>
      </c>
      <c r="P9" s="117">
        <f t="shared" si="1"/>
        <v>0.21640000000000001</v>
      </c>
      <c r="Q9" s="117">
        <f t="shared" si="2"/>
        <v>0.2266</v>
      </c>
      <c r="R9" s="117">
        <f t="shared" si="3"/>
        <v>1.0199999999999987E-2</v>
      </c>
      <c r="S9" s="118">
        <f t="shared" si="4"/>
        <v>1</v>
      </c>
    </row>
    <row r="10" spans="1:21">
      <c r="A10" s="23" t="s">
        <v>662</v>
      </c>
      <c r="B10" s="115" t="s">
        <v>1170</v>
      </c>
      <c r="C10" s="111">
        <v>0.1981</v>
      </c>
      <c r="D10" s="111">
        <v>0.2006</v>
      </c>
      <c r="E10" s="111">
        <v>0.1991</v>
      </c>
      <c r="F10" s="111">
        <v>0.19450000000000001</v>
      </c>
      <c r="G10" s="111">
        <v>0.19500000000000001</v>
      </c>
      <c r="H10" s="111">
        <v>0.18940000000000001</v>
      </c>
      <c r="I10" s="111">
        <v>0.1885</v>
      </c>
      <c r="J10" s="111">
        <v>0.1862</v>
      </c>
      <c r="K10" s="111">
        <v>0.1867</v>
      </c>
      <c r="L10" s="111">
        <v>0.18740000000000001</v>
      </c>
      <c r="M10" s="111">
        <v>0.18640000000000001</v>
      </c>
      <c r="N10" s="111">
        <v>0.18</v>
      </c>
      <c r="O10" s="116">
        <f t="shared" si="0"/>
        <v>0.1909916666666667</v>
      </c>
      <c r="P10" s="117">
        <f t="shared" si="1"/>
        <v>0.18</v>
      </c>
      <c r="Q10" s="117">
        <f t="shared" si="2"/>
        <v>0.2006</v>
      </c>
      <c r="R10" s="117">
        <f t="shared" si="3"/>
        <v>2.0600000000000007E-2</v>
      </c>
      <c r="S10" s="118">
        <f t="shared" si="4"/>
        <v>7</v>
      </c>
    </row>
    <row r="11" spans="1:21">
      <c r="A11" s="23" t="s">
        <v>680</v>
      </c>
      <c r="B11" s="115" t="s">
        <v>1171</v>
      </c>
      <c r="C11" s="111">
        <v>0.1905</v>
      </c>
      <c r="D11" s="111">
        <v>0.19389999999999999</v>
      </c>
      <c r="E11" s="111">
        <v>0.19159999999999999</v>
      </c>
      <c r="F11" s="111">
        <v>0.18859999999999999</v>
      </c>
      <c r="G11" s="111">
        <v>0.19339999999999999</v>
      </c>
      <c r="H11" s="111">
        <v>0.18740000000000001</v>
      </c>
      <c r="I11" s="111">
        <v>0.191</v>
      </c>
      <c r="J11" s="111">
        <v>0.18679999999999999</v>
      </c>
      <c r="K11" s="111">
        <v>0.18429999999999999</v>
      </c>
      <c r="L11" s="111">
        <v>0.18629999999999999</v>
      </c>
      <c r="M11" s="111">
        <v>0.18459999999999999</v>
      </c>
      <c r="N11" s="111">
        <v>0.1822</v>
      </c>
      <c r="O11" s="116">
        <f t="shared" si="0"/>
        <v>0.18838333333333332</v>
      </c>
      <c r="P11" s="117">
        <f t="shared" si="1"/>
        <v>0.1822</v>
      </c>
      <c r="Q11" s="117">
        <f t="shared" si="2"/>
        <v>0.19389999999999999</v>
      </c>
      <c r="R11" s="117">
        <f t="shared" si="3"/>
        <v>1.1699999999999988E-2</v>
      </c>
      <c r="S11" s="118">
        <f t="shared" si="4"/>
        <v>8</v>
      </c>
    </row>
    <row r="12" spans="1:21">
      <c r="A12" s="23" t="s">
        <v>1172</v>
      </c>
      <c r="B12" s="115" t="s">
        <v>1066</v>
      </c>
      <c r="C12" s="111">
        <v>0.1991</v>
      </c>
      <c r="D12" s="111">
        <v>0.2014</v>
      </c>
      <c r="E12" s="111">
        <v>0.20380000000000001</v>
      </c>
      <c r="F12" s="111">
        <v>0.19769999999999999</v>
      </c>
      <c r="G12" s="111">
        <v>0.19309999999999999</v>
      </c>
      <c r="H12" s="111">
        <v>0.1883</v>
      </c>
      <c r="I12" s="111">
        <v>0.1918</v>
      </c>
      <c r="J12" s="111">
        <v>0.18740000000000001</v>
      </c>
      <c r="K12" s="111">
        <v>0.18720000000000001</v>
      </c>
      <c r="L12" s="111">
        <v>0.18759999999999999</v>
      </c>
      <c r="M12" s="111">
        <v>0.19389999999999999</v>
      </c>
      <c r="N12" s="111">
        <v>0.1946</v>
      </c>
      <c r="O12" s="116">
        <f t="shared" si="0"/>
        <v>0.193825</v>
      </c>
      <c r="P12" s="117">
        <f t="shared" si="1"/>
        <v>0.18720000000000001</v>
      </c>
      <c r="Q12" s="117">
        <f t="shared" si="2"/>
        <v>0.20380000000000001</v>
      </c>
      <c r="R12" s="117">
        <f t="shared" si="3"/>
        <v>1.6600000000000004E-2</v>
      </c>
      <c r="S12" s="118">
        <f t="shared" si="4"/>
        <v>5</v>
      </c>
    </row>
    <row r="13" spans="1:21">
      <c r="A13" s="23" t="s">
        <v>659</v>
      </c>
      <c r="B13" s="115" t="s">
        <v>620</v>
      </c>
      <c r="C13" s="111">
        <v>0.20180000000000001</v>
      </c>
      <c r="D13" s="111">
        <v>0.20019999999999999</v>
      </c>
      <c r="E13" s="111">
        <v>0.20910000000000001</v>
      </c>
      <c r="F13" s="111">
        <v>0.2092</v>
      </c>
      <c r="G13" s="111">
        <v>0.21110000000000001</v>
      </c>
      <c r="H13" s="111">
        <v>0.20979999999999999</v>
      </c>
      <c r="I13" s="111">
        <v>0.2064</v>
      </c>
      <c r="J13" s="111">
        <v>0.20649999999999999</v>
      </c>
      <c r="K13" s="111">
        <v>0.2102</v>
      </c>
      <c r="L13" s="111">
        <v>0.2092</v>
      </c>
      <c r="M13" s="111">
        <v>0.20419999999999999</v>
      </c>
      <c r="N13" s="111">
        <v>0.20030000000000001</v>
      </c>
      <c r="O13" s="116">
        <f t="shared" si="0"/>
        <v>0.20649999999999999</v>
      </c>
      <c r="P13" s="117">
        <f t="shared" si="1"/>
        <v>0.20019999999999999</v>
      </c>
      <c r="Q13" s="117">
        <f t="shared" si="2"/>
        <v>0.21110000000000001</v>
      </c>
      <c r="R13" s="117">
        <f t="shared" si="3"/>
        <v>1.0900000000000021E-2</v>
      </c>
      <c r="S13" s="118">
        <f t="shared" si="4"/>
        <v>2</v>
      </c>
    </row>
    <row r="14" spans="1:21">
      <c r="A14" s="23" t="s">
        <v>1173</v>
      </c>
      <c r="B14" s="115" t="s">
        <v>1174</v>
      </c>
      <c r="C14" s="111">
        <v>0.128</v>
      </c>
      <c r="D14" s="111">
        <v>0.1217</v>
      </c>
      <c r="E14" s="111">
        <v>0.1211</v>
      </c>
      <c r="F14" s="111">
        <v>0.1147</v>
      </c>
      <c r="G14" s="111">
        <v>0.11269999999999999</v>
      </c>
      <c r="H14" s="111">
        <v>0.1118</v>
      </c>
      <c r="I14" s="111">
        <v>0.11070000000000001</v>
      </c>
      <c r="J14" s="111">
        <v>0.1109</v>
      </c>
      <c r="K14" s="111">
        <v>0.1111</v>
      </c>
      <c r="L14" s="111">
        <v>0.11219999999999999</v>
      </c>
      <c r="M14" s="111">
        <v>0.1118</v>
      </c>
      <c r="N14" s="111">
        <v>0.1086</v>
      </c>
      <c r="O14" s="116">
        <f t="shared" si="0"/>
        <v>0.11460833333333335</v>
      </c>
      <c r="P14" s="117">
        <f t="shared" si="1"/>
        <v>0.1086</v>
      </c>
      <c r="Q14" s="117">
        <f t="shared" si="2"/>
        <v>0.128</v>
      </c>
      <c r="R14" s="117">
        <f t="shared" si="3"/>
        <v>1.9400000000000001E-2</v>
      </c>
      <c r="S14" s="118">
        <f t="shared" si="4"/>
        <v>16</v>
      </c>
    </row>
    <row r="15" spans="1:21">
      <c r="A15" s="23" t="s">
        <v>652</v>
      </c>
      <c r="B15" s="115" t="s">
        <v>743</v>
      </c>
      <c r="C15" s="111">
        <v>0.20530000000000001</v>
      </c>
      <c r="D15" s="111">
        <v>0.20469999999999999</v>
      </c>
      <c r="E15" s="111">
        <v>0.2074</v>
      </c>
      <c r="F15" s="111">
        <v>0.2051</v>
      </c>
      <c r="G15" s="111">
        <v>0.20449999999999999</v>
      </c>
      <c r="H15" s="111">
        <v>0.20280000000000001</v>
      </c>
      <c r="I15" s="111">
        <v>0.19900000000000001</v>
      </c>
      <c r="J15" s="111">
        <v>0.20050000000000001</v>
      </c>
      <c r="K15" s="111">
        <v>0.2011</v>
      </c>
      <c r="L15" s="111">
        <v>0.19989999999999999</v>
      </c>
      <c r="M15" s="111">
        <v>0.19769999999999999</v>
      </c>
      <c r="N15" s="111">
        <v>0.1966</v>
      </c>
      <c r="O15" s="116">
        <f t="shared" si="0"/>
        <v>0.20205000000000006</v>
      </c>
      <c r="P15" s="117">
        <f t="shared" si="1"/>
        <v>0.1966</v>
      </c>
      <c r="Q15" s="117">
        <f t="shared" si="2"/>
        <v>0.2074</v>
      </c>
      <c r="R15" s="117">
        <f t="shared" si="3"/>
        <v>1.0800000000000004E-2</v>
      </c>
      <c r="S15" s="118">
        <f t="shared" si="4"/>
        <v>3</v>
      </c>
    </row>
    <row r="16" spans="1:21">
      <c r="A16" s="23" t="s">
        <v>1175</v>
      </c>
      <c r="B16" s="115" t="s">
        <v>1176</v>
      </c>
      <c r="C16" s="111">
        <v>0.1792</v>
      </c>
      <c r="D16" s="111">
        <v>0.18</v>
      </c>
      <c r="E16" s="111">
        <v>0.18360000000000001</v>
      </c>
      <c r="F16" s="111">
        <v>0.18360000000000001</v>
      </c>
      <c r="G16" s="111">
        <v>0.18210000000000001</v>
      </c>
      <c r="H16" s="111">
        <v>0.18340000000000001</v>
      </c>
      <c r="I16" s="111">
        <v>0.18060000000000001</v>
      </c>
      <c r="J16" s="111">
        <v>0.18190000000000001</v>
      </c>
      <c r="K16" s="111">
        <v>0.18329999999999999</v>
      </c>
      <c r="L16" s="111">
        <v>0.1817</v>
      </c>
      <c r="M16" s="111">
        <v>0.17599999999999999</v>
      </c>
      <c r="N16" s="111">
        <v>0.17649999999999999</v>
      </c>
      <c r="O16" s="116">
        <f t="shared" si="0"/>
        <v>0.18099166666666666</v>
      </c>
      <c r="P16" s="117">
        <f t="shared" si="1"/>
        <v>0.17599999999999999</v>
      </c>
      <c r="Q16" s="117">
        <f t="shared" si="2"/>
        <v>0.18360000000000001</v>
      </c>
      <c r="R16" s="117">
        <f t="shared" si="3"/>
        <v>7.6000000000000234E-3</v>
      </c>
      <c r="S16" s="118">
        <f t="shared" si="4"/>
        <v>11</v>
      </c>
    </row>
    <row r="17" spans="1:19">
      <c r="A17" s="23" t="s">
        <v>685</v>
      </c>
      <c r="B17" s="115" t="s">
        <v>1177</v>
      </c>
      <c r="C17" s="111">
        <v>0.1527</v>
      </c>
      <c r="D17" s="111">
        <v>0.14960000000000001</v>
      </c>
      <c r="E17" s="111">
        <v>0.15129999999999999</v>
      </c>
      <c r="F17" s="111">
        <v>0.1532</v>
      </c>
      <c r="G17" s="111">
        <v>0.15129999999999999</v>
      </c>
      <c r="H17" s="111">
        <v>0.15029999999999999</v>
      </c>
      <c r="I17" s="111">
        <v>0.1469</v>
      </c>
      <c r="J17" s="111">
        <v>0.15040000000000001</v>
      </c>
      <c r="K17" s="111">
        <v>0.1542</v>
      </c>
      <c r="L17" s="111">
        <v>0.15260000000000001</v>
      </c>
      <c r="M17" s="111">
        <v>0.14810000000000001</v>
      </c>
      <c r="N17" s="111">
        <v>0.14799999999999999</v>
      </c>
      <c r="O17" s="116">
        <f t="shared" si="0"/>
        <v>0.15071666666666667</v>
      </c>
      <c r="P17" s="117">
        <f t="shared" si="1"/>
        <v>0.1469</v>
      </c>
      <c r="Q17" s="117">
        <f t="shared" si="2"/>
        <v>0.1542</v>
      </c>
      <c r="R17" s="117">
        <f t="shared" si="3"/>
        <v>7.3000000000000009E-3</v>
      </c>
      <c r="S17" s="118">
        <f t="shared" si="4"/>
        <v>15</v>
      </c>
    </row>
    <row r="18" spans="1:19">
      <c r="A18" s="23" t="s">
        <v>678</v>
      </c>
      <c r="B18" s="115" t="s">
        <v>774</v>
      </c>
      <c r="C18" s="111">
        <v>0.1709</v>
      </c>
      <c r="D18" s="111">
        <v>0.17019999999999999</v>
      </c>
      <c r="E18" s="111">
        <v>0.17280000000000001</v>
      </c>
      <c r="F18" s="111">
        <v>0.17119999999999999</v>
      </c>
      <c r="G18" s="111">
        <v>0.1714</v>
      </c>
      <c r="H18" s="111">
        <v>0.17100000000000001</v>
      </c>
      <c r="I18" s="111">
        <v>0.16769999999999999</v>
      </c>
      <c r="J18" s="111">
        <v>0.16880000000000001</v>
      </c>
      <c r="K18" s="111">
        <v>0.1704</v>
      </c>
      <c r="L18" s="111">
        <v>0.1724</v>
      </c>
      <c r="M18" s="111">
        <v>0.16889999999999999</v>
      </c>
      <c r="N18" s="111">
        <v>0.16850000000000001</v>
      </c>
      <c r="O18" s="116">
        <f t="shared" si="0"/>
        <v>0.17035000000000003</v>
      </c>
      <c r="P18" s="117">
        <f t="shared" si="1"/>
        <v>0.16769999999999999</v>
      </c>
      <c r="Q18" s="117">
        <f t="shared" si="2"/>
        <v>0.17280000000000001</v>
      </c>
      <c r="R18" s="117">
        <f t="shared" si="3"/>
        <v>5.1000000000000212E-3</v>
      </c>
      <c r="S18" s="118">
        <f t="shared" si="4"/>
        <v>12</v>
      </c>
    </row>
    <row r="19" spans="1:19">
      <c r="A19" s="23" t="s">
        <v>1178</v>
      </c>
      <c r="B19" s="115" t="s">
        <v>798</v>
      </c>
      <c r="C19" s="111">
        <v>0.19470000000000001</v>
      </c>
      <c r="D19" s="111">
        <v>0.19670000000000001</v>
      </c>
      <c r="E19" s="111">
        <v>0.1973</v>
      </c>
      <c r="F19" s="111">
        <v>0.19359999999999999</v>
      </c>
      <c r="G19" s="111">
        <v>0.19270000000000001</v>
      </c>
      <c r="H19" s="111">
        <v>0.18990000000000001</v>
      </c>
      <c r="I19" s="111">
        <v>0.18820000000000001</v>
      </c>
      <c r="J19" s="111">
        <v>0.18779999999999999</v>
      </c>
      <c r="K19" s="111">
        <v>0.1893</v>
      </c>
      <c r="L19" s="111">
        <v>0.1951</v>
      </c>
      <c r="M19" s="111">
        <v>0.19450000000000001</v>
      </c>
      <c r="N19" s="111">
        <v>0.19170000000000001</v>
      </c>
      <c r="O19" s="116">
        <f t="shared" si="0"/>
        <v>0.19262500000000002</v>
      </c>
      <c r="P19" s="117">
        <f t="shared" si="1"/>
        <v>0.18779999999999999</v>
      </c>
      <c r="Q19" s="117">
        <f t="shared" si="2"/>
        <v>0.1973</v>
      </c>
      <c r="R19" s="117">
        <f t="shared" si="3"/>
        <v>9.5000000000000084E-3</v>
      </c>
      <c r="S19" s="118">
        <f t="shared" si="4"/>
        <v>6</v>
      </c>
    </row>
    <row r="20" spans="1:19">
      <c r="A20" s="23" t="s">
        <v>668</v>
      </c>
      <c r="B20" s="115" t="s">
        <v>740</v>
      </c>
      <c r="C20" s="111">
        <v>0.19850000000000001</v>
      </c>
      <c r="D20" s="111">
        <v>0.19980000000000001</v>
      </c>
      <c r="E20" s="111">
        <v>0.20649999999999999</v>
      </c>
      <c r="F20" s="111">
        <v>0.2039</v>
      </c>
      <c r="G20" s="111">
        <v>0.2021</v>
      </c>
      <c r="H20" s="111">
        <v>0.2001</v>
      </c>
      <c r="I20" s="111">
        <v>0.19819999999999999</v>
      </c>
      <c r="J20" s="111">
        <v>0.20019999999999999</v>
      </c>
      <c r="K20" s="111">
        <v>0.19839999999999999</v>
      </c>
      <c r="L20" s="111">
        <v>0.19789999999999999</v>
      </c>
      <c r="M20" s="111">
        <v>0.19</v>
      </c>
      <c r="N20" s="111">
        <v>0.1923</v>
      </c>
      <c r="O20" s="116">
        <f t="shared" si="0"/>
        <v>0.19899166666666665</v>
      </c>
      <c r="P20" s="117">
        <f t="shared" si="1"/>
        <v>0.19</v>
      </c>
      <c r="Q20" s="117">
        <f t="shared" si="2"/>
        <v>0.20649999999999999</v>
      </c>
      <c r="R20" s="117">
        <f t="shared" si="3"/>
        <v>1.6499999999999987E-2</v>
      </c>
      <c r="S20" s="118">
        <f t="shared" si="4"/>
        <v>4</v>
      </c>
    </row>
    <row r="21" spans="1:19">
      <c r="A21" s="23" t="s">
        <v>1179</v>
      </c>
      <c r="B21" s="115" t="s">
        <v>1180</v>
      </c>
      <c r="C21" s="111">
        <v>0.17449999999999999</v>
      </c>
      <c r="D21" s="111">
        <v>0.16969999999999999</v>
      </c>
      <c r="E21" s="111">
        <v>0.16619999999999999</v>
      </c>
      <c r="F21" s="111">
        <v>0.16650000000000001</v>
      </c>
      <c r="G21" s="111">
        <v>0.1663</v>
      </c>
      <c r="H21" s="111">
        <v>0.16039999999999999</v>
      </c>
      <c r="I21" s="111">
        <v>0.16039999999999999</v>
      </c>
      <c r="J21" s="111">
        <v>0.16089999999999999</v>
      </c>
      <c r="K21" s="111">
        <v>0.16220000000000001</v>
      </c>
      <c r="L21" s="111">
        <v>0.1603</v>
      </c>
      <c r="M21" s="111">
        <v>0.15720000000000001</v>
      </c>
      <c r="N21" s="111">
        <v>0.15570000000000001</v>
      </c>
      <c r="O21" s="116">
        <f t="shared" si="0"/>
        <v>0.16335833333333336</v>
      </c>
      <c r="P21" s="117">
        <f t="shared" si="1"/>
        <v>0.15570000000000001</v>
      </c>
      <c r="Q21" s="117">
        <f t="shared" si="2"/>
        <v>0.17449999999999999</v>
      </c>
      <c r="R21" s="117">
        <f t="shared" si="3"/>
        <v>1.8799999999999983E-2</v>
      </c>
      <c r="S21" s="118">
        <f t="shared" si="4"/>
        <v>13</v>
      </c>
    </row>
    <row r="22" spans="1:19">
      <c r="A22" s="23" t="s">
        <v>1181</v>
      </c>
      <c r="B22" s="115" t="s">
        <v>1182</v>
      </c>
      <c r="C22" s="111">
        <v>0.1973</v>
      </c>
      <c r="D22" s="111">
        <v>0.1951</v>
      </c>
      <c r="E22" s="111">
        <v>0.1928</v>
      </c>
      <c r="F22" s="111">
        <v>0.18579999999999999</v>
      </c>
      <c r="G22" s="111">
        <v>0.18579999999999999</v>
      </c>
      <c r="H22" s="111">
        <v>0.1832</v>
      </c>
      <c r="I22" s="111">
        <v>0.18440000000000001</v>
      </c>
      <c r="J22" s="111">
        <v>0.1777</v>
      </c>
      <c r="K22" s="111">
        <v>0.17599999999999999</v>
      </c>
      <c r="L22" s="111">
        <v>0.17730000000000001</v>
      </c>
      <c r="M22" s="111">
        <v>0.1767</v>
      </c>
      <c r="N22" s="111">
        <v>0.17549999999999999</v>
      </c>
      <c r="O22" s="116">
        <f t="shared" si="0"/>
        <v>0.18396666666666664</v>
      </c>
      <c r="P22" s="117">
        <f t="shared" si="1"/>
        <v>0.17549999999999999</v>
      </c>
      <c r="Q22" s="117">
        <f t="shared" si="2"/>
        <v>0.1973</v>
      </c>
      <c r="R22" s="117">
        <f t="shared" si="3"/>
        <v>2.1800000000000014E-2</v>
      </c>
      <c r="S22" s="118">
        <f t="shared" si="4"/>
        <v>9</v>
      </c>
    </row>
    <row r="24" spans="1:19" ht="16">
      <c r="A24" s="114" t="s">
        <v>1183</v>
      </c>
    </row>
    <row r="25" spans="1:19" ht="45.75" customHeight="1">
      <c r="A25" s="26" t="s">
        <v>1147</v>
      </c>
      <c r="B25" s="26" t="s">
        <v>1148</v>
      </c>
      <c r="C25" s="30" t="s">
        <v>1149</v>
      </c>
      <c r="D25" s="30" t="s">
        <v>1150</v>
      </c>
      <c r="E25" s="30" t="s">
        <v>1151</v>
      </c>
      <c r="F25" s="30" t="s">
        <v>1152</v>
      </c>
      <c r="G25" s="30" t="s">
        <v>1153</v>
      </c>
      <c r="H25" s="30" t="s">
        <v>1154</v>
      </c>
      <c r="I25" s="30" t="s">
        <v>1155</v>
      </c>
      <c r="J25" s="30" t="s">
        <v>1156</v>
      </c>
      <c r="K25" s="30" t="s">
        <v>1157</v>
      </c>
      <c r="L25" s="30" t="s">
        <v>1158</v>
      </c>
      <c r="M25" s="30" t="s">
        <v>1159</v>
      </c>
      <c r="N25" s="30" t="s">
        <v>1160</v>
      </c>
      <c r="O25" s="26" t="s">
        <v>1161</v>
      </c>
      <c r="P25" s="26" t="s">
        <v>1162</v>
      </c>
      <c r="Q25" s="26" t="s">
        <v>1163</v>
      </c>
      <c r="R25" s="26" t="s">
        <v>1164</v>
      </c>
      <c r="S25" s="30" t="s">
        <v>1165</v>
      </c>
    </row>
    <row r="26" spans="1:19">
      <c r="A26" s="23" t="s">
        <v>673</v>
      </c>
      <c r="B26" s="115" t="s">
        <v>1166</v>
      </c>
      <c r="C26" s="111">
        <v>2.87E-2</v>
      </c>
      <c r="D26" s="111">
        <v>2.87E-2</v>
      </c>
      <c r="E26" s="111">
        <v>3.0599999999999999E-2</v>
      </c>
      <c r="F26" s="111">
        <v>2.93E-2</v>
      </c>
      <c r="G26" s="111">
        <v>2.9600000000000001E-2</v>
      </c>
      <c r="H26" s="111">
        <v>2.8500000000000001E-2</v>
      </c>
      <c r="I26" s="111">
        <v>2.7199999999999998E-2</v>
      </c>
      <c r="J26" s="111">
        <v>2.8299999999999999E-2</v>
      </c>
      <c r="K26" s="111">
        <v>2.98E-2</v>
      </c>
      <c r="L26" s="111">
        <v>3.0099999999999998E-2</v>
      </c>
      <c r="M26" s="111">
        <v>2.98E-2</v>
      </c>
      <c r="N26" s="111">
        <v>2.8899999999999999E-2</v>
      </c>
      <c r="O26" s="116">
        <f t="shared" ref="O26:O41" si="5">AVERAGE(C26:N26)</f>
        <v>2.9124999999999998E-2</v>
      </c>
      <c r="P26" s="117">
        <f t="shared" ref="P26:P41" si="6">MIN(C26:N26)</f>
        <v>2.7199999999999998E-2</v>
      </c>
      <c r="Q26" s="117">
        <f t="shared" ref="Q26:Q41" si="7">MAX(C26:N26)</f>
        <v>3.0599999999999999E-2</v>
      </c>
      <c r="R26" s="117">
        <f t="shared" ref="R26:R41" si="8">Q26-P26</f>
        <v>3.4000000000000002E-3</v>
      </c>
      <c r="S26" s="118">
        <f t="shared" ref="S26:S41" si="9">RANK(O26,$O$26:$O$41)</f>
        <v>12</v>
      </c>
    </row>
    <row r="27" spans="1:19">
      <c r="A27" s="23" t="s">
        <v>676</v>
      </c>
      <c r="B27" s="115" t="s">
        <v>1167</v>
      </c>
      <c r="C27" s="111">
        <v>2.2599999999999999E-2</v>
      </c>
      <c r="D27" s="111">
        <v>2.2599999999999999E-2</v>
      </c>
      <c r="E27" s="111">
        <v>2.4E-2</v>
      </c>
      <c r="F27" s="111">
        <v>2.29E-2</v>
      </c>
      <c r="G27" s="111">
        <v>2.29E-2</v>
      </c>
      <c r="H27" s="111">
        <v>2.1899999999999999E-2</v>
      </c>
      <c r="I27" s="111">
        <v>2.0899999999999998E-2</v>
      </c>
      <c r="J27" s="111">
        <v>2.1299999999999999E-2</v>
      </c>
      <c r="K27" s="111">
        <v>2.3199999999999998E-2</v>
      </c>
      <c r="L27" s="111">
        <v>2.4199999999999999E-2</v>
      </c>
      <c r="M27" s="111">
        <v>2.3900000000000001E-2</v>
      </c>
      <c r="N27" s="111">
        <v>2.3400000000000001E-2</v>
      </c>
      <c r="O27" s="116">
        <f t="shared" si="5"/>
        <v>2.2816666666666662E-2</v>
      </c>
      <c r="P27" s="117">
        <f t="shared" si="6"/>
        <v>2.0899999999999998E-2</v>
      </c>
      <c r="Q27" s="117">
        <f t="shared" si="7"/>
        <v>2.4199999999999999E-2</v>
      </c>
      <c r="R27" s="117">
        <f t="shared" si="8"/>
        <v>3.3000000000000008E-3</v>
      </c>
      <c r="S27" s="118">
        <f t="shared" si="9"/>
        <v>14</v>
      </c>
    </row>
    <row r="28" spans="1:19">
      <c r="A28" s="23" t="s">
        <v>1168</v>
      </c>
      <c r="B28" s="115" t="s">
        <v>1169</v>
      </c>
      <c r="C28" s="111">
        <v>4.07E-2</v>
      </c>
      <c r="D28" s="111">
        <v>3.9399999999999998E-2</v>
      </c>
      <c r="E28" s="111">
        <v>4.3099999999999999E-2</v>
      </c>
      <c r="F28" s="111">
        <v>4.1700000000000001E-2</v>
      </c>
      <c r="G28" s="111">
        <v>4.2799999999999998E-2</v>
      </c>
      <c r="H28" s="111">
        <v>4.1099999999999998E-2</v>
      </c>
      <c r="I28" s="111">
        <v>3.9300000000000002E-2</v>
      </c>
      <c r="J28" s="111">
        <v>3.9800000000000002E-2</v>
      </c>
      <c r="K28" s="111">
        <v>4.2799999999999998E-2</v>
      </c>
      <c r="L28" s="111">
        <v>4.3999999999999997E-2</v>
      </c>
      <c r="M28" s="111">
        <v>4.3799999999999999E-2</v>
      </c>
      <c r="N28" s="111">
        <v>4.2299999999999997E-2</v>
      </c>
      <c r="O28" s="116">
        <f t="shared" si="5"/>
        <v>4.1733333333333338E-2</v>
      </c>
      <c r="P28" s="117">
        <f t="shared" si="6"/>
        <v>3.9300000000000002E-2</v>
      </c>
      <c r="Q28" s="117">
        <f t="shared" si="7"/>
        <v>4.3999999999999997E-2</v>
      </c>
      <c r="R28" s="117">
        <f t="shared" si="8"/>
        <v>4.6999999999999958E-3</v>
      </c>
      <c r="S28" s="118">
        <f t="shared" si="9"/>
        <v>6</v>
      </c>
    </row>
    <row r="29" spans="1:19">
      <c r="A29" s="23" t="s">
        <v>662</v>
      </c>
      <c r="B29" s="115" t="s">
        <v>1170</v>
      </c>
      <c r="C29" s="111">
        <v>5.96E-2</v>
      </c>
      <c r="D29" s="111">
        <v>6.1600000000000002E-2</v>
      </c>
      <c r="E29" s="111">
        <v>6.1699999999999998E-2</v>
      </c>
      <c r="F29" s="111">
        <v>5.6800000000000003E-2</v>
      </c>
      <c r="G29" s="111">
        <v>5.8400000000000001E-2</v>
      </c>
      <c r="H29" s="111">
        <v>5.6300000000000003E-2</v>
      </c>
      <c r="I29" s="111">
        <v>5.5300000000000002E-2</v>
      </c>
      <c r="J29" s="111">
        <v>5.6000000000000001E-2</v>
      </c>
      <c r="K29" s="111">
        <v>5.8500000000000003E-2</v>
      </c>
      <c r="L29" s="111">
        <v>5.9700000000000003E-2</v>
      </c>
      <c r="M29" s="111">
        <v>5.8700000000000002E-2</v>
      </c>
      <c r="N29" s="111">
        <v>5.6800000000000003E-2</v>
      </c>
      <c r="O29" s="116">
        <f t="shared" si="5"/>
        <v>5.8283333333333333E-2</v>
      </c>
      <c r="P29" s="117">
        <f t="shared" si="6"/>
        <v>5.5300000000000002E-2</v>
      </c>
      <c r="Q29" s="117">
        <f t="shared" si="7"/>
        <v>6.1699999999999998E-2</v>
      </c>
      <c r="R29" s="117">
        <f t="shared" si="8"/>
        <v>6.399999999999996E-3</v>
      </c>
      <c r="S29" s="118">
        <f t="shared" si="9"/>
        <v>2</v>
      </c>
    </row>
    <row r="30" spans="1:19">
      <c r="A30" s="23" t="s">
        <v>680</v>
      </c>
      <c r="B30" s="115" t="s">
        <v>1171</v>
      </c>
      <c r="C30" s="111">
        <v>6.83E-2</v>
      </c>
      <c r="D30" s="111">
        <v>7.1400000000000005E-2</v>
      </c>
      <c r="E30" s="111">
        <v>7.0099999999999996E-2</v>
      </c>
      <c r="F30" s="111">
        <v>6.7500000000000004E-2</v>
      </c>
      <c r="G30" s="111">
        <v>6.9199999999999998E-2</v>
      </c>
      <c r="H30" s="111">
        <v>6.6500000000000004E-2</v>
      </c>
      <c r="I30" s="111">
        <v>6.6199999999999995E-2</v>
      </c>
      <c r="J30" s="111">
        <v>6.54E-2</v>
      </c>
      <c r="K30" s="111">
        <v>6.6100000000000006E-2</v>
      </c>
      <c r="L30" s="111">
        <v>6.5600000000000006E-2</v>
      </c>
      <c r="M30" s="111">
        <v>6.5600000000000006E-2</v>
      </c>
      <c r="N30" s="111">
        <v>6.4500000000000002E-2</v>
      </c>
      <c r="O30" s="116">
        <f t="shared" si="5"/>
        <v>6.7199999999999996E-2</v>
      </c>
      <c r="P30" s="117">
        <f t="shared" si="6"/>
        <v>6.4500000000000002E-2</v>
      </c>
      <c r="Q30" s="117">
        <f t="shared" si="7"/>
        <v>7.1400000000000005E-2</v>
      </c>
      <c r="R30" s="117">
        <f t="shared" si="8"/>
        <v>6.9000000000000034E-3</v>
      </c>
      <c r="S30" s="118">
        <f t="shared" si="9"/>
        <v>1</v>
      </c>
    </row>
    <row r="31" spans="1:19">
      <c r="A31" s="23" t="s">
        <v>1172</v>
      </c>
      <c r="B31" s="115" t="s">
        <v>1066</v>
      </c>
      <c r="C31" s="111">
        <v>5.5300000000000002E-2</v>
      </c>
      <c r="D31" s="111">
        <v>5.5899999999999998E-2</v>
      </c>
      <c r="E31" s="111">
        <v>5.7599999999999998E-2</v>
      </c>
      <c r="F31" s="111">
        <v>5.45E-2</v>
      </c>
      <c r="G31" s="111">
        <v>5.5199999999999999E-2</v>
      </c>
      <c r="H31" s="111">
        <v>5.3400000000000003E-2</v>
      </c>
      <c r="I31" s="111">
        <v>5.3800000000000001E-2</v>
      </c>
      <c r="J31" s="111">
        <v>5.1900000000000002E-2</v>
      </c>
      <c r="K31" s="111">
        <v>5.4300000000000001E-2</v>
      </c>
      <c r="L31" s="111">
        <v>5.3999999999999999E-2</v>
      </c>
      <c r="M31" s="111">
        <v>5.7099999999999998E-2</v>
      </c>
      <c r="N31" s="111">
        <v>5.7599999999999998E-2</v>
      </c>
      <c r="O31" s="116">
        <f t="shared" si="5"/>
        <v>5.5050000000000009E-2</v>
      </c>
      <c r="P31" s="117">
        <f t="shared" si="6"/>
        <v>5.1900000000000002E-2</v>
      </c>
      <c r="Q31" s="117">
        <f t="shared" si="7"/>
        <v>5.7599999999999998E-2</v>
      </c>
      <c r="R31" s="117">
        <f t="shared" si="8"/>
        <v>5.6999999999999967E-3</v>
      </c>
      <c r="S31" s="118">
        <f t="shared" si="9"/>
        <v>3</v>
      </c>
    </row>
    <row r="32" spans="1:19">
      <c r="A32" s="23" t="s">
        <v>659</v>
      </c>
      <c r="B32" s="115" t="s">
        <v>620</v>
      </c>
      <c r="C32" s="111">
        <v>3.1399999999999997E-2</v>
      </c>
      <c r="D32" s="111">
        <v>3.1800000000000002E-2</v>
      </c>
      <c r="E32" s="111">
        <v>3.4599999999999999E-2</v>
      </c>
      <c r="F32" s="111">
        <v>3.3399999999999999E-2</v>
      </c>
      <c r="G32" s="111">
        <v>3.44E-2</v>
      </c>
      <c r="H32" s="111">
        <v>3.3500000000000002E-2</v>
      </c>
      <c r="I32" s="111">
        <v>3.1699999999999999E-2</v>
      </c>
      <c r="J32" s="111">
        <v>3.1899999999999998E-2</v>
      </c>
      <c r="K32" s="111">
        <v>3.4500000000000003E-2</v>
      </c>
      <c r="L32" s="111">
        <v>3.4299999999999997E-2</v>
      </c>
      <c r="M32" s="111">
        <v>3.4099999999999998E-2</v>
      </c>
      <c r="N32" s="111">
        <v>3.2599999999999997E-2</v>
      </c>
      <c r="O32" s="116">
        <f t="shared" si="5"/>
        <v>3.3183333333333336E-2</v>
      </c>
      <c r="P32" s="117">
        <f t="shared" si="6"/>
        <v>3.1399999999999997E-2</v>
      </c>
      <c r="Q32" s="117">
        <f t="shared" si="7"/>
        <v>3.4599999999999999E-2</v>
      </c>
      <c r="R32" s="117">
        <f t="shared" si="8"/>
        <v>3.2000000000000015E-3</v>
      </c>
      <c r="S32" s="118">
        <f t="shared" si="9"/>
        <v>9</v>
      </c>
    </row>
    <row r="33" spans="1:19">
      <c r="A33" s="23" t="s">
        <v>1173</v>
      </c>
      <c r="B33" s="115" t="s">
        <v>1174</v>
      </c>
      <c r="C33" s="111">
        <v>1.8700000000000001E-2</v>
      </c>
      <c r="D33" s="111">
        <v>1.8200000000000001E-2</v>
      </c>
      <c r="E33" s="111">
        <v>1.8599999999999998E-2</v>
      </c>
      <c r="F33" s="111">
        <v>1.72E-2</v>
      </c>
      <c r="G33" s="111">
        <v>1.5900000000000001E-2</v>
      </c>
      <c r="H33" s="111">
        <v>1.5599999999999999E-2</v>
      </c>
      <c r="I33" s="111">
        <v>1.47E-2</v>
      </c>
      <c r="J33" s="111">
        <v>1.49E-2</v>
      </c>
      <c r="K33" s="111">
        <v>1.7000000000000001E-2</v>
      </c>
      <c r="L33" s="111">
        <v>1.67E-2</v>
      </c>
      <c r="M33" s="111">
        <v>1.6899999999999998E-2</v>
      </c>
      <c r="N33" s="111">
        <v>1.5699999999999999E-2</v>
      </c>
      <c r="O33" s="116">
        <f t="shared" si="5"/>
        <v>1.6674999999999999E-2</v>
      </c>
      <c r="P33" s="117">
        <f t="shared" si="6"/>
        <v>1.47E-2</v>
      </c>
      <c r="Q33" s="117">
        <f t="shared" si="7"/>
        <v>1.8700000000000001E-2</v>
      </c>
      <c r="R33" s="117">
        <f t="shared" si="8"/>
        <v>4.0000000000000018E-3</v>
      </c>
      <c r="S33" s="118">
        <f t="shared" si="9"/>
        <v>16</v>
      </c>
    </row>
    <row r="34" spans="1:19">
      <c r="A34" s="23" t="s">
        <v>652</v>
      </c>
      <c r="B34" s="115" t="s">
        <v>743</v>
      </c>
      <c r="C34" s="111">
        <v>4.5100000000000001E-2</v>
      </c>
      <c r="D34" s="111">
        <v>4.53E-2</v>
      </c>
      <c r="E34" s="111">
        <v>4.7899999999999998E-2</v>
      </c>
      <c r="F34" s="111">
        <v>4.5400000000000003E-2</v>
      </c>
      <c r="G34" s="111">
        <v>4.65E-2</v>
      </c>
      <c r="H34" s="111">
        <v>4.4999999999999998E-2</v>
      </c>
      <c r="I34" s="111">
        <v>4.2700000000000002E-2</v>
      </c>
      <c r="J34" s="111">
        <v>4.3400000000000001E-2</v>
      </c>
      <c r="K34" s="111">
        <v>4.65E-2</v>
      </c>
      <c r="L34" s="111">
        <v>4.6600000000000003E-2</v>
      </c>
      <c r="M34" s="111">
        <v>4.5600000000000002E-2</v>
      </c>
      <c r="N34" s="111">
        <v>4.4299999999999999E-2</v>
      </c>
      <c r="O34" s="116">
        <f t="shared" si="5"/>
        <v>4.5358333333333334E-2</v>
      </c>
      <c r="P34" s="117">
        <f t="shared" si="6"/>
        <v>4.2700000000000002E-2</v>
      </c>
      <c r="Q34" s="117">
        <f t="shared" si="7"/>
        <v>4.7899999999999998E-2</v>
      </c>
      <c r="R34" s="117">
        <f t="shared" si="8"/>
        <v>5.1999999999999963E-3</v>
      </c>
      <c r="S34" s="118">
        <f t="shared" si="9"/>
        <v>4</v>
      </c>
    </row>
    <row r="35" spans="1:19">
      <c r="A35" s="23" t="s">
        <v>1175</v>
      </c>
      <c r="B35" s="115" t="s">
        <v>1176</v>
      </c>
      <c r="C35" s="111">
        <v>2.86E-2</v>
      </c>
      <c r="D35" s="111">
        <v>2.93E-2</v>
      </c>
      <c r="E35" s="111">
        <v>3.1300000000000001E-2</v>
      </c>
      <c r="F35" s="111">
        <v>3.0700000000000002E-2</v>
      </c>
      <c r="G35" s="111">
        <v>3.09E-2</v>
      </c>
      <c r="H35" s="111">
        <v>2.98E-2</v>
      </c>
      <c r="I35" s="111">
        <v>2.86E-2</v>
      </c>
      <c r="J35" s="111">
        <v>2.8400000000000002E-2</v>
      </c>
      <c r="K35" s="111">
        <v>3.1E-2</v>
      </c>
      <c r="L35" s="111">
        <v>3.1899999999999998E-2</v>
      </c>
      <c r="M35" s="111">
        <v>3.0599999999999999E-2</v>
      </c>
      <c r="N35" s="111">
        <v>3.0200000000000001E-2</v>
      </c>
      <c r="O35" s="116">
        <f t="shared" si="5"/>
        <v>3.0108333333333334E-2</v>
      </c>
      <c r="P35" s="117">
        <f t="shared" si="6"/>
        <v>2.8400000000000002E-2</v>
      </c>
      <c r="Q35" s="117">
        <f t="shared" si="7"/>
        <v>3.1899999999999998E-2</v>
      </c>
      <c r="R35" s="117">
        <f t="shared" si="8"/>
        <v>3.4999999999999962E-3</v>
      </c>
      <c r="S35" s="118">
        <f t="shared" si="9"/>
        <v>11</v>
      </c>
    </row>
    <row r="36" spans="1:19">
      <c r="A36" s="23" t="s">
        <v>685</v>
      </c>
      <c r="B36" s="115" t="s">
        <v>1177</v>
      </c>
      <c r="C36" s="111">
        <v>2.0500000000000001E-2</v>
      </c>
      <c r="D36" s="111">
        <v>2.0199999999999999E-2</v>
      </c>
      <c r="E36" s="111">
        <v>2.0799999999999999E-2</v>
      </c>
      <c r="F36" s="111">
        <v>2.01E-2</v>
      </c>
      <c r="G36" s="111">
        <v>2.07E-2</v>
      </c>
      <c r="H36" s="111">
        <v>2.0299999999999999E-2</v>
      </c>
      <c r="I36" s="111">
        <v>1.9599999999999999E-2</v>
      </c>
      <c r="J36" s="111">
        <v>0.02</v>
      </c>
      <c r="K36" s="111">
        <v>2.1499999999999998E-2</v>
      </c>
      <c r="L36" s="111">
        <v>2.23E-2</v>
      </c>
      <c r="M36" s="111">
        <v>2.1499999999999998E-2</v>
      </c>
      <c r="N36" s="111">
        <v>2.12E-2</v>
      </c>
      <c r="O36" s="116">
        <f t="shared" si="5"/>
        <v>2.0724999999999997E-2</v>
      </c>
      <c r="P36" s="117">
        <f t="shared" si="6"/>
        <v>1.9599999999999999E-2</v>
      </c>
      <c r="Q36" s="117">
        <f t="shared" si="7"/>
        <v>2.23E-2</v>
      </c>
      <c r="R36" s="117">
        <f t="shared" si="8"/>
        <v>2.700000000000001E-3</v>
      </c>
      <c r="S36" s="118">
        <f t="shared" si="9"/>
        <v>15</v>
      </c>
    </row>
    <row r="37" spans="1:19">
      <c r="A37" s="23" t="s">
        <v>678</v>
      </c>
      <c r="B37" s="115" t="s">
        <v>774</v>
      </c>
      <c r="C37" s="111">
        <v>2.3E-2</v>
      </c>
      <c r="D37" s="111">
        <v>2.3099999999999999E-2</v>
      </c>
      <c r="E37" s="111">
        <v>2.5100000000000001E-2</v>
      </c>
      <c r="F37" s="111">
        <v>2.3699999999999999E-2</v>
      </c>
      <c r="G37" s="111">
        <v>2.4E-2</v>
      </c>
      <c r="H37" s="111">
        <v>2.3300000000000001E-2</v>
      </c>
      <c r="I37" s="111">
        <v>2.2200000000000001E-2</v>
      </c>
      <c r="J37" s="111">
        <v>2.2700000000000001E-2</v>
      </c>
      <c r="K37" s="111">
        <v>2.47E-2</v>
      </c>
      <c r="L37" s="111">
        <v>2.5600000000000001E-2</v>
      </c>
      <c r="M37" s="111">
        <v>2.4799999999999999E-2</v>
      </c>
      <c r="N37" s="111">
        <v>2.4500000000000001E-2</v>
      </c>
      <c r="O37" s="116">
        <f t="shared" si="5"/>
        <v>2.3891666666666669E-2</v>
      </c>
      <c r="P37" s="117">
        <f t="shared" si="6"/>
        <v>2.2200000000000001E-2</v>
      </c>
      <c r="Q37" s="117">
        <f t="shared" si="7"/>
        <v>2.5600000000000001E-2</v>
      </c>
      <c r="R37" s="117">
        <f t="shared" si="8"/>
        <v>3.4000000000000002E-3</v>
      </c>
      <c r="S37" s="118">
        <f t="shared" si="9"/>
        <v>13</v>
      </c>
    </row>
    <row r="38" spans="1:19">
      <c r="A38" s="23" t="s">
        <v>1178</v>
      </c>
      <c r="B38" s="115" t="s">
        <v>798</v>
      </c>
      <c r="C38" s="111">
        <v>3.4799999999999998E-2</v>
      </c>
      <c r="D38" s="111">
        <v>3.4700000000000002E-2</v>
      </c>
      <c r="E38" s="111">
        <v>3.6799999999999999E-2</v>
      </c>
      <c r="F38" s="111">
        <v>3.5999999999999997E-2</v>
      </c>
      <c r="G38" s="111">
        <v>3.6400000000000002E-2</v>
      </c>
      <c r="H38" s="111">
        <v>3.4599999999999999E-2</v>
      </c>
      <c r="I38" s="111">
        <v>3.2500000000000001E-2</v>
      </c>
      <c r="J38" s="111">
        <v>3.3099999999999997E-2</v>
      </c>
      <c r="K38" s="111">
        <v>3.6499999999999998E-2</v>
      </c>
      <c r="L38" s="111">
        <v>3.8300000000000001E-2</v>
      </c>
      <c r="M38" s="111">
        <v>3.9399999999999998E-2</v>
      </c>
      <c r="N38" s="111">
        <v>3.6799999999999999E-2</v>
      </c>
      <c r="O38" s="116">
        <f t="shared" si="5"/>
        <v>3.5825000000000003E-2</v>
      </c>
      <c r="P38" s="117">
        <f t="shared" si="6"/>
        <v>3.2500000000000001E-2</v>
      </c>
      <c r="Q38" s="117">
        <f t="shared" si="7"/>
        <v>3.9399999999999998E-2</v>
      </c>
      <c r="R38" s="117">
        <f t="shared" si="8"/>
        <v>6.8999999999999964E-3</v>
      </c>
      <c r="S38" s="118">
        <f t="shared" si="9"/>
        <v>7</v>
      </c>
    </row>
    <row r="39" spans="1:19">
      <c r="A39" s="23" t="s">
        <v>668</v>
      </c>
      <c r="B39" s="115" t="s">
        <v>740</v>
      </c>
      <c r="C39" s="111">
        <v>3.1800000000000002E-2</v>
      </c>
      <c r="D39" s="111">
        <v>3.2300000000000002E-2</v>
      </c>
      <c r="E39" s="111">
        <v>3.49E-2</v>
      </c>
      <c r="F39" s="111">
        <v>3.3399999999999999E-2</v>
      </c>
      <c r="G39" s="111">
        <v>3.3799999999999997E-2</v>
      </c>
      <c r="H39" s="111">
        <v>3.3500000000000002E-2</v>
      </c>
      <c r="I39" s="111">
        <v>3.2800000000000003E-2</v>
      </c>
      <c r="J39" s="111">
        <v>3.2899999999999999E-2</v>
      </c>
      <c r="K39" s="111">
        <v>3.4799999999999998E-2</v>
      </c>
      <c r="L39" s="111">
        <v>3.5799999999999998E-2</v>
      </c>
      <c r="M39" s="111">
        <v>3.4000000000000002E-2</v>
      </c>
      <c r="N39" s="111">
        <v>3.3799999999999997E-2</v>
      </c>
      <c r="O39" s="116">
        <f t="shared" si="5"/>
        <v>3.3649999999999999E-2</v>
      </c>
      <c r="P39" s="117">
        <f t="shared" si="6"/>
        <v>3.1800000000000002E-2</v>
      </c>
      <c r="Q39" s="117">
        <f t="shared" si="7"/>
        <v>3.5799999999999998E-2</v>
      </c>
      <c r="R39" s="117">
        <f t="shared" si="8"/>
        <v>3.9999999999999966E-3</v>
      </c>
      <c r="S39" s="118">
        <f t="shared" si="9"/>
        <v>8</v>
      </c>
    </row>
    <row r="40" spans="1:19">
      <c r="A40" s="23" t="s">
        <v>1179</v>
      </c>
      <c r="B40" s="115" t="s">
        <v>1180</v>
      </c>
      <c r="C40" s="111">
        <v>3.56E-2</v>
      </c>
      <c r="D40" s="111">
        <v>3.4200000000000001E-2</v>
      </c>
      <c r="E40" s="111">
        <v>3.4700000000000002E-2</v>
      </c>
      <c r="F40" s="111">
        <v>3.3000000000000002E-2</v>
      </c>
      <c r="G40" s="111">
        <v>3.3700000000000001E-2</v>
      </c>
      <c r="H40" s="111">
        <v>3.15E-2</v>
      </c>
      <c r="I40" s="111">
        <v>3.0300000000000001E-2</v>
      </c>
      <c r="J40" s="111">
        <v>3.0800000000000001E-2</v>
      </c>
      <c r="K40" s="111">
        <v>3.2899999999999999E-2</v>
      </c>
      <c r="L40" s="111">
        <v>3.3500000000000002E-2</v>
      </c>
      <c r="M40" s="111">
        <v>3.2199999999999999E-2</v>
      </c>
      <c r="N40" s="111">
        <v>3.1399999999999997E-2</v>
      </c>
      <c r="O40" s="116">
        <f t="shared" si="5"/>
        <v>3.2816666666666668E-2</v>
      </c>
      <c r="P40" s="117">
        <f t="shared" si="6"/>
        <v>3.0300000000000001E-2</v>
      </c>
      <c r="Q40" s="117">
        <f t="shared" si="7"/>
        <v>3.56E-2</v>
      </c>
      <c r="R40" s="117">
        <f t="shared" si="8"/>
        <v>5.2999999999999992E-3</v>
      </c>
      <c r="S40" s="118">
        <f t="shared" si="9"/>
        <v>10</v>
      </c>
    </row>
    <row r="41" spans="1:19">
      <c r="A41" s="23" t="s">
        <v>1181</v>
      </c>
      <c r="B41" s="115" t="s">
        <v>1182</v>
      </c>
      <c r="C41" s="111">
        <v>4.6699999999999998E-2</v>
      </c>
      <c r="D41" s="111">
        <v>4.5900000000000003E-2</v>
      </c>
      <c r="E41" s="111">
        <v>4.4400000000000002E-2</v>
      </c>
      <c r="F41" s="111">
        <v>4.0399999999999998E-2</v>
      </c>
      <c r="G41" s="111">
        <v>4.1000000000000002E-2</v>
      </c>
      <c r="H41" s="111">
        <v>3.9399999999999998E-2</v>
      </c>
      <c r="I41" s="111">
        <v>3.95E-2</v>
      </c>
      <c r="J41" s="111">
        <v>3.7699999999999997E-2</v>
      </c>
      <c r="K41" s="111">
        <v>4.1000000000000002E-2</v>
      </c>
      <c r="L41" s="111">
        <v>4.2099999999999999E-2</v>
      </c>
      <c r="M41" s="111">
        <v>4.2200000000000001E-2</v>
      </c>
      <c r="N41" s="111">
        <v>4.1700000000000001E-2</v>
      </c>
      <c r="O41" s="116">
        <f t="shared" si="5"/>
        <v>4.1833333333333333E-2</v>
      </c>
      <c r="P41" s="117">
        <f t="shared" si="6"/>
        <v>3.7699999999999997E-2</v>
      </c>
      <c r="Q41" s="117">
        <f t="shared" si="7"/>
        <v>4.6699999999999998E-2</v>
      </c>
      <c r="R41" s="117">
        <f t="shared" si="8"/>
        <v>9.0000000000000011E-3</v>
      </c>
      <c r="S41" s="118">
        <f t="shared" si="9"/>
        <v>5</v>
      </c>
    </row>
    <row r="43" spans="1:19" ht="16">
      <c r="A43" s="114" t="s">
        <v>1184</v>
      </c>
    </row>
    <row r="44" spans="1:19" ht="45.75" customHeight="1">
      <c r="A44" s="26" t="s">
        <v>1147</v>
      </c>
      <c r="B44" s="26" t="s">
        <v>1148</v>
      </c>
      <c r="C44" s="30" t="s">
        <v>1149</v>
      </c>
      <c r="D44" s="30" t="s">
        <v>1150</v>
      </c>
      <c r="E44" s="30" t="s">
        <v>1151</v>
      </c>
      <c r="F44" s="30" t="s">
        <v>1152</v>
      </c>
      <c r="G44" s="30" t="s">
        <v>1153</v>
      </c>
      <c r="H44" s="30" t="s">
        <v>1154</v>
      </c>
      <c r="I44" s="30" t="s">
        <v>1155</v>
      </c>
      <c r="J44" s="30" t="s">
        <v>1156</v>
      </c>
      <c r="K44" s="30" t="s">
        <v>1157</v>
      </c>
      <c r="L44" s="30" t="s">
        <v>1158</v>
      </c>
      <c r="M44" s="30" t="s">
        <v>1159</v>
      </c>
      <c r="N44" s="30" t="s">
        <v>1160</v>
      </c>
      <c r="O44" s="26" t="s">
        <v>1161</v>
      </c>
      <c r="P44" s="26" t="s">
        <v>1162</v>
      </c>
      <c r="Q44" s="26" t="s">
        <v>1163</v>
      </c>
      <c r="R44" s="26" t="s">
        <v>1164</v>
      </c>
      <c r="S44" s="30" t="s">
        <v>1165</v>
      </c>
    </row>
    <row r="45" spans="1:19">
      <c r="A45" s="23" t="s">
        <v>673</v>
      </c>
      <c r="B45" s="115" t="s">
        <v>1166</v>
      </c>
      <c r="C45" s="111">
        <v>6.1000000000000004E-3</v>
      </c>
      <c r="D45" s="111">
        <v>6.4999999999999997E-3</v>
      </c>
      <c r="E45" s="111">
        <v>6.6E-3</v>
      </c>
      <c r="F45" s="111">
        <v>6.4000000000000003E-3</v>
      </c>
      <c r="G45" s="111">
        <v>6.4999999999999997E-3</v>
      </c>
      <c r="H45" s="111">
        <v>6.1999999999999998E-3</v>
      </c>
      <c r="I45" s="111">
        <v>5.8999999999999999E-3</v>
      </c>
      <c r="J45" s="111">
        <v>6.1000000000000004E-3</v>
      </c>
      <c r="K45" s="111">
        <v>6.0000000000000001E-3</v>
      </c>
      <c r="L45" s="111">
        <v>6.6E-3</v>
      </c>
      <c r="M45" s="111">
        <v>6.6E-3</v>
      </c>
      <c r="N45" s="111">
        <v>6.4999999999999997E-3</v>
      </c>
      <c r="O45" s="116">
        <f t="shared" ref="O45:O60" si="10">AVERAGE(C45:N45)</f>
        <v>6.3333333333333332E-3</v>
      </c>
      <c r="P45" s="117">
        <f t="shared" ref="P45:P60" si="11">MIN(C45:N45)</f>
        <v>5.8999999999999999E-3</v>
      </c>
      <c r="Q45" s="117">
        <f t="shared" ref="Q45:Q60" si="12">MAX(C45:N45)</f>
        <v>6.6E-3</v>
      </c>
      <c r="R45" s="117">
        <f t="shared" ref="R45:R60" si="13">Q45-P45</f>
        <v>7.000000000000001E-4</v>
      </c>
      <c r="S45" s="118">
        <f t="shared" ref="S45:S60" si="14">RANK(O45,$O$45:$O$60)</f>
        <v>12</v>
      </c>
    </row>
    <row r="46" spans="1:19">
      <c r="A46" s="23" t="s">
        <v>676</v>
      </c>
      <c r="B46" s="115" t="s">
        <v>1167</v>
      </c>
      <c r="C46" s="111">
        <v>4.7000000000000002E-3</v>
      </c>
      <c r="D46" s="111">
        <v>4.8999999999999998E-3</v>
      </c>
      <c r="E46" s="111">
        <v>5.0000000000000001E-3</v>
      </c>
      <c r="F46" s="111">
        <v>4.7999999999999996E-3</v>
      </c>
      <c r="G46" s="111">
        <v>5.0000000000000001E-3</v>
      </c>
      <c r="H46" s="111">
        <v>4.5999999999999999E-3</v>
      </c>
      <c r="I46" s="111">
        <v>4.3E-3</v>
      </c>
      <c r="J46" s="111">
        <v>4.4000000000000003E-3</v>
      </c>
      <c r="K46" s="111">
        <v>4.5999999999999999E-3</v>
      </c>
      <c r="L46" s="111">
        <v>5.1000000000000004E-3</v>
      </c>
      <c r="M46" s="111">
        <v>5.1000000000000004E-3</v>
      </c>
      <c r="N46" s="111">
        <v>5.3E-3</v>
      </c>
      <c r="O46" s="116">
        <f t="shared" si="10"/>
        <v>4.816666666666667E-3</v>
      </c>
      <c r="P46" s="117">
        <f t="shared" si="11"/>
        <v>4.3E-3</v>
      </c>
      <c r="Q46" s="117">
        <f t="shared" si="12"/>
        <v>5.3E-3</v>
      </c>
      <c r="R46" s="117">
        <f t="shared" si="13"/>
        <v>1E-3</v>
      </c>
      <c r="S46" s="118">
        <f t="shared" si="14"/>
        <v>14</v>
      </c>
    </row>
    <row r="47" spans="1:19">
      <c r="A47" s="23" t="s">
        <v>1168</v>
      </c>
      <c r="B47" s="115" t="s">
        <v>1169</v>
      </c>
      <c r="C47" s="111">
        <v>9.2999999999999992E-3</v>
      </c>
      <c r="D47" s="111">
        <v>9.4999999999999998E-3</v>
      </c>
      <c r="E47" s="111">
        <v>9.9000000000000008E-3</v>
      </c>
      <c r="F47" s="111">
        <v>9.5999999999999992E-3</v>
      </c>
      <c r="G47" s="111">
        <v>1.0200000000000001E-2</v>
      </c>
      <c r="H47" s="111">
        <v>9.7999999999999997E-3</v>
      </c>
      <c r="I47" s="111">
        <v>8.8999999999999999E-3</v>
      </c>
      <c r="J47" s="111">
        <v>9.1999999999999998E-3</v>
      </c>
      <c r="K47" s="111">
        <v>9.5999999999999992E-3</v>
      </c>
      <c r="L47" s="111">
        <v>1.03E-2</v>
      </c>
      <c r="M47" s="111">
        <v>1.04E-2</v>
      </c>
      <c r="N47" s="111">
        <v>1.06E-2</v>
      </c>
      <c r="O47" s="116">
        <f t="shared" si="10"/>
        <v>9.774999999999999E-3</v>
      </c>
      <c r="P47" s="117">
        <f t="shared" si="11"/>
        <v>8.8999999999999999E-3</v>
      </c>
      <c r="Q47" s="117">
        <f t="shared" si="12"/>
        <v>1.06E-2</v>
      </c>
      <c r="R47" s="117">
        <f t="shared" si="13"/>
        <v>1.7000000000000001E-3</v>
      </c>
      <c r="S47" s="118">
        <f t="shared" si="14"/>
        <v>6</v>
      </c>
    </row>
    <row r="48" spans="1:19">
      <c r="A48" s="23" t="s">
        <v>662</v>
      </c>
      <c r="B48" s="115" t="s">
        <v>1170</v>
      </c>
      <c r="C48" s="111">
        <v>2.23E-2</v>
      </c>
      <c r="D48" s="111">
        <v>2.3E-2</v>
      </c>
      <c r="E48" s="111">
        <v>2.4899999999999999E-2</v>
      </c>
      <c r="F48" s="111">
        <v>2.0899999999999998E-2</v>
      </c>
      <c r="G48" s="111">
        <v>2.1100000000000001E-2</v>
      </c>
      <c r="H48" s="111">
        <v>1.9699999999999999E-2</v>
      </c>
      <c r="I48" s="111">
        <v>2.01E-2</v>
      </c>
      <c r="J48" s="111">
        <v>2.1600000000000001E-2</v>
      </c>
      <c r="K48" s="111">
        <v>2.1100000000000001E-2</v>
      </c>
      <c r="L48" s="111">
        <v>2.2800000000000001E-2</v>
      </c>
      <c r="M48" s="111">
        <v>2.1299999999999999E-2</v>
      </c>
      <c r="N48" s="111">
        <v>2.18E-2</v>
      </c>
      <c r="O48" s="116">
        <f t="shared" si="10"/>
        <v>2.1716666666666665E-2</v>
      </c>
      <c r="P48" s="117">
        <f t="shared" si="11"/>
        <v>1.9699999999999999E-2</v>
      </c>
      <c r="Q48" s="117">
        <f t="shared" si="12"/>
        <v>2.4899999999999999E-2</v>
      </c>
      <c r="R48" s="117">
        <f t="shared" si="13"/>
        <v>5.1999999999999998E-3</v>
      </c>
      <c r="S48" s="118">
        <f t="shared" si="14"/>
        <v>2</v>
      </c>
    </row>
    <row r="49" spans="1:19">
      <c r="A49" s="23" t="s">
        <v>680</v>
      </c>
      <c r="B49" s="115" t="s">
        <v>1171</v>
      </c>
      <c r="C49" s="111">
        <v>2.8500000000000001E-2</v>
      </c>
      <c r="D49" s="111">
        <v>3.2300000000000002E-2</v>
      </c>
      <c r="E49" s="111">
        <v>3.2399999999999998E-2</v>
      </c>
      <c r="F49" s="111">
        <v>2.9499999999999998E-2</v>
      </c>
      <c r="G49" s="111">
        <v>3.0599999999999999E-2</v>
      </c>
      <c r="H49" s="111">
        <v>2.9399999999999999E-2</v>
      </c>
      <c r="I49" s="111">
        <v>2.8500000000000001E-2</v>
      </c>
      <c r="J49" s="111">
        <v>2.87E-2</v>
      </c>
      <c r="K49" s="111">
        <v>3.0800000000000001E-2</v>
      </c>
      <c r="L49" s="111">
        <v>3.0599999999999999E-2</v>
      </c>
      <c r="M49" s="111">
        <v>2.9600000000000001E-2</v>
      </c>
      <c r="N49" s="111">
        <v>2.9100000000000001E-2</v>
      </c>
      <c r="O49" s="116">
        <f t="shared" si="10"/>
        <v>3.0000000000000002E-2</v>
      </c>
      <c r="P49" s="117">
        <f t="shared" si="11"/>
        <v>2.8500000000000001E-2</v>
      </c>
      <c r="Q49" s="117">
        <f t="shared" si="12"/>
        <v>3.2399999999999998E-2</v>
      </c>
      <c r="R49" s="117">
        <f t="shared" si="13"/>
        <v>3.8999999999999972E-3</v>
      </c>
      <c r="S49" s="118">
        <f t="shared" si="14"/>
        <v>1</v>
      </c>
    </row>
    <row r="50" spans="1:19">
      <c r="A50" s="23" t="s">
        <v>1172</v>
      </c>
      <c r="B50" s="115" t="s">
        <v>1066</v>
      </c>
      <c r="C50" s="111">
        <v>1.95E-2</v>
      </c>
      <c r="D50" s="111">
        <v>2.1100000000000001E-2</v>
      </c>
      <c r="E50" s="111">
        <v>2.1899999999999999E-2</v>
      </c>
      <c r="F50" s="111">
        <v>1.9099999999999999E-2</v>
      </c>
      <c r="G50" s="111">
        <v>1.9800000000000002E-2</v>
      </c>
      <c r="H50" s="111">
        <v>1.8200000000000001E-2</v>
      </c>
      <c r="I50" s="111">
        <v>1.7399999999999999E-2</v>
      </c>
      <c r="J50" s="111">
        <v>1.7600000000000001E-2</v>
      </c>
      <c r="K50" s="111">
        <v>1.9599999999999999E-2</v>
      </c>
      <c r="L50" s="111">
        <v>1.7899999999999999E-2</v>
      </c>
      <c r="M50" s="111">
        <v>1.9E-2</v>
      </c>
      <c r="N50" s="111">
        <v>1.9400000000000001E-2</v>
      </c>
      <c r="O50" s="116">
        <f t="shared" si="10"/>
        <v>1.9208333333333334E-2</v>
      </c>
      <c r="P50" s="117">
        <f t="shared" si="11"/>
        <v>1.7399999999999999E-2</v>
      </c>
      <c r="Q50" s="117">
        <f t="shared" si="12"/>
        <v>2.1899999999999999E-2</v>
      </c>
      <c r="R50" s="117">
        <f t="shared" si="13"/>
        <v>4.5000000000000005E-3</v>
      </c>
      <c r="S50" s="118">
        <f t="shared" si="14"/>
        <v>3</v>
      </c>
    </row>
    <row r="51" spans="1:19">
      <c r="A51" s="23" t="s">
        <v>659</v>
      </c>
      <c r="B51" s="115" t="s">
        <v>620</v>
      </c>
      <c r="C51" s="111">
        <v>6.4999999999999997E-3</v>
      </c>
      <c r="D51" s="111">
        <v>6.8999999999999999E-3</v>
      </c>
      <c r="E51" s="111">
        <v>7.3000000000000001E-3</v>
      </c>
      <c r="F51" s="111">
        <v>7.1000000000000004E-3</v>
      </c>
      <c r="G51" s="111">
        <v>7.4999999999999997E-3</v>
      </c>
      <c r="H51" s="111">
        <v>7.3000000000000001E-3</v>
      </c>
      <c r="I51" s="111">
        <v>6.7000000000000002E-3</v>
      </c>
      <c r="J51" s="111">
        <v>6.7000000000000002E-3</v>
      </c>
      <c r="K51" s="111">
        <v>7.0000000000000001E-3</v>
      </c>
      <c r="L51" s="111">
        <v>7.4000000000000003E-3</v>
      </c>
      <c r="M51" s="111">
        <v>7.3000000000000001E-3</v>
      </c>
      <c r="N51" s="111">
        <v>7.1000000000000004E-3</v>
      </c>
      <c r="O51" s="116">
        <f t="shared" si="10"/>
        <v>7.0666666666666664E-3</v>
      </c>
      <c r="P51" s="117">
        <f t="shared" si="11"/>
        <v>6.4999999999999997E-3</v>
      </c>
      <c r="Q51" s="117">
        <f t="shared" si="12"/>
        <v>7.4999999999999997E-3</v>
      </c>
      <c r="R51" s="117">
        <f t="shared" si="13"/>
        <v>1E-3</v>
      </c>
      <c r="S51" s="118">
        <f t="shared" si="14"/>
        <v>10</v>
      </c>
    </row>
    <row r="52" spans="1:19">
      <c r="A52" s="23" t="s">
        <v>1173</v>
      </c>
      <c r="B52" s="115" t="s">
        <v>1174</v>
      </c>
      <c r="C52" s="111">
        <v>5.1000000000000004E-3</v>
      </c>
      <c r="D52" s="111">
        <v>5.4999999999999997E-3</v>
      </c>
      <c r="E52" s="111">
        <v>5.1999999999999998E-3</v>
      </c>
      <c r="F52" s="111">
        <v>4.8999999999999998E-3</v>
      </c>
      <c r="G52" s="111">
        <v>4.5999999999999999E-3</v>
      </c>
      <c r="H52" s="111">
        <v>4.4999999999999997E-3</v>
      </c>
      <c r="I52" s="111">
        <v>4.1000000000000003E-3</v>
      </c>
      <c r="J52" s="111">
        <v>4.0000000000000001E-3</v>
      </c>
      <c r="K52" s="111">
        <v>4.4999999999999997E-3</v>
      </c>
      <c r="L52" s="111">
        <v>4.7999999999999996E-3</v>
      </c>
      <c r="M52" s="111">
        <v>4.7000000000000002E-3</v>
      </c>
      <c r="N52" s="111">
        <v>4.7000000000000002E-3</v>
      </c>
      <c r="O52" s="116">
        <f t="shared" si="10"/>
        <v>4.7166666666666668E-3</v>
      </c>
      <c r="P52" s="117">
        <f t="shared" si="11"/>
        <v>4.0000000000000001E-3</v>
      </c>
      <c r="Q52" s="117">
        <f t="shared" si="12"/>
        <v>5.4999999999999997E-3</v>
      </c>
      <c r="R52" s="117">
        <f t="shared" si="13"/>
        <v>1.4999999999999996E-3</v>
      </c>
      <c r="S52" s="118">
        <f t="shared" si="14"/>
        <v>15</v>
      </c>
    </row>
    <row r="53" spans="1:19">
      <c r="A53" s="23" t="s">
        <v>652</v>
      </c>
      <c r="B53" s="115" t="s">
        <v>743</v>
      </c>
      <c r="C53" s="111">
        <v>1.1900000000000001E-2</v>
      </c>
      <c r="D53" s="111">
        <v>1.21E-2</v>
      </c>
      <c r="E53" s="111">
        <v>1.26E-2</v>
      </c>
      <c r="F53" s="111">
        <v>1.21E-2</v>
      </c>
      <c r="G53" s="111">
        <v>1.26E-2</v>
      </c>
      <c r="H53" s="111">
        <v>1.18E-2</v>
      </c>
      <c r="I53" s="111">
        <v>1.09E-2</v>
      </c>
      <c r="J53" s="111">
        <v>1.11E-2</v>
      </c>
      <c r="K53" s="111">
        <v>1.17E-2</v>
      </c>
      <c r="L53" s="111">
        <v>1.2200000000000001E-2</v>
      </c>
      <c r="M53" s="111">
        <v>1.1900000000000001E-2</v>
      </c>
      <c r="N53" s="111">
        <v>1.1900000000000001E-2</v>
      </c>
      <c r="O53" s="116">
        <f t="shared" si="10"/>
        <v>1.1899999999999999E-2</v>
      </c>
      <c r="P53" s="117">
        <f t="shared" si="11"/>
        <v>1.09E-2</v>
      </c>
      <c r="Q53" s="117">
        <f t="shared" si="12"/>
        <v>1.26E-2</v>
      </c>
      <c r="R53" s="117">
        <f t="shared" si="13"/>
        <v>1.7000000000000001E-3</v>
      </c>
      <c r="S53" s="118">
        <f t="shared" si="14"/>
        <v>4</v>
      </c>
    </row>
    <row r="54" spans="1:19">
      <c r="A54" s="23" t="s">
        <v>1175</v>
      </c>
      <c r="B54" s="115" t="s">
        <v>1176</v>
      </c>
      <c r="C54" s="111">
        <v>6.0000000000000001E-3</v>
      </c>
      <c r="D54" s="111">
        <v>6.3E-3</v>
      </c>
      <c r="E54" s="111">
        <v>6.4999999999999997E-3</v>
      </c>
      <c r="F54" s="111">
        <v>6.8999999999999999E-3</v>
      </c>
      <c r="G54" s="111">
        <v>6.8999999999999999E-3</v>
      </c>
      <c r="H54" s="111">
        <v>6.4999999999999997E-3</v>
      </c>
      <c r="I54" s="111">
        <v>6.1999999999999998E-3</v>
      </c>
      <c r="J54" s="111">
        <v>6.1000000000000004E-3</v>
      </c>
      <c r="K54" s="111">
        <v>6.4000000000000003E-3</v>
      </c>
      <c r="L54" s="111">
        <v>7.1000000000000004E-3</v>
      </c>
      <c r="M54" s="111">
        <v>6.7000000000000002E-3</v>
      </c>
      <c r="N54" s="111">
        <v>7.0000000000000001E-3</v>
      </c>
      <c r="O54" s="116">
        <f t="shared" si="10"/>
        <v>6.5500000000000003E-3</v>
      </c>
      <c r="P54" s="117">
        <f t="shared" si="11"/>
        <v>6.0000000000000001E-3</v>
      </c>
      <c r="Q54" s="117">
        <f t="shared" si="12"/>
        <v>7.1000000000000004E-3</v>
      </c>
      <c r="R54" s="117">
        <f t="shared" si="13"/>
        <v>1.1000000000000003E-3</v>
      </c>
      <c r="S54" s="118">
        <f t="shared" si="14"/>
        <v>11</v>
      </c>
    </row>
    <row r="55" spans="1:19">
      <c r="A55" s="23" t="s">
        <v>685</v>
      </c>
      <c r="B55" s="115" t="s">
        <v>1177</v>
      </c>
      <c r="C55" s="111">
        <v>4.1999999999999997E-3</v>
      </c>
      <c r="D55" s="111">
        <v>4.3E-3</v>
      </c>
      <c r="E55" s="111">
        <v>4.4000000000000003E-3</v>
      </c>
      <c r="F55" s="111">
        <v>4.4000000000000003E-3</v>
      </c>
      <c r="G55" s="111">
        <v>4.4000000000000003E-3</v>
      </c>
      <c r="H55" s="111">
        <v>4.1999999999999997E-3</v>
      </c>
      <c r="I55" s="111">
        <v>3.8999999999999998E-3</v>
      </c>
      <c r="J55" s="111">
        <v>4.1000000000000003E-3</v>
      </c>
      <c r="K55" s="111">
        <v>4.3E-3</v>
      </c>
      <c r="L55" s="111">
        <v>4.7000000000000002E-3</v>
      </c>
      <c r="M55" s="111">
        <v>4.5999999999999999E-3</v>
      </c>
      <c r="N55" s="111">
        <v>4.4000000000000003E-3</v>
      </c>
      <c r="O55" s="116">
        <f t="shared" si="10"/>
        <v>4.3250000000000007E-3</v>
      </c>
      <c r="P55" s="117">
        <f t="shared" si="11"/>
        <v>3.8999999999999998E-3</v>
      </c>
      <c r="Q55" s="117">
        <f t="shared" si="12"/>
        <v>4.7000000000000002E-3</v>
      </c>
      <c r="R55" s="117">
        <f t="shared" si="13"/>
        <v>8.0000000000000036E-4</v>
      </c>
      <c r="S55" s="118">
        <f t="shared" si="14"/>
        <v>16</v>
      </c>
    </row>
    <row r="56" spans="1:19">
      <c r="A56" s="23" t="s">
        <v>678</v>
      </c>
      <c r="B56" s="115" t="s">
        <v>774</v>
      </c>
      <c r="C56" s="111">
        <v>4.7000000000000002E-3</v>
      </c>
      <c r="D56" s="111">
        <v>5.0000000000000001E-3</v>
      </c>
      <c r="E56" s="111">
        <v>5.1999999999999998E-3</v>
      </c>
      <c r="F56" s="111">
        <v>5.0000000000000001E-3</v>
      </c>
      <c r="G56" s="111">
        <v>5.1999999999999998E-3</v>
      </c>
      <c r="H56" s="111">
        <v>5.0000000000000001E-3</v>
      </c>
      <c r="I56" s="111">
        <v>4.4999999999999997E-3</v>
      </c>
      <c r="J56" s="111">
        <v>4.7000000000000002E-3</v>
      </c>
      <c r="K56" s="111">
        <v>4.8999999999999998E-3</v>
      </c>
      <c r="L56" s="111">
        <v>5.3E-3</v>
      </c>
      <c r="M56" s="111">
        <v>5.3E-3</v>
      </c>
      <c r="N56" s="111">
        <v>5.3E-3</v>
      </c>
      <c r="O56" s="116">
        <f t="shared" si="10"/>
        <v>5.0083333333333334E-3</v>
      </c>
      <c r="P56" s="117">
        <f t="shared" si="11"/>
        <v>4.4999999999999997E-3</v>
      </c>
      <c r="Q56" s="117">
        <f t="shared" si="12"/>
        <v>5.3E-3</v>
      </c>
      <c r="R56" s="117">
        <f t="shared" si="13"/>
        <v>8.0000000000000036E-4</v>
      </c>
      <c r="S56" s="118">
        <f t="shared" si="14"/>
        <v>13</v>
      </c>
    </row>
    <row r="57" spans="1:19">
      <c r="A57" s="23" t="s">
        <v>1178</v>
      </c>
      <c r="B57" s="115" t="s">
        <v>798</v>
      </c>
      <c r="C57" s="111">
        <v>7.7000000000000002E-3</v>
      </c>
      <c r="D57" s="111">
        <v>8.3000000000000001E-3</v>
      </c>
      <c r="E57" s="111">
        <v>8.3000000000000001E-3</v>
      </c>
      <c r="F57" s="111">
        <v>8.5000000000000006E-3</v>
      </c>
      <c r="G57" s="111">
        <v>8.6E-3</v>
      </c>
      <c r="H57" s="111">
        <v>8.0000000000000002E-3</v>
      </c>
      <c r="I57" s="111">
        <v>7.1999999999999998E-3</v>
      </c>
      <c r="J57" s="111">
        <v>7.3000000000000001E-3</v>
      </c>
      <c r="K57" s="111">
        <v>7.7000000000000002E-3</v>
      </c>
      <c r="L57" s="111">
        <v>8.5000000000000006E-3</v>
      </c>
      <c r="M57" s="111">
        <v>8.8999999999999999E-3</v>
      </c>
      <c r="N57" s="111">
        <v>8.8000000000000005E-3</v>
      </c>
      <c r="O57" s="116">
        <f t="shared" si="10"/>
        <v>8.150000000000001E-3</v>
      </c>
      <c r="P57" s="117">
        <f t="shared" si="11"/>
        <v>7.1999999999999998E-3</v>
      </c>
      <c r="Q57" s="117">
        <f t="shared" si="12"/>
        <v>8.8999999999999999E-3</v>
      </c>
      <c r="R57" s="117">
        <f t="shared" si="13"/>
        <v>1.7000000000000001E-3</v>
      </c>
      <c r="S57" s="118">
        <f t="shared" si="14"/>
        <v>8</v>
      </c>
    </row>
    <row r="58" spans="1:19">
      <c r="A58" s="23" t="s">
        <v>668</v>
      </c>
      <c r="B58" s="115" t="s">
        <v>740</v>
      </c>
      <c r="C58" s="111">
        <v>6.7999999999999996E-3</v>
      </c>
      <c r="D58" s="111">
        <v>6.7999999999999996E-3</v>
      </c>
      <c r="E58" s="111">
        <v>7.1999999999999998E-3</v>
      </c>
      <c r="F58" s="111">
        <v>7.0000000000000001E-3</v>
      </c>
      <c r="G58" s="111">
        <v>7.3000000000000001E-3</v>
      </c>
      <c r="H58" s="111">
        <v>7.1000000000000004E-3</v>
      </c>
      <c r="I58" s="111">
        <v>6.6E-3</v>
      </c>
      <c r="J58" s="111">
        <v>7.1000000000000004E-3</v>
      </c>
      <c r="K58" s="111">
        <v>7.3000000000000001E-3</v>
      </c>
      <c r="L58" s="111">
        <v>7.6E-3</v>
      </c>
      <c r="M58" s="111">
        <v>7.7000000000000002E-3</v>
      </c>
      <c r="N58" s="111">
        <v>7.1999999999999998E-3</v>
      </c>
      <c r="O58" s="116">
        <f t="shared" si="10"/>
        <v>7.1416666666666668E-3</v>
      </c>
      <c r="P58" s="117">
        <f t="shared" si="11"/>
        <v>6.6E-3</v>
      </c>
      <c r="Q58" s="117">
        <f t="shared" si="12"/>
        <v>7.7000000000000002E-3</v>
      </c>
      <c r="R58" s="117">
        <f t="shared" si="13"/>
        <v>1.1000000000000003E-3</v>
      </c>
      <c r="S58" s="118">
        <f t="shared" si="14"/>
        <v>9</v>
      </c>
    </row>
    <row r="59" spans="1:19">
      <c r="A59" s="23" t="s">
        <v>1179</v>
      </c>
      <c r="B59" s="115" t="s">
        <v>1180</v>
      </c>
      <c r="C59" s="111">
        <v>8.3999999999999995E-3</v>
      </c>
      <c r="D59" s="111">
        <v>9.2999999999999992E-3</v>
      </c>
      <c r="E59" s="111">
        <v>8.8999999999999999E-3</v>
      </c>
      <c r="F59" s="111">
        <v>8.0999999999999996E-3</v>
      </c>
      <c r="G59" s="111">
        <v>8.3000000000000001E-3</v>
      </c>
      <c r="H59" s="111">
        <v>8.0000000000000002E-3</v>
      </c>
      <c r="I59" s="111">
        <v>8.0000000000000002E-3</v>
      </c>
      <c r="J59" s="111">
        <v>7.4000000000000003E-3</v>
      </c>
      <c r="K59" s="111">
        <v>7.7000000000000002E-3</v>
      </c>
      <c r="L59" s="111">
        <v>7.7999999999999996E-3</v>
      </c>
      <c r="M59" s="111">
        <v>8.2000000000000007E-3</v>
      </c>
      <c r="N59" s="111">
        <v>8.3000000000000001E-3</v>
      </c>
      <c r="O59" s="116">
        <f t="shared" si="10"/>
        <v>8.2000000000000007E-3</v>
      </c>
      <c r="P59" s="117">
        <f t="shared" si="11"/>
        <v>7.4000000000000003E-3</v>
      </c>
      <c r="Q59" s="117">
        <f t="shared" si="12"/>
        <v>9.2999999999999992E-3</v>
      </c>
      <c r="R59" s="117">
        <f t="shared" si="13"/>
        <v>1.8999999999999989E-3</v>
      </c>
      <c r="S59" s="118">
        <f t="shared" si="14"/>
        <v>7</v>
      </c>
    </row>
    <row r="60" spans="1:19">
      <c r="A60" s="23" t="s">
        <v>1181</v>
      </c>
      <c r="B60" s="115" t="s">
        <v>1182</v>
      </c>
      <c r="C60" s="111">
        <v>1.23E-2</v>
      </c>
      <c r="D60" s="111">
        <v>1.2800000000000001E-2</v>
      </c>
      <c r="E60" s="111">
        <v>1.23E-2</v>
      </c>
      <c r="F60" s="111">
        <v>1.09E-2</v>
      </c>
      <c r="G60" s="111">
        <v>1.0999999999999999E-2</v>
      </c>
      <c r="H60" s="111">
        <v>1.04E-2</v>
      </c>
      <c r="I60" s="111">
        <v>1.01E-2</v>
      </c>
      <c r="J60" s="111">
        <v>0.01</v>
      </c>
      <c r="K60" s="111">
        <v>1.06E-2</v>
      </c>
      <c r="L60" s="111">
        <v>1.0699999999999999E-2</v>
      </c>
      <c r="M60" s="111">
        <v>1.1599999999999999E-2</v>
      </c>
      <c r="N60" s="111">
        <v>1.2E-2</v>
      </c>
      <c r="O60" s="116">
        <f t="shared" si="10"/>
        <v>1.1225000000000001E-2</v>
      </c>
      <c r="P60" s="117">
        <f t="shared" si="11"/>
        <v>0.01</v>
      </c>
      <c r="Q60" s="117">
        <f t="shared" si="12"/>
        <v>1.2800000000000001E-2</v>
      </c>
      <c r="R60" s="117">
        <f t="shared" si="13"/>
        <v>2.8000000000000004E-3</v>
      </c>
      <c r="S60" s="118">
        <f t="shared" si="14"/>
        <v>5</v>
      </c>
    </row>
    <row r="62" spans="1:19" ht="16">
      <c r="A62" s="119" t="s">
        <v>1185</v>
      </c>
    </row>
    <row r="63" spans="1:19" ht="45.75" customHeight="1">
      <c r="A63" s="26" t="s">
        <v>1147</v>
      </c>
      <c r="B63" s="26" t="s">
        <v>1148</v>
      </c>
      <c r="C63" s="30" t="s">
        <v>1149</v>
      </c>
      <c r="D63" s="30" t="s">
        <v>1150</v>
      </c>
      <c r="E63" s="30" t="s">
        <v>1151</v>
      </c>
      <c r="F63" s="30" t="s">
        <v>1152</v>
      </c>
      <c r="G63" s="30" t="s">
        <v>1153</v>
      </c>
      <c r="H63" s="30" t="s">
        <v>1154</v>
      </c>
      <c r="I63" s="30" t="s">
        <v>1155</v>
      </c>
      <c r="J63" s="30" t="s">
        <v>1156</v>
      </c>
      <c r="K63" s="30" t="s">
        <v>1157</v>
      </c>
      <c r="L63" s="30" t="s">
        <v>1158</v>
      </c>
      <c r="M63" s="30" t="s">
        <v>1159</v>
      </c>
      <c r="N63" s="30" t="s">
        <v>1160</v>
      </c>
      <c r="O63" s="26" t="s">
        <v>1161</v>
      </c>
      <c r="P63" s="26" t="s">
        <v>1162</v>
      </c>
      <c r="Q63" s="26" t="s">
        <v>1163</v>
      </c>
      <c r="R63" s="26" t="s">
        <v>1164</v>
      </c>
      <c r="S63" s="30" t="s">
        <v>1165</v>
      </c>
    </row>
    <row r="64" spans="1:19">
      <c r="A64" s="23" t="s">
        <v>673</v>
      </c>
      <c r="B64" s="115" t="s">
        <v>1166</v>
      </c>
      <c r="C64" s="120">
        <v>14</v>
      </c>
      <c r="D64" s="120">
        <v>13.9</v>
      </c>
      <c r="E64" s="120">
        <v>13.7</v>
      </c>
      <c r="F64" s="120">
        <v>13.8</v>
      </c>
      <c r="G64" s="120">
        <v>13.9</v>
      </c>
      <c r="H64" s="120">
        <v>14</v>
      </c>
      <c r="I64" s="120">
        <v>14.3</v>
      </c>
      <c r="J64" s="120">
        <v>14.4</v>
      </c>
      <c r="K64" s="120">
        <v>14.4</v>
      </c>
      <c r="L64" s="120">
        <v>14.4</v>
      </c>
      <c r="M64" s="120">
        <v>14.1</v>
      </c>
      <c r="N64" s="120">
        <v>14.1</v>
      </c>
      <c r="O64" s="121">
        <f t="shared" ref="O64:O79" si="15">AVERAGE(C64:N64)</f>
        <v>14.083333333333334</v>
      </c>
      <c r="P64" s="122">
        <f t="shared" ref="P64:P79" si="16">MIN(C64:N64)</f>
        <v>13.7</v>
      </c>
      <c r="Q64" s="122">
        <f t="shared" ref="Q64:Q79" si="17">MAX(C64:N64)</f>
        <v>14.4</v>
      </c>
      <c r="R64" s="122">
        <f t="shared" ref="R64:R79" si="18">Q64-P64</f>
        <v>0.70000000000000107</v>
      </c>
      <c r="S64" s="118">
        <f t="shared" ref="S64:S79" si="19">RANK(O64,$O$64:$O$79)</f>
        <v>13</v>
      </c>
    </row>
    <row r="65" spans="1:19">
      <c r="A65" s="23" t="s">
        <v>676</v>
      </c>
      <c r="B65" s="115" t="s">
        <v>1167</v>
      </c>
      <c r="C65" s="120">
        <v>16.3</v>
      </c>
      <c r="D65" s="120">
        <v>15.8</v>
      </c>
      <c r="E65" s="120">
        <v>15.9</v>
      </c>
      <c r="F65" s="120">
        <v>16.2</v>
      </c>
      <c r="G65" s="120">
        <v>16.2</v>
      </c>
      <c r="H65" s="120">
        <v>16.3</v>
      </c>
      <c r="I65" s="120">
        <v>16.600000000000001</v>
      </c>
      <c r="J65" s="120">
        <v>16.7</v>
      </c>
      <c r="K65" s="120">
        <v>16.600000000000001</v>
      </c>
      <c r="L65" s="120">
        <v>16.600000000000001</v>
      </c>
      <c r="M65" s="120">
        <v>16.8</v>
      </c>
      <c r="N65" s="120">
        <v>16.8</v>
      </c>
      <c r="O65" s="121">
        <f t="shared" si="15"/>
        <v>16.400000000000002</v>
      </c>
      <c r="P65" s="122">
        <f t="shared" si="16"/>
        <v>15.8</v>
      </c>
      <c r="Q65" s="122">
        <f t="shared" si="17"/>
        <v>16.8</v>
      </c>
      <c r="R65" s="122">
        <f t="shared" si="18"/>
        <v>1</v>
      </c>
      <c r="S65" s="118">
        <f t="shared" si="19"/>
        <v>8</v>
      </c>
    </row>
    <row r="66" spans="1:19">
      <c r="A66" s="23" t="s">
        <v>1168</v>
      </c>
      <c r="B66" s="115" t="s">
        <v>1169</v>
      </c>
      <c r="C66" s="120">
        <v>12.4</v>
      </c>
      <c r="D66" s="120">
        <v>12.2</v>
      </c>
      <c r="E66" s="120">
        <v>12.3</v>
      </c>
      <c r="F66" s="120">
        <v>12.5</v>
      </c>
      <c r="G66" s="120">
        <v>12.8</v>
      </c>
      <c r="H66" s="120">
        <v>12.9</v>
      </c>
      <c r="I66" s="120">
        <v>13.3</v>
      </c>
      <c r="J66" s="120">
        <v>13.4</v>
      </c>
      <c r="K66" s="120">
        <v>13.3</v>
      </c>
      <c r="L66" s="120">
        <v>13.1</v>
      </c>
      <c r="M66" s="120">
        <v>13</v>
      </c>
      <c r="N66" s="120">
        <v>12.9</v>
      </c>
      <c r="O66" s="121">
        <f t="shared" si="15"/>
        <v>12.841666666666669</v>
      </c>
      <c r="P66" s="122">
        <f t="shared" si="16"/>
        <v>12.2</v>
      </c>
      <c r="Q66" s="122">
        <f t="shared" si="17"/>
        <v>13.4</v>
      </c>
      <c r="R66" s="122">
        <f t="shared" si="18"/>
        <v>1.2000000000000011</v>
      </c>
      <c r="S66" s="118">
        <f t="shared" si="19"/>
        <v>16</v>
      </c>
    </row>
    <row r="67" spans="1:19">
      <c r="A67" s="23" t="s">
        <v>662</v>
      </c>
      <c r="B67" s="115" t="s">
        <v>1170</v>
      </c>
      <c r="C67" s="120">
        <v>40.5</v>
      </c>
      <c r="D67" s="120">
        <v>40.4</v>
      </c>
      <c r="E67" s="120">
        <v>40</v>
      </c>
      <c r="F67" s="120">
        <v>40.4</v>
      </c>
      <c r="G67" s="120">
        <v>41.6</v>
      </c>
      <c r="H67" s="120">
        <v>41.4</v>
      </c>
      <c r="I67" s="120">
        <v>41.5</v>
      </c>
      <c r="J67" s="120">
        <v>41.7</v>
      </c>
      <c r="K67" s="120">
        <v>41.8</v>
      </c>
      <c r="L67" s="120">
        <v>41.4</v>
      </c>
      <c r="M67" s="120">
        <v>41.2</v>
      </c>
      <c r="N67" s="120">
        <v>40.799999999999997</v>
      </c>
      <c r="O67" s="121">
        <f t="shared" si="15"/>
        <v>41.05833333333333</v>
      </c>
      <c r="P67" s="122">
        <f t="shared" si="16"/>
        <v>40</v>
      </c>
      <c r="Q67" s="122">
        <f t="shared" si="17"/>
        <v>41.8</v>
      </c>
      <c r="R67" s="122">
        <f t="shared" si="18"/>
        <v>1.7999999999999972</v>
      </c>
      <c r="S67" s="118">
        <f t="shared" si="19"/>
        <v>2</v>
      </c>
    </row>
    <row r="68" spans="1:19">
      <c r="A68" s="23" t="s">
        <v>680</v>
      </c>
      <c r="B68" s="115" t="s">
        <v>1171</v>
      </c>
      <c r="C68" s="120">
        <v>47.7</v>
      </c>
      <c r="D68" s="120">
        <v>48.4</v>
      </c>
      <c r="E68" s="120">
        <v>48.4</v>
      </c>
      <c r="F68" s="120">
        <v>49</v>
      </c>
      <c r="G68" s="120">
        <v>48.5</v>
      </c>
      <c r="H68" s="120">
        <v>48.6</v>
      </c>
      <c r="I68" s="120">
        <v>48.3</v>
      </c>
      <c r="J68" s="120">
        <v>48.2</v>
      </c>
      <c r="K68" s="120">
        <v>48.3</v>
      </c>
      <c r="L68" s="120">
        <v>48.9</v>
      </c>
      <c r="M68" s="120">
        <v>49.1</v>
      </c>
      <c r="N68" s="120">
        <v>48.9</v>
      </c>
      <c r="O68" s="121">
        <f t="shared" si="15"/>
        <v>48.524999999999999</v>
      </c>
      <c r="P68" s="122">
        <f t="shared" si="16"/>
        <v>47.7</v>
      </c>
      <c r="Q68" s="122">
        <f t="shared" si="17"/>
        <v>49.1</v>
      </c>
      <c r="R68" s="122">
        <f t="shared" si="18"/>
        <v>1.3999999999999986</v>
      </c>
      <c r="S68" s="118">
        <f t="shared" si="19"/>
        <v>1</v>
      </c>
    </row>
    <row r="69" spans="1:19">
      <c r="A69" s="23" t="s">
        <v>1172</v>
      </c>
      <c r="B69" s="115" t="s">
        <v>1066</v>
      </c>
      <c r="C69" s="120">
        <v>35.1</v>
      </c>
      <c r="D69" s="120">
        <v>35.6</v>
      </c>
      <c r="E69" s="120">
        <v>35.9</v>
      </c>
      <c r="F69" s="120">
        <v>34.4</v>
      </c>
      <c r="G69" s="120">
        <v>34.299999999999997</v>
      </c>
      <c r="H69" s="120">
        <v>35.299999999999997</v>
      </c>
      <c r="I69" s="120">
        <v>34.5</v>
      </c>
      <c r="J69" s="120">
        <v>34.5</v>
      </c>
      <c r="K69" s="120">
        <v>34.799999999999997</v>
      </c>
      <c r="L69" s="120">
        <v>35.5</v>
      </c>
      <c r="M69" s="120">
        <v>37.1</v>
      </c>
      <c r="N69" s="120">
        <v>37.200000000000003</v>
      </c>
      <c r="O69" s="121">
        <f t="shared" si="15"/>
        <v>35.35</v>
      </c>
      <c r="P69" s="122">
        <f t="shared" si="16"/>
        <v>34.299999999999997</v>
      </c>
      <c r="Q69" s="122">
        <f t="shared" si="17"/>
        <v>37.200000000000003</v>
      </c>
      <c r="R69" s="122">
        <f t="shared" si="18"/>
        <v>2.9000000000000057</v>
      </c>
      <c r="S69" s="118">
        <f t="shared" si="19"/>
        <v>3</v>
      </c>
    </row>
    <row r="70" spans="1:19">
      <c r="A70" s="23" t="s">
        <v>659</v>
      </c>
      <c r="B70" s="115" t="s">
        <v>620</v>
      </c>
      <c r="C70" s="120">
        <v>13</v>
      </c>
      <c r="D70" s="120">
        <v>12.7</v>
      </c>
      <c r="E70" s="120">
        <v>13.1</v>
      </c>
      <c r="F70" s="120">
        <v>13.5</v>
      </c>
      <c r="G70" s="120">
        <v>13.8</v>
      </c>
      <c r="H70" s="120">
        <v>13.9</v>
      </c>
      <c r="I70" s="120">
        <v>14.1</v>
      </c>
      <c r="J70" s="120">
        <v>14.1</v>
      </c>
      <c r="K70" s="120">
        <v>14.3</v>
      </c>
      <c r="L70" s="120">
        <v>14.1</v>
      </c>
      <c r="M70" s="120">
        <v>13.7</v>
      </c>
      <c r="N70" s="120">
        <v>13.4</v>
      </c>
      <c r="O70" s="121">
        <f t="shared" si="15"/>
        <v>13.641666666666666</v>
      </c>
      <c r="P70" s="122">
        <f t="shared" si="16"/>
        <v>12.7</v>
      </c>
      <c r="Q70" s="122">
        <f t="shared" si="17"/>
        <v>14.3</v>
      </c>
      <c r="R70" s="122">
        <f t="shared" si="18"/>
        <v>1.6000000000000014</v>
      </c>
      <c r="S70" s="118">
        <f t="shared" si="19"/>
        <v>15</v>
      </c>
    </row>
    <row r="71" spans="1:19">
      <c r="A71" s="23" t="s">
        <v>1173</v>
      </c>
      <c r="B71" s="115" t="s">
        <v>1174</v>
      </c>
      <c r="C71" s="120">
        <v>25.8</v>
      </c>
      <c r="D71" s="120">
        <v>25.3</v>
      </c>
      <c r="E71" s="120">
        <v>25.2</v>
      </c>
      <c r="F71" s="120">
        <v>24.2</v>
      </c>
      <c r="G71" s="120">
        <v>22.3</v>
      </c>
      <c r="H71" s="120">
        <v>22.5</v>
      </c>
      <c r="I71" s="120">
        <v>22.7</v>
      </c>
      <c r="J71" s="120">
        <v>22.6</v>
      </c>
      <c r="K71" s="120">
        <v>24.2</v>
      </c>
      <c r="L71" s="120">
        <v>24.6</v>
      </c>
      <c r="M71" s="120">
        <v>25.6</v>
      </c>
      <c r="N71" s="120">
        <v>25.8</v>
      </c>
      <c r="O71" s="121">
        <f t="shared" si="15"/>
        <v>24.233333333333334</v>
      </c>
      <c r="P71" s="122">
        <f t="shared" si="16"/>
        <v>22.3</v>
      </c>
      <c r="Q71" s="122">
        <f t="shared" si="17"/>
        <v>25.8</v>
      </c>
      <c r="R71" s="122">
        <f t="shared" si="18"/>
        <v>3.5</v>
      </c>
      <c r="S71" s="118">
        <f t="shared" si="19"/>
        <v>5</v>
      </c>
    </row>
    <row r="72" spans="1:19">
      <c r="A72" s="23" t="s">
        <v>652</v>
      </c>
      <c r="B72" s="115" t="s">
        <v>743</v>
      </c>
      <c r="C72" s="120">
        <v>29.5</v>
      </c>
      <c r="D72" s="120">
        <v>29.6</v>
      </c>
      <c r="E72" s="120">
        <v>29.7</v>
      </c>
      <c r="F72" s="120">
        <v>30.1</v>
      </c>
      <c r="G72" s="120">
        <v>30.4</v>
      </c>
      <c r="H72" s="120">
        <v>29.6</v>
      </c>
      <c r="I72" s="120">
        <v>29.5</v>
      </c>
      <c r="J72" s="120">
        <v>29.7</v>
      </c>
      <c r="K72" s="120">
        <v>31.1</v>
      </c>
      <c r="L72" s="120">
        <v>31.1</v>
      </c>
      <c r="M72" s="120">
        <v>31.1</v>
      </c>
      <c r="N72" s="120">
        <v>30.9</v>
      </c>
      <c r="O72" s="121">
        <f t="shared" si="15"/>
        <v>30.191666666666666</v>
      </c>
      <c r="P72" s="122">
        <f t="shared" si="16"/>
        <v>29.5</v>
      </c>
      <c r="Q72" s="122">
        <f t="shared" si="17"/>
        <v>31.1</v>
      </c>
      <c r="R72" s="122">
        <f t="shared" si="18"/>
        <v>1.6000000000000014</v>
      </c>
      <c r="S72" s="118">
        <f t="shared" si="19"/>
        <v>4</v>
      </c>
    </row>
    <row r="73" spans="1:19">
      <c r="A73" s="23" t="s">
        <v>1175</v>
      </c>
      <c r="B73" s="115" t="s">
        <v>1176</v>
      </c>
      <c r="C73" s="120">
        <v>13.6</v>
      </c>
      <c r="D73" s="120">
        <v>13.5</v>
      </c>
      <c r="E73" s="120">
        <v>13.5</v>
      </c>
      <c r="F73" s="120">
        <v>13.8</v>
      </c>
      <c r="G73" s="120">
        <v>13.9</v>
      </c>
      <c r="H73" s="120">
        <v>14</v>
      </c>
      <c r="I73" s="120">
        <v>14.3</v>
      </c>
      <c r="J73" s="120">
        <v>14.5</v>
      </c>
      <c r="K73" s="120">
        <v>14.6</v>
      </c>
      <c r="L73" s="120">
        <v>14.4</v>
      </c>
      <c r="M73" s="120">
        <v>14.5</v>
      </c>
      <c r="N73" s="120">
        <v>14.8</v>
      </c>
      <c r="O73" s="121">
        <f t="shared" si="15"/>
        <v>14.116666666666667</v>
      </c>
      <c r="P73" s="122">
        <f t="shared" si="16"/>
        <v>13.5</v>
      </c>
      <c r="Q73" s="122">
        <f t="shared" si="17"/>
        <v>14.8</v>
      </c>
      <c r="R73" s="122">
        <f t="shared" si="18"/>
        <v>1.3000000000000007</v>
      </c>
      <c r="S73" s="118">
        <f t="shared" si="19"/>
        <v>12</v>
      </c>
    </row>
    <row r="74" spans="1:19">
      <c r="A74" s="23" t="s">
        <v>685</v>
      </c>
      <c r="B74" s="115" t="s">
        <v>1177</v>
      </c>
      <c r="C74" s="120">
        <v>15.3</v>
      </c>
      <c r="D74" s="120">
        <v>14.9</v>
      </c>
      <c r="E74" s="120">
        <v>14.7</v>
      </c>
      <c r="F74" s="120">
        <v>15</v>
      </c>
      <c r="G74" s="120">
        <v>15.1</v>
      </c>
      <c r="H74" s="120">
        <v>15.1</v>
      </c>
      <c r="I74" s="120">
        <v>15.3</v>
      </c>
      <c r="J74" s="120">
        <v>15.8</v>
      </c>
      <c r="K74" s="120">
        <v>16.3</v>
      </c>
      <c r="L74" s="120">
        <v>16.8</v>
      </c>
      <c r="M74" s="120">
        <v>16.899999999999999</v>
      </c>
      <c r="N74" s="120">
        <v>16.5</v>
      </c>
      <c r="O74" s="121">
        <f t="shared" si="15"/>
        <v>15.641666666666667</v>
      </c>
      <c r="P74" s="122">
        <f t="shared" si="16"/>
        <v>14.7</v>
      </c>
      <c r="Q74" s="122">
        <f t="shared" si="17"/>
        <v>16.899999999999999</v>
      </c>
      <c r="R74" s="122">
        <f t="shared" si="18"/>
        <v>2.1999999999999993</v>
      </c>
      <c r="S74" s="118">
        <f t="shared" si="19"/>
        <v>10</v>
      </c>
    </row>
    <row r="75" spans="1:19">
      <c r="A75" s="23" t="s">
        <v>678</v>
      </c>
      <c r="B75" s="115" t="s">
        <v>774</v>
      </c>
      <c r="C75" s="120">
        <v>14.1</v>
      </c>
      <c r="D75" s="120">
        <v>14.1</v>
      </c>
      <c r="E75" s="120">
        <v>14.3</v>
      </c>
      <c r="F75" s="120">
        <v>14.6</v>
      </c>
      <c r="G75" s="120">
        <v>14.6</v>
      </c>
      <c r="H75" s="120">
        <v>14.8</v>
      </c>
      <c r="I75" s="120">
        <v>14.9</v>
      </c>
      <c r="J75" s="120">
        <v>15</v>
      </c>
      <c r="K75" s="120">
        <v>15</v>
      </c>
      <c r="L75" s="120">
        <v>15</v>
      </c>
      <c r="M75" s="120">
        <v>14.9</v>
      </c>
      <c r="N75" s="120">
        <v>15</v>
      </c>
      <c r="O75" s="121">
        <f t="shared" si="15"/>
        <v>14.691666666666668</v>
      </c>
      <c r="P75" s="122">
        <f t="shared" si="16"/>
        <v>14.1</v>
      </c>
      <c r="Q75" s="122">
        <f t="shared" si="17"/>
        <v>15</v>
      </c>
      <c r="R75" s="122">
        <f t="shared" si="18"/>
        <v>0.90000000000000036</v>
      </c>
      <c r="S75" s="118">
        <f t="shared" si="19"/>
        <v>11</v>
      </c>
    </row>
    <row r="76" spans="1:19">
      <c r="A76" s="23" t="s">
        <v>1178</v>
      </c>
      <c r="B76" s="115" t="s">
        <v>798</v>
      </c>
      <c r="C76" s="120">
        <v>15.4</v>
      </c>
      <c r="D76" s="120">
        <v>15.3</v>
      </c>
      <c r="E76" s="120">
        <v>15.4</v>
      </c>
      <c r="F76" s="120">
        <v>15.5</v>
      </c>
      <c r="G76" s="120">
        <v>15.5</v>
      </c>
      <c r="H76" s="120">
        <v>15.3</v>
      </c>
      <c r="I76" s="120">
        <v>15.8</v>
      </c>
      <c r="J76" s="120">
        <v>16</v>
      </c>
      <c r="K76" s="120">
        <v>16.2</v>
      </c>
      <c r="L76" s="120">
        <v>16.100000000000001</v>
      </c>
      <c r="M76" s="120">
        <v>16</v>
      </c>
      <c r="N76" s="120">
        <v>16</v>
      </c>
      <c r="O76" s="121">
        <f t="shared" si="15"/>
        <v>15.70833333333333</v>
      </c>
      <c r="P76" s="122">
        <f t="shared" si="16"/>
        <v>15.3</v>
      </c>
      <c r="Q76" s="122">
        <f t="shared" si="17"/>
        <v>16.2</v>
      </c>
      <c r="R76" s="122">
        <f t="shared" si="18"/>
        <v>0.89999999999999858</v>
      </c>
      <c r="S76" s="118">
        <f t="shared" si="19"/>
        <v>9</v>
      </c>
    </row>
    <row r="77" spans="1:19">
      <c r="A77" s="23" t="s">
        <v>668</v>
      </c>
      <c r="B77" s="115" t="s">
        <v>740</v>
      </c>
      <c r="C77" s="120">
        <v>22.3</v>
      </c>
      <c r="D77" s="120">
        <v>22.2</v>
      </c>
      <c r="E77" s="120">
        <v>22.2</v>
      </c>
      <c r="F77" s="120">
        <v>22.3</v>
      </c>
      <c r="G77" s="120">
        <v>23.5</v>
      </c>
      <c r="H77" s="120">
        <v>23.9</v>
      </c>
      <c r="I77" s="120">
        <v>24.3</v>
      </c>
      <c r="J77" s="120">
        <v>24.8</v>
      </c>
      <c r="K77" s="120">
        <v>24.8</v>
      </c>
      <c r="L77" s="120">
        <v>24.5</v>
      </c>
      <c r="M77" s="120">
        <v>23.7</v>
      </c>
      <c r="N77" s="120">
        <v>23.5</v>
      </c>
      <c r="O77" s="121">
        <f t="shared" si="15"/>
        <v>23.500000000000004</v>
      </c>
      <c r="P77" s="122">
        <f t="shared" si="16"/>
        <v>22.2</v>
      </c>
      <c r="Q77" s="122">
        <f t="shared" si="17"/>
        <v>24.8</v>
      </c>
      <c r="R77" s="122">
        <f t="shared" si="18"/>
        <v>2.6000000000000014</v>
      </c>
      <c r="S77" s="118">
        <f t="shared" si="19"/>
        <v>7</v>
      </c>
    </row>
    <row r="78" spans="1:19">
      <c r="A78" s="23" t="s">
        <v>1179</v>
      </c>
      <c r="B78" s="115" t="s">
        <v>1180</v>
      </c>
      <c r="C78" s="120">
        <v>13.7</v>
      </c>
      <c r="D78" s="120">
        <v>13.9</v>
      </c>
      <c r="E78" s="120">
        <v>13.8</v>
      </c>
      <c r="F78" s="120">
        <v>13.7</v>
      </c>
      <c r="G78" s="120">
        <v>13.8</v>
      </c>
      <c r="H78" s="120">
        <v>13.9</v>
      </c>
      <c r="I78" s="120">
        <v>14.3</v>
      </c>
      <c r="J78" s="120">
        <v>14.2</v>
      </c>
      <c r="K78" s="120">
        <v>13.7</v>
      </c>
      <c r="L78" s="120">
        <v>13.7</v>
      </c>
      <c r="M78" s="120">
        <v>14</v>
      </c>
      <c r="N78" s="120">
        <v>13.8</v>
      </c>
      <c r="O78" s="121">
        <f t="shared" si="15"/>
        <v>13.875000000000002</v>
      </c>
      <c r="P78" s="122">
        <f t="shared" si="16"/>
        <v>13.7</v>
      </c>
      <c r="Q78" s="122">
        <f t="shared" si="17"/>
        <v>14.3</v>
      </c>
      <c r="R78" s="122">
        <f t="shared" si="18"/>
        <v>0.60000000000000142</v>
      </c>
      <c r="S78" s="118">
        <f t="shared" si="19"/>
        <v>14</v>
      </c>
    </row>
    <row r="79" spans="1:19">
      <c r="A79" s="23" t="s">
        <v>1181</v>
      </c>
      <c r="B79" s="115" t="s">
        <v>1182</v>
      </c>
      <c r="C79" s="120">
        <v>24.7</v>
      </c>
      <c r="D79" s="120">
        <v>24.3</v>
      </c>
      <c r="E79" s="120">
        <v>23.7</v>
      </c>
      <c r="F79" s="120">
        <v>24</v>
      </c>
      <c r="G79" s="120">
        <v>23.8</v>
      </c>
      <c r="H79" s="120">
        <v>23.9</v>
      </c>
      <c r="I79" s="120">
        <v>23.8</v>
      </c>
      <c r="J79" s="120">
        <v>23.9</v>
      </c>
      <c r="K79" s="120">
        <v>23.9</v>
      </c>
      <c r="L79" s="120">
        <v>23.6</v>
      </c>
      <c r="M79" s="120">
        <v>23.1</v>
      </c>
      <c r="N79" s="120">
        <v>23</v>
      </c>
      <c r="O79" s="121">
        <f t="shared" si="15"/>
        <v>23.808333333333337</v>
      </c>
      <c r="P79" s="122">
        <f t="shared" si="16"/>
        <v>23</v>
      </c>
      <c r="Q79" s="122">
        <f t="shared" si="17"/>
        <v>24.7</v>
      </c>
      <c r="R79" s="122">
        <f t="shared" si="18"/>
        <v>1.6999999999999993</v>
      </c>
      <c r="S79" s="118">
        <f t="shared" si="19"/>
        <v>6</v>
      </c>
    </row>
    <row r="81" spans="1:19" ht="16">
      <c r="A81" s="119" t="s">
        <v>1186</v>
      </c>
    </row>
    <row r="82" spans="1:19" ht="45.75" customHeight="1">
      <c r="A82" s="26" t="s">
        <v>1147</v>
      </c>
      <c r="B82" s="26" t="s">
        <v>1148</v>
      </c>
      <c r="C82" s="30" t="s">
        <v>1149</v>
      </c>
      <c r="D82" s="30" t="s">
        <v>1150</v>
      </c>
      <c r="E82" s="30" t="s">
        <v>1151</v>
      </c>
      <c r="F82" s="30" t="s">
        <v>1152</v>
      </c>
      <c r="G82" s="30" t="s">
        <v>1153</v>
      </c>
      <c r="H82" s="30" t="s">
        <v>1154</v>
      </c>
      <c r="I82" s="30" t="s">
        <v>1155</v>
      </c>
      <c r="J82" s="30" t="s">
        <v>1156</v>
      </c>
      <c r="K82" s="30" t="s">
        <v>1157</v>
      </c>
      <c r="L82" s="30" t="s">
        <v>1158</v>
      </c>
      <c r="M82" s="30" t="s">
        <v>1159</v>
      </c>
      <c r="N82" s="30" t="s">
        <v>1160</v>
      </c>
      <c r="O82" s="26" t="s">
        <v>1161</v>
      </c>
      <c r="P82" s="26" t="s">
        <v>1162</v>
      </c>
      <c r="Q82" s="26" t="s">
        <v>1163</v>
      </c>
      <c r="R82" s="26" t="s">
        <v>1164</v>
      </c>
      <c r="S82" s="30" t="s">
        <v>1165</v>
      </c>
    </row>
    <row r="83" spans="1:19">
      <c r="A83" s="23" t="s">
        <v>673</v>
      </c>
      <c r="B83" s="115" t="s">
        <v>1166</v>
      </c>
      <c r="C83" s="120">
        <v>3.8</v>
      </c>
      <c r="D83" s="120">
        <v>3.8</v>
      </c>
      <c r="E83" s="120">
        <v>3.8</v>
      </c>
      <c r="F83" s="120">
        <v>3.7</v>
      </c>
      <c r="G83" s="120">
        <v>3.8</v>
      </c>
      <c r="H83" s="120">
        <v>3.8</v>
      </c>
      <c r="I83" s="120">
        <v>3.9</v>
      </c>
      <c r="J83" s="120">
        <v>3.9</v>
      </c>
      <c r="K83" s="120">
        <v>3.9</v>
      </c>
      <c r="L83" s="120">
        <v>3.9</v>
      </c>
      <c r="M83" s="120">
        <v>4</v>
      </c>
      <c r="N83" s="120">
        <v>4</v>
      </c>
      <c r="O83" s="121">
        <f t="shared" ref="O83:O98" si="20">AVERAGE(C83:N83)</f>
        <v>3.8583333333333329</v>
      </c>
      <c r="P83" s="122">
        <f t="shared" ref="P83:P98" si="21">MIN(C83:N83)</f>
        <v>3.7</v>
      </c>
      <c r="Q83" s="122">
        <f t="shared" ref="Q83:Q98" si="22">MAX(C83:N83)</f>
        <v>4</v>
      </c>
      <c r="R83" s="122">
        <f t="shared" ref="R83:R98" si="23">Q83-P83</f>
        <v>0.29999999999999982</v>
      </c>
      <c r="S83" s="118">
        <f t="shared" ref="S83:S98" si="24">RANK(O83,$O$83:$O$98)</f>
        <v>12</v>
      </c>
    </row>
    <row r="84" spans="1:19">
      <c r="A84" s="23" t="s">
        <v>676</v>
      </c>
      <c r="B84" s="115" t="s">
        <v>1167</v>
      </c>
      <c r="C84" s="120">
        <v>4.4000000000000004</v>
      </c>
      <c r="D84" s="120">
        <v>4.3</v>
      </c>
      <c r="E84" s="120">
        <v>4.5</v>
      </c>
      <c r="F84" s="120">
        <v>4.5</v>
      </c>
      <c r="G84" s="120">
        <v>4.5</v>
      </c>
      <c r="H84" s="120">
        <v>4.4000000000000004</v>
      </c>
      <c r="I84" s="120">
        <v>4.5999999999999996</v>
      </c>
      <c r="J84" s="120">
        <v>4.7</v>
      </c>
      <c r="K84" s="120">
        <v>4.8</v>
      </c>
      <c r="L84" s="120">
        <v>4.8</v>
      </c>
      <c r="M84" s="120">
        <v>4.9000000000000004</v>
      </c>
      <c r="N84" s="120">
        <v>4.9000000000000004</v>
      </c>
      <c r="O84" s="121">
        <f t="shared" si="20"/>
        <v>4.6083333333333334</v>
      </c>
      <c r="P84" s="122">
        <f t="shared" si="21"/>
        <v>4.3</v>
      </c>
      <c r="Q84" s="122">
        <f t="shared" si="22"/>
        <v>4.9000000000000004</v>
      </c>
      <c r="R84" s="122">
        <f t="shared" si="23"/>
        <v>0.60000000000000053</v>
      </c>
      <c r="S84" s="118">
        <f t="shared" si="24"/>
        <v>8</v>
      </c>
    </row>
    <row r="85" spans="1:19">
      <c r="A85" s="23" t="s">
        <v>1168</v>
      </c>
      <c r="B85" s="115" t="s">
        <v>1169</v>
      </c>
      <c r="C85" s="120">
        <v>3.2</v>
      </c>
      <c r="D85" s="120">
        <v>3.3</v>
      </c>
      <c r="E85" s="120">
        <v>3.3</v>
      </c>
      <c r="F85" s="120">
        <v>3.3</v>
      </c>
      <c r="G85" s="120">
        <v>3.2</v>
      </c>
      <c r="H85" s="120">
        <v>3.3</v>
      </c>
      <c r="I85" s="120">
        <v>3.4</v>
      </c>
      <c r="J85" s="120">
        <v>3.4</v>
      </c>
      <c r="K85" s="120">
        <v>3.3</v>
      </c>
      <c r="L85" s="120">
        <v>3.3</v>
      </c>
      <c r="M85" s="120">
        <v>3.4</v>
      </c>
      <c r="N85" s="120">
        <v>3.4</v>
      </c>
      <c r="O85" s="121">
        <f t="shared" si="20"/>
        <v>3.3166666666666664</v>
      </c>
      <c r="P85" s="122">
        <f t="shared" si="21"/>
        <v>3.2</v>
      </c>
      <c r="Q85" s="122">
        <f t="shared" si="22"/>
        <v>3.4</v>
      </c>
      <c r="R85" s="122">
        <f t="shared" si="23"/>
        <v>0.19999999999999973</v>
      </c>
      <c r="S85" s="118">
        <f t="shared" si="24"/>
        <v>16</v>
      </c>
    </row>
    <row r="86" spans="1:19">
      <c r="A86" s="23" t="s">
        <v>662</v>
      </c>
      <c r="B86" s="115" t="s">
        <v>1170</v>
      </c>
      <c r="C86" s="120">
        <v>7.3</v>
      </c>
      <c r="D86" s="120">
        <v>7.2</v>
      </c>
      <c r="E86" s="120">
        <v>7.2</v>
      </c>
      <c r="F86" s="120">
        <v>7.2</v>
      </c>
      <c r="G86" s="120">
        <v>7.4</v>
      </c>
      <c r="H86" s="120">
        <v>7.2</v>
      </c>
      <c r="I86" s="120">
        <v>7.3</v>
      </c>
      <c r="J86" s="120">
        <v>7.3</v>
      </c>
      <c r="K86" s="120">
        <v>7.3</v>
      </c>
      <c r="L86" s="120">
        <v>7.4</v>
      </c>
      <c r="M86" s="120">
        <v>7.4</v>
      </c>
      <c r="N86" s="120">
        <v>7.3</v>
      </c>
      <c r="O86" s="121">
        <f t="shared" si="20"/>
        <v>7.291666666666667</v>
      </c>
      <c r="P86" s="122">
        <f t="shared" si="21"/>
        <v>7.2</v>
      </c>
      <c r="Q86" s="122">
        <f t="shared" si="22"/>
        <v>7.4</v>
      </c>
      <c r="R86" s="122">
        <f t="shared" si="23"/>
        <v>0.20000000000000018</v>
      </c>
      <c r="S86" s="118">
        <f t="shared" si="24"/>
        <v>4</v>
      </c>
    </row>
    <row r="87" spans="1:19">
      <c r="A87" s="23" t="s">
        <v>680</v>
      </c>
      <c r="B87" s="115" t="s">
        <v>1171</v>
      </c>
      <c r="C87" s="120">
        <v>8.1999999999999993</v>
      </c>
      <c r="D87" s="120">
        <v>8.1999999999999993</v>
      </c>
      <c r="E87" s="120">
        <v>8.1999999999999993</v>
      </c>
      <c r="F87" s="120">
        <v>8.3000000000000007</v>
      </c>
      <c r="G87" s="120">
        <v>8.3000000000000007</v>
      </c>
      <c r="H87" s="120">
        <v>8.1999999999999993</v>
      </c>
      <c r="I87" s="120">
        <v>8.1999999999999993</v>
      </c>
      <c r="J87" s="120">
        <v>8.1999999999999993</v>
      </c>
      <c r="K87" s="120">
        <v>8.4</v>
      </c>
      <c r="L87" s="120">
        <v>8.5</v>
      </c>
      <c r="M87" s="120">
        <v>8.5</v>
      </c>
      <c r="N87" s="120">
        <v>8.5</v>
      </c>
      <c r="O87" s="121">
        <f t="shared" si="20"/>
        <v>8.3083333333333353</v>
      </c>
      <c r="P87" s="122">
        <f t="shared" si="21"/>
        <v>8.1999999999999993</v>
      </c>
      <c r="Q87" s="122">
        <f t="shared" si="22"/>
        <v>8.5</v>
      </c>
      <c r="R87" s="122">
        <f t="shared" si="23"/>
        <v>0.30000000000000071</v>
      </c>
      <c r="S87" s="118">
        <f t="shared" si="24"/>
        <v>2</v>
      </c>
    </row>
    <row r="88" spans="1:19">
      <c r="A88" s="23" t="s">
        <v>1172</v>
      </c>
      <c r="B88" s="115" t="s">
        <v>1066</v>
      </c>
      <c r="C88" s="120">
        <v>7.4</v>
      </c>
      <c r="D88" s="120">
        <v>7.3</v>
      </c>
      <c r="E88" s="120">
        <v>7.3</v>
      </c>
      <c r="F88" s="120">
        <v>7.4</v>
      </c>
      <c r="G88" s="120">
        <v>7.3</v>
      </c>
      <c r="H88" s="120">
        <v>7.3</v>
      </c>
      <c r="I88" s="120">
        <v>7.2</v>
      </c>
      <c r="J88" s="120">
        <v>7.1</v>
      </c>
      <c r="K88" s="120">
        <v>7.2</v>
      </c>
      <c r="L88" s="120">
        <v>7.2</v>
      </c>
      <c r="M88" s="120">
        <v>7.4</v>
      </c>
      <c r="N88" s="120">
        <v>7.5</v>
      </c>
      <c r="O88" s="121">
        <f t="shared" si="20"/>
        <v>7.3000000000000007</v>
      </c>
      <c r="P88" s="122">
        <f t="shared" si="21"/>
        <v>7.1</v>
      </c>
      <c r="Q88" s="122">
        <f t="shared" si="22"/>
        <v>7.5</v>
      </c>
      <c r="R88" s="122">
        <f t="shared" si="23"/>
        <v>0.40000000000000036</v>
      </c>
      <c r="S88" s="118">
        <f t="shared" si="24"/>
        <v>3</v>
      </c>
    </row>
    <row r="89" spans="1:19">
      <c r="A89" s="23" t="s">
        <v>659</v>
      </c>
      <c r="B89" s="115" t="s">
        <v>620</v>
      </c>
      <c r="C89" s="120">
        <v>3.5</v>
      </c>
      <c r="D89" s="120">
        <v>3.5</v>
      </c>
      <c r="E89" s="120">
        <v>3.5</v>
      </c>
      <c r="F89" s="120">
        <v>3.6</v>
      </c>
      <c r="G89" s="120">
        <v>3.6</v>
      </c>
      <c r="H89" s="120">
        <v>3.6</v>
      </c>
      <c r="I89" s="120">
        <v>3.7</v>
      </c>
      <c r="J89" s="120">
        <v>3.7</v>
      </c>
      <c r="K89" s="120">
        <v>3.7</v>
      </c>
      <c r="L89" s="120">
        <v>3.8</v>
      </c>
      <c r="M89" s="120">
        <v>3.9</v>
      </c>
      <c r="N89" s="120">
        <v>4</v>
      </c>
      <c r="O89" s="121">
        <f t="shared" si="20"/>
        <v>3.6749999999999994</v>
      </c>
      <c r="P89" s="122">
        <f t="shared" si="21"/>
        <v>3.5</v>
      </c>
      <c r="Q89" s="122">
        <f t="shared" si="22"/>
        <v>4</v>
      </c>
      <c r="R89" s="122">
        <f t="shared" si="23"/>
        <v>0.5</v>
      </c>
      <c r="S89" s="118">
        <f t="shared" si="24"/>
        <v>14</v>
      </c>
    </row>
    <row r="90" spans="1:19">
      <c r="A90" s="23" t="s">
        <v>1173</v>
      </c>
      <c r="B90" s="115" t="s">
        <v>1174</v>
      </c>
      <c r="C90" s="120">
        <v>9.3000000000000007</v>
      </c>
      <c r="D90" s="120">
        <v>9.3000000000000007</v>
      </c>
      <c r="E90" s="120">
        <v>9.3000000000000007</v>
      </c>
      <c r="F90" s="120">
        <v>9.5</v>
      </c>
      <c r="G90" s="120">
        <v>9.1999999999999993</v>
      </c>
      <c r="H90" s="120">
        <v>9.3000000000000007</v>
      </c>
      <c r="I90" s="120">
        <v>9.3000000000000007</v>
      </c>
      <c r="J90" s="120">
        <v>9.4</v>
      </c>
      <c r="K90" s="120">
        <v>9.4</v>
      </c>
      <c r="L90" s="120">
        <v>9.6999999999999993</v>
      </c>
      <c r="M90" s="120">
        <v>9.8000000000000007</v>
      </c>
      <c r="N90" s="120">
        <v>9.6999999999999993</v>
      </c>
      <c r="O90" s="121">
        <f t="shared" si="20"/>
        <v>9.4333333333333353</v>
      </c>
      <c r="P90" s="122">
        <f t="shared" si="21"/>
        <v>9.1999999999999993</v>
      </c>
      <c r="Q90" s="122">
        <f t="shared" si="22"/>
        <v>9.8000000000000007</v>
      </c>
      <c r="R90" s="122">
        <f t="shared" si="23"/>
        <v>0.60000000000000142</v>
      </c>
      <c r="S90" s="118">
        <f t="shared" si="24"/>
        <v>1</v>
      </c>
    </row>
    <row r="91" spans="1:19">
      <c r="A91" s="23" t="s">
        <v>652</v>
      </c>
      <c r="B91" s="115" t="s">
        <v>743</v>
      </c>
      <c r="C91" s="120">
        <v>5.6</v>
      </c>
      <c r="D91" s="120">
        <v>5.6</v>
      </c>
      <c r="E91" s="120">
        <v>5.6</v>
      </c>
      <c r="F91" s="120">
        <v>5.7</v>
      </c>
      <c r="G91" s="120">
        <v>5.6</v>
      </c>
      <c r="H91" s="120">
        <v>5.6</v>
      </c>
      <c r="I91" s="120">
        <v>5.6</v>
      </c>
      <c r="J91" s="120">
        <v>5.6</v>
      </c>
      <c r="K91" s="120">
        <v>5.7</v>
      </c>
      <c r="L91" s="120">
        <v>5.7</v>
      </c>
      <c r="M91" s="120">
        <v>5.7</v>
      </c>
      <c r="N91" s="120">
        <v>5.7</v>
      </c>
      <c r="O91" s="121">
        <f t="shared" si="20"/>
        <v>5.6416666666666666</v>
      </c>
      <c r="P91" s="122">
        <f t="shared" si="21"/>
        <v>5.6</v>
      </c>
      <c r="Q91" s="122">
        <f t="shared" si="22"/>
        <v>5.7</v>
      </c>
      <c r="R91" s="122">
        <f t="shared" si="23"/>
        <v>0.10000000000000053</v>
      </c>
      <c r="S91" s="118">
        <f t="shared" si="24"/>
        <v>5</v>
      </c>
    </row>
    <row r="92" spans="1:19">
      <c r="A92" s="23" t="s">
        <v>1175</v>
      </c>
      <c r="B92" s="115" t="s">
        <v>1176</v>
      </c>
      <c r="C92" s="120">
        <v>3.6</v>
      </c>
      <c r="D92" s="120">
        <v>3.7</v>
      </c>
      <c r="E92" s="120">
        <v>3.7</v>
      </c>
      <c r="F92" s="120">
        <v>3.7</v>
      </c>
      <c r="G92" s="120">
        <v>3.8</v>
      </c>
      <c r="H92" s="120">
        <v>3.8</v>
      </c>
      <c r="I92" s="120">
        <v>3.9</v>
      </c>
      <c r="J92" s="120">
        <v>3.9</v>
      </c>
      <c r="K92" s="120">
        <v>3.9</v>
      </c>
      <c r="L92" s="120">
        <v>3.9</v>
      </c>
      <c r="M92" s="120">
        <v>3.9</v>
      </c>
      <c r="N92" s="120">
        <v>4</v>
      </c>
      <c r="O92" s="121">
        <f t="shared" si="20"/>
        <v>3.8166666666666664</v>
      </c>
      <c r="P92" s="122">
        <f t="shared" si="21"/>
        <v>3.6</v>
      </c>
      <c r="Q92" s="122">
        <f t="shared" si="22"/>
        <v>4</v>
      </c>
      <c r="R92" s="122">
        <f t="shared" si="23"/>
        <v>0.39999999999999991</v>
      </c>
      <c r="S92" s="118">
        <f t="shared" si="24"/>
        <v>13</v>
      </c>
    </row>
    <row r="93" spans="1:19">
      <c r="A93" s="23" t="s">
        <v>685</v>
      </c>
      <c r="B93" s="115" t="s">
        <v>1177</v>
      </c>
      <c r="C93" s="120">
        <v>4.2</v>
      </c>
      <c r="D93" s="120">
        <v>4.2</v>
      </c>
      <c r="E93" s="120">
        <v>4.0999999999999996</v>
      </c>
      <c r="F93" s="120">
        <v>4.0999999999999996</v>
      </c>
      <c r="G93" s="120">
        <v>4.0999999999999996</v>
      </c>
      <c r="H93" s="120">
        <v>4.0999999999999996</v>
      </c>
      <c r="I93" s="120">
        <v>4.3</v>
      </c>
      <c r="J93" s="120">
        <v>4.5</v>
      </c>
      <c r="K93" s="120">
        <v>4.7</v>
      </c>
      <c r="L93" s="120">
        <v>4.7</v>
      </c>
      <c r="M93" s="120">
        <v>4.8</v>
      </c>
      <c r="N93" s="120">
        <v>4.7</v>
      </c>
      <c r="O93" s="121">
        <f t="shared" si="20"/>
        <v>4.3750000000000009</v>
      </c>
      <c r="P93" s="122">
        <f t="shared" si="21"/>
        <v>4.0999999999999996</v>
      </c>
      <c r="Q93" s="122">
        <f t="shared" si="22"/>
        <v>4.8</v>
      </c>
      <c r="R93" s="122">
        <f t="shared" si="23"/>
        <v>0.70000000000000018</v>
      </c>
      <c r="S93" s="118">
        <f t="shared" si="24"/>
        <v>9</v>
      </c>
    </row>
    <row r="94" spans="1:19">
      <c r="A94" s="23" t="s">
        <v>678</v>
      </c>
      <c r="B94" s="115" t="s">
        <v>774</v>
      </c>
      <c r="C94" s="120">
        <v>3.9</v>
      </c>
      <c r="D94" s="120">
        <v>4</v>
      </c>
      <c r="E94" s="120">
        <v>4</v>
      </c>
      <c r="F94" s="120">
        <v>4</v>
      </c>
      <c r="G94" s="120">
        <v>4.0999999999999996</v>
      </c>
      <c r="H94" s="120">
        <v>4.0999999999999996</v>
      </c>
      <c r="I94" s="120">
        <v>4.0999999999999996</v>
      </c>
      <c r="J94" s="120">
        <v>4.2</v>
      </c>
      <c r="K94" s="120">
        <v>4.2</v>
      </c>
      <c r="L94" s="120">
        <v>4.2</v>
      </c>
      <c r="M94" s="120">
        <v>4.3</v>
      </c>
      <c r="N94" s="120">
        <v>4.3</v>
      </c>
      <c r="O94" s="121">
        <f t="shared" si="20"/>
        <v>4.1166666666666671</v>
      </c>
      <c r="P94" s="122">
        <f t="shared" si="21"/>
        <v>3.9</v>
      </c>
      <c r="Q94" s="122">
        <f t="shared" si="22"/>
        <v>4.3</v>
      </c>
      <c r="R94" s="122">
        <f t="shared" si="23"/>
        <v>0.39999999999999991</v>
      </c>
      <c r="S94" s="118">
        <f t="shared" si="24"/>
        <v>11</v>
      </c>
    </row>
    <row r="95" spans="1:19">
      <c r="A95" s="23" t="s">
        <v>1178</v>
      </c>
      <c r="B95" s="115" t="s">
        <v>798</v>
      </c>
      <c r="C95" s="120">
        <v>4.2</v>
      </c>
      <c r="D95" s="120">
        <v>4.2</v>
      </c>
      <c r="E95" s="120">
        <v>4.2</v>
      </c>
      <c r="F95" s="120">
        <v>4.3</v>
      </c>
      <c r="G95" s="120">
        <v>4.3</v>
      </c>
      <c r="H95" s="120">
        <v>4.3</v>
      </c>
      <c r="I95" s="120">
        <v>4.3</v>
      </c>
      <c r="J95" s="120">
        <v>4.3</v>
      </c>
      <c r="K95" s="120">
        <v>4.4000000000000004</v>
      </c>
      <c r="L95" s="120">
        <v>4.4000000000000004</v>
      </c>
      <c r="M95" s="120">
        <v>4.5</v>
      </c>
      <c r="N95" s="120">
        <v>4.4000000000000004</v>
      </c>
      <c r="O95" s="121">
        <f t="shared" si="20"/>
        <v>4.3166666666666664</v>
      </c>
      <c r="P95" s="122">
        <f t="shared" si="21"/>
        <v>4.2</v>
      </c>
      <c r="Q95" s="122">
        <f t="shared" si="22"/>
        <v>4.5</v>
      </c>
      <c r="R95" s="122">
        <f t="shared" si="23"/>
        <v>0.29999999999999982</v>
      </c>
      <c r="S95" s="118">
        <f t="shared" si="24"/>
        <v>10</v>
      </c>
    </row>
    <row r="96" spans="1:19">
      <c r="A96" s="23" t="s">
        <v>668</v>
      </c>
      <c r="B96" s="115" t="s">
        <v>740</v>
      </c>
      <c r="C96" s="120">
        <v>5.3</v>
      </c>
      <c r="D96" s="120">
        <v>5.3</v>
      </c>
      <c r="E96" s="120">
        <v>5.3</v>
      </c>
      <c r="F96" s="120">
        <v>5.4</v>
      </c>
      <c r="G96" s="120">
        <v>5.4</v>
      </c>
      <c r="H96" s="120">
        <v>5.5</v>
      </c>
      <c r="I96" s="120">
        <v>5.5</v>
      </c>
      <c r="J96" s="120">
        <v>5.6</v>
      </c>
      <c r="K96" s="120">
        <v>5.6</v>
      </c>
      <c r="L96" s="120">
        <v>5.5</v>
      </c>
      <c r="M96" s="120">
        <v>5.5</v>
      </c>
      <c r="N96" s="120">
        <v>5.5</v>
      </c>
      <c r="O96" s="121">
        <f t="shared" si="20"/>
        <v>5.45</v>
      </c>
      <c r="P96" s="122">
        <f t="shared" si="21"/>
        <v>5.3</v>
      </c>
      <c r="Q96" s="122">
        <f t="shared" si="22"/>
        <v>5.6</v>
      </c>
      <c r="R96" s="122">
        <f t="shared" si="23"/>
        <v>0.29999999999999982</v>
      </c>
      <c r="S96" s="118">
        <f t="shared" si="24"/>
        <v>6</v>
      </c>
    </row>
    <row r="97" spans="1:19">
      <c r="A97" s="23" t="s">
        <v>1179</v>
      </c>
      <c r="B97" s="115" t="s">
        <v>1180</v>
      </c>
      <c r="C97" s="120">
        <v>3.5</v>
      </c>
      <c r="D97" s="120">
        <v>3.6</v>
      </c>
      <c r="E97" s="120">
        <v>3.6</v>
      </c>
      <c r="F97" s="120">
        <v>3.6</v>
      </c>
      <c r="G97" s="120">
        <v>3.7</v>
      </c>
      <c r="H97" s="120">
        <v>3.7</v>
      </c>
      <c r="I97" s="120">
        <v>3.8</v>
      </c>
      <c r="J97" s="120">
        <v>3.7</v>
      </c>
      <c r="K97" s="120">
        <v>3.6</v>
      </c>
      <c r="L97" s="120">
        <v>3.6</v>
      </c>
      <c r="M97" s="120">
        <v>3.7</v>
      </c>
      <c r="N97" s="120">
        <v>3.7</v>
      </c>
      <c r="O97" s="121">
        <f t="shared" si="20"/>
        <v>3.6500000000000004</v>
      </c>
      <c r="P97" s="122">
        <f t="shared" si="21"/>
        <v>3.5</v>
      </c>
      <c r="Q97" s="122">
        <f t="shared" si="22"/>
        <v>3.8</v>
      </c>
      <c r="R97" s="122">
        <f t="shared" si="23"/>
        <v>0.29999999999999982</v>
      </c>
      <c r="S97" s="118">
        <f t="shared" si="24"/>
        <v>15</v>
      </c>
    </row>
    <row r="98" spans="1:19">
      <c r="A98" s="23" t="s">
        <v>1181</v>
      </c>
      <c r="B98" s="115" t="s">
        <v>1182</v>
      </c>
      <c r="C98" s="120">
        <v>5</v>
      </c>
      <c r="D98" s="120">
        <v>5</v>
      </c>
      <c r="E98" s="120">
        <v>4.9000000000000004</v>
      </c>
      <c r="F98" s="120">
        <v>5</v>
      </c>
      <c r="G98" s="120">
        <v>5</v>
      </c>
      <c r="H98" s="120">
        <v>5.0999999999999996</v>
      </c>
      <c r="I98" s="120">
        <v>5.0999999999999996</v>
      </c>
      <c r="J98" s="120">
        <v>5.0999999999999996</v>
      </c>
      <c r="K98" s="120">
        <v>5.0999999999999996</v>
      </c>
      <c r="L98" s="120">
        <v>5.3</v>
      </c>
      <c r="M98" s="120">
        <v>5.2</v>
      </c>
      <c r="N98" s="120">
        <v>5.2</v>
      </c>
      <c r="O98" s="121">
        <f t="shared" si="20"/>
        <v>5.0833333333333339</v>
      </c>
      <c r="P98" s="122">
        <f t="shared" si="21"/>
        <v>4.9000000000000004</v>
      </c>
      <c r="Q98" s="122">
        <f t="shared" si="22"/>
        <v>5.3</v>
      </c>
      <c r="R98" s="122">
        <f t="shared" si="23"/>
        <v>0.39999999999999947</v>
      </c>
      <c r="S98" s="118">
        <f t="shared" si="24"/>
        <v>7</v>
      </c>
    </row>
    <row r="100" spans="1:19" ht="16">
      <c r="A100" s="119" t="s">
        <v>1187</v>
      </c>
    </row>
    <row r="101" spans="1:19" ht="45.75" customHeight="1">
      <c r="A101" s="26" t="s">
        <v>1147</v>
      </c>
      <c r="B101" s="26" t="s">
        <v>1148</v>
      </c>
      <c r="C101" s="30" t="s">
        <v>1149</v>
      </c>
      <c r="D101" s="30" t="s">
        <v>1150</v>
      </c>
      <c r="E101" s="30" t="s">
        <v>1151</v>
      </c>
      <c r="F101" s="30" t="s">
        <v>1152</v>
      </c>
      <c r="G101" s="30" t="s">
        <v>1153</v>
      </c>
      <c r="H101" s="30" t="s">
        <v>1154</v>
      </c>
      <c r="I101" s="30" t="s">
        <v>1155</v>
      </c>
      <c r="J101" s="30" t="s">
        <v>1156</v>
      </c>
      <c r="K101" s="30" t="s">
        <v>1157</v>
      </c>
      <c r="L101" s="30" t="s">
        <v>1158</v>
      </c>
      <c r="M101" s="30" t="s">
        <v>1159</v>
      </c>
      <c r="N101" s="30" t="s">
        <v>1160</v>
      </c>
      <c r="O101" s="26" t="s">
        <v>1161</v>
      </c>
      <c r="P101" s="26" t="s">
        <v>1162</v>
      </c>
      <c r="Q101" s="26" t="s">
        <v>1163</v>
      </c>
      <c r="R101" s="26" t="s">
        <v>1164</v>
      </c>
      <c r="S101" s="30" t="s">
        <v>1165</v>
      </c>
    </row>
    <row r="102" spans="1:19">
      <c r="A102" s="23" t="s">
        <v>673</v>
      </c>
      <c r="B102" s="115" t="s">
        <v>1166</v>
      </c>
      <c r="C102" s="112">
        <v>3.54</v>
      </c>
      <c r="D102" s="112">
        <v>3.56</v>
      </c>
      <c r="E102" s="112">
        <v>3.55</v>
      </c>
      <c r="F102" s="112">
        <v>3.59</v>
      </c>
      <c r="G102" s="112">
        <v>3.58</v>
      </c>
      <c r="H102" s="112">
        <v>3.58</v>
      </c>
      <c r="I102" s="112">
        <v>3.59</v>
      </c>
      <c r="J102" s="112">
        <v>3.63</v>
      </c>
      <c r="K102" s="112">
        <v>3.6</v>
      </c>
      <c r="L102" s="112">
        <v>3.55</v>
      </c>
      <c r="M102" s="112">
        <v>3.47</v>
      </c>
      <c r="N102" s="112">
        <v>3.47</v>
      </c>
      <c r="O102" s="123">
        <f t="shared" ref="O102:O117" si="25">AVERAGE(C102:N102)</f>
        <v>3.5591666666666661</v>
      </c>
      <c r="P102" s="124">
        <f t="shared" ref="P102:P117" si="26">MIN(C102:N102)</f>
        <v>3.47</v>
      </c>
      <c r="Q102" s="124">
        <f t="shared" ref="Q102:Q117" si="27">MAX(C102:N102)</f>
        <v>3.63</v>
      </c>
      <c r="R102" s="124">
        <f t="shared" ref="R102:R117" si="28">Q102-P102</f>
        <v>0.1599999999999997</v>
      </c>
      <c r="S102" s="118">
        <f t="shared" ref="S102:S117" si="29">RANK(O102,$O$102:$O$117)</f>
        <v>15</v>
      </c>
    </row>
    <row r="103" spans="1:19">
      <c r="A103" s="23" t="s">
        <v>676</v>
      </c>
      <c r="B103" s="115" t="s">
        <v>1167</v>
      </c>
      <c r="C103" s="112">
        <v>3.65</v>
      </c>
      <c r="D103" s="112">
        <v>3.68</v>
      </c>
      <c r="E103" s="112">
        <v>3.67</v>
      </c>
      <c r="F103" s="112">
        <v>3.76</v>
      </c>
      <c r="G103" s="112">
        <v>3.76</v>
      </c>
      <c r="H103" s="112">
        <v>3.76</v>
      </c>
      <c r="I103" s="112">
        <v>3.75</v>
      </c>
      <c r="J103" s="112">
        <v>3.73</v>
      </c>
      <c r="K103" s="112">
        <v>3.74</v>
      </c>
      <c r="L103" s="112">
        <v>3.66</v>
      </c>
      <c r="M103" s="112">
        <v>3.6</v>
      </c>
      <c r="N103" s="112">
        <v>3.62</v>
      </c>
      <c r="O103" s="123">
        <f t="shared" si="25"/>
        <v>3.6983333333333328</v>
      </c>
      <c r="P103" s="124">
        <f t="shared" si="26"/>
        <v>3.6</v>
      </c>
      <c r="Q103" s="124">
        <f t="shared" si="27"/>
        <v>3.76</v>
      </c>
      <c r="R103" s="124">
        <f t="shared" si="28"/>
        <v>0.1599999999999997</v>
      </c>
      <c r="S103" s="118">
        <f t="shared" si="29"/>
        <v>13</v>
      </c>
    </row>
    <row r="104" spans="1:19">
      <c r="A104" s="23" t="s">
        <v>1168</v>
      </c>
      <c r="B104" s="115" t="s">
        <v>1169</v>
      </c>
      <c r="C104" s="112">
        <v>3.82</v>
      </c>
      <c r="D104" s="112">
        <v>3.78</v>
      </c>
      <c r="E104" s="112">
        <v>3.86</v>
      </c>
      <c r="F104" s="112">
        <v>3.97</v>
      </c>
      <c r="G104" s="112">
        <v>4.09</v>
      </c>
      <c r="H104" s="112">
        <v>4.0999999999999996</v>
      </c>
      <c r="I104" s="112">
        <v>4.0999999999999996</v>
      </c>
      <c r="J104" s="112">
        <v>4.08</v>
      </c>
      <c r="K104" s="112">
        <v>4.1399999999999997</v>
      </c>
      <c r="L104" s="112">
        <v>4.08</v>
      </c>
      <c r="M104" s="112">
        <v>3.97</v>
      </c>
      <c r="N104" s="112">
        <v>3.95</v>
      </c>
      <c r="O104" s="123">
        <f t="shared" si="25"/>
        <v>3.9949999999999997</v>
      </c>
      <c r="P104" s="124">
        <f t="shared" si="26"/>
        <v>3.78</v>
      </c>
      <c r="Q104" s="124">
        <f t="shared" si="27"/>
        <v>4.1399999999999997</v>
      </c>
      <c r="R104" s="124">
        <f t="shared" si="28"/>
        <v>0.35999999999999988</v>
      </c>
      <c r="S104" s="118">
        <f t="shared" si="29"/>
        <v>9</v>
      </c>
    </row>
    <row r="105" spans="1:19">
      <c r="A105" s="23" t="s">
        <v>662</v>
      </c>
      <c r="B105" s="115" t="s">
        <v>1170</v>
      </c>
      <c r="C105" s="112">
        <v>5.08</v>
      </c>
      <c r="D105" s="112">
        <v>5.07</v>
      </c>
      <c r="E105" s="112">
        <v>5</v>
      </c>
      <c r="F105" s="112">
        <v>5.0199999999999996</v>
      </c>
      <c r="G105" s="112">
        <v>5.1100000000000003</v>
      </c>
      <c r="H105" s="112">
        <v>5.08</v>
      </c>
      <c r="I105" s="112">
        <v>5.05</v>
      </c>
      <c r="J105" s="112">
        <v>5.0999999999999996</v>
      </c>
      <c r="K105" s="112">
        <v>5.16</v>
      </c>
      <c r="L105" s="112">
        <v>5.17</v>
      </c>
      <c r="M105" s="112">
        <v>5.14</v>
      </c>
      <c r="N105" s="112">
        <v>5.08</v>
      </c>
      <c r="O105" s="123">
        <f t="shared" si="25"/>
        <v>5.0883333333333338</v>
      </c>
      <c r="P105" s="124">
        <f t="shared" si="26"/>
        <v>5</v>
      </c>
      <c r="Q105" s="124">
        <f t="shared" si="27"/>
        <v>5.17</v>
      </c>
      <c r="R105" s="124">
        <f t="shared" si="28"/>
        <v>0.16999999999999993</v>
      </c>
      <c r="S105" s="118">
        <f t="shared" si="29"/>
        <v>1</v>
      </c>
    </row>
    <row r="106" spans="1:19">
      <c r="A106" s="23" t="s">
        <v>680</v>
      </c>
      <c r="B106" s="115" t="s">
        <v>1171</v>
      </c>
      <c r="C106" s="112">
        <v>4.78</v>
      </c>
      <c r="D106" s="112">
        <v>4.8899999999999997</v>
      </c>
      <c r="E106" s="112">
        <v>4.8600000000000003</v>
      </c>
      <c r="F106" s="112">
        <v>4.83</v>
      </c>
      <c r="G106" s="112">
        <v>4.83</v>
      </c>
      <c r="H106" s="112">
        <v>4.83</v>
      </c>
      <c r="I106" s="112">
        <v>4.87</v>
      </c>
      <c r="J106" s="112">
        <v>4.8899999999999997</v>
      </c>
      <c r="K106" s="112">
        <v>4.88</v>
      </c>
      <c r="L106" s="112">
        <v>4.9000000000000004</v>
      </c>
      <c r="M106" s="112">
        <v>4.8499999999999996</v>
      </c>
      <c r="N106" s="112">
        <v>4.91</v>
      </c>
      <c r="O106" s="123">
        <f t="shared" si="25"/>
        <v>4.8599999999999994</v>
      </c>
      <c r="P106" s="124">
        <f t="shared" si="26"/>
        <v>4.78</v>
      </c>
      <c r="Q106" s="124">
        <f t="shared" si="27"/>
        <v>4.91</v>
      </c>
      <c r="R106" s="124">
        <f t="shared" si="28"/>
        <v>0.12999999999999989</v>
      </c>
      <c r="S106" s="118">
        <f t="shared" si="29"/>
        <v>2</v>
      </c>
    </row>
    <row r="107" spans="1:19">
      <c r="A107" s="23" t="s">
        <v>1172</v>
      </c>
      <c r="B107" s="115" t="s">
        <v>1066</v>
      </c>
      <c r="C107" s="112">
        <v>4.09</v>
      </c>
      <c r="D107" s="112">
        <v>4.2</v>
      </c>
      <c r="E107" s="112">
        <v>4.28</v>
      </c>
      <c r="F107" s="112">
        <v>4.3499999999999996</v>
      </c>
      <c r="G107" s="112">
        <v>4.26</v>
      </c>
      <c r="H107" s="112">
        <v>4.3</v>
      </c>
      <c r="I107" s="112">
        <v>4.3499999999999996</v>
      </c>
      <c r="J107" s="112">
        <v>4.37</v>
      </c>
      <c r="K107" s="112">
        <v>4.26</v>
      </c>
      <c r="L107" s="112">
        <v>4.34</v>
      </c>
      <c r="M107" s="112">
        <v>4.24</v>
      </c>
      <c r="N107" s="112">
        <v>4.2300000000000004</v>
      </c>
      <c r="O107" s="123">
        <f t="shared" si="25"/>
        <v>4.2725</v>
      </c>
      <c r="P107" s="124">
        <f t="shared" si="26"/>
        <v>4.09</v>
      </c>
      <c r="Q107" s="124">
        <f t="shared" si="27"/>
        <v>4.37</v>
      </c>
      <c r="R107" s="124">
        <f t="shared" si="28"/>
        <v>0.28000000000000025</v>
      </c>
      <c r="S107" s="118">
        <f t="shared" si="29"/>
        <v>6</v>
      </c>
    </row>
    <row r="108" spans="1:19">
      <c r="A108" s="23" t="s">
        <v>659</v>
      </c>
      <c r="B108" s="115" t="s">
        <v>620</v>
      </c>
      <c r="C108" s="112">
        <v>3.87</v>
      </c>
      <c r="D108" s="112">
        <v>3.86</v>
      </c>
      <c r="E108" s="112">
        <v>3.95</v>
      </c>
      <c r="F108" s="112">
        <v>4.0599999999999996</v>
      </c>
      <c r="G108" s="112">
        <v>4.1100000000000003</v>
      </c>
      <c r="H108" s="112">
        <v>4.0999999999999996</v>
      </c>
      <c r="I108" s="112">
        <v>4.07</v>
      </c>
      <c r="J108" s="112">
        <v>4.04</v>
      </c>
      <c r="K108" s="112">
        <v>4.13</v>
      </c>
      <c r="L108" s="112">
        <v>4.01</v>
      </c>
      <c r="M108" s="112">
        <v>3.89</v>
      </c>
      <c r="N108" s="112">
        <v>3.87</v>
      </c>
      <c r="O108" s="123">
        <f t="shared" si="25"/>
        <v>3.9966666666666661</v>
      </c>
      <c r="P108" s="124">
        <f t="shared" si="26"/>
        <v>3.86</v>
      </c>
      <c r="Q108" s="124">
        <f t="shared" si="27"/>
        <v>4.13</v>
      </c>
      <c r="R108" s="124">
        <f t="shared" si="28"/>
        <v>0.27</v>
      </c>
      <c r="S108" s="118">
        <f t="shared" si="29"/>
        <v>8</v>
      </c>
    </row>
    <row r="109" spans="1:19">
      <c r="A109" s="23" t="s">
        <v>1173</v>
      </c>
      <c r="B109" s="115" t="s">
        <v>1174</v>
      </c>
      <c r="C109" s="112">
        <v>2.36</v>
      </c>
      <c r="D109" s="112">
        <v>2.38</v>
      </c>
      <c r="E109" s="112">
        <v>2.41</v>
      </c>
      <c r="F109" s="112">
        <v>2.35</v>
      </c>
      <c r="G109" s="112">
        <v>2.2599999999999998</v>
      </c>
      <c r="H109" s="112">
        <v>2.31</v>
      </c>
      <c r="I109" s="112">
        <v>2.2999999999999998</v>
      </c>
      <c r="J109" s="112">
        <v>2.29</v>
      </c>
      <c r="K109" s="112">
        <v>2.33</v>
      </c>
      <c r="L109" s="112">
        <v>2.2799999999999998</v>
      </c>
      <c r="M109" s="112">
        <v>2.31</v>
      </c>
      <c r="N109" s="112">
        <v>2.2599999999999998</v>
      </c>
      <c r="O109" s="123">
        <f t="shared" si="25"/>
        <v>2.3200000000000003</v>
      </c>
      <c r="P109" s="124">
        <f t="shared" si="26"/>
        <v>2.2599999999999998</v>
      </c>
      <c r="Q109" s="124">
        <f t="shared" si="27"/>
        <v>2.41</v>
      </c>
      <c r="R109" s="124">
        <f t="shared" si="28"/>
        <v>0.15000000000000036</v>
      </c>
      <c r="S109" s="118">
        <f t="shared" si="29"/>
        <v>16</v>
      </c>
    </row>
    <row r="110" spans="1:19">
      <c r="A110" s="23" t="s">
        <v>652</v>
      </c>
      <c r="B110" s="115" t="s">
        <v>743</v>
      </c>
      <c r="C110" s="112">
        <v>4.59</v>
      </c>
      <c r="D110" s="112">
        <v>4.6900000000000004</v>
      </c>
      <c r="E110" s="112">
        <v>4.74</v>
      </c>
      <c r="F110" s="112">
        <v>4.78</v>
      </c>
      <c r="G110" s="112">
        <v>4.82</v>
      </c>
      <c r="H110" s="112">
        <v>4.7699999999999996</v>
      </c>
      <c r="I110" s="112">
        <v>4.76</v>
      </c>
      <c r="J110" s="112">
        <v>4.7699999999999996</v>
      </c>
      <c r="K110" s="112">
        <v>4.9000000000000004</v>
      </c>
      <c r="L110" s="112">
        <v>4.9000000000000004</v>
      </c>
      <c r="M110" s="112">
        <v>4.79</v>
      </c>
      <c r="N110" s="112">
        <v>4.8</v>
      </c>
      <c r="O110" s="123">
        <f t="shared" si="25"/>
        <v>4.7758333333333329</v>
      </c>
      <c r="P110" s="124">
        <f t="shared" si="26"/>
        <v>4.59</v>
      </c>
      <c r="Q110" s="124">
        <f t="shared" si="27"/>
        <v>4.9000000000000004</v>
      </c>
      <c r="R110" s="124">
        <f t="shared" si="28"/>
        <v>0.3100000000000005</v>
      </c>
      <c r="S110" s="118">
        <f t="shared" si="29"/>
        <v>3</v>
      </c>
    </row>
    <row r="111" spans="1:19">
      <c r="A111" s="23" t="s">
        <v>1175</v>
      </c>
      <c r="B111" s="115" t="s">
        <v>1176</v>
      </c>
      <c r="C111" s="112">
        <v>3.84</v>
      </c>
      <c r="D111" s="112">
        <v>3.85</v>
      </c>
      <c r="E111" s="112">
        <v>3.89</v>
      </c>
      <c r="F111" s="112">
        <v>3.99</v>
      </c>
      <c r="G111" s="112">
        <v>3.99</v>
      </c>
      <c r="H111" s="112">
        <v>3.94</v>
      </c>
      <c r="I111" s="112">
        <v>3.96</v>
      </c>
      <c r="J111" s="112">
        <v>4.01</v>
      </c>
      <c r="K111" s="112">
        <v>4.0199999999999996</v>
      </c>
      <c r="L111" s="112">
        <v>3.95</v>
      </c>
      <c r="M111" s="112">
        <v>3.9</v>
      </c>
      <c r="N111" s="112">
        <v>3.97</v>
      </c>
      <c r="O111" s="123">
        <f t="shared" si="25"/>
        <v>3.9425000000000008</v>
      </c>
      <c r="P111" s="124">
        <f t="shared" si="26"/>
        <v>3.84</v>
      </c>
      <c r="Q111" s="124">
        <f t="shared" si="27"/>
        <v>4.0199999999999996</v>
      </c>
      <c r="R111" s="124">
        <f t="shared" si="28"/>
        <v>0.17999999999999972</v>
      </c>
      <c r="S111" s="118">
        <f t="shared" si="29"/>
        <v>10</v>
      </c>
    </row>
    <row r="112" spans="1:19">
      <c r="A112" s="23" t="s">
        <v>685</v>
      </c>
      <c r="B112" s="115" t="s">
        <v>1177</v>
      </c>
      <c r="C112" s="112">
        <v>3.97</v>
      </c>
      <c r="D112" s="112">
        <v>3.97</v>
      </c>
      <c r="E112" s="112">
        <v>4.0199999999999996</v>
      </c>
      <c r="F112" s="112">
        <v>4.09</v>
      </c>
      <c r="G112" s="112">
        <v>4.0599999999999996</v>
      </c>
      <c r="H112" s="112">
        <v>4.08</v>
      </c>
      <c r="I112" s="112">
        <v>3.99</v>
      </c>
      <c r="J112" s="112">
        <v>3.99</v>
      </c>
      <c r="K112" s="112">
        <v>4.04</v>
      </c>
      <c r="L112" s="112">
        <v>4.0199999999999996</v>
      </c>
      <c r="M112" s="112">
        <v>3.95</v>
      </c>
      <c r="N112" s="112">
        <v>4</v>
      </c>
      <c r="O112" s="123">
        <f t="shared" si="25"/>
        <v>4.0150000000000006</v>
      </c>
      <c r="P112" s="124">
        <f t="shared" si="26"/>
        <v>3.95</v>
      </c>
      <c r="Q112" s="124">
        <f t="shared" si="27"/>
        <v>4.09</v>
      </c>
      <c r="R112" s="124">
        <f t="shared" si="28"/>
        <v>0.13999999999999968</v>
      </c>
      <c r="S112" s="118">
        <f t="shared" si="29"/>
        <v>7</v>
      </c>
    </row>
    <row r="113" spans="1:19">
      <c r="A113" s="23" t="s">
        <v>678</v>
      </c>
      <c r="B113" s="115" t="s">
        <v>774</v>
      </c>
      <c r="C113" s="112">
        <v>3.58</v>
      </c>
      <c r="D113" s="112">
        <v>3.61</v>
      </c>
      <c r="E113" s="112">
        <v>3.67</v>
      </c>
      <c r="F113" s="112">
        <v>3.73</v>
      </c>
      <c r="G113" s="112">
        <v>3.72</v>
      </c>
      <c r="H113" s="112">
        <v>3.73</v>
      </c>
      <c r="I113" s="112">
        <v>3.7</v>
      </c>
      <c r="J113" s="112">
        <v>3.71</v>
      </c>
      <c r="K113" s="112">
        <v>3.72</v>
      </c>
      <c r="L113" s="112">
        <v>3.68</v>
      </c>
      <c r="M113" s="112">
        <v>3.62</v>
      </c>
      <c r="N113" s="112">
        <v>3.64</v>
      </c>
      <c r="O113" s="123">
        <f t="shared" si="25"/>
        <v>3.6758333333333333</v>
      </c>
      <c r="P113" s="124">
        <f t="shared" si="26"/>
        <v>3.58</v>
      </c>
      <c r="Q113" s="124">
        <f t="shared" si="27"/>
        <v>3.73</v>
      </c>
      <c r="R113" s="124">
        <f t="shared" si="28"/>
        <v>0.14999999999999991</v>
      </c>
      <c r="S113" s="118">
        <f t="shared" si="29"/>
        <v>14</v>
      </c>
    </row>
    <row r="114" spans="1:19">
      <c r="A114" s="23" t="s">
        <v>1178</v>
      </c>
      <c r="B114" s="115" t="s">
        <v>798</v>
      </c>
      <c r="C114" s="112">
        <v>3.79</v>
      </c>
      <c r="D114" s="112">
        <v>3.79</v>
      </c>
      <c r="E114" s="112">
        <v>3.81</v>
      </c>
      <c r="F114" s="112">
        <v>3.84</v>
      </c>
      <c r="G114" s="112">
        <v>3.79</v>
      </c>
      <c r="H114" s="112">
        <v>3.77</v>
      </c>
      <c r="I114" s="112">
        <v>3.85</v>
      </c>
      <c r="J114" s="112">
        <v>3.85</v>
      </c>
      <c r="K114" s="112">
        <v>3.86</v>
      </c>
      <c r="L114" s="112">
        <v>3.83</v>
      </c>
      <c r="M114" s="112">
        <v>3.74</v>
      </c>
      <c r="N114" s="112">
        <v>3.78</v>
      </c>
      <c r="O114" s="123">
        <f t="shared" si="25"/>
        <v>3.8083333333333336</v>
      </c>
      <c r="P114" s="124">
        <f t="shared" si="26"/>
        <v>3.74</v>
      </c>
      <c r="Q114" s="124">
        <f t="shared" si="27"/>
        <v>3.86</v>
      </c>
      <c r="R114" s="124">
        <f t="shared" si="28"/>
        <v>0.11999999999999966</v>
      </c>
      <c r="S114" s="118">
        <f t="shared" si="29"/>
        <v>12</v>
      </c>
    </row>
    <row r="115" spans="1:19">
      <c r="A115" s="23" t="s">
        <v>668</v>
      </c>
      <c r="B115" s="115" t="s">
        <v>740</v>
      </c>
      <c r="C115" s="112">
        <v>4.24</v>
      </c>
      <c r="D115" s="112">
        <v>4.21</v>
      </c>
      <c r="E115" s="112">
        <v>4.2300000000000004</v>
      </c>
      <c r="F115" s="112">
        <v>4.2699999999999996</v>
      </c>
      <c r="G115" s="112">
        <v>4.32</v>
      </c>
      <c r="H115" s="112">
        <v>4.3</v>
      </c>
      <c r="I115" s="112">
        <v>4.3099999999999996</v>
      </c>
      <c r="J115" s="112">
        <v>4.3499999999999996</v>
      </c>
      <c r="K115" s="112">
        <v>4.34</v>
      </c>
      <c r="L115" s="112">
        <v>4.3499999999999996</v>
      </c>
      <c r="M115" s="112">
        <v>4.28</v>
      </c>
      <c r="N115" s="112">
        <v>4.3600000000000003</v>
      </c>
      <c r="O115" s="123">
        <f t="shared" si="25"/>
        <v>4.296666666666666</v>
      </c>
      <c r="P115" s="124">
        <f t="shared" si="26"/>
        <v>4.21</v>
      </c>
      <c r="Q115" s="124">
        <f t="shared" si="27"/>
        <v>4.3600000000000003</v>
      </c>
      <c r="R115" s="124">
        <f t="shared" si="28"/>
        <v>0.15000000000000036</v>
      </c>
      <c r="S115" s="118">
        <f t="shared" si="29"/>
        <v>5</v>
      </c>
    </row>
    <row r="116" spans="1:19">
      <c r="A116" s="23" t="s">
        <v>1179</v>
      </c>
      <c r="B116" s="115" t="s">
        <v>1180</v>
      </c>
      <c r="C116" s="112">
        <v>3.78</v>
      </c>
      <c r="D116" s="112">
        <v>3.79</v>
      </c>
      <c r="E116" s="112">
        <v>3.72</v>
      </c>
      <c r="F116" s="112">
        <v>3.8</v>
      </c>
      <c r="G116" s="112">
        <v>3.8</v>
      </c>
      <c r="H116" s="112">
        <v>3.81</v>
      </c>
      <c r="I116" s="112">
        <v>3.92</v>
      </c>
      <c r="J116" s="112">
        <v>3.94</v>
      </c>
      <c r="K116" s="112">
        <v>3.93</v>
      </c>
      <c r="L116" s="112">
        <v>3.9</v>
      </c>
      <c r="M116" s="112">
        <v>3.84</v>
      </c>
      <c r="N116" s="112">
        <v>3.86</v>
      </c>
      <c r="O116" s="123">
        <f t="shared" si="25"/>
        <v>3.8408333333333338</v>
      </c>
      <c r="P116" s="124">
        <f t="shared" si="26"/>
        <v>3.72</v>
      </c>
      <c r="Q116" s="124">
        <f t="shared" si="27"/>
        <v>3.94</v>
      </c>
      <c r="R116" s="124">
        <f t="shared" si="28"/>
        <v>0.21999999999999975</v>
      </c>
      <c r="S116" s="118">
        <f t="shared" si="29"/>
        <v>11</v>
      </c>
    </row>
    <row r="117" spans="1:19">
      <c r="A117" s="23" t="s">
        <v>1181</v>
      </c>
      <c r="B117" s="115" t="s">
        <v>1182</v>
      </c>
      <c r="C117" s="112">
        <v>4.3600000000000003</v>
      </c>
      <c r="D117" s="112">
        <v>4.3600000000000003</v>
      </c>
      <c r="E117" s="112">
        <v>4.38</v>
      </c>
      <c r="F117" s="112">
        <v>4.42</v>
      </c>
      <c r="G117" s="112">
        <v>4.37</v>
      </c>
      <c r="H117" s="112">
        <v>4.3499999999999996</v>
      </c>
      <c r="I117" s="112">
        <v>4.3099999999999996</v>
      </c>
      <c r="J117" s="112">
        <v>4.22</v>
      </c>
      <c r="K117" s="112">
        <v>4.26</v>
      </c>
      <c r="L117" s="112">
        <v>4.24</v>
      </c>
      <c r="M117" s="112">
        <v>4.2699999999999996</v>
      </c>
      <c r="N117" s="112">
        <v>4.33</v>
      </c>
      <c r="O117" s="123">
        <f t="shared" si="25"/>
        <v>4.3225000000000007</v>
      </c>
      <c r="P117" s="124">
        <f t="shared" si="26"/>
        <v>4.22</v>
      </c>
      <c r="Q117" s="124">
        <f t="shared" si="27"/>
        <v>4.42</v>
      </c>
      <c r="R117" s="124">
        <f t="shared" si="28"/>
        <v>0.20000000000000018</v>
      </c>
      <c r="S117" s="118">
        <f t="shared" si="29"/>
        <v>4</v>
      </c>
    </row>
    <row r="119" spans="1:19">
      <c r="A119" s="44" t="s">
        <v>1188</v>
      </c>
    </row>
    <row r="120" spans="1:19">
      <c r="A120" s="29" t="s">
        <v>1189</v>
      </c>
    </row>
    <row r="121" spans="1:19">
      <c r="A121" s="29" t="s">
        <v>1190</v>
      </c>
    </row>
    <row r="122" spans="1:19">
      <c r="A122" s="44" t="s">
        <v>1191</v>
      </c>
    </row>
    <row r="123" spans="1:19">
      <c r="A123" s="29" t="s">
        <v>1192</v>
      </c>
    </row>
  </sheetData>
  <phoneticPr fontId="33" type="noConversion"/>
  <conditionalFormatting sqref="C7:N22">
    <cfRule type="colorScale" priority="2">
      <colorScale>
        <cfvo type="min"/>
        <cfvo type="max"/>
        <color rgb="FFF2F2F2"/>
        <color rgb="FF8EA9DB"/>
      </colorScale>
    </cfRule>
  </conditionalFormatting>
  <conditionalFormatting sqref="C26:N41">
    <cfRule type="colorScale" priority="4">
      <colorScale>
        <cfvo type="min"/>
        <cfvo type="max"/>
        <color rgb="FFF2F2F2"/>
        <color rgb="FF8EA9DB"/>
      </colorScale>
    </cfRule>
  </conditionalFormatting>
  <conditionalFormatting sqref="C45:N60">
    <cfRule type="colorScale" priority="6">
      <colorScale>
        <cfvo type="min"/>
        <cfvo type="max"/>
        <color rgb="FFF2F2F2"/>
        <color rgb="FF8EA9DB"/>
      </colorScale>
    </cfRule>
  </conditionalFormatting>
  <conditionalFormatting sqref="C64:N79">
    <cfRule type="colorScale" priority="8">
      <colorScale>
        <cfvo type="min"/>
        <cfvo type="max"/>
        <color rgb="FFF2F2F2"/>
        <color rgb="FF8EA9DB"/>
      </colorScale>
    </cfRule>
  </conditionalFormatting>
  <conditionalFormatting sqref="C83:N98">
    <cfRule type="colorScale" priority="10">
      <colorScale>
        <cfvo type="min"/>
        <cfvo type="max"/>
        <color rgb="FFF2F2F2"/>
        <color rgb="FF8EA9DB"/>
      </colorScale>
    </cfRule>
  </conditionalFormatting>
  <conditionalFormatting sqref="C102:N117">
    <cfRule type="colorScale" priority="12">
      <colorScale>
        <cfvo type="min"/>
        <cfvo type="max"/>
        <color rgb="FFF2F2F2"/>
        <color rgb="FF8EA9DB"/>
      </colorScale>
    </cfRule>
  </conditionalFormatting>
  <conditionalFormatting sqref="O7:O22">
    <cfRule type="colorScale" priority="3">
      <colorScale>
        <cfvo type="min"/>
        <cfvo type="max"/>
        <color rgb="FFF2F2F2"/>
        <color rgb="FF8EA9DB"/>
      </colorScale>
    </cfRule>
  </conditionalFormatting>
  <conditionalFormatting sqref="O26:O41">
    <cfRule type="colorScale" priority="5">
      <colorScale>
        <cfvo type="min"/>
        <cfvo type="max"/>
        <color rgb="FFF2F2F2"/>
        <color rgb="FF8EA9DB"/>
      </colorScale>
    </cfRule>
  </conditionalFormatting>
  <conditionalFormatting sqref="O45:O60">
    <cfRule type="colorScale" priority="7">
      <colorScale>
        <cfvo type="min"/>
        <cfvo type="max"/>
        <color rgb="FFF2F2F2"/>
        <color rgb="FF8EA9DB"/>
      </colorScale>
    </cfRule>
  </conditionalFormatting>
  <conditionalFormatting sqref="O64:O79">
    <cfRule type="colorScale" priority="9">
      <colorScale>
        <cfvo type="min"/>
        <cfvo type="max"/>
        <color rgb="FFF2F2F2"/>
        <color rgb="FF8EA9DB"/>
      </colorScale>
    </cfRule>
  </conditionalFormatting>
  <conditionalFormatting sqref="O83:O98">
    <cfRule type="colorScale" priority="11">
      <colorScale>
        <cfvo type="min"/>
        <cfvo type="max"/>
        <color rgb="FFF2F2F2"/>
        <color rgb="FF8EA9DB"/>
      </colorScale>
    </cfRule>
  </conditionalFormatting>
  <conditionalFormatting sqref="O102:O117">
    <cfRule type="colorScale" priority="13">
      <colorScale>
        <cfvo type="min"/>
        <cfvo type="max"/>
        <color rgb="FFF2F2F2"/>
        <color rgb="FF8EA9D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R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5"/>
  <cols>
    <col min="1" max="2" width="14" customWidth="1"/>
    <col min="3" max="3" width="10" customWidth="1"/>
    <col min="4" max="4" width="6" customWidth="1"/>
    <col min="5" max="5" width="10" customWidth="1"/>
    <col min="6" max="6" width="6" customWidth="1"/>
    <col min="7" max="7" width="10" customWidth="1"/>
    <col min="8" max="8" width="6" customWidth="1"/>
    <col min="9" max="9" width="11" customWidth="1"/>
    <col min="10" max="10" width="6" customWidth="1"/>
    <col min="11" max="11" width="11" customWidth="1"/>
    <col min="12" max="12" width="6" customWidth="1"/>
    <col min="13" max="13" width="10" customWidth="1"/>
    <col min="14" max="14" width="6" customWidth="1"/>
    <col min="15" max="15" width="52" customWidth="1"/>
    <col min="16" max="16" width="44" customWidth="1"/>
  </cols>
  <sheetData>
    <row r="1" spans="1:18" ht="17">
      <c r="A1" s="69" t="s">
        <v>1193</v>
      </c>
      <c r="R1" s="110" t="s">
        <v>1194</v>
      </c>
    </row>
    <row r="2" spans="1:18">
      <c r="A2" s="70" t="s">
        <v>1195</v>
      </c>
    </row>
    <row r="4" spans="1:18" ht="36" customHeight="1">
      <c r="A4" s="26" t="s">
        <v>144</v>
      </c>
      <c r="B4" s="26" t="s">
        <v>1148</v>
      </c>
      <c r="C4" s="30" t="s">
        <v>606</v>
      </c>
      <c r="D4" s="26" t="s">
        <v>163</v>
      </c>
      <c r="E4" s="30" t="s">
        <v>607</v>
      </c>
      <c r="F4" s="26" t="s">
        <v>163</v>
      </c>
      <c r="G4" s="30" t="s">
        <v>1196</v>
      </c>
      <c r="H4" s="26" t="s">
        <v>163</v>
      </c>
      <c r="I4" s="26" t="s">
        <v>646</v>
      </c>
      <c r="J4" s="26" t="s">
        <v>163</v>
      </c>
      <c r="K4" s="26" t="s">
        <v>647</v>
      </c>
      <c r="L4" s="26" t="s">
        <v>163</v>
      </c>
      <c r="M4" s="26" t="s">
        <v>648</v>
      </c>
      <c r="N4" s="26" t="s">
        <v>163</v>
      </c>
      <c r="O4" s="26" t="s">
        <v>1197</v>
      </c>
      <c r="P4" s="26" t="s">
        <v>1198</v>
      </c>
    </row>
    <row r="5" spans="1:18">
      <c r="A5" s="23" t="s">
        <v>673</v>
      </c>
      <c r="B5" s="115" t="s">
        <v>1166</v>
      </c>
      <c r="C5" s="117">
        <f>'4-2 장르 차트 판독값(참조)'!O7</f>
        <v>0.18353333333333333</v>
      </c>
      <c r="D5" s="118">
        <f>'4-2 장르 차트 판독값(참조)'!S7</f>
        <v>10</v>
      </c>
      <c r="E5" s="117">
        <f>'4-2 장르 차트 판독값(참조)'!O26</f>
        <v>2.9124999999999998E-2</v>
      </c>
      <c r="F5" s="118">
        <f>'4-2 장르 차트 판독값(참조)'!S26</f>
        <v>12</v>
      </c>
      <c r="G5" s="117">
        <f>'4-2 장르 차트 판독값(참조)'!O45</f>
        <v>6.3333333333333332E-3</v>
      </c>
      <c r="H5" s="118">
        <f>'4-2 장르 차트 판독값(참조)'!S45</f>
        <v>12</v>
      </c>
      <c r="I5" s="122">
        <f>'4-2 장르 차트 판독값(참조)'!O64</f>
        <v>14.083333333333334</v>
      </c>
      <c r="J5" s="118">
        <f>'4-2 장르 차트 판독값(참조)'!S64</f>
        <v>13</v>
      </c>
      <c r="K5" s="122">
        <f>'4-2 장르 차트 판독값(참조)'!O83</f>
        <v>3.8583333333333329</v>
      </c>
      <c r="L5" s="118">
        <f>'4-2 장르 차트 판독값(참조)'!S83</f>
        <v>12</v>
      </c>
      <c r="M5" s="124">
        <f>'4-2 장르 차트 판독값(참조)'!O102</f>
        <v>3.5591666666666661</v>
      </c>
      <c r="N5" s="118">
        <f>'4-2 장르 차트 판독값(참조)'!S102</f>
        <v>15</v>
      </c>
      <c r="O5" s="115" t="str">
        <f t="shared" ref="O5:O20" si="0">"다음날 "&amp;TEXT(C5*100,"0.0")&amp;"명 → 1주 뒤 "&amp;TEXT(E5*100,"0.0")&amp;"명 → 4주 뒤 "&amp;TEXT(G5*100,"0.0")&amp;"명이 다시 옴"</f>
        <v>다음날 18.4명 → 1주 뒤 2.9명 → 4주 뒤 0.6명이 다시 옴</v>
      </c>
      <c r="P5" s="115" t="str">
        <f t="shared" ref="P5:P20" si="1">"하루 "&amp;TEXT(M5,"0.0")&amp;"번 켜고, 한 번에 "&amp;TEXT(K5,"0.0")&amp;"분, 하루 합계 약 "&amp;TEXT(I5,"0")&amp;"분"</f>
        <v>하루 3.6번 켜고, 한 번에 3.9분, 하루 합계 약 14분</v>
      </c>
    </row>
    <row r="6" spans="1:18">
      <c r="A6" s="23" t="s">
        <v>676</v>
      </c>
      <c r="B6" s="115" t="s">
        <v>1167</v>
      </c>
      <c r="C6" s="117">
        <f>'4-2 장르 차트 판독값(참조)'!O8</f>
        <v>0.16051666666666667</v>
      </c>
      <c r="D6" s="118">
        <f>'4-2 장르 차트 판독값(참조)'!S8</f>
        <v>14</v>
      </c>
      <c r="E6" s="117">
        <f>'4-2 장르 차트 판독값(참조)'!O27</f>
        <v>2.2816666666666662E-2</v>
      </c>
      <c r="F6" s="118">
        <f>'4-2 장르 차트 판독값(참조)'!S27</f>
        <v>14</v>
      </c>
      <c r="G6" s="117">
        <f>'4-2 장르 차트 판독값(참조)'!O46</f>
        <v>4.816666666666667E-3</v>
      </c>
      <c r="H6" s="118">
        <f>'4-2 장르 차트 판독값(참조)'!S46</f>
        <v>14</v>
      </c>
      <c r="I6" s="122">
        <f>'4-2 장르 차트 판독값(참조)'!O65</f>
        <v>16.400000000000002</v>
      </c>
      <c r="J6" s="118">
        <f>'4-2 장르 차트 판독값(참조)'!S65</f>
        <v>8</v>
      </c>
      <c r="K6" s="122">
        <f>'4-2 장르 차트 판독값(참조)'!O84</f>
        <v>4.6083333333333334</v>
      </c>
      <c r="L6" s="118">
        <f>'4-2 장르 차트 판독값(참조)'!S84</f>
        <v>8</v>
      </c>
      <c r="M6" s="124">
        <f>'4-2 장르 차트 판독값(참조)'!O103</f>
        <v>3.6983333333333328</v>
      </c>
      <c r="N6" s="118">
        <f>'4-2 장르 차트 판독값(참조)'!S103</f>
        <v>13</v>
      </c>
      <c r="O6" s="115" t="str">
        <f t="shared" si="0"/>
        <v>다음날 16.1명 → 1주 뒤 2.3명 → 4주 뒤 0.5명이 다시 옴</v>
      </c>
      <c r="P6" s="115" t="str">
        <f t="shared" si="1"/>
        <v>하루 3.7번 켜고, 한 번에 4.6분, 하루 합계 약 16분</v>
      </c>
    </row>
    <row r="7" spans="1:18">
      <c r="A7" s="23" t="s">
        <v>1168</v>
      </c>
      <c r="B7" s="115" t="s">
        <v>1169</v>
      </c>
      <c r="C7" s="117">
        <f>'4-2 장르 차트 판독값(참조)'!O9</f>
        <v>0.22243333333333337</v>
      </c>
      <c r="D7" s="118">
        <f>'4-2 장르 차트 판독값(참조)'!S9</f>
        <v>1</v>
      </c>
      <c r="E7" s="117">
        <f>'4-2 장르 차트 판독값(참조)'!O28</f>
        <v>4.1733333333333338E-2</v>
      </c>
      <c r="F7" s="118">
        <f>'4-2 장르 차트 판독값(참조)'!S28</f>
        <v>6</v>
      </c>
      <c r="G7" s="117">
        <f>'4-2 장르 차트 판독값(참조)'!O47</f>
        <v>9.774999999999999E-3</v>
      </c>
      <c r="H7" s="118">
        <f>'4-2 장르 차트 판독값(참조)'!S47</f>
        <v>6</v>
      </c>
      <c r="I7" s="122">
        <f>'4-2 장르 차트 판독값(참조)'!O66</f>
        <v>12.841666666666669</v>
      </c>
      <c r="J7" s="118">
        <f>'4-2 장르 차트 판독값(참조)'!S66</f>
        <v>16</v>
      </c>
      <c r="K7" s="122">
        <f>'4-2 장르 차트 판독값(참조)'!O85</f>
        <v>3.3166666666666664</v>
      </c>
      <c r="L7" s="118">
        <f>'4-2 장르 차트 판독값(참조)'!S85</f>
        <v>16</v>
      </c>
      <c r="M7" s="124">
        <f>'4-2 장르 차트 판독값(참조)'!O104</f>
        <v>3.9949999999999997</v>
      </c>
      <c r="N7" s="118">
        <f>'4-2 장르 차트 판독값(참조)'!S104</f>
        <v>9</v>
      </c>
      <c r="O7" s="115" t="str">
        <f t="shared" si="0"/>
        <v>다음날 22.2명 → 1주 뒤 4.2명 → 4주 뒤 1.0명이 다시 옴</v>
      </c>
      <c r="P7" s="115" t="str">
        <f t="shared" si="1"/>
        <v>하루 4.0번 켜고, 한 번에 3.3분, 하루 합계 약 13분</v>
      </c>
    </row>
    <row r="8" spans="1:18">
      <c r="A8" s="23" t="s">
        <v>662</v>
      </c>
      <c r="B8" s="115" t="s">
        <v>1170</v>
      </c>
      <c r="C8" s="117">
        <f>'4-2 장르 차트 판독값(참조)'!O10</f>
        <v>0.1909916666666667</v>
      </c>
      <c r="D8" s="118">
        <f>'4-2 장르 차트 판독값(참조)'!S10</f>
        <v>7</v>
      </c>
      <c r="E8" s="117">
        <f>'4-2 장르 차트 판독값(참조)'!O29</f>
        <v>5.8283333333333333E-2</v>
      </c>
      <c r="F8" s="118">
        <f>'4-2 장르 차트 판독값(참조)'!S29</f>
        <v>2</v>
      </c>
      <c r="G8" s="117">
        <f>'4-2 장르 차트 판독값(참조)'!O48</f>
        <v>2.1716666666666665E-2</v>
      </c>
      <c r="H8" s="118">
        <f>'4-2 장르 차트 판독값(참조)'!S48</f>
        <v>2</v>
      </c>
      <c r="I8" s="122">
        <f>'4-2 장르 차트 판독값(참조)'!O67</f>
        <v>41.05833333333333</v>
      </c>
      <c r="J8" s="118">
        <f>'4-2 장르 차트 판독값(참조)'!S67</f>
        <v>2</v>
      </c>
      <c r="K8" s="122">
        <f>'4-2 장르 차트 판독값(참조)'!O86</f>
        <v>7.291666666666667</v>
      </c>
      <c r="L8" s="118">
        <f>'4-2 장르 차트 판독값(참조)'!S86</f>
        <v>4</v>
      </c>
      <c r="M8" s="124">
        <f>'4-2 장르 차트 판독값(참조)'!O105</f>
        <v>5.0883333333333338</v>
      </c>
      <c r="N8" s="118">
        <f>'4-2 장르 차트 판독값(참조)'!S105</f>
        <v>1</v>
      </c>
      <c r="O8" s="115" t="str">
        <f t="shared" si="0"/>
        <v>다음날 19.1명 → 1주 뒤 5.8명 → 4주 뒤 2.2명이 다시 옴</v>
      </c>
      <c r="P8" s="115" t="str">
        <f t="shared" si="1"/>
        <v>하루 5.1번 켜고, 한 번에 7.3분, 하루 합계 약 41분</v>
      </c>
    </row>
    <row r="9" spans="1:18">
      <c r="A9" s="23" t="s">
        <v>680</v>
      </c>
      <c r="B9" s="115" t="s">
        <v>1171</v>
      </c>
      <c r="C9" s="117">
        <f>'4-2 장르 차트 판독값(참조)'!O11</f>
        <v>0.18838333333333332</v>
      </c>
      <c r="D9" s="118">
        <f>'4-2 장르 차트 판독값(참조)'!S11</f>
        <v>8</v>
      </c>
      <c r="E9" s="117">
        <f>'4-2 장르 차트 판독값(참조)'!O30</f>
        <v>6.7199999999999996E-2</v>
      </c>
      <c r="F9" s="118">
        <f>'4-2 장르 차트 판독값(참조)'!S30</f>
        <v>1</v>
      </c>
      <c r="G9" s="117">
        <f>'4-2 장르 차트 판독값(참조)'!O49</f>
        <v>3.0000000000000002E-2</v>
      </c>
      <c r="H9" s="118">
        <f>'4-2 장르 차트 판독값(참조)'!S49</f>
        <v>1</v>
      </c>
      <c r="I9" s="122">
        <f>'4-2 장르 차트 판독값(참조)'!O68</f>
        <v>48.524999999999999</v>
      </c>
      <c r="J9" s="118">
        <f>'4-2 장르 차트 판독값(참조)'!S68</f>
        <v>1</v>
      </c>
      <c r="K9" s="122">
        <f>'4-2 장르 차트 판독값(참조)'!O87</f>
        <v>8.3083333333333353</v>
      </c>
      <c r="L9" s="118">
        <f>'4-2 장르 차트 판독값(참조)'!S87</f>
        <v>2</v>
      </c>
      <c r="M9" s="124">
        <f>'4-2 장르 차트 판독값(참조)'!O106</f>
        <v>4.8599999999999994</v>
      </c>
      <c r="N9" s="118">
        <f>'4-2 장르 차트 판독값(참조)'!S106</f>
        <v>2</v>
      </c>
      <c r="O9" s="115" t="str">
        <f t="shared" si="0"/>
        <v>다음날 18.8명 → 1주 뒤 6.7명 → 4주 뒤 3.0명이 다시 옴</v>
      </c>
      <c r="P9" s="115" t="str">
        <f t="shared" si="1"/>
        <v>하루 4.9번 켜고, 한 번에 8.3분, 하루 합계 약 49분</v>
      </c>
    </row>
    <row r="10" spans="1:18">
      <c r="A10" s="23" t="s">
        <v>1172</v>
      </c>
      <c r="B10" s="115" t="s">
        <v>1066</v>
      </c>
      <c r="C10" s="117">
        <f>'4-2 장르 차트 판독값(참조)'!O12</f>
        <v>0.193825</v>
      </c>
      <c r="D10" s="118">
        <f>'4-2 장르 차트 판독값(참조)'!S12</f>
        <v>5</v>
      </c>
      <c r="E10" s="117">
        <f>'4-2 장르 차트 판독값(참조)'!O31</f>
        <v>5.5050000000000009E-2</v>
      </c>
      <c r="F10" s="118">
        <f>'4-2 장르 차트 판독값(참조)'!S31</f>
        <v>3</v>
      </c>
      <c r="G10" s="117">
        <f>'4-2 장르 차트 판독값(참조)'!O50</f>
        <v>1.9208333333333334E-2</v>
      </c>
      <c r="H10" s="118">
        <f>'4-2 장르 차트 판독값(참조)'!S50</f>
        <v>3</v>
      </c>
      <c r="I10" s="122">
        <f>'4-2 장르 차트 판독값(참조)'!O69</f>
        <v>35.35</v>
      </c>
      <c r="J10" s="118">
        <f>'4-2 장르 차트 판독값(참조)'!S69</f>
        <v>3</v>
      </c>
      <c r="K10" s="122">
        <f>'4-2 장르 차트 판독값(참조)'!O88</f>
        <v>7.3000000000000007</v>
      </c>
      <c r="L10" s="118">
        <f>'4-2 장르 차트 판독값(참조)'!S88</f>
        <v>3</v>
      </c>
      <c r="M10" s="124">
        <f>'4-2 장르 차트 판독값(참조)'!O107</f>
        <v>4.2725</v>
      </c>
      <c r="N10" s="118">
        <f>'4-2 장르 차트 판독값(참조)'!S107</f>
        <v>6</v>
      </c>
      <c r="O10" s="115" t="str">
        <f t="shared" si="0"/>
        <v>다음날 19.4명 → 1주 뒤 5.5명 → 4주 뒤 1.9명이 다시 옴</v>
      </c>
      <c r="P10" s="115" t="str">
        <f t="shared" si="1"/>
        <v>하루 4.3번 켜고, 한 번에 7.3분, 하루 합계 약 35분</v>
      </c>
    </row>
    <row r="11" spans="1:18">
      <c r="A11" s="23" t="s">
        <v>659</v>
      </c>
      <c r="B11" s="115" t="s">
        <v>620</v>
      </c>
      <c r="C11" s="117">
        <f>'4-2 장르 차트 판독값(참조)'!O13</f>
        <v>0.20649999999999999</v>
      </c>
      <c r="D11" s="118">
        <f>'4-2 장르 차트 판독값(참조)'!S13</f>
        <v>2</v>
      </c>
      <c r="E11" s="117">
        <f>'4-2 장르 차트 판독값(참조)'!O32</f>
        <v>3.3183333333333336E-2</v>
      </c>
      <c r="F11" s="118">
        <f>'4-2 장르 차트 판독값(참조)'!S32</f>
        <v>9</v>
      </c>
      <c r="G11" s="117">
        <f>'4-2 장르 차트 판독값(참조)'!O51</f>
        <v>7.0666666666666664E-3</v>
      </c>
      <c r="H11" s="118">
        <f>'4-2 장르 차트 판독값(참조)'!S51</f>
        <v>10</v>
      </c>
      <c r="I11" s="122">
        <f>'4-2 장르 차트 판독값(참조)'!O70</f>
        <v>13.641666666666666</v>
      </c>
      <c r="J11" s="118">
        <f>'4-2 장르 차트 판독값(참조)'!S70</f>
        <v>15</v>
      </c>
      <c r="K11" s="122">
        <f>'4-2 장르 차트 판독값(참조)'!O89</f>
        <v>3.6749999999999994</v>
      </c>
      <c r="L11" s="118">
        <f>'4-2 장르 차트 판독값(참조)'!S89</f>
        <v>14</v>
      </c>
      <c r="M11" s="124">
        <f>'4-2 장르 차트 판독값(참조)'!O108</f>
        <v>3.9966666666666661</v>
      </c>
      <c r="N11" s="118">
        <f>'4-2 장르 차트 판독값(참조)'!S108</f>
        <v>8</v>
      </c>
      <c r="O11" s="115" t="str">
        <f t="shared" si="0"/>
        <v>다음날 20.7명 → 1주 뒤 3.3명 → 4주 뒤 0.7명이 다시 옴</v>
      </c>
      <c r="P11" s="115" t="str">
        <f t="shared" si="1"/>
        <v>하루 4.0번 켜고, 한 번에 3.7분, 하루 합계 약 14분</v>
      </c>
    </row>
    <row r="12" spans="1:18">
      <c r="A12" s="23" t="s">
        <v>1173</v>
      </c>
      <c r="B12" s="115" t="s">
        <v>1174</v>
      </c>
      <c r="C12" s="117">
        <f>'4-2 장르 차트 판독값(참조)'!O14</f>
        <v>0.11460833333333335</v>
      </c>
      <c r="D12" s="118">
        <f>'4-2 장르 차트 판독값(참조)'!S14</f>
        <v>16</v>
      </c>
      <c r="E12" s="117">
        <f>'4-2 장르 차트 판독값(참조)'!O33</f>
        <v>1.6674999999999999E-2</v>
      </c>
      <c r="F12" s="118">
        <f>'4-2 장르 차트 판독값(참조)'!S33</f>
        <v>16</v>
      </c>
      <c r="G12" s="117">
        <f>'4-2 장르 차트 판독값(참조)'!O52</f>
        <v>4.7166666666666668E-3</v>
      </c>
      <c r="H12" s="118">
        <f>'4-2 장르 차트 판독값(참조)'!S52</f>
        <v>15</v>
      </c>
      <c r="I12" s="122">
        <f>'4-2 장르 차트 판독값(참조)'!O71</f>
        <v>24.233333333333334</v>
      </c>
      <c r="J12" s="118">
        <f>'4-2 장르 차트 판독값(참조)'!S71</f>
        <v>5</v>
      </c>
      <c r="K12" s="122">
        <f>'4-2 장르 차트 판독값(참조)'!O90</f>
        <v>9.4333333333333353</v>
      </c>
      <c r="L12" s="118">
        <f>'4-2 장르 차트 판독값(참조)'!S90</f>
        <v>1</v>
      </c>
      <c r="M12" s="124">
        <f>'4-2 장르 차트 판독값(참조)'!O109</f>
        <v>2.3200000000000003</v>
      </c>
      <c r="N12" s="118">
        <f>'4-2 장르 차트 판독값(참조)'!S109</f>
        <v>16</v>
      </c>
      <c r="O12" s="115" t="str">
        <f t="shared" si="0"/>
        <v>다음날 11.5명 → 1주 뒤 1.7명 → 4주 뒤 0.5명이 다시 옴</v>
      </c>
      <c r="P12" s="115" t="str">
        <f t="shared" si="1"/>
        <v>하루 2.3번 켜고, 한 번에 9.4분, 하루 합계 약 24분</v>
      </c>
    </row>
    <row r="13" spans="1:18">
      <c r="A13" s="23" t="s">
        <v>652</v>
      </c>
      <c r="B13" s="115" t="s">
        <v>743</v>
      </c>
      <c r="C13" s="117">
        <f>'4-2 장르 차트 판독값(참조)'!O15</f>
        <v>0.20205000000000006</v>
      </c>
      <c r="D13" s="118">
        <f>'4-2 장르 차트 판독값(참조)'!S15</f>
        <v>3</v>
      </c>
      <c r="E13" s="117">
        <f>'4-2 장르 차트 판독값(참조)'!O34</f>
        <v>4.5358333333333334E-2</v>
      </c>
      <c r="F13" s="118">
        <f>'4-2 장르 차트 판독값(참조)'!S34</f>
        <v>4</v>
      </c>
      <c r="G13" s="117">
        <f>'4-2 장르 차트 판독값(참조)'!O53</f>
        <v>1.1899999999999999E-2</v>
      </c>
      <c r="H13" s="118">
        <f>'4-2 장르 차트 판독값(참조)'!S53</f>
        <v>4</v>
      </c>
      <c r="I13" s="122">
        <f>'4-2 장르 차트 판독값(참조)'!O72</f>
        <v>30.191666666666666</v>
      </c>
      <c r="J13" s="118">
        <f>'4-2 장르 차트 판독값(참조)'!S72</f>
        <v>4</v>
      </c>
      <c r="K13" s="122">
        <f>'4-2 장르 차트 판독값(참조)'!O91</f>
        <v>5.6416666666666666</v>
      </c>
      <c r="L13" s="118">
        <f>'4-2 장르 차트 판독값(참조)'!S91</f>
        <v>5</v>
      </c>
      <c r="M13" s="124">
        <f>'4-2 장르 차트 판독값(참조)'!O110</f>
        <v>4.7758333333333329</v>
      </c>
      <c r="N13" s="118">
        <f>'4-2 장르 차트 판독값(참조)'!S110</f>
        <v>3</v>
      </c>
      <c r="O13" s="115" t="str">
        <f t="shared" si="0"/>
        <v>다음날 20.2명 → 1주 뒤 4.5명 → 4주 뒤 1.2명이 다시 옴</v>
      </c>
      <c r="P13" s="115" t="str">
        <f t="shared" si="1"/>
        <v>하루 4.8번 켜고, 한 번에 5.6분, 하루 합계 약 30분</v>
      </c>
    </row>
    <row r="14" spans="1:18">
      <c r="A14" s="23" t="s">
        <v>1175</v>
      </c>
      <c r="B14" s="115" t="s">
        <v>1176</v>
      </c>
      <c r="C14" s="117">
        <f>'4-2 장르 차트 판독값(참조)'!O16</f>
        <v>0.18099166666666666</v>
      </c>
      <c r="D14" s="118">
        <f>'4-2 장르 차트 판독값(참조)'!S16</f>
        <v>11</v>
      </c>
      <c r="E14" s="117">
        <f>'4-2 장르 차트 판독값(참조)'!O35</f>
        <v>3.0108333333333334E-2</v>
      </c>
      <c r="F14" s="118">
        <f>'4-2 장르 차트 판독값(참조)'!S35</f>
        <v>11</v>
      </c>
      <c r="G14" s="117">
        <f>'4-2 장르 차트 판독값(참조)'!O54</f>
        <v>6.5500000000000003E-3</v>
      </c>
      <c r="H14" s="118">
        <f>'4-2 장르 차트 판독값(참조)'!S54</f>
        <v>11</v>
      </c>
      <c r="I14" s="122">
        <f>'4-2 장르 차트 판독값(참조)'!O73</f>
        <v>14.116666666666667</v>
      </c>
      <c r="J14" s="118">
        <f>'4-2 장르 차트 판독값(참조)'!S73</f>
        <v>12</v>
      </c>
      <c r="K14" s="122">
        <f>'4-2 장르 차트 판독값(참조)'!O92</f>
        <v>3.8166666666666664</v>
      </c>
      <c r="L14" s="118">
        <f>'4-2 장르 차트 판독값(참조)'!S92</f>
        <v>13</v>
      </c>
      <c r="M14" s="124">
        <f>'4-2 장르 차트 판독값(참조)'!O111</f>
        <v>3.9425000000000008</v>
      </c>
      <c r="N14" s="118">
        <f>'4-2 장르 차트 판독값(참조)'!S111</f>
        <v>10</v>
      </c>
      <c r="O14" s="115" t="str">
        <f t="shared" si="0"/>
        <v>다음날 18.1명 → 1주 뒤 3.0명 → 4주 뒤 0.7명이 다시 옴</v>
      </c>
      <c r="P14" s="115" t="str">
        <f t="shared" si="1"/>
        <v>하루 3.9번 켜고, 한 번에 3.8분, 하루 합계 약 14분</v>
      </c>
    </row>
    <row r="15" spans="1:18">
      <c r="A15" s="23" t="s">
        <v>685</v>
      </c>
      <c r="B15" s="115" t="s">
        <v>1177</v>
      </c>
      <c r="C15" s="117">
        <f>'4-2 장르 차트 판독값(참조)'!O17</f>
        <v>0.15071666666666667</v>
      </c>
      <c r="D15" s="118">
        <f>'4-2 장르 차트 판독값(참조)'!S17</f>
        <v>15</v>
      </c>
      <c r="E15" s="117">
        <f>'4-2 장르 차트 판독값(참조)'!O36</f>
        <v>2.0724999999999997E-2</v>
      </c>
      <c r="F15" s="118">
        <f>'4-2 장르 차트 판독값(참조)'!S36</f>
        <v>15</v>
      </c>
      <c r="G15" s="117">
        <f>'4-2 장르 차트 판독값(참조)'!O55</f>
        <v>4.3250000000000007E-3</v>
      </c>
      <c r="H15" s="118">
        <f>'4-2 장르 차트 판독값(참조)'!S55</f>
        <v>16</v>
      </c>
      <c r="I15" s="122">
        <f>'4-2 장르 차트 판독값(참조)'!O74</f>
        <v>15.641666666666667</v>
      </c>
      <c r="J15" s="118">
        <f>'4-2 장르 차트 판독값(참조)'!S74</f>
        <v>10</v>
      </c>
      <c r="K15" s="122">
        <f>'4-2 장르 차트 판독값(참조)'!O93</f>
        <v>4.3750000000000009</v>
      </c>
      <c r="L15" s="118">
        <f>'4-2 장르 차트 판독값(참조)'!S93</f>
        <v>9</v>
      </c>
      <c r="M15" s="124">
        <f>'4-2 장르 차트 판독값(참조)'!O112</f>
        <v>4.0150000000000006</v>
      </c>
      <c r="N15" s="118">
        <f>'4-2 장르 차트 판독값(참조)'!S112</f>
        <v>7</v>
      </c>
      <c r="O15" s="115" t="str">
        <f t="shared" si="0"/>
        <v>다음날 15.1명 → 1주 뒤 2.1명 → 4주 뒤 0.4명이 다시 옴</v>
      </c>
      <c r="P15" s="115" t="str">
        <f t="shared" si="1"/>
        <v>하루 4.0번 켜고, 한 번에 4.4분, 하루 합계 약 16분</v>
      </c>
    </row>
    <row r="16" spans="1:18">
      <c r="A16" s="23" t="s">
        <v>678</v>
      </c>
      <c r="B16" s="115" t="s">
        <v>774</v>
      </c>
      <c r="C16" s="117">
        <f>'4-2 장르 차트 판독값(참조)'!O18</f>
        <v>0.17035000000000003</v>
      </c>
      <c r="D16" s="118">
        <f>'4-2 장르 차트 판독값(참조)'!S18</f>
        <v>12</v>
      </c>
      <c r="E16" s="117">
        <f>'4-2 장르 차트 판독값(참조)'!O37</f>
        <v>2.3891666666666669E-2</v>
      </c>
      <c r="F16" s="118">
        <f>'4-2 장르 차트 판독값(참조)'!S37</f>
        <v>13</v>
      </c>
      <c r="G16" s="117">
        <f>'4-2 장르 차트 판독값(참조)'!O56</f>
        <v>5.0083333333333334E-3</v>
      </c>
      <c r="H16" s="118">
        <f>'4-2 장르 차트 판독값(참조)'!S56</f>
        <v>13</v>
      </c>
      <c r="I16" s="122">
        <f>'4-2 장르 차트 판독값(참조)'!O75</f>
        <v>14.691666666666668</v>
      </c>
      <c r="J16" s="118">
        <f>'4-2 장르 차트 판독값(참조)'!S75</f>
        <v>11</v>
      </c>
      <c r="K16" s="122">
        <f>'4-2 장르 차트 판독값(참조)'!O94</f>
        <v>4.1166666666666671</v>
      </c>
      <c r="L16" s="118">
        <f>'4-2 장르 차트 판독값(참조)'!S94</f>
        <v>11</v>
      </c>
      <c r="M16" s="124">
        <f>'4-2 장르 차트 판독값(참조)'!O113</f>
        <v>3.6758333333333333</v>
      </c>
      <c r="N16" s="118">
        <f>'4-2 장르 차트 판독값(참조)'!S113</f>
        <v>14</v>
      </c>
      <c r="O16" s="115" t="str">
        <f t="shared" si="0"/>
        <v>다음날 17.0명 → 1주 뒤 2.4명 → 4주 뒤 0.5명이 다시 옴</v>
      </c>
      <c r="P16" s="115" t="str">
        <f t="shared" si="1"/>
        <v>하루 3.7번 켜고, 한 번에 4.1분, 하루 합계 약 15분</v>
      </c>
    </row>
    <row r="17" spans="1:16">
      <c r="A17" s="23" t="s">
        <v>1178</v>
      </c>
      <c r="B17" s="115" t="s">
        <v>798</v>
      </c>
      <c r="C17" s="117">
        <f>'4-2 장르 차트 판독값(참조)'!O19</f>
        <v>0.19262500000000002</v>
      </c>
      <c r="D17" s="118">
        <f>'4-2 장르 차트 판독값(참조)'!S19</f>
        <v>6</v>
      </c>
      <c r="E17" s="117">
        <f>'4-2 장르 차트 판독값(참조)'!O38</f>
        <v>3.5825000000000003E-2</v>
      </c>
      <c r="F17" s="118">
        <f>'4-2 장르 차트 판독값(참조)'!S38</f>
        <v>7</v>
      </c>
      <c r="G17" s="117">
        <f>'4-2 장르 차트 판독값(참조)'!O57</f>
        <v>8.150000000000001E-3</v>
      </c>
      <c r="H17" s="118">
        <f>'4-2 장르 차트 판독값(참조)'!S57</f>
        <v>8</v>
      </c>
      <c r="I17" s="122">
        <f>'4-2 장르 차트 판독값(참조)'!O76</f>
        <v>15.70833333333333</v>
      </c>
      <c r="J17" s="118">
        <f>'4-2 장르 차트 판독값(참조)'!S76</f>
        <v>9</v>
      </c>
      <c r="K17" s="122">
        <f>'4-2 장르 차트 판독값(참조)'!O95</f>
        <v>4.3166666666666664</v>
      </c>
      <c r="L17" s="118">
        <f>'4-2 장르 차트 판독값(참조)'!S95</f>
        <v>10</v>
      </c>
      <c r="M17" s="124">
        <f>'4-2 장르 차트 판독값(참조)'!O114</f>
        <v>3.8083333333333336</v>
      </c>
      <c r="N17" s="118">
        <f>'4-2 장르 차트 판독값(참조)'!S114</f>
        <v>12</v>
      </c>
      <c r="O17" s="115" t="str">
        <f t="shared" si="0"/>
        <v>다음날 19.3명 → 1주 뒤 3.6명 → 4주 뒤 0.8명이 다시 옴</v>
      </c>
      <c r="P17" s="115" t="str">
        <f t="shared" si="1"/>
        <v>하루 3.8번 켜고, 한 번에 4.3분, 하루 합계 약 16분</v>
      </c>
    </row>
    <row r="18" spans="1:16">
      <c r="A18" s="23" t="s">
        <v>668</v>
      </c>
      <c r="B18" s="115" t="s">
        <v>740</v>
      </c>
      <c r="C18" s="117">
        <f>'4-2 장르 차트 판독값(참조)'!O20</f>
        <v>0.19899166666666665</v>
      </c>
      <c r="D18" s="118">
        <f>'4-2 장르 차트 판독값(참조)'!S20</f>
        <v>4</v>
      </c>
      <c r="E18" s="117">
        <f>'4-2 장르 차트 판독값(참조)'!O39</f>
        <v>3.3649999999999999E-2</v>
      </c>
      <c r="F18" s="118">
        <f>'4-2 장르 차트 판독값(참조)'!S39</f>
        <v>8</v>
      </c>
      <c r="G18" s="117">
        <f>'4-2 장르 차트 판독값(참조)'!O58</f>
        <v>7.1416666666666668E-3</v>
      </c>
      <c r="H18" s="118">
        <f>'4-2 장르 차트 판독값(참조)'!S58</f>
        <v>9</v>
      </c>
      <c r="I18" s="122">
        <f>'4-2 장르 차트 판독값(참조)'!O77</f>
        <v>23.500000000000004</v>
      </c>
      <c r="J18" s="118">
        <f>'4-2 장르 차트 판독값(참조)'!S77</f>
        <v>7</v>
      </c>
      <c r="K18" s="122">
        <f>'4-2 장르 차트 판독값(참조)'!O96</f>
        <v>5.45</v>
      </c>
      <c r="L18" s="118">
        <f>'4-2 장르 차트 판독값(참조)'!S96</f>
        <v>6</v>
      </c>
      <c r="M18" s="124">
        <f>'4-2 장르 차트 판독값(참조)'!O115</f>
        <v>4.296666666666666</v>
      </c>
      <c r="N18" s="118">
        <f>'4-2 장르 차트 판독값(참조)'!S115</f>
        <v>5</v>
      </c>
      <c r="O18" s="115" t="str">
        <f t="shared" si="0"/>
        <v>다음날 19.9명 → 1주 뒤 3.4명 → 4주 뒤 0.7명이 다시 옴</v>
      </c>
      <c r="P18" s="115" t="str">
        <f t="shared" si="1"/>
        <v>하루 4.3번 켜고, 한 번에 5.5분, 하루 합계 약 24분</v>
      </c>
    </row>
    <row r="19" spans="1:16">
      <c r="A19" s="23" t="s">
        <v>1179</v>
      </c>
      <c r="B19" s="115" t="s">
        <v>1180</v>
      </c>
      <c r="C19" s="117">
        <f>'4-2 장르 차트 판독값(참조)'!O21</f>
        <v>0.16335833333333336</v>
      </c>
      <c r="D19" s="118">
        <f>'4-2 장르 차트 판독값(참조)'!S21</f>
        <v>13</v>
      </c>
      <c r="E19" s="117">
        <f>'4-2 장르 차트 판독값(참조)'!O40</f>
        <v>3.2816666666666668E-2</v>
      </c>
      <c r="F19" s="118">
        <f>'4-2 장르 차트 판독값(참조)'!S40</f>
        <v>10</v>
      </c>
      <c r="G19" s="117">
        <f>'4-2 장르 차트 판독값(참조)'!O59</f>
        <v>8.2000000000000007E-3</v>
      </c>
      <c r="H19" s="118">
        <f>'4-2 장르 차트 판독값(참조)'!S59</f>
        <v>7</v>
      </c>
      <c r="I19" s="122">
        <f>'4-2 장르 차트 판독값(참조)'!O78</f>
        <v>13.875000000000002</v>
      </c>
      <c r="J19" s="118">
        <f>'4-2 장르 차트 판독값(참조)'!S78</f>
        <v>14</v>
      </c>
      <c r="K19" s="122">
        <f>'4-2 장르 차트 판독값(참조)'!O97</f>
        <v>3.6500000000000004</v>
      </c>
      <c r="L19" s="118">
        <f>'4-2 장르 차트 판독값(참조)'!S97</f>
        <v>15</v>
      </c>
      <c r="M19" s="124">
        <f>'4-2 장르 차트 판독값(참조)'!O116</f>
        <v>3.8408333333333338</v>
      </c>
      <c r="N19" s="118">
        <f>'4-2 장르 차트 판독값(참조)'!S116</f>
        <v>11</v>
      </c>
      <c r="O19" s="115" t="str">
        <f t="shared" si="0"/>
        <v>다음날 16.3명 → 1주 뒤 3.3명 → 4주 뒤 0.8명이 다시 옴</v>
      </c>
      <c r="P19" s="115" t="str">
        <f t="shared" si="1"/>
        <v>하루 3.8번 켜고, 한 번에 3.7분, 하루 합계 약 14분</v>
      </c>
    </row>
    <row r="20" spans="1:16">
      <c r="A20" s="23" t="s">
        <v>1181</v>
      </c>
      <c r="B20" s="115" t="s">
        <v>1182</v>
      </c>
      <c r="C20" s="117">
        <f>'4-2 장르 차트 판독값(참조)'!O22</f>
        <v>0.18396666666666664</v>
      </c>
      <c r="D20" s="118">
        <f>'4-2 장르 차트 판독값(참조)'!S22</f>
        <v>9</v>
      </c>
      <c r="E20" s="117">
        <f>'4-2 장르 차트 판독값(참조)'!O41</f>
        <v>4.1833333333333333E-2</v>
      </c>
      <c r="F20" s="118">
        <f>'4-2 장르 차트 판독값(참조)'!S41</f>
        <v>5</v>
      </c>
      <c r="G20" s="117">
        <f>'4-2 장르 차트 판독값(참조)'!O60</f>
        <v>1.1225000000000001E-2</v>
      </c>
      <c r="H20" s="118">
        <f>'4-2 장르 차트 판독값(참조)'!S60</f>
        <v>5</v>
      </c>
      <c r="I20" s="122">
        <f>'4-2 장르 차트 판독값(참조)'!O79</f>
        <v>23.808333333333337</v>
      </c>
      <c r="J20" s="118">
        <f>'4-2 장르 차트 판독값(참조)'!S79</f>
        <v>6</v>
      </c>
      <c r="K20" s="122">
        <f>'4-2 장르 차트 판독값(참조)'!O98</f>
        <v>5.0833333333333339</v>
      </c>
      <c r="L20" s="118">
        <f>'4-2 장르 차트 판독값(참조)'!S98</f>
        <v>7</v>
      </c>
      <c r="M20" s="124">
        <f>'4-2 장르 차트 판독값(참조)'!O117</f>
        <v>4.3225000000000007</v>
      </c>
      <c r="N20" s="118">
        <f>'4-2 장르 차트 판독값(참조)'!S117</f>
        <v>4</v>
      </c>
      <c r="O20" s="115" t="str">
        <f t="shared" si="0"/>
        <v>다음날 18.4명 → 1주 뒤 4.2명 → 4주 뒤 1.1명이 다시 옴</v>
      </c>
      <c r="P20" s="115" t="str">
        <f t="shared" si="1"/>
        <v>하루 4.3번 켜고, 한 번에 5.1분, 하루 합계 약 24분</v>
      </c>
    </row>
    <row r="23" spans="1:16" ht="16">
      <c r="A23" s="49" t="s">
        <v>1199</v>
      </c>
    </row>
    <row r="24" spans="1:16">
      <c r="A24" s="3" t="s">
        <v>1200</v>
      </c>
      <c r="B24" s="3"/>
      <c r="C24" s="3"/>
      <c r="D24" s="3"/>
      <c r="E24" s="3"/>
      <c r="F24" s="3"/>
      <c r="G24" s="3"/>
      <c r="H24" s="3"/>
      <c r="I24" s="3" t="s">
        <v>1201</v>
      </c>
      <c r="J24" s="3"/>
      <c r="K24" s="3"/>
      <c r="L24" s="3"/>
      <c r="M24" s="3"/>
      <c r="N24" s="3"/>
      <c r="O24" s="125" t="s">
        <v>699</v>
      </c>
    </row>
    <row r="25" spans="1:16" ht="49.5" customHeight="1">
      <c r="A25" s="2" t="s">
        <v>1202</v>
      </c>
      <c r="B25" s="2"/>
      <c r="C25" s="2"/>
      <c r="D25" s="2"/>
      <c r="E25" s="2"/>
      <c r="F25" s="2"/>
      <c r="G25" s="2"/>
      <c r="H25" s="2"/>
      <c r="I25" s="1" t="str">
        <f>"D1 1위: "&amp;INDEX($A$5:$A$20,MATCH(MAX($C$5:$C$20),$C$5:$C$20,0))&amp;" ("&amp;TEXT(MAX($C$5:$C$20),"0.00%")&amp;")"</f>
        <v>D1 1위: Arcade (22.24%)</v>
      </c>
      <c r="J25" s="1"/>
      <c r="K25" s="1"/>
      <c r="L25" s="1"/>
      <c r="M25" s="1"/>
      <c r="N25" s="1"/>
      <c r="O25" s="42" t="str">
        <f>IF(INDEX($A$5:$A$20,MATCH(MAX($C$5:$C$20),$C$5:$C$20,0))="Arcade","일치","다름")</f>
        <v>일치</v>
      </c>
    </row>
    <row r="26" spans="1:16" ht="49.5" customHeight="1">
      <c r="A26" s="2" t="s">
        <v>1203</v>
      </c>
      <c r="B26" s="2"/>
      <c r="C26" s="2"/>
      <c r="D26" s="2"/>
      <c r="E26" s="2"/>
      <c r="F26" s="2"/>
      <c r="G26" s="2"/>
      <c r="H26" s="2"/>
      <c r="I26" s="1" t="str">
        <f>"Arcade 순위: D1 "&amp;INDEX($D$5:$D$20,MATCH("Arcade",$A$5:$A$20,0))&amp;"위 → D7 "&amp;INDEX($F$5:$F$20,MATCH("Arcade",$A$5:$A$20,0))&amp;"위 → D28 "&amp;INDEX($H$5:$H$20,MATCH("Arcade",$A$5:$A$20,0))&amp;"위"</f>
        <v>Arcade 순위: D1 1위 → D7 6위 → D28 6위</v>
      </c>
      <c r="J26" s="1"/>
      <c r="K26" s="1"/>
      <c r="L26" s="1"/>
      <c r="M26" s="1"/>
      <c r="N26" s="1"/>
      <c r="O26" s="42" t="str">
        <f>IF(INDEX($H$5:$H$20,MATCH("Arcade",$A$5:$A$20,0))&gt;INDEX($D$5:$D$20,MATCH("Arcade",$A$5:$A$20,0)),"일치 (뒤로 갈수록 순위 하락)","다름")</f>
        <v>일치 (뒤로 갈수록 순위 하락)</v>
      </c>
    </row>
    <row r="27" spans="1:16" ht="49.5" customHeight="1">
      <c r="A27" s="2" t="s">
        <v>1204</v>
      </c>
      <c r="B27" s="2"/>
      <c r="C27" s="2"/>
      <c r="D27" s="2"/>
      <c r="E27" s="2"/>
      <c r="F27" s="2"/>
      <c r="G27" s="2"/>
      <c r="H27" s="2"/>
      <c r="I27" s="1" t="str">
        <f>"D7 순위 보드 "&amp;INDEX($F$5:$F$20,MATCH("Board",$A$5:$A$20,0))&amp;"·카드 "&amp;INDEX($F$5:$F$20,MATCH("Card",$A$5:$A$20,0))&amp;"·퍼즐 "&amp;INDEX($F$5:$F$20,MATCH("Puzzle",$A$5:$A$20,0))&amp;"·카지노 "&amp;INDEX($F$5:$F$20,MATCH("Casino",$A$5:$A$20,0))&amp;" / D28 순위 "&amp;INDEX($H$5:$H$20,MATCH("Board",$A$5:$A$20,0))&amp;"·"&amp;INDEX($H$5:$H$20,MATCH("Card",$A$5:$A$20,0))&amp;"·"&amp;INDEX($H$5:$H$20,MATCH("Puzzle",$A$5:$A$20,0))&amp;"·"&amp;INDEX($H$5:$H$20,MATCH("Casino",$A$5:$A$20,0))</f>
        <v>D7 순위 보드 2·카드 1·퍼즐 4·카지노 3 / D28 순위 2·1·4·3</v>
      </c>
      <c r="J27" s="1"/>
      <c r="K27" s="1"/>
      <c r="L27" s="1"/>
      <c r="M27" s="1"/>
      <c r="N27" s="1"/>
      <c r="O27" s="42" t="str">
        <f>IF(MAX(INDEX($F$5:$F$20,MATCH("Board",$A$5:$A$20,0)),INDEX($F$5:$F$20,MATCH("Card",$A$5:$A$20,0)),INDEX($F$5:$F$20,MATCH("Puzzle",$A$5:$A$20,0)),INDEX($F$5:$F$20,MATCH("Casino",$A$5:$A$20,0)),INDEX($H$5:$H$20,MATCH("Board",$A$5:$A$20,0)),INDEX($H$5:$H$20,MATCH("Card",$A$5:$A$20,0)),INDEX($H$5:$H$20,MATCH("Puzzle",$A$5:$A$20,0)),INDEX($H$5:$H$20,MATCH("Casino",$A$5:$A$20,0)))&lt;=5,"일치 (모두 5위 안)","부분 일치")</f>
        <v>일치 (모두 5위 안)</v>
      </c>
    </row>
    <row r="28" spans="1:16" ht="49.5" customHeight="1">
      <c r="A28" s="2" t="s">
        <v>1205</v>
      </c>
      <c r="B28" s="2"/>
      <c r="C28" s="2"/>
      <c r="D28" s="2"/>
      <c r="E28" s="2"/>
      <c r="F28" s="2"/>
      <c r="G28" s="2"/>
      <c r="H28" s="2"/>
      <c r="I28" s="1" t="str">
        <f>"D1 순위 보드 "&amp;INDEX($D$5:$D$20,MATCH("Board",$A$5:$A$20,0))&amp;"·카드 "&amp;INDEX($D$5:$D$20,MATCH("Card",$A$5:$A$20,0))&amp;"·퍼즐 "&amp;INDEX($D$5:$D$20,MATCH("Puzzle",$A$5:$A$20,0))&amp;"·카지노 "&amp;INDEX($D$5:$D$20,MATCH("Casino",$A$5:$A$20,0))</f>
        <v>D1 순위 보드 7·카드 8·퍼즐 3·카지노 5</v>
      </c>
      <c r="J28" s="1"/>
      <c r="K28" s="1"/>
      <c r="L28" s="1"/>
      <c r="M28" s="1"/>
      <c r="N28" s="1"/>
      <c r="O28" s="42" t="str">
        <f>IF(MAX(INDEX($D$5:$D$20,MATCH("Board",$A$5:$A$20,0)),INDEX($D$5:$D$20,MATCH("Card",$A$5:$A$20,0)),INDEX($D$5:$D$20,MATCH("Puzzle",$A$5:$A$20,0)),INDEX($D$5:$D$20,MATCH("Casino",$A$5:$A$20,0)))&lt;=5,"일치 (모두 5위 안)","부분 일치 (D1은 중간권 포함)")</f>
        <v>부분 일치 (D1은 중간권 포함)</v>
      </c>
    </row>
    <row r="29" spans="1:16" ht="49.5" customHeight="1">
      <c r="A29" s="2" t="s">
        <v>1206</v>
      </c>
      <c r="B29" s="2"/>
      <c r="C29" s="2"/>
      <c r="D29" s="2"/>
      <c r="E29" s="2"/>
      <c r="F29" s="2"/>
      <c r="G29" s="2"/>
      <c r="H29" s="2"/>
      <c r="I29" s="1" t="str">
        <f>"최저 장르: D1 "&amp;INDEX($A$5:$A$20,MATCH(MIN($C$5:$C$20),$C$5:$C$20,0))&amp;" / D7 "&amp;INDEX($A$5:$A$20,MATCH(MIN($E$5:$E$20),$E$5:$E$20,0))&amp;" / D28 "&amp;INDEX($A$5:$A$20,MATCH(MIN($G$5:$G$20),$G$5:$G$20,0))</f>
        <v>최저 장르: D1 Multiplayer / D7 Multiplayer / D28 Role Playing</v>
      </c>
      <c r="J29" s="1"/>
      <c r="K29" s="1"/>
      <c r="L29" s="1"/>
      <c r="M29" s="1"/>
      <c r="N29" s="1"/>
      <c r="O29" s="42" t="str">
        <f>IF(AND(INDEX($A$5:$A$20,MATCH(MIN($C$5:$C$20),$C$5:$C$20,0))="Multiplayer",INDEX($A$5:$A$20,MATCH(MIN($E$5:$E$20),$E$5:$E$20,0))="Multiplayer",INDEX($A$5:$A$20,MATCH(MIN($G$5:$G$20),$G$5:$G$20,0))="Multiplayer"),"일치","부분 일치 (D28 최저는 다른 장르)")</f>
        <v>부분 일치 (D28 최저는 다른 장르)</v>
      </c>
    </row>
    <row r="30" spans="1:16" ht="49.5" customHeight="1">
      <c r="A30" s="2" t="s">
        <v>1207</v>
      </c>
      <c r="B30" s="2"/>
      <c r="C30" s="2"/>
      <c r="D30" s="2"/>
      <c r="E30" s="2"/>
      <c r="F30" s="2"/>
      <c r="G30" s="2"/>
      <c r="H30" s="2"/>
      <c r="I30" s="1" t="str">
        <f>"세션 길이 1위: "&amp;INDEX($A$5:$A$20,MATCH(MAX($K$5:$K$20),$K$5:$K$20,0))&amp;" ("&amp;TEXT(MAX($K$5:$K$20),"0.0")&amp;"분)"</f>
        <v>세션 길이 1위: Multiplayer (9.4분)</v>
      </c>
      <c r="J30" s="1"/>
      <c r="K30" s="1"/>
      <c r="L30" s="1"/>
      <c r="M30" s="1"/>
      <c r="N30" s="1"/>
      <c r="O30" s="42" t="str">
        <f>IF(INDEX($A$5:$A$20,MATCH(MAX($K$5:$K$20),$K$5:$K$20,0))="Multiplayer","일치","다름")</f>
        <v>일치</v>
      </c>
    </row>
    <row r="31" spans="1:16" ht="49.5" customHeight="1">
      <c r="A31" s="2" t="s">
        <v>1208</v>
      </c>
      <c r="B31" s="2"/>
      <c r="C31" s="2"/>
      <c r="D31" s="2"/>
      <c r="E31" s="2"/>
      <c r="F31" s="2"/>
      <c r="G31" s="2"/>
      <c r="H31" s="2"/>
      <c r="I31" s="1" t="str">
        <f>"플레이 시간 순위 "&amp;INDEX($J$5:$J$20,MATCH("Board",$A$5:$A$20,0))&amp;"·"&amp;INDEX($J$5:$J$20,MATCH("Card",$A$5:$A$20,0))&amp;"·"&amp;INDEX($J$5:$J$20,MATCH("Puzzle",$A$5:$A$20,0))&amp;"·"&amp;INDEX($J$5:$J$20,MATCH("Casino",$A$5:$A$20,0))&amp;" / 세션 수 순위 "&amp;INDEX($N$5:$N$20,MATCH("Board",$A$5:$A$20,0))&amp;"·"&amp;INDEX($N$5:$N$20,MATCH("Card",$A$5:$A$20,0))&amp;"·"&amp;INDEX($N$5:$N$20,MATCH("Puzzle",$A$5:$A$20,0))&amp;"·"&amp;INDEX($N$5:$N$20,MATCH("Casino",$A$5:$A$20,0))&amp;" (보드·카드·퍼즐·카지노 순)"</f>
        <v>플레이 시간 순위 2·1·4·3 / 세션 수 순위 1·2·3·6 (보드·카드·퍼즐·카지노 순)</v>
      </c>
      <c r="J31" s="1"/>
      <c r="K31" s="1"/>
      <c r="L31" s="1"/>
      <c r="M31" s="1"/>
      <c r="N31" s="1"/>
      <c r="O31" s="42" t="str">
        <f>IF(MAX(INDEX($J$5:$J$20,MATCH("Board",$A$5:$A$20,0)),INDEX($J$5:$J$20,MATCH("Card",$A$5:$A$20,0)),INDEX($J$5:$J$20,MATCH("Puzzle",$A$5:$A$20,0)),INDEX($J$5:$J$20,MATCH("Casino",$A$5:$A$20,0)),INDEX($N$5:$N$20,MATCH("Board",$A$5:$A$20,0)),INDEX($N$5:$N$20,MATCH("Card",$A$5:$A$20,0)),INDEX($N$5:$N$20,MATCH("Puzzle",$A$5:$A$20,0)),INDEX($N$5:$N$20,MATCH("Casino",$A$5:$A$20,0)))&lt;=4,"일치 (모두 4위 안)","부분 일치")</f>
        <v>부분 일치</v>
      </c>
    </row>
    <row r="32" spans="1:16" ht="49.5" customHeight="1">
      <c r="A32" s="2" t="s">
        <v>1209</v>
      </c>
      <c r="B32" s="2"/>
      <c r="C32" s="2"/>
      <c r="D32" s="2"/>
      <c r="E32" s="2"/>
      <c r="F32" s="2"/>
      <c r="G32" s="2"/>
      <c r="H32" s="2"/>
      <c r="I32" s="1" t="str">
        <f>"16개 장르 중 하루 세션 수 최고: "&amp;INDEX($A$5:$A$20,MATCH(MAX($M$5:$M$20),$M$5:$M$20,0))&amp;" "&amp;TEXT(MAX($M$5:$M$20),"0.00")&amp;"회"</f>
        <v>16개 장르 중 하루 세션 수 최고: Board 5.09회</v>
      </c>
      <c r="J32" s="1"/>
      <c r="K32" s="1"/>
      <c r="L32" s="1"/>
      <c r="M32" s="1"/>
      <c r="N32" s="1"/>
      <c r="O32" s="42" t="str">
        <f>IF(MAX($M$5:$M$20)&gt;=6,"일치","판독값으로는 확인 안 됨 (분류 기준이 다를 가능성, 추정)")</f>
        <v>판독값으로는 확인 안 됨 (분류 기준이 다를 가능성, 추정)</v>
      </c>
    </row>
    <row r="34" spans="1:1">
      <c r="A34" s="29" t="s">
        <v>1210</v>
      </c>
    </row>
    <row r="35" spans="1:1">
      <c r="A35" s="44" t="s">
        <v>1211</v>
      </c>
    </row>
    <row r="36" spans="1:1">
      <c r="A36" s="29" t="s">
        <v>1212</v>
      </c>
    </row>
  </sheetData>
  <mergeCells count="18">
    <mergeCell ref="A30:H30"/>
    <mergeCell ref="I30:N30"/>
    <mergeCell ref="A31:H31"/>
    <mergeCell ref="I31:N31"/>
    <mergeCell ref="A32:H32"/>
    <mergeCell ref="I32:N32"/>
    <mergeCell ref="A27:H27"/>
    <mergeCell ref="I27:N27"/>
    <mergeCell ref="A28:H28"/>
    <mergeCell ref="I28:N28"/>
    <mergeCell ref="A29:H29"/>
    <mergeCell ref="I29:N29"/>
    <mergeCell ref="A24:H24"/>
    <mergeCell ref="I24:N24"/>
    <mergeCell ref="A25:H25"/>
    <mergeCell ref="I25:N25"/>
    <mergeCell ref="A26:H26"/>
    <mergeCell ref="I26:N26"/>
  </mergeCells>
  <phoneticPr fontId="33" type="noConversion"/>
  <conditionalFormatting sqref="C5:C20">
    <cfRule type="colorScale" priority="2">
      <colorScale>
        <cfvo type="min"/>
        <cfvo type="max"/>
        <color rgb="FFF2F2F2"/>
        <color rgb="FF8EA9DB"/>
      </colorScale>
    </cfRule>
  </conditionalFormatting>
  <conditionalFormatting sqref="E5:E20">
    <cfRule type="colorScale" priority="3">
      <colorScale>
        <cfvo type="min"/>
        <cfvo type="max"/>
        <color rgb="FFF2F2F2"/>
        <color rgb="FF8EA9DB"/>
      </colorScale>
    </cfRule>
  </conditionalFormatting>
  <conditionalFormatting sqref="G5:G20">
    <cfRule type="colorScale" priority="4">
      <colorScale>
        <cfvo type="min"/>
        <cfvo type="max"/>
        <color rgb="FFF2F2F2"/>
        <color rgb="FF8EA9DB"/>
      </colorScale>
    </cfRule>
  </conditionalFormatting>
  <conditionalFormatting sqref="I5:I20">
    <cfRule type="colorScale" priority="5">
      <colorScale>
        <cfvo type="min"/>
        <cfvo type="max"/>
        <color rgb="FFF2F2F2"/>
        <color rgb="FF8EA9DB"/>
      </colorScale>
    </cfRule>
  </conditionalFormatting>
  <conditionalFormatting sqref="K5:K20">
    <cfRule type="colorScale" priority="6">
      <colorScale>
        <cfvo type="min"/>
        <cfvo type="max"/>
        <color rgb="FFF2F2F2"/>
        <color rgb="FF8EA9DB"/>
      </colorScale>
    </cfRule>
  </conditionalFormatting>
  <conditionalFormatting sqref="M5:M20">
    <cfRule type="colorScale" priority="7">
      <colorScale>
        <cfvo type="min"/>
        <cfvo type="max"/>
        <color rgb="FFF2F2F2"/>
        <color rgb="FF8EA9D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H1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/>
  <cols>
    <col min="1" max="1" width="7" customWidth="1"/>
    <col min="2" max="2" width="38" customWidth="1"/>
    <col min="3" max="3" width="26" customWidth="1"/>
    <col min="4" max="4" width="24" customWidth="1"/>
    <col min="5" max="5" width="26" customWidth="1"/>
    <col min="6" max="6" width="30" customWidth="1"/>
  </cols>
  <sheetData>
    <row r="1" spans="1:8">
      <c r="A1" s="125" t="s">
        <v>163</v>
      </c>
      <c r="B1" s="125" t="s">
        <v>825</v>
      </c>
      <c r="C1" s="125" t="s">
        <v>143</v>
      </c>
      <c r="D1" s="125" t="s">
        <v>733</v>
      </c>
      <c r="E1" s="125" t="s">
        <v>734</v>
      </c>
      <c r="F1" s="125" t="s">
        <v>6</v>
      </c>
      <c r="H1" s="110" t="s">
        <v>1213</v>
      </c>
    </row>
    <row r="2" spans="1:8">
      <c r="A2" s="55">
        <v>1</v>
      </c>
      <c r="B2" s="53" t="s">
        <v>168</v>
      </c>
      <c r="C2" s="53" t="s">
        <v>169</v>
      </c>
      <c r="D2" s="115" t="s">
        <v>743</v>
      </c>
      <c r="E2" s="115" t="s">
        <v>746</v>
      </c>
      <c r="F2" s="115"/>
    </row>
    <row r="3" spans="1:8">
      <c r="A3" s="55">
        <v>2</v>
      </c>
      <c r="B3" s="53" t="s">
        <v>950</v>
      </c>
      <c r="C3" s="53" t="s">
        <v>165</v>
      </c>
      <c r="D3" s="115" t="s">
        <v>743</v>
      </c>
      <c r="E3" s="115" t="s">
        <v>781</v>
      </c>
      <c r="F3" s="115" t="s">
        <v>1214</v>
      </c>
    </row>
    <row r="4" spans="1:8">
      <c r="A4" s="55">
        <v>3</v>
      </c>
      <c r="B4" s="53" t="s">
        <v>947</v>
      </c>
      <c r="C4" s="53" t="s">
        <v>1215</v>
      </c>
      <c r="D4" s="115" t="s">
        <v>760</v>
      </c>
      <c r="E4" s="115" t="s">
        <v>761</v>
      </c>
      <c r="F4" s="115"/>
    </row>
    <row r="5" spans="1:8">
      <c r="A5" s="55">
        <v>4</v>
      </c>
      <c r="B5" s="53" t="s">
        <v>870</v>
      </c>
      <c r="C5" s="53" t="s">
        <v>1216</v>
      </c>
      <c r="D5" s="115" t="s">
        <v>795</v>
      </c>
      <c r="E5" s="53" t="s">
        <v>796</v>
      </c>
      <c r="F5" s="115"/>
    </row>
    <row r="6" spans="1:8">
      <c r="A6" s="55">
        <v>5</v>
      </c>
      <c r="B6" s="53" t="s">
        <v>355</v>
      </c>
      <c r="C6" s="53" t="s">
        <v>356</v>
      </c>
      <c r="D6" s="115" t="s">
        <v>743</v>
      </c>
      <c r="E6" s="115" t="s">
        <v>758</v>
      </c>
      <c r="F6" s="115"/>
    </row>
    <row r="7" spans="1:8">
      <c r="A7" s="55">
        <v>6</v>
      </c>
      <c r="B7" s="53" t="s">
        <v>951</v>
      </c>
      <c r="C7" s="53" t="s">
        <v>1217</v>
      </c>
      <c r="D7" s="115" t="s">
        <v>760</v>
      </c>
      <c r="E7" s="115" t="s">
        <v>761</v>
      </c>
      <c r="F7" s="115"/>
    </row>
    <row r="8" spans="1:8">
      <c r="A8" s="55">
        <v>7</v>
      </c>
      <c r="B8" s="53" t="s">
        <v>171</v>
      </c>
      <c r="C8" s="53" t="s">
        <v>172</v>
      </c>
      <c r="D8" s="115" t="s">
        <v>743</v>
      </c>
      <c r="E8" s="115" t="s">
        <v>770</v>
      </c>
      <c r="F8" s="115"/>
    </row>
    <row r="9" spans="1:8">
      <c r="A9" s="55">
        <v>8</v>
      </c>
      <c r="B9" s="53" t="s">
        <v>176</v>
      </c>
      <c r="C9" s="53" t="s">
        <v>177</v>
      </c>
      <c r="D9" s="115" t="s">
        <v>743</v>
      </c>
      <c r="E9" s="115" t="s">
        <v>746</v>
      </c>
      <c r="F9" s="115" t="s">
        <v>1218</v>
      </c>
    </row>
    <row r="10" spans="1:8">
      <c r="A10" s="55">
        <v>9</v>
      </c>
      <c r="B10" s="53" t="s">
        <v>850</v>
      </c>
      <c r="C10" s="53" t="s">
        <v>1219</v>
      </c>
      <c r="D10" s="115" t="s">
        <v>760</v>
      </c>
      <c r="E10" s="115" t="s">
        <v>761</v>
      </c>
      <c r="F10" s="115"/>
    </row>
    <row r="11" spans="1:8">
      <c r="A11" s="126">
        <v>10</v>
      </c>
      <c r="B11" s="127" t="s">
        <v>952</v>
      </c>
      <c r="C11" s="127" t="s">
        <v>1220</v>
      </c>
      <c r="D11" s="128" t="s">
        <v>813</v>
      </c>
      <c r="E11" s="128" t="s">
        <v>814</v>
      </c>
      <c r="F11" s="128" t="s">
        <v>1221</v>
      </c>
    </row>
    <row r="12" spans="1:8">
      <c r="A12" s="55">
        <v>11</v>
      </c>
      <c r="B12" s="53" t="s">
        <v>174</v>
      </c>
      <c r="C12" s="53" t="s">
        <v>175</v>
      </c>
      <c r="D12" s="115" t="s">
        <v>743</v>
      </c>
      <c r="E12" s="115" t="s">
        <v>746</v>
      </c>
      <c r="F12" s="115"/>
    </row>
    <row r="13" spans="1:8">
      <c r="A13" s="55">
        <v>12</v>
      </c>
      <c r="B13" s="53" t="s">
        <v>953</v>
      </c>
      <c r="C13" s="53" t="s">
        <v>1222</v>
      </c>
      <c r="D13" s="115" t="s">
        <v>743</v>
      </c>
      <c r="E13" s="115" t="s">
        <v>781</v>
      </c>
      <c r="F13" s="115"/>
    </row>
    <row r="14" spans="1:8">
      <c r="A14" s="55">
        <v>13</v>
      </c>
      <c r="B14" s="53" t="s">
        <v>954</v>
      </c>
      <c r="C14" s="53" t="s">
        <v>1223</v>
      </c>
      <c r="D14" s="115" t="s">
        <v>743</v>
      </c>
      <c r="E14" s="115" t="s">
        <v>770</v>
      </c>
      <c r="F14" s="115"/>
    </row>
    <row r="15" spans="1:8">
      <c r="A15" s="55">
        <v>14</v>
      </c>
      <c r="B15" s="53" t="s">
        <v>955</v>
      </c>
      <c r="C15" s="53" t="s">
        <v>165</v>
      </c>
      <c r="D15" s="115" t="s">
        <v>743</v>
      </c>
      <c r="E15" s="115" t="s">
        <v>785</v>
      </c>
      <c r="F15" s="115"/>
    </row>
    <row r="16" spans="1:8">
      <c r="A16" s="55">
        <v>15</v>
      </c>
      <c r="B16" s="53" t="s">
        <v>956</v>
      </c>
      <c r="C16" s="53" t="s">
        <v>1224</v>
      </c>
      <c r="D16" s="115" t="s">
        <v>774</v>
      </c>
      <c r="E16" s="115" t="s">
        <v>777</v>
      </c>
      <c r="F16" s="115" t="s">
        <v>1225</v>
      </c>
    </row>
    <row r="17" spans="1:6">
      <c r="A17" s="55">
        <v>16</v>
      </c>
      <c r="B17" s="53" t="s">
        <v>957</v>
      </c>
      <c r="C17" s="53" t="s">
        <v>1226</v>
      </c>
      <c r="D17" s="115" t="s">
        <v>743</v>
      </c>
      <c r="E17" s="115" t="s">
        <v>783</v>
      </c>
      <c r="F17" s="115"/>
    </row>
    <row r="18" spans="1:6">
      <c r="A18" s="55">
        <v>17</v>
      </c>
      <c r="B18" s="53" t="s">
        <v>871</v>
      </c>
      <c r="C18" s="53" t="s">
        <v>184</v>
      </c>
      <c r="D18" s="115" t="s">
        <v>743</v>
      </c>
      <c r="E18" s="115" t="s">
        <v>754</v>
      </c>
      <c r="F18" s="115" t="s">
        <v>1227</v>
      </c>
    </row>
    <row r="19" spans="1:6">
      <c r="A19" s="55">
        <v>18</v>
      </c>
      <c r="B19" s="53" t="s">
        <v>958</v>
      </c>
      <c r="C19" s="53" t="s">
        <v>1228</v>
      </c>
      <c r="D19" s="115" t="s">
        <v>743</v>
      </c>
      <c r="E19" s="115" t="s">
        <v>746</v>
      </c>
      <c r="F19" s="115"/>
    </row>
    <row r="20" spans="1:6">
      <c r="A20" s="55">
        <v>19</v>
      </c>
      <c r="B20" s="53" t="s">
        <v>959</v>
      </c>
      <c r="C20" s="53" t="s">
        <v>169</v>
      </c>
      <c r="D20" s="115" t="s">
        <v>743</v>
      </c>
      <c r="E20" s="115" t="s">
        <v>758</v>
      </c>
      <c r="F20" s="115"/>
    </row>
    <row r="21" spans="1:6">
      <c r="A21" s="55">
        <v>20</v>
      </c>
      <c r="B21" s="53" t="s">
        <v>960</v>
      </c>
      <c r="C21" s="53" t="s">
        <v>1229</v>
      </c>
      <c r="D21" s="115" t="s">
        <v>743</v>
      </c>
      <c r="E21" s="115" t="s">
        <v>746</v>
      </c>
      <c r="F21" s="115" t="s">
        <v>1230</v>
      </c>
    </row>
    <row r="22" spans="1:6">
      <c r="A22" s="126">
        <v>21</v>
      </c>
      <c r="B22" s="127" t="s">
        <v>920</v>
      </c>
      <c r="C22" s="127" t="s">
        <v>1231</v>
      </c>
      <c r="D22" s="128" t="s">
        <v>743</v>
      </c>
      <c r="E22" s="128" t="s">
        <v>746</v>
      </c>
      <c r="F22" s="128" t="s">
        <v>1221</v>
      </c>
    </row>
    <row r="23" spans="1:6">
      <c r="A23" s="55">
        <v>22</v>
      </c>
      <c r="B23" s="53" t="s">
        <v>872</v>
      </c>
      <c r="C23" s="53" t="s">
        <v>1232</v>
      </c>
      <c r="D23" s="115" t="s">
        <v>774</v>
      </c>
      <c r="E23" s="115" t="s">
        <v>775</v>
      </c>
      <c r="F23" s="115"/>
    </row>
    <row r="24" spans="1:6">
      <c r="A24" s="55">
        <v>23</v>
      </c>
      <c r="B24" s="53" t="s">
        <v>853</v>
      </c>
      <c r="C24" s="53" t="s">
        <v>1233</v>
      </c>
      <c r="D24" s="115" t="s">
        <v>743</v>
      </c>
      <c r="E24" s="115" t="s">
        <v>785</v>
      </c>
      <c r="F24" s="115"/>
    </row>
    <row r="25" spans="1:6">
      <c r="A25" s="55">
        <v>24</v>
      </c>
      <c r="B25" s="53" t="s">
        <v>946</v>
      </c>
      <c r="C25" s="53" t="s">
        <v>1234</v>
      </c>
      <c r="D25" s="115" t="s">
        <v>743</v>
      </c>
      <c r="E25" s="115" t="s">
        <v>746</v>
      </c>
      <c r="F25" s="115"/>
    </row>
    <row r="26" spans="1:6">
      <c r="A26" s="55">
        <v>25</v>
      </c>
      <c r="B26" s="53" t="s">
        <v>416</v>
      </c>
      <c r="C26" s="53" t="s">
        <v>417</v>
      </c>
      <c r="D26" s="115" t="s">
        <v>763</v>
      </c>
      <c r="E26" s="115" t="s">
        <v>764</v>
      </c>
      <c r="F26" s="115"/>
    </row>
    <row r="27" spans="1:6">
      <c r="A27" s="55">
        <v>26</v>
      </c>
      <c r="B27" s="53" t="s">
        <v>187</v>
      </c>
      <c r="C27" s="53" t="s">
        <v>188</v>
      </c>
      <c r="D27" s="115" t="s">
        <v>751</v>
      </c>
      <c r="E27" s="115" t="s">
        <v>756</v>
      </c>
      <c r="F27" s="115"/>
    </row>
    <row r="28" spans="1:6">
      <c r="A28" s="55">
        <v>27</v>
      </c>
      <c r="B28" s="53" t="s">
        <v>844</v>
      </c>
      <c r="C28" s="53" t="s">
        <v>1235</v>
      </c>
      <c r="D28" s="115" t="s">
        <v>743</v>
      </c>
      <c r="E28" s="115" t="s">
        <v>770</v>
      </c>
      <c r="F28" s="115"/>
    </row>
    <row r="29" spans="1:6">
      <c r="A29" s="55">
        <v>28</v>
      </c>
      <c r="B29" s="53" t="s">
        <v>961</v>
      </c>
      <c r="C29" s="53" t="s">
        <v>1234</v>
      </c>
      <c r="D29" s="115" t="s">
        <v>760</v>
      </c>
      <c r="E29" s="115" t="s">
        <v>787</v>
      </c>
      <c r="F29" s="115"/>
    </row>
    <row r="30" spans="1:6">
      <c r="A30" s="55">
        <v>29</v>
      </c>
      <c r="B30" s="53" t="s">
        <v>962</v>
      </c>
      <c r="C30" s="53" t="s">
        <v>1236</v>
      </c>
      <c r="D30" s="115" t="s">
        <v>760</v>
      </c>
      <c r="E30" s="115" t="s">
        <v>761</v>
      </c>
      <c r="F30" s="115" t="s">
        <v>1237</v>
      </c>
    </row>
    <row r="31" spans="1:6">
      <c r="A31" s="55">
        <v>30</v>
      </c>
      <c r="B31" s="53" t="s">
        <v>963</v>
      </c>
      <c r="C31" s="53" t="s">
        <v>1234</v>
      </c>
      <c r="D31" s="115" t="s">
        <v>760</v>
      </c>
      <c r="E31" s="115" t="s">
        <v>822</v>
      </c>
      <c r="F31" s="115"/>
    </row>
    <row r="32" spans="1:6">
      <c r="A32" s="55">
        <v>31</v>
      </c>
      <c r="B32" s="53" t="s">
        <v>964</v>
      </c>
      <c r="C32" s="53" t="s">
        <v>1238</v>
      </c>
      <c r="D32" s="115" t="s">
        <v>743</v>
      </c>
      <c r="E32" s="115" t="s">
        <v>785</v>
      </c>
      <c r="F32" s="115"/>
    </row>
    <row r="33" spans="1:6">
      <c r="A33" s="55">
        <v>32</v>
      </c>
      <c r="B33" s="53" t="s">
        <v>965</v>
      </c>
      <c r="C33" s="53" t="s">
        <v>1234</v>
      </c>
      <c r="D33" s="115" t="s">
        <v>760</v>
      </c>
      <c r="E33" s="53" t="s">
        <v>1239</v>
      </c>
      <c r="F33" s="115"/>
    </row>
    <row r="34" spans="1:6">
      <c r="A34" s="55">
        <v>33</v>
      </c>
      <c r="B34" s="53" t="s">
        <v>966</v>
      </c>
      <c r="C34" s="53" t="s">
        <v>1240</v>
      </c>
      <c r="D34" s="115" t="s">
        <v>813</v>
      </c>
      <c r="E34" s="115" t="s">
        <v>1241</v>
      </c>
      <c r="F34" s="115"/>
    </row>
    <row r="35" spans="1:6">
      <c r="A35" s="55">
        <v>34</v>
      </c>
      <c r="B35" s="53" t="s">
        <v>967</v>
      </c>
      <c r="C35" s="53" t="s">
        <v>1242</v>
      </c>
      <c r="D35" s="115" t="s">
        <v>743</v>
      </c>
      <c r="E35" s="115" t="s">
        <v>785</v>
      </c>
      <c r="F35" s="115"/>
    </row>
    <row r="36" spans="1:6">
      <c r="A36" s="55">
        <v>35</v>
      </c>
      <c r="B36" s="53" t="s">
        <v>936</v>
      </c>
      <c r="C36" s="53" t="s">
        <v>1243</v>
      </c>
      <c r="D36" s="115" t="s">
        <v>743</v>
      </c>
      <c r="E36" s="115" t="s">
        <v>746</v>
      </c>
      <c r="F36" s="115"/>
    </row>
    <row r="37" spans="1:6">
      <c r="A37" s="55">
        <v>36</v>
      </c>
      <c r="B37" s="53" t="s">
        <v>968</v>
      </c>
      <c r="C37" s="53" t="s">
        <v>1244</v>
      </c>
      <c r="D37" s="115" t="s">
        <v>798</v>
      </c>
      <c r="E37" s="115" t="s">
        <v>1245</v>
      </c>
      <c r="F37" s="115"/>
    </row>
    <row r="38" spans="1:6">
      <c r="A38" s="55">
        <v>37</v>
      </c>
      <c r="B38" s="53" t="s">
        <v>969</v>
      </c>
      <c r="C38" s="53" t="s">
        <v>1246</v>
      </c>
      <c r="D38" s="115" t="s">
        <v>760</v>
      </c>
      <c r="E38" s="115" t="s">
        <v>1247</v>
      </c>
      <c r="F38" s="115"/>
    </row>
    <row r="39" spans="1:6">
      <c r="A39" s="55">
        <v>38</v>
      </c>
      <c r="B39" s="53" t="s">
        <v>970</v>
      </c>
      <c r="C39" s="53" t="s">
        <v>165</v>
      </c>
      <c r="D39" s="115" t="s">
        <v>743</v>
      </c>
      <c r="E39" s="115" t="s">
        <v>1248</v>
      </c>
      <c r="F39" s="115"/>
    </row>
    <row r="40" spans="1:6">
      <c r="A40" s="55">
        <v>39</v>
      </c>
      <c r="B40" s="53" t="s">
        <v>971</v>
      </c>
      <c r="C40" s="53" t="s">
        <v>1224</v>
      </c>
      <c r="D40" s="115" t="s">
        <v>743</v>
      </c>
      <c r="E40" s="115" t="s">
        <v>820</v>
      </c>
      <c r="F40" s="115"/>
    </row>
    <row r="41" spans="1:6">
      <c r="A41" s="55">
        <v>40</v>
      </c>
      <c r="B41" s="53" t="s">
        <v>896</v>
      </c>
      <c r="C41" s="53" t="s">
        <v>1249</v>
      </c>
      <c r="D41" s="115" t="s">
        <v>743</v>
      </c>
      <c r="E41" s="115" t="s">
        <v>746</v>
      </c>
      <c r="F41" s="115"/>
    </row>
    <row r="42" spans="1:6">
      <c r="A42" s="55">
        <v>41</v>
      </c>
      <c r="B42" s="53" t="s">
        <v>972</v>
      </c>
      <c r="C42" s="53" t="s">
        <v>1250</v>
      </c>
      <c r="D42" s="115" t="s">
        <v>763</v>
      </c>
      <c r="E42" s="115" t="s">
        <v>803</v>
      </c>
      <c r="F42" s="115"/>
    </row>
    <row r="43" spans="1:6">
      <c r="A43" s="55">
        <v>42</v>
      </c>
      <c r="B43" s="53" t="s">
        <v>179</v>
      </c>
      <c r="C43" s="53" t="s">
        <v>180</v>
      </c>
      <c r="D43" s="115" t="s">
        <v>743</v>
      </c>
      <c r="E43" s="115" t="s">
        <v>744</v>
      </c>
      <c r="F43" s="115"/>
    </row>
    <row r="44" spans="1:6">
      <c r="A44" s="55">
        <v>43</v>
      </c>
      <c r="B44" s="53" t="s">
        <v>973</v>
      </c>
      <c r="C44" s="53" t="s">
        <v>1251</v>
      </c>
      <c r="D44" s="115" t="s">
        <v>743</v>
      </c>
      <c r="E44" s="115" t="s">
        <v>770</v>
      </c>
      <c r="F44" s="115"/>
    </row>
    <row r="45" spans="1:6">
      <c r="A45" s="55">
        <v>44</v>
      </c>
      <c r="B45" s="53" t="s">
        <v>974</v>
      </c>
      <c r="C45" s="53" t="s">
        <v>1252</v>
      </c>
      <c r="D45" s="115" t="s">
        <v>743</v>
      </c>
      <c r="E45" s="115" t="s">
        <v>781</v>
      </c>
      <c r="F45" s="115"/>
    </row>
    <row r="46" spans="1:6">
      <c r="A46" s="126">
        <v>45</v>
      </c>
      <c r="B46" s="127" t="s">
        <v>975</v>
      </c>
      <c r="C46" s="127" t="s">
        <v>1253</v>
      </c>
      <c r="D46" s="128" t="s">
        <v>743</v>
      </c>
      <c r="E46" s="128" t="s">
        <v>746</v>
      </c>
      <c r="F46" s="128" t="s">
        <v>1221</v>
      </c>
    </row>
    <row r="47" spans="1:6">
      <c r="A47" s="55">
        <v>46</v>
      </c>
      <c r="B47" s="53" t="s">
        <v>976</v>
      </c>
      <c r="C47" s="53" t="s">
        <v>1254</v>
      </c>
      <c r="D47" s="115" t="s">
        <v>751</v>
      </c>
      <c r="E47" s="115" t="s">
        <v>768</v>
      </c>
      <c r="F47" s="115"/>
    </row>
    <row r="48" spans="1:6">
      <c r="A48" s="55">
        <v>47</v>
      </c>
      <c r="B48" s="53" t="s">
        <v>373</v>
      </c>
      <c r="C48" s="53" t="s">
        <v>180</v>
      </c>
      <c r="D48" s="115" t="s">
        <v>743</v>
      </c>
      <c r="E48" s="115" t="s">
        <v>744</v>
      </c>
      <c r="F48" s="115"/>
    </row>
    <row r="49" spans="1:6">
      <c r="A49" s="55">
        <v>48</v>
      </c>
      <c r="B49" s="53" t="s">
        <v>364</v>
      </c>
      <c r="C49" s="53" t="s">
        <v>365</v>
      </c>
      <c r="D49" s="115" t="s">
        <v>743</v>
      </c>
      <c r="E49" s="115" t="s">
        <v>744</v>
      </c>
      <c r="F49" s="115"/>
    </row>
    <row r="50" spans="1:6">
      <c r="A50" s="55">
        <v>49</v>
      </c>
      <c r="B50" s="53" t="s">
        <v>892</v>
      </c>
      <c r="C50" s="53" t="s">
        <v>1255</v>
      </c>
      <c r="D50" s="115" t="s">
        <v>743</v>
      </c>
      <c r="E50" s="115" t="s">
        <v>820</v>
      </c>
      <c r="F50" s="115"/>
    </row>
    <row r="51" spans="1:6">
      <c r="A51" s="55">
        <v>50</v>
      </c>
      <c r="B51" s="53" t="s">
        <v>977</v>
      </c>
      <c r="C51" s="53" t="s">
        <v>1256</v>
      </c>
      <c r="D51" s="115" t="s">
        <v>760</v>
      </c>
      <c r="E51" s="115" t="s">
        <v>1169</v>
      </c>
      <c r="F51" s="115" t="s">
        <v>1166</v>
      </c>
    </row>
    <row r="52" spans="1:6">
      <c r="A52" s="55">
        <v>51</v>
      </c>
      <c r="B52" s="53" t="s">
        <v>978</v>
      </c>
      <c r="C52" s="53" t="s">
        <v>1257</v>
      </c>
      <c r="D52" s="53" t="s">
        <v>748</v>
      </c>
      <c r="E52" s="115" t="s">
        <v>1258</v>
      </c>
      <c r="F52" s="115"/>
    </row>
    <row r="53" spans="1:6">
      <c r="A53" s="55">
        <v>52</v>
      </c>
      <c r="B53" s="53" t="s">
        <v>979</v>
      </c>
      <c r="C53" s="53" t="s">
        <v>1259</v>
      </c>
      <c r="D53" s="115" t="s">
        <v>760</v>
      </c>
      <c r="E53" s="115" t="s">
        <v>1247</v>
      </c>
      <c r="F53" s="115"/>
    </row>
    <row r="54" spans="1:6">
      <c r="A54" s="55">
        <v>53</v>
      </c>
      <c r="B54" s="53" t="s">
        <v>980</v>
      </c>
      <c r="C54" s="53" t="s">
        <v>1260</v>
      </c>
      <c r="D54" s="115" t="s">
        <v>743</v>
      </c>
      <c r="E54" s="115" t="s">
        <v>783</v>
      </c>
      <c r="F54" s="115"/>
    </row>
    <row r="55" spans="1:6">
      <c r="A55" s="55">
        <v>54</v>
      </c>
      <c r="B55" s="53" t="s">
        <v>981</v>
      </c>
      <c r="C55" s="53" t="s">
        <v>1261</v>
      </c>
      <c r="D55" s="115" t="s">
        <v>760</v>
      </c>
      <c r="E55" s="115" t="s">
        <v>1169</v>
      </c>
      <c r="F55" s="115" t="s">
        <v>1262</v>
      </c>
    </row>
    <row r="56" spans="1:6">
      <c r="A56" s="55">
        <v>55</v>
      </c>
      <c r="B56" s="53" t="s">
        <v>982</v>
      </c>
      <c r="C56" s="53" t="s">
        <v>1263</v>
      </c>
      <c r="D56" s="115" t="s">
        <v>743</v>
      </c>
      <c r="E56" s="115" t="s">
        <v>758</v>
      </c>
      <c r="F56" s="115"/>
    </row>
    <row r="57" spans="1:6">
      <c r="A57" s="55">
        <v>56</v>
      </c>
      <c r="B57" s="53" t="s">
        <v>983</v>
      </c>
      <c r="C57" s="53" t="s">
        <v>1264</v>
      </c>
      <c r="D57" s="115" t="s">
        <v>743</v>
      </c>
      <c r="E57" s="115" t="s">
        <v>818</v>
      </c>
      <c r="F57" s="115"/>
    </row>
    <row r="58" spans="1:6">
      <c r="A58" s="55">
        <v>57</v>
      </c>
      <c r="B58" s="53" t="s">
        <v>984</v>
      </c>
      <c r="C58" s="53" t="s">
        <v>1265</v>
      </c>
      <c r="D58" s="115" t="s">
        <v>743</v>
      </c>
      <c r="E58" s="115" t="s">
        <v>820</v>
      </c>
      <c r="F58" s="115"/>
    </row>
    <row r="59" spans="1:6">
      <c r="A59" s="55">
        <v>58</v>
      </c>
      <c r="B59" s="53" t="s">
        <v>985</v>
      </c>
      <c r="C59" s="53" t="s">
        <v>1266</v>
      </c>
      <c r="D59" s="115" t="s">
        <v>763</v>
      </c>
      <c r="E59" s="115" t="s">
        <v>803</v>
      </c>
      <c r="F59" s="115" t="s">
        <v>1267</v>
      </c>
    </row>
    <row r="60" spans="1:6">
      <c r="A60" s="55">
        <v>59</v>
      </c>
      <c r="B60" s="53" t="s">
        <v>986</v>
      </c>
      <c r="C60" s="53" t="s">
        <v>1268</v>
      </c>
      <c r="D60" s="115" t="s">
        <v>774</v>
      </c>
      <c r="E60" s="115" t="s">
        <v>777</v>
      </c>
      <c r="F60" s="115" t="s">
        <v>1269</v>
      </c>
    </row>
    <row r="61" spans="1:6">
      <c r="A61" s="55">
        <v>60</v>
      </c>
      <c r="B61" s="53" t="s">
        <v>987</v>
      </c>
      <c r="C61" s="53" t="s">
        <v>1270</v>
      </c>
      <c r="D61" s="115" t="s">
        <v>813</v>
      </c>
      <c r="E61" s="115" t="s">
        <v>1271</v>
      </c>
      <c r="F61" s="115"/>
    </row>
    <row r="62" spans="1:6">
      <c r="A62" s="55">
        <v>61</v>
      </c>
      <c r="B62" s="53" t="s">
        <v>988</v>
      </c>
      <c r="C62" s="53" t="s">
        <v>1254</v>
      </c>
      <c r="D62" s="115" t="s">
        <v>743</v>
      </c>
      <c r="E62" s="115" t="s">
        <v>746</v>
      </c>
      <c r="F62" s="115"/>
    </row>
    <row r="63" spans="1:6">
      <c r="A63" s="55">
        <v>62</v>
      </c>
      <c r="B63" s="53" t="s">
        <v>900</v>
      </c>
      <c r="C63" s="53" t="s">
        <v>391</v>
      </c>
      <c r="D63" s="115" t="s">
        <v>751</v>
      </c>
      <c r="E63" s="115" t="s">
        <v>768</v>
      </c>
      <c r="F63" s="53" t="s">
        <v>1272</v>
      </c>
    </row>
    <row r="64" spans="1:6">
      <c r="A64" s="55">
        <v>63</v>
      </c>
      <c r="B64" s="53" t="s">
        <v>190</v>
      </c>
      <c r="C64" s="53" t="s">
        <v>191</v>
      </c>
      <c r="D64" s="115" t="s">
        <v>740</v>
      </c>
      <c r="E64" s="53" t="s">
        <v>741</v>
      </c>
      <c r="F64" s="115"/>
    </row>
    <row r="65" spans="1:6">
      <c r="A65" s="55">
        <v>64</v>
      </c>
      <c r="B65" s="53" t="s">
        <v>989</v>
      </c>
      <c r="C65" s="53" t="s">
        <v>1273</v>
      </c>
      <c r="D65" s="115" t="s">
        <v>798</v>
      </c>
      <c r="E65" s="115" t="s">
        <v>801</v>
      </c>
      <c r="F65" s="115"/>
    </row>
    <row r="66" spans="1:6">
      <c r="A66" s="55">
        <v>65</v>
      </c>
      <c r="B66" s="53" t="s">
        <v>990</v>
      </c>
      <c r="C66" s="53" t="s">
        <v>1274</v>
      </c>
      <c r="D66" s="115" t="s">
        <v>743</v>
      </c>
      <c r="E66" s="115" t="s">
        <v>818</v>
      </c>
      <c r="F66" s="115"/>
    </row>
    <row r="67" spans="1:6">
      <c r="A67" s="55">
        <v>66</v>
      </c>
      <c r="B67" s="53" t="s">
        <v>991</v>
      </c>
      <c r="C67" s="53" t="s">
        <v>1275</v>
      </c>
      <c r="D67" s="53" t="s">
        <v>748</v>
      </c>
      <c r="E67" s="115" t="s">
        <v>772</v>
      </c>
      <c r="F67" s="115"/>
    </row>
    <row r="68" spans="1:6">
      <c r="A68" s="55">
        <v>67</v>
      </c>
      <c r="B68" s="53" t="s">
        <v>906</v>
      </c>
      <c r="C68" s="53" t="s">
        <v>1276</v>
      </c>
      <c r="D68" s="115" t="s">
        <v>740</v>
      </c>
      <c r="E68" s="53" t="s">
        <v>741</v>
      </c>
      <c r="F68" s="115" t="s">
        <v>1277</v>
      </c>
    </row>
    <row r="69" spans="1:6">
      <c r="A69" s="55">
        <v>68</v>
      </c>
      <c r="B69" s="53" t="s">
        <v>439</v>
      </c>
      <c r="C69" s="53" t="s">
        <v>440</v>
      </c>
      <c r="D69" s="115" t="s">
        <v>751</v>
      </c>
      <c r="E69" s="115" t="s">
        <v>779</v>
      </c>
      <c r="F69" s="115" t="s">
        <v>1278</v>
      </c>
    </row>
    <row r="70" spans="1:6">
      <c r="A70" s="55">
        <v>69</v>
      </c>
      <c r="B70" s="53" t="s">
        <v>992</v>
      </c>
      <c r="C70" s="53" t="s">
        <v>1279</v>
      </c>
      <c r="D70" s="115" t="s">
        <v>760</v>
      </c>
      <c r="E70" s="115" t="s">
        <v>761</v>
      </c>
      <c r="F70" s="115"/>
    </row>
    <row r="71" spans="1:6">
      <c r="A71" s="55">
        <v>70</v>
      </c>
      <c r="B71" s="53" t="s">
        <v>993</v>
      </c>
      <c r="C71" s="53" t="s">
        <v>1280</v>
      </c>
      <c r="D71" s="115" t="s">
        <v>743</v>
      </c>
      <c r="E71" s="115" t="s">
        <v>770</v>
      </c>
      <c r="F71" s="115"/>
    </row>
    <row r="72" spans="1:6">
      <c r="A72" s="55">
        <v>71</v>
      </c>
      <c r="B72" s="53" t="s">
        <v>994</v>
      </c>
      <c r="C72" s="53" t="s">
        <v>1226</v>
      </c>
      <c r="D72" s="115" t="s">
        <v>743</v>
      </c>
      <c r="E72" s="115" t="s">
        <v>783</v>
      </c>
      <c r="F72" s="115" t="s">
        <v>1281</v>
      </c>
    </row>
    <row r="73" spans="1:6">
      <c r="A73" s="55">
        <v>72</v>
      </c>
      <c r="B73" s="53" t="s">
        <v>995</v>
      </c>
      <c r="C73" s="53" t="s">
        <v>1282</v>
      </c>
      <c r="D73" s="115" t="s">
        <v>774</v>
      </c>
      <c r="E73" s="115" t="s">
        <v>777</v>
      </c>
      <c r="F73" s="115" t="s">
        <v>1283</v>
      </c>
    </row>
    <row r="74" spans="1:6">
      <c r="A74" s="55">
        <v>73</v>
      </c>
      <c r="B74" s="53" t="s">
        <v>934</v>
      </c>
      <c r="C74" s="53" t="s">
        <v>383</v>
      </c>
      <c r="D74" s="115" t="s">
        <v>743</v>
      </c>
      <c r="E74" s="115" t="s">
        <v>816</v>
      </c>
      <c r="F74" s="115" t="s">
        <v>1284</v>
      </c>
    </row>
    <row r="75" spans="1:6">
      <c r="A75" s="55">
        <v>74</v>
      </c>
      <c r="B75" s="53" t="s">
        <v>996</v>
      </c>
      <c r="C75" s="53" t="s">
        <v>172</v>
      </c>
      <c r="D75" s="115" t="s">
        <v>743</v>
      </c>
      <c r="E75" s="115" t="s">
        <v>758</v>
      </c>
      <c r="F75" s="115"/>
    </row>
    <row r="76" spans="1:6">
      <c r="A76" s="55">
        <v>75</v>
      </c>
      <c r="B76" s="53" t="s">
        <v>997</v>
      </c>
      <c r="C76" s="53" t="s">
        <v>1222</v>
      </c>
      <c r="D76" s="115" t="s">
        <v>743</v>
      </c>
      <c r="E76" s="115" t="s">
        <v>781</v>
      </c>
      <c r="F76" s="115"/>
    </row>
    <row r="77" spans="1:6">
      <c r="A77" s="55">
        <v>76</v>
      </c>
      <c r="B77" s="53" t="s">
        <v>998</v>
      </c>
      <c r="C77" s="53" t="s">
        <v>1285</v>
      </c>
      <c r="D77" s="115" t="s">
        <v>743</v>
      </c>
      <c r="E77" s="115" t="s">
        <v>754</v>
      </c>
      <c r="F77" s="115" t="s">
        <v>1227</v>
      </c>
    </row>
    <row r="78" spans="1:6">
      <c r="A78" s="55">
        <v>77</v>
      </c>
      <c r="B78" s="53" t="s">
        <v>999</v>
      </c>
      <c r="C78" s="53" t="s">
        <v>1286</v>
      </c>
      <c r="D78" s="115" t="s">
        <v>751</v>
      </c>
      <c r="E78" s="115" t="s">
        <v>768</v>
      </c>
      <c r="F78" s="115"/>
    </row>
    <row r="79" spans="1:6">
      <c r="A79" s="55">
        <v>78</v>
      </c>
      <c r="B79" s="53" t="s">
        <v>1000</v>
      </c>
      <c r="C79" s="53" t="s">
        <v>1287</v>
      </c>
      <c r="D79" s="115" t="s">
        <v>743</v>
      </c>
      <c r="E79" s="115" t="s">
        <v>820</v>
      </c>
      <c r="F79" s="115"/>
    </row>
    <row r="80" spans="1:6">
      <c r="A80" s="55">
        <v>79</v>
      </c>
      <c r="B80" s="53" t="s">
        <v>1001</v>
      </c>
      <c r="C80" s="53" t="s">
        <v>1223</v>
      </c>
      <c r="D80" s="115" t="s">
        <v>760</v>
      </c>
      <c r="E80" s="115" t="s">
        <v>761</v>
      </c>
      <c r="F80" s="115"/>
    </row>
    <row r="81" spans="1:6">
      <c r="A81" s="126">
        <v>80</v>
      </c>
      <c r="B81" s="128" t="s">
        <v>789</v>
      </c>
      <c r="C81" s="127" t="s">
        <v>790</v>
      </c>
      <c r="D81" s="128" t="s">
        <v>789</v>
      </c>
      <c r="E81" s="127" t="s">
        <v>790</v>
      </c>
      <c r="F81" s="128" t="s">
        <v>1288</v>
      </c>
    </row>
    <row r="82" spans="1:6">
      <c r="A82" s="55">
        <v>81</v>
      </c>
      <c r="B82" s="53" t="s">
        <v>1002</v>
      </c>
      <c r="C82" s="53" t="s">
        <v>1289</v>
      </c>
      <c r="D82" s="115" t="s">
        <v>743</v>
      </c>
      <c r="E82" s="115" t="s">
        <v>746</v>
      </c>
      <c r="F82" s="115"/>
    </row>
    <row r="83" spans="1:6">
      <c r="A83" s="55">
        <v>82</v>
      </c>
      <c r="B83" s="53" t="s">
        <v>1003</v>
      </c>
      <c r="C83" s="53" t="s">
        <v>1226</v>
      </c>
      <c r="D83" s="115" t="s">
        <v>743</v>
      </c>
      <c r="E83" s="115" t="s">
        <v>783</v>
      </c>
      <c r="F83" s="115"/>
    </row>
    <row r="84" spans="1:6">
      <c r="A84" s="55">
        <v>83</v>
      </c>
      <c r="B84" s="53" t="s">
        <v>839</v>
      </c>
      <c r="C84" s="53" t="s">
        <v>1290</v>
      </c>
      <c r="D84" s="115" t="s">
        <v>743</v>
      </c>
      <c r="E84" s="115" t="s">
        <v>758</v>
      </c>
      <c r="F84" s="53" t="s">
        <v>1291</v>
      </c>
    </row>
    <row r="85" spans="1:6">
      <c r="A85" s="55">
        <v>84</v>
      </c>
      <c r="B85" s="53" t="s">
        <v>1004</v>
      </c>
      <c r="C85" s="53" t="s">
        <v>1292</v>
      </c>
      <c r="D85" s="115" t="s">
        <v>760</v>
      </c>
      <c r="E85" s="115" t="s">
        <v>1169</v>
      </c>
      <c r="F85" s="115" t="s">
        <v>1293</v>
      </c>
    </row>
    <row r="86" spans="1:6">
      <c r="A86" s="55">
        <v>85</v>
      </c>
      <c r="B86" s="53" t="s">
        <v>1005</v>
      </c>
      <c r="C86" s="53" t="s">
        <v>1294</v>
      </c>
      <c r="D86" s="115" t="s">
        <v>760</v>
      </c>
      <c r="E86" s="115" t="s">
        <v>1247</v>
      </c>
      <c r="F86" s="115" t="s">
        <v>1295</v>
      </c>
    </row>
    <row r="87" spans="1:6">
      <c r="A87" s="55">
        <v>86</v>
      </c>
      <c r="B87" s="53" t="s">
        <v>1006</v>
      </c>
      <c r="C87" s="53" t="s">
        <v>1296</v>
      </c>
      <c r="D87" s="115" t="s">
        <v>743</v>
      </c>
      <c r="E87" s="115" t="s">
        <v>816</v>
      </c>
      <c r="F87" s="115" t="s">
        <v>1297</v>
      </c>
    </row>
    <row r="88" spans="1:6">
      <c r="A88" s="126">
        <v>87</v>
      </c>
      <c r="B88" s="127" t="s">
        <v>921</v>
      </c>
      <c r="C88" s="127" t="s">
        <v>191</v>
      </c>
      <c r="D88" s="128" t="s">
        <v>740</v>
      </c>
      <c r="E88" s="127" t="s">
        <v>741</v>
      </c>
      <c r="F88" s="128" t="s">
        <v>1221</v>
      </c>
    </row>
    <row r="89" spans="1:6">
      <c r="A89" s="55">
        <v>88</v>
      </c>
      <c r="B89" s="53" t="s">
        <v>1007</v>
      </c>
      <c r="C89" s="53" t="s">
        <v>1298</v>
      </c>
      <c r="D89" s="115" t="s">
        <v>743</v>
      </c>
      <c r="E89" s="115" t="s">
        <v>746</v>
      </c>
      <c r="F89" s="115"/>
    </row>
    <row r="90" spans="1:6">
      <c r="A90" s="55">
        <v>89</v>
      </c>
      <c r="B90" s="53" t="s">
        <v>1008</v>
      </c>
      <c r="C90" s="53" t="s">
        <v>1299</v>
      </c>
      <c r="D90" s="115" t="s">
        <v>774</v>
      </c>
      <c r="E90" s="115" t="s">
        <v>777</v>
      </c>
      <c r="F90" s="115"/>
    </row>
    <row r="91" spans="1:6">
      <c r="A91" s="55">
        <v>90</v>
      </c>
      <c r="B91" s="53" t="s">
        <v>1009</v>
      </c>
      <c r="C91" s="53" t="s">
        <v>1279</v>
      </c>
      <c r="D91" s="115" t="s">
        <v>743</v>
      </c>
      <c r="E91" s="115" t="s">
        <v>783</v>
      </c>
      <c r="F91" s="115"/>
    </row>
    <row r="92" spans="1:6">
      <c r="A92" s="55">
        <v>91</v>
      </c>
      <c r="B92" s="53" t="s">
        <v>1010</v>
      </c>
      <c r="C92" s="53" t="s">
        <v>1234</v>
      </c>
      <c r="D92" s="115" t="s">
        <v>763</v>
      </c>
      <c r="E92" s="115" t="s">
        <v>1300</v>
      </c>
      <c r="F92" s="115"/>
    </row>
    <row r="93" spans="1:6">
      <c r="A93" s="55">
        <v>92</v>
      </c>
      <c r="B93" s="53" t="s">
        <v>1011</v>
      </c>
      <c r="C93" s="53" t="s">
        <v>1301</v>
      </c>
      <c r="D93" s="115" t="s">
        <v>743</v>
      </c>
      <c r="E93" s="115" t="s">
        <v>758</v>
      </c>
      <c r="F93" s="115"/>
    </row>
    <row r="94" spans="1:6">
      <c r="A94" s="55">
        <v>93</v>
      </c>
      <c r="B94" s="53" t="s">
        <v>1012</v>
      </c>
      <c r="C94" s="53" t="s">
        <v>1302</v>
      </c>
      <c r="D94" s="115" t="s">
        <v>774</v>
      </c>
      <c r="E94" s="115" t="s">
        <v>777</v>
      </c>
      <c r="F94" s="115" t="s">
        <v>1303</v>
      </c>
    </row>
    <row r="95" spans="1:6">
      <c r="A95" s="55">
        <v>94</v>
      </c>
      <c r="B95" s="53" t="s">
        <v>1013</v>
      </c>
      <c r="C95" s="53" t="s">
        <v>169</v>
      </c>
      <c r="D95" s="115" t="s">
        <v>743</v>
      </c>
      <c r="E95" s="115" t="s">
        <v>785</v>
      </c>
      <c r="F95" s="115"/>
    </row>
    <row r="96" spans="1:6">
      <c r="A96" s="55">
        <v>95</v>
      </c>
      <c r="B96" s="53" t="s">
        <v>1014</v>
      </c>
      <c r="C96" s="53" t="s">
        <v>1304</v>
      </c>
      <c r="D96" s="115" t="s">
        <v>760</v>
      </c>
      <c r="E96" s="115" t="s">
        <v>1305</v>
      </c>
      <c r="F96" s="115" t="s">
        <v>1306</v>
      </c>
    </row>
    <row r="97" spans="1:6">
      <c r="A97" s="55">
        <v>96</v>
      </c>
      <c r="B97" s="53" t="s">
        <v>1015</v>
      </c>
      <c r="C97" s="53" t="s">
        <v>1307</v>
      </c>
      <c r="D97" s="115" t="s">
        <v>743</v>
      </c>
      <c r="E97" s="115" t="s">
        <v>746</v>
      </c>
      <c r="F97" s="115"/>
    </row>
    <row r="98" spans="1:6">
      <c r="A98" s="55">
        <v>97</v>
      </c>
      <c r="B98" s="53" t="s">
        <v>886</v>
      </c>
      <c r="C98" s="53" t="s">
        <v>195</v>
      </c>
      <c r="D98" s="115" t="s">
        <v>763</v>
      </c>
      <c r="E98" s="115" t="s">
        <v>764</v>
      </c>
      <c r="F98" s="115"/>
    </row>
    <row r="99" spans="1:6">
      <c r="A99" s="55">
        <v>98</v>
      </c>
      <c r="B99" s="53" t="s">
        <v>390</v>
      </c>
      <c r="C99" s="53" t="s">
        <v>391</v>
      </c>
      <c r="D99" s="115" t="s">
        <v>751</v>
      </c>
      <c r="E99" s="115" t="s">
        <v>756</v>
      </c>
      <c r="F99" s="115"/>
    </row>
    <row r="100" spans="1:6">
      <c r="A100" s="55">
        <v>99</v>
      </c>
      <c r="B100" s="53" t="s">
        <v>1016</v>
      </c>
      <c r="C100" s="53" t="s">
        <v>1308</v>
      </c>
      <c r="D100" s="115" t="s">
        <v>751</v>
      </c>
      <c r="E100" s="115" t="s">
        <v>1309</v>
      </c>
      <c r="F100" s="115" t="s">
        <v>1310</v>
      </c>
    </row>
    <row r="101" spans="1:6">
      <c r="A101" s="126">
        <v>100</v>
      </c>
      <c r="B101" s="127" t="s">
        <v>1017</v>
      </c>
      <c r="C101" s="127" t="s">
        <v>1311</v>
      </c>
      <c r="D101" s="128" t="s">
        <v>760</v>
      </c>
      <c r="E101" s="128" t="s">
        <v>1169</v>
      </c>
      <c r="F101" s="128" t="s">
        <v>1221</v>
      </c>
    </row>
  </sheetData>
  <autoFilter ref="A1:F101" xr:uid="{00000000-0009-0000-0000-000011000000}"/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A6A6A6"/>
  </sheetPr>
  <dimension ref="A1:O101"/>
  <sheetViews>
    <sheetView zoomScaleNormal="100" workbookViewId="0">
      <pane ySplit="1" topLeftCell="A40" activePane="bottomLeft" state="frozen"/>
      <selection pane="bottomLeft"/>
    </sheetView>
  </sheetViews>
  <sheetFormatPr baseColWidth="10" defaultColWidth="8.6640625" defaultRowHeight="15"/>
  <cols>
    <col min="1" max="1" width="6" customWidth="1"/>
    <col min="2" max="2" width="38" customWidth="1"/>
    <col min="3" max="3" width="26" customWidth="1"/>
    <col min="4" max="5" width="24" customWidth="1"/>
    <col min="6" max="6" width="22" customWidth="1"/>
    <col min="8" max="8" width="24" customWidth="1"/>
    <col min="9" max="9" width="13" customWidth="1"/>
    <col min="10" max="10" width="11" customWidth="1"/>
    <col min="11" max="11" width="16" customWidth="1"/>
    <col min="12" max="12" width="11" customWidth="1"/>
    <col min="13" max="13" width="15" customWidth="1"/>
  </cols>
  <sheetData>
    <row r="1" spans="1:15" ht="32">
      <c r="A1" s="26" t="s">
        <v>163</v>
      </c>
      <c r="B1" s="26" t="s">
        <v>825</v>
      </c>
      <c r="C1" s="26" t="s">
        <v>143</v>
      </c>
      <c r="D1" s="26" t="s">
        <v>733</v>
      </c>
      <c r="E1" s="26" t="s">
        <v>734</v>
      </c>
      <c r="F1" s="26" t="s">
        <v>6</v>
      </c>
      <c r="H1" s="79" t="s">
        <v>733</v>
      </c>
      <c r="I1" s="79" t="s">
        <v>1312</v>
      </c>
      <c r="J1" s="79" t="s">
        <v>1313</v>
      </c>
      <c r="K1" s="79" t="s">
        <v>1314</v>
      </c>
      <c r="L1" s="79" t="s">
        <v>1315</v>
      </c>
      <c r="M1" s="79" t="s">
        <v>1316</v>
      </c>
      <c r="O1" s="110" t="s">
        <v>1317</v>
      </c>
    </row>
    <row r="2" spans="1:15">
      <c r="A2" s="55">
        <v>1</v>
      </c>
      <c r="B2" s="82" t="s">
        <v>187</v>
      </c>
      <c r="C2" s="82" t="s">
        <v>188</v>
      </c>
      <c r="D2" s="83" t="s">
        <v>751</v>
      </c>
      <c r="E2" s="83" t="s">
        <v>756</v>
      </c>
      <c r="F2" s="83"/>
      <c r="H2" s="84" t="s">
        <v>743</v>
      </c>
      <c r="I2" s="83">
        <f t="shared" ref="I2:I12" si="0">COUNTIF($D$2:$D$101,H2)</f>
        <v>31</v>
      </c>
      <c r="J2" s="129">
        <f t="shared" ref="J2:J12" si="1">I2/$I$13</f>
        <v>0.31</v>
      </c>
      <c r="K2" s="83">
        <f>COUNTIF('4-4 Google Play Top100(참조)'!$D$2:$D$101,H2)</f>
        <v>53</v>
      </c>
      <c r="L2" s="129">
        <f t="shared" ref="L2:L12" si="2">K2/$K$13</f>
        <v>0.53</v>
      </c>
      <c r="M2" s="129">
        <f t="shared" ref="M2:M12" si="3">J2-L2</f>
        <v>-0.22000000000000003</v>
      </c>
    </row>
    <row r="3" spans="1:15">
      <c r="A3" s="55">
        <v>2</v>
      </c>
      <c r="B3" s="82" t="s">
        <v>870</v>
      </c>
      <c r="C3" s="82" t="s">
        <v>1216</v>
      </c>
      <c r="D3" s="83" t="s">
        <v>795</v>
      </c>
      <c r="E3" s="82" t="s">
        <v>796</v>
      </c>
      <c r="F3" s="83"/>
      <c r="H3" s="84" t="s">
        <v>1318</v>
      </c>
      <c r="I3" s="83">
        <f t="shared" si="0"/>
        <v>3</v>
      </c>
      <c r="J3" s="129">
        <f t="shared" si="1"/>
        <v>0.03</v>
      </c>
      <c r="K3" s="83">
        <f>COUNTIF('4-4 Google Play Top100(참조)'!$D$2:$D$101,H3)</f>
        <v>17</v>
      </c>
      <c r="L3" s="129">
        <f t="shared" si="2"/>
        <v>0.17</v>
      </c>
      <c r="M3" s="129">
        <f t="shared" si="3"/>
        <v>-0.14000000000000001</v>
      </c>
    </row>
    <row r="4" spans="1:15">
      <c r="A4" s="55">
        <v>3</v>
      </c>
      <c r="B4" s="82" t="s">
        <v>364</v>
      </c>
      <c r="C4" s="82" t="s">
        <v>365</v>
      </c>
      <c r="D4" s="83" t="s">
        <v>743</v>
      </c>
      <c r="E4" s="83" t="s">
        <v>744</v>
      </c>
      <c r="F4" s="83"/>
      <c r="H4" s="84" t="s">
        <v>1319</v>
      </c>
      <c r="I4" s="83">
        <f t="shared" si="0"/>
        <v>23</v>
      </c>
      <c r="J4" s="129">
        <f t="shared" si="1"/>
        <v>0.23</v>
      </c>
      <c r="K4" s="83">
        <f>COUNTIF('4-4 Google Play Top100(참조)'!$D$2:$D$101,H4)</f>
        <v>7</v>
      </c>
      <c r="L4" s="129">
        <f t="shared" si="2"/>
        <v>7.0000000000000007E-2</v>
      </c>
      <c r="M4" s="129">
        <f t="shared" si="3"/>
        <v>0.16</v>
      </c>
    </row>
    <row r="5" spans="1:15">
      <c r="A5" s="55">
        <v>4</v>
      </c>
      <c r="B5" s="82" t="s">
        <v>179</v>
      </c>
      <c r="C5" s="82" t="s">
        <v>180</v>
      </c>
      <c r="D5" s="83" t="s">
        <v>743</v>
      </c>
      <c r="E5" s="83" t="s">
        <v>744</v>
      </c>
      <c r="F5" s="83"/>
      <c r="H5" s="84" t="s">
        <v>774</v>
      </c>
      <c r="I5" s="83">
        <f t="shared" si="0"/>
        <v>3</v>
      </c>
      <c r="J5" s="129">
        <f t="shared" si="1"/>
        <v>0.03</v>
      </c>
      <c r="K5" s="83">
        <f>COUNTIF('4-4 Google Play Top100(참조)'!$D$2:$D$101,H5)</f>
        <v>6</v>
      </c>
      <c r="L5" s="129">
        <f t="shared" si="2"/>
        <v>0.06</v>
      </c>
      <c r="M5" s="129">
        <f t="shared" si="3"/>
        <v>-0.03</v>
      </c>
    </row>
    <row r="6" spans="1:15">
      <c r="A6" s="55">
        <v>5</v>
      </c>
      <c r="B6" s="82" t="s">
        <v>871</v>
      </c>
      <c r="C6" s="82" t="s">
        <v>184</v>
      </c>
      <c r="D6" s="83" t="s">
        <v>743</v>
      </c>
      <c r="E6" s="83" t="s">
        <v>754</v>
      </c>
      <c r="F6" s="83" t="s">
        <v>1227</v>
      </c>
      <c r="H6" s="84" t="s">
        <v>740</v>
      </c>
      <c r="I6" s="83">
        <f t="shared" si="0"/>
        <v>17</v>
      </c>
      <c r="J6" s="129">
        <f t="shared" si="1"/>
        <v>0.17</v>
      </c>
      <c r="K6" s="83">
        <f>COUNTIF('4-4 Google Play Top100(참조)'!$D$2:$D$101,H6)</f>
        <v>3</v>
      </c>
      <c r="L6" s="129">
        <f t="shared" si="2"/>
        <v>0.03</v>
      </c>
      <c r="M6" s="129">
        <f t="shared" si="3"/>
        <v>0.14000000000000001</v>
      </c>
    </row>
    <row r="7" spans="1:15">
      <c r="A7" s="55">
        <v>6</v>
      </c>
      <c r="B7" s="82" t="s">
        <v>872</v>
      </c>
      <c r="C7" s="82" t="s">
        <v>1232</v>
      </c>
      <c r="D7" s="83" t="s">
        <v>774</v>
      </c>
      <c r="E7" s="83" t="s">
        <v>775</v>
      </c>
      <c r="F7" s="83"/>
      <c r="H7" s="84" t="s">
        <v>1320</v>
      </c>
      <c r="I7" s="83">
        <f t="shared" si="0"/>
        <v>4</v>
      </c>
      <c r="J7" s="129">
        <f t="shared" si="1"/>
        <v>0.04</v>
      </c>
      <c r="K7" s="83">
        <f>COUNTIF('4-4 Google Play Top100(참조)'!$D$2:$D$101,H7)</f>
        <v>5</v>
      </c>
      <c r="L7" s="129">
        <f t="shared" si="2"/>
        <v>0.05</v>
      </c>
      <c r="M7" s="129">
        <f t="shared" si="3"/>
        <v>-1.0000000000000002E-2</v>
      </c>
    </row>
    <row r="8" spans="1:15">
      <c r="A8" s="55">
        <v>7</v>
      </c>
      <c r="B8" s="82" t="s">
        <v>382</v>
      </c>
      <c r="C8" s="82" t="s">
        <v>383</v>
      </c>
      <c r="D8" s="83" t="s">
        <v>751</v>
      </c>
      <c r="E8" s="83" t="s">
        <v>756</v>
      </c>
      <c r="F8" s="83"/>
      <c r="H8" s="84" t="s">
        <v>798</v>
      </c>
      <c r="I8" s="83">
        <f t="shared" si="0"/>
        <v>2</v>
      </c>
      <c r="J8" s="129">
        <f t="shared" si="1"/>
        <v>0.02</v>
      </c>
      <c r="K8" s="83">
        <f>COUNTIF('4-4 Google Play Top100(참조)'!$D$2:$D$101,H8)</f>
        <v>2</v>
      </c>
      <c r="L8" s="129">
        <f t="shared" si="2"/>
        <v>0.02</v>
      </c>
      <c r="M8" s="129">
        <f t="shared" si="3"/>
        <v>0</v>
      </c>
    </row>
    <row r="9" spans="1:15">
      <c r="A9" s="55">
        <v>8</v>
      </c>
      <c r="B9" s="82" t="s">
        <v>399</v>
      </c>
      <c r="C9" s="82" t="s">
        <v>191</v>
      </c>
      <c r="D9" s="83" t="s">
        <v>740</v>
      </c>
      <c r="E9" s="82" t="s">
        <v>741</v>
      </c>
      <c r="F9" s="83"/>
      <c r="H9" s="130" t="s">
        <v>748</v>
      </c>
      <c r="I9" s="83">
        <f t="shared" si="0"/>
        <v>12</v>
      </c>
      <c r="J9" s="129">
        <f t="shared" si="1"/>
        <v>0.12</v>
      </c>
      <c r="K9" s="83">
        <f>COUNTIF('4-4 Google Play Top100(참조)'!$D$2:$D$101,H9)</f>
        <v>2</v>
      </c>
      <c r="L9" s="129">
        <f t="shared" si="2"/>
        <v>0.02</v>
      </c>
      <c r="M9" s="129">
        <f t="shared" si="3"/>
        <v>9.9999999999999992E-2</v>
      </c>
    </row>
    <row r="10" spans="1:15">
      <c r="A10" s="55">
        <v>9</v>
      </c>
      <c r="B10" s="82" t="s">
        <v>373</v>
      </c>
      <c r="C10" s="82" t="s">
        <v>180</v>
      </c>
      <c r="D10" s="83" t="s">
        <v>743</v>
      </c>
      <c r="E10" s="83" t="s">
        <v>744</v>
      </c>
      <c r="F10" s="83"/>
      <c r="H10" s="84" t="s">
        <v>1321</v>
      </c>
      <c r="I10" s="83">
        <f t="shared" si="0"/>
        <v>0</v>
      </c>
      <c r="J10" s="129">
        <f t="shared" si="1"/>
        <v>0</v>
      </c>
      <c r="K10" s="83">
        <f>COUNTIF('4-4 Google Play Top100(참조)'!$D$2:$D$101,H10)</f>
        <v>3</v>
      </c>
      <c r="L10" s="129">
        <f t="shared" si="2"/>
        <v>0.03</v>
      </c>
      <c r="M10" s="129">
        <f t="shared" si="3"/>
        <v>-0.03</v>
      </c>
    </row>
    <row r="11" spans="1:15">
      <c r="A11" s="55">
        <v>10</v>
      </c>
      <c r="B11" s="82" t="s">
        <v>190</v>
      </c>
      <c r="C11" s="82" t="s">
        <v>191</v>
      </c>
      <c r="D11" s="83" t="s">
        <v>740</v>
      </c>
      <c r="E11" s="82" t="s">
        <v>741</v>
      </c>
      <c r="F11" s="83"/>
      <c r="H11" s="84" t="s">
        <v>1322</v>
      </c>
      <c r="I11" s="83">
        <f t="shared" si="0"/>
        <v>1</v>
      </c>
      <c r="J11" s="129">
        <f t="shared" si="1"/>
        <v>0.01</v>
      </c>
      <c r="K11" s="83">
        <f>COUNTIF('4-4 Google Play Top100(참조)'!$D$2:$D$101,H11)</f>
        <v>1</v>
      </c>
      <c r="L11" s="129">
        <f t="shared" si="2"/>
        <v>0.01</v>
      </c>
      <c r="M11" s="129">
        <f t="shared" si="3"/>
        <v>0</v>
      </c>
    </row>
    <row r="12" spans="1:15">
      <c r="A12" s="55">
        <v>11</v>
      </c>
      <c r="B12" s="82" t="s">
        <v>432</v>
      </c>
      <c r="C12" s="82" t="s">
        <v>1323</v>
      </c>
      <c r="D12" s="82" t="s">
        <v>748</v>
      </c>
      <c r="E12" s="83" t="s">
        <v>793</v>
      </c>
      <c r="F12" s="83"/>
      <c r="H12" s="84" t="s">
        <v>789</v>
      </c>
      <c r="I12" s="83">
        <f t="shared" si="0"/>
        <v>4</v>
      </c>
      <c r="J12" s="129">
        <f t="shared" si="1"/>
        <v>0.04</v>
      </c>
      <c r="K12" s="83">
        <f>COUNTIF('4-4 Google Play Top100(참조)'!$D$2:$D$101,H12)</f>
        <v>1</v>
      </c>
      <c r="L12" s="129">
        <f t="shared" si="2"/>
        <v>0.01</v>
      </c>
      <c r="M12" s="129">
        <f t="shared" si="3"/>
        <v>0.03</v>
      </c>
    </row>
    <row r="13" spans="1:15">
      <c r="A13" s="55">
        <v>12</v>
      </c>
      <c r="B13" s="82" t="s">
        <v>873</v>
      </c>
      <c r="C13" s="82" t="s">
        <v>1324</v>
      </c>
      <c r="D13" s="83" t="s">
        <v>740</v>
      </c>
      <c r="E13" s="82" t="s">
        <v>741</v>
      </c>
      <c r="F13" s="83"/>
      <c r="H13" s="84" t="s">
        <v>726</v>
      </c>
      <c r="I13" s="83">
        <f>SUM(I2:I12)</f>
        <v>100</v>
      </c>
      <c r="J13" s="129">
        <f>SUM(J2:J12)</f>
        <v>1</v>
      </c>
      <c r="K13" s="83">
        <f>SUM(K2:K12)</f>
        <v>100</v>
      </c>
      <c r="L13" s="129">
        <f>SUM(L2:L12)</f>
        <v>1.0000000000000002</v>
      </c>
      <c r="M13" s="129"/>
    </row>
    <row r="14" spans="1:15">
      <c r="A14" s="55">
        <v>13</v>
      </c>
      <c r="B14" s="82" t="s">
        <v>874</v>
      </c>
      <c r="C14" s="82" t="s">
        <v>1325</v>
      </c>
      <c r="D14" s="82" t="s">
        <v>748</v>
      </c>
      <c r="E14" s="83" t="s">
        <v>749</v>
      </c>
      <c r="F14" s="82" t="s">
        <v>1272</v>
      </c>
    </row>
    <row r="15" spans="1:15">
      <c r="A15" s="55">
        <v>14</v>
      </c>
      <c r="B15" s="82" t="s">
        <v>875</v>
      </c>
      <c r="C15" s="82" t="s">
        <v>1290</v>
      </c>
      <c r="D15" s="83" t="s">
        <v>743</v>
      </c>
      <c r="E15" s="83" t="s">
        <v>744</v>
      </c>
      <c r="F15" s="83" t="s">
        <v>1326</v>
      </c>
      <c r="H15" s="29" t="s">
        <v>1327</v>
      </c>
    </row>
    <row r="16" spans="1:15">
      <c r="A16" s="55">
        <v>15</v>
      </c>
      <c r="B16" s="82" t="s">
        <v>876</v>
      </c>
      <c r="C16" s="82" t="s">
        <v>1328</v>
      </c>
      <c r="D16" s="83" t="s">
        <v>740</v>
      </c>
      <c r="E16" s="82" t="s">
        <v>741</v>
      </c>
      <c r="F16" s="83"/>
      <c r="H16" s="44" t="s">
        <v>1329</v>
      </c>
    </row>
    <row r="17" spans="1:8">
      <c r="A17" s="55">
        <v>16</v>
      </c>
      <c r="B17" s="82" t="s">
        <v>877</v>
      </c>
      <c r="C17" s="82" t="s">
        <v>1330</v>
      </c>
      <c r="D17" s="83" t="s">
        <v>740</v>
      </c>
      <c r="E17" s="82" t="s">
        <v>741</v>
      </c>
      <c r="F17" s="83"/>
      <c r="H17" s="29" t="s">
        <v>1331</v>
      </c>
    </row>
    <row r="18" spans="1:8">
      <c r="A18" s="55">
        <v>17</v>
      </c>
      <c r="B18" s="82" t="s">
        <v>878</v>
      </c>
      <c r="C18" s="82" t="s">
        <v>1332</v>
      </c>
      <c r="D18" s="83" t="s">
        <v>740</v>
      </c>
      <c r="E18" s="82" t="s">
        <v>741</v>
      </c>
      <c r="F18" s="83"/>
      <c r="H18" s="29" t="s">
        <v>1333</v>
      </c>
    </row>
    <row r="19" spans="1:8">
      <c r="A19" s="55">
        <v>18</v>
      </c>
      <c r="B19" s="82" t="s">
        <v>879</v>
      </c>
      <c r="C19" s="82" t="s">
        <v>1334</v>
      </c>
      <c r="D19" s="82" t="s">
        <v>748</v>
      </c>
      <c r="E19" s="83" t="s">
        <v>749</v>
      </c>
      <c r="F19" s="83"/>
      <c r="H19" s="44" t="s">
        <v>1335</v>
      </c>
    </row>
    <row r="20" spans="1:8">
      <c r="A20" s="55">
        <v>19</v>
      </c>
      <c r="B20" s="82" t="s">
        <v>880</v>
      </c>
      <c r="C20" s="82" t="s">
        <v>1232</v>
      </c>
      <c r="D20" s="83" t="s">
        <v>743</v>
      </c>
      <c r="E20" s="83" t="s">
        <v>744</v>
      </c>
      <c r="F20" s="83"/>
      <c r="H20" s="131" t="s">
        <v>1336</v>
      </c>
    </row>
    <row r="21" spans="1:8">
      <c r="A21" s="55">
        <v>20</v>
      </c>
      <c r="B21" s="82" t="s">
        <v>390</v>
      </c>
      <c r="C21" s="82" t="s">
        <v>391</v>
      </c>
      <c r="D21" s="83" t="s">
        <v>751</v>
      </c>
      <c r="E21" s="83" t="s">
        <v>756</v>
      </c>
      <c r="F21" s="83"/>
      <c r="H21" s="29" t="s">
        <v>1337</v>
      </c>
    </row>
    <row r="22" spans="1:8">
      <c r="A22" s="55">
        <v>21</v>
      </c>
      <c r="B22" s="82" t="s">
        <v>881</v>
      </c>
      <c r="C22" s="82" t="s">
        <v>1338</v>
      </c>
      <c r="D22" s="83" t="s">
        <v>751</v>
      </c>
      <c r="E22" s="83" t="s">
        <v>766</v>
      </c>
      <c r="F22" s="83"/>
    </row>
    <row r="23" spans="1:8">
      <c r="A23" s="55">
        <v>22</v>
      </c>
      <c r="B23" s="82" t="s">
        <v>882</v>
      </c>
      <c r="C23" s="82" t="s">
        <v>1339</v>
      </c>
      <c r="D23" s="83" t="s">
        <v>751</v>
      </c>
      <c r="E23" s="83" t="s">
        <v>752</v>
      </c>
      <c r="F23" s="83"/>
    </row>
    <row r="24" spans="1:8">
      <c r="A24" s="126">
        <v>23</v>
      </c>
      <c r="B24" s="100" t="s">
        <v>883</v>
      </c>
      <c r="C24" s="100" t="s">
        <v>1340</v>
      </c>
      <c r="D24" s="98" t="s">
        <v>740</v>
      </c>
      <c r="E24" s="100" t="s">
        <v>741</v>
      </c>
      <c r="F24" s="98" t="s">
        <v>1221</v>
      </c>
    </row>
    <row r="25" spans="1:8">
      <c r="A25" s="55">
        <v>24</v>
      </c>
      <c r="B25" s="82" t="s">
        <v>884</v>
      </c>
      <c r="C25" s="82" t="s">
        <v>1232</v>
      </c>
      <c r="D25" s="83" t="s">
        <v>743</v>
      </c>
      <c r="E25" s="83" t="s">
        <v>744</v>
      </c>
      <c r="F25" s="83"/>
    </row>
    <row r="26" spans="1:8">
      <c r="A26" s="55">
        <v>25</v>
      </c>
      <c r="B26" s="82" t="s">
        <v>885</v>
      </c>
      <c r="C26" s="82" t="s">
        <v>1341</v>
      </c>
      <c r="D26" s="83" t="s">
        <v>751</v>
      </c>
      <c r="E26" s="83" t="s">
        <v>752</v>
      </c>
      <c r="F26" s="83"/>
    </row>
    <row r="27" spans="1:8">
      <c r="A27" s="126">
        <v>26</v>
      </c>
      <c r="B27" s="98" t="s">
        <v>1342</v>
      </c>
      <c r="C27" s="100" t="s">
        <v>790</v>
      </c>
      <c r="D27" s="98" t="s">
        <v>789</v>
      </c>
      <c r="E27" s="100" t="s">
        <v>790</v>
      </c>
      <c r="F27" s="98" t="s">
        <v>1343</v>
      </c>
    </row>
    <row r="28" spans="1:8">
      <c r="A28" s="55">
        <v>27</v>
      </c>
      <c r="B28" s="82" t="s">
        <v>839</v>
      </c>
      <c r="C28" s="82" t="s">
        <v>1290</v>
      </c>
      <c r="D28" s="83" t="s">
        <v>743</v>
      </c>
      <c r="E28" s="83" t="s">
        <v>758</v>
      </c>
      <c r="F28" s="82" t="s">
        <v>1291</v>
      </c>
    </row>
    <row r="29" spans="1:8">
      <c r="A29" s="55">
        <v>28</v>
      </c>
      <c r="B29" s="82" t="s">
        <v>886</v>
      </c>
      <c r="C29" s="82" t="s">
        <v>195</v>
      </c>
      <c r="D29" s="83" t="s">
        <v>763</v>
      </c>
      <c r="E29" s="83" t="s">
        <v>764</v>
      </c>
      <c r="F29" s="83"/>
    </row>
    <row r="30" spans="1:8">
      <c r="A30" s="55">
        <v>29</v>
      </c>
      <c r="B30" s="82" t="s">
        <v>439</v>
      </c>
      <c r="C30" s="82" t="s">
        <v>440</v>
      </c>
      <c r="D30" s="83" t="s">
        <v>751</v>
      </c>
      <c r="E30" s="83" t="s">
        <v>779</v>
      </c>
      <c r="F30" s="83" t="s">
        <v>1278</v>
      </c>
    </row>
    <row r="31" spans="1:8">
      <c r="A31" s="55">
        <v>30</v>
      </c>
      <c r="B31" s="82" t="s">
        <v>887</v>
      </c>
      <c r="C31" s="82" t="s">
        <v>191</v>
      </c>
      <c r="D31" s="83" t="s">
        <v>743</v>
      </c>
      <c r="E31" s="83" t="s">
        <v>754</v>
      </c>
      <c r="F31" s="83"/>
    </row>
    <row r="32" spans="1:8">
      <c r="A32" s="55">
        <v>31</v>
      </c>
      <c r="B32" s="82" t="s">
        <v>888</v>
      </c>
      <c r="C32" s="82" t="s">
        <v>408</v>
      </c>
      <c r="D32" s="83" t="s">
        <v>740</v>
      </c>
      <c r="E32" s="82" t="s">
        <v>741</v>
      </c>
      <c r="F32" s="83" t="s">
        <v>1344</v>
      </c>
    </row>
    <row r="33" spans="1:6">
      <c r="A33" s="55">
        <v>32</v>
      </c>
      <c r="B33" s="82" t="s">
        <v>889</v>
      </c>
      <c r="C33" s="82" t="s">
        <v>365</v>
      </c>
      <c r="D33" s="83" t="s">
        <v>743</v>
      </c>
      <c r="E33" s="83" t="s">
        <v>744</v>
      </c>
      <c r="F33" s="83"/>
    </row>
    <row r="34" spans="1:6">
      <c r="A34" s="55">
        <v>33</v>
      </c>
      <c r="B34" s="82" t="s">
        <v>890</v>
      </c>
      <c r="C34" s="82" t="s">
        <v>1341</v>
      </c>
      <c r="D34" s="83" t="s">
        <v>751</v>
      </c>
      <c r="E34" s="83" t="s">
        <v>752</v>
      </c>
      <c r="F34" s="83"/>
    </row>
    <row r="35" spans="1:6">
      <c r="A35" s="126">
        <v>34</v>
      </c>
      <c r="B35" s="100" t="s">
        <v>891</v>
      </c>
      <c r="C35" s="100" t="s">
        <v>1345</v>
      </c>
      <c r="D35" s="100" t="s">
        <v>748</v>
      </c>
      <c r="E35" s="98" t="s">
        <v>202</v>
      </c>
      <c r="F35" s="98" t="s">
        <v>1221</v>
      </c>
    </row>
    <row r="36" spans="1:6">
      <c r="A36" s="55">
        <v>35</v>
      </c>
      <c r="B36" s="82" t="s">
        <v>892</v>
      </c>
      <c r="C36" s="82" t="s">
        <v>1255</v>
      </c>
      <c r="D36" s="83" t="s">
        <v>743</v>
      </c>
      <c r="E36" s="83" t="s">
        <v>820</v>
      </c>
      <c r="F36" s="83"/>
    </row>
    <row r="37" spans="1:6">
      <c r="A37" s="55">
        <v>36</v>
      </c>
      <c r="B37" s="82" t="s">
        <v>893</v>
      </c>
      <c r="C37" s="82" t="s">
        <v>1346</v>
      </c>
      <c r="D37" s="83" t="s">
        <v>751</v>
      </c>
      <c r="E37" s="83" t="s">
        <v>752</v>
      </c>
      <c r="F37" s="83"/>
    </row>
    <row r="38" spans="1:6">
      <c r="A38" s="55">
        <v>37</v>
      </c>
      <c r="B38" s="82" t="s">
        <v>894</v>
      </c>
      <c r="C38" s="82" t="s">
        <v>1232</v>
      </c>
      <c r="D38" s="83" t="s">
        <v>743</v>
      </c>
      <c r="E38" s="83" t="s">
        <v>744</v>
      </c>
      <c r="F38" s="83"/>
    </row>
    <row r="39" spans="1:6">
      <c r="A39" s="55">
        <v>38</v>
      </c>
      <c r="B39" s="82" t="s">
        <v>895</v>
      </c>
      <c r="C39" s="82" t="s">
        <v>1330</v>
      </c>
      <c r="D39" s="83" t="s">
        <v>740</v>
      </c>
      <c r="E39" s="82" t="s">
        <v>741</v>
      </c>
      <c r="F39" s="83"/>
    </row>
    <row r="40" spans="1:6">
      <c r="A40" s="126">
        <v>39</v>
      </c>
      <c r="B40" s="100" t="s">
        <v>896</v>
      </c>
      <c r="C40" s="100" t="s">
        <v>1249</v>
      </c>
      <c r="D40" s="98" t="s">
        <v>743</v>
      </c>
      <c r="E40" s="98" t="s">
        <v>746</v>
      </c>
      <c r="F40" s="98" t="s">
        <v>1221</v>
      </c>
    </row>
    <row r="41" spans="1:6">
      <c r="A41" s="55">
        <v>40</v>
      </c>
      <c r="B41" s="82" t="s">
        <v>897</v>
      </c>
      <c r="C41" s="82" t="s">
        <v>1347</v>
      </c>
      <c r="D41" s="82" t="s">
        <v>748</v>
      </c>
      <c r="E41" s="83" t="s">
        <v>749</v>
      </c>
      <c r="F41" s="83"/>
    </row>
    <row r="42" spans="1:6">
      <c r="A42" s="55">
        <v>41</v>
      </c>
      <c r="B42" s="82" t="s">
        <v>898</v>
      </c>
      <c r="C42" s="82" t="s">
        <v>1348</v>
      </c>
      <c r="D42" s="83" t="s">
        <v>751</v>
      </c>
      <c r="E42" s="83" t="s">
        <v>768</v>
      </c>
      <c r="F42" s="83"/>
    </row>
    <row r="43" spans="1:6">
      <c r="A43" s="55">
        <v>42</v>
      </c>
      <c r="B43" s="82" t="s">
        <v>899</v>
      </c>
      <c r="C43" s="82" t="s">
        <v>1349</v>
      </c>
      <c r="D43" s="82" t="s">
        <v>748</v>
      </c>
      <c r="E43" s="83" t="s">
        <v>772</v>
      </c>
      <c r="F43" s="83"/>
    </row>
    <row r="44" spans="1:6">
      <c r="A44" s="55">
        <v>43</v>
      </c>
      <c r="B44" s="82" t="s">
        <v>900</v>
      </c>
      <c r="C44" s="82" t="s">
        <v>391</v>
      </c>
      <c r="D44" s="83" t="s">
        <v>751</v>
      </c>
      <c r="E44" s="83" t="s">
        <v>768</v>
      </c>
      <c r="F44" s="82" t="s">
        <v>1272</v>
      </c>
    </row>
    <row r="45" spans="1:6">
      <c r="A45" s="126">
        <v>44</v>
      </c>
      <c r="B45" s="100" t="s">
        <v>901</v>
      </c>
      <c r="C45" s="100" t="s">
        <v>383</v>
      </c>
      <c r="D45" s="98" t="s">
        <v>751</v>
      </c>
      <c r="E45" s="98" t="s">
        <v>756</v>
      </c>
      <c r="F45" s="98" t="s">
        <v>1221</v>
      </c>
    </row>
    <row r="46" spans="1:6">
      <c r="A46" s="55">
        <v>45</v>
      </c>
      <c r="B46" s="82" t="s">
        <v>902</v>
      </c>
      <c r="C46" s="82" t="s">
        <v>1350</v>
      </c>
      <c r="D46" s="83" t="s">
        <v>743</v>
      </c>
      <c r="E46" s="83" t="s">
        <v>754</v>
      </c>
      <c r="F46" s="83"/>
    </row>
    <row r="47" spans="1:6">
      <c r="A47" s="55">
        <v>46</v>
      </c>
      <c r="B47" s="82" t="s">
        <v>903</v>
      </c>
      <c r="C47" s="82" t="s">
        <v>1346</v>
      </c>
      <c r="D47" s="83" t="s">
        <v>751</v>
      </c>
      <c r="E47" s="83" t="s">
        <v>752</v>
      </c>
      <c r="F47" s="83"/>
    </row>
    <row r="48" spans="1:6">
      <c r="A48" s="55">
        <v>47</v>
      </c>
      <c r="B48" s="82" t="s">
        <v>904</v>
      </c>
      <c r="C48" s="82" t="s">
        <v>1276</v>
      </c>
      <c r="D48" s="83" t="s">
        <v>740</v>
      </c>
      <c r="E48" s="82" t="s">
        <v>741</v>
      </c>
      <c r="F48" s="83" t="s">
        <v>1351</v>
      </c>
    </row>
    <row r="49" spans="1:6">
      <c r="A49" s="126">
        <v>48</v>
      </c>
      <c r="B49" s="100" t="s">
        <v>905</v>
      </c>
      <c r="C49" s="100" t="s">
        <v>1352</v>
      </c>
      <c r="D49" s="98" t="s">
        <v>760</v>
      </c>
      <c r="E49" s="98" t="s">
        <v>787</v>
      </c>
      <c r="F49" s="98" t="s">
        <v>1221</v>
      </c>
    </row>
    <row r="50" spans="1:6">
      <c r="A50" s="126">
        <v>49</v>
      </c>
      <c r="B50" s="100" t="s">
        <v>906</v>
      </c>
      <c r="C50" s="100" t="s">
        <v>1340</v>
      </c>
      <c r="D50" s="98" t="s">
        <v>740</v>
      </c>
      <c r="E50" s="100" t="s">
        <v>741</v>
      </c>
      <c r="F50" s="98" t="s">
        <v>1221</v>
      </c>
    </row>
    <row r="51" spans="1:6">
      <c r="A51" s="55">
        <v>50</v>
      </c>
      <c r="B51" s="82" t="s">
        <v>907</v>
      </c>
      <c r="C51" s="82" t="s">
        <v>1341</v>
      </c>
      <c r="D51" s="83" t="s">
        <v>751</v>
      </c>
      <c r="E51" s="83" t="s">
        <v>752</v>
      </c>
      <c r="F51" s="83"/>
    </row>
    <row r="52" spans="1:6">
      <c r="A52" s="55">
        <v>51</v>
      </c>
      <c r="B52" s="82" t="s">
        <v>908</v>
      </c>
      <c r="C52" s="82" t="s">
        <v>184</v>
      </c>
      <c r="D52" s="83" t="s">
        <v>743</v>
      </c>
      <c r="E52" s="83" t="s">
        <v>754</v>
      </c>
      <c r="F52" s="83" t="s">
        <v>1353</v>
      </c>
    </row>
    <row r="53" spans="1:6">
      <c r="A53" s="55">
        <v>52</v>
      </c>
      <c r="B53" s="82" t="s">
        <v>909</v>
      </c>
      <c r="C53" s="82" t="s">
        <v>1354</v>
      </c>
      <c r="D53" s="83" t="s">
        <v>743</v>
      </c>
      <c r="E53" s="83" t="s">
        <v>754</v>
      </c>
      <c r="F53" s="83" t="s">
        <v>1353</v>
      </c>
    </row>
    <row r="54" spans="1:6">
      <c r="A54" s="126">
        <v>53</v>
      </c>
      <c r="B54" s="100" t="s">
        <v>910</v>
      </c>
      <c r="C54" s="100" t="s">
        <v>1355</v>
      </c>
      <c r="D54" s="98" t="s">
        <v>743</v>
      </c>
      <c r="E54" s="98" t="s">
        <v>758</v>
      </c>
      <c r="F54" s="98" t="s">
        <v>1221</v>
      </c>
    </row>
    <row r="55" spans="1:6">
      <c r="A55" s="55">
        <v>54</v>
      </c>
      <c r="B55" s="82" t="s">
        <v>911</v>
      </c>
      <c r="C55" s="82" t="s">
        <v>408</v>
      </c>
      <c r="D55" s="83" t="s">
        <v>774</v>
      </c>
      <c r="E55" s="83" t="s">
        <v>775</v>
      </c>
      <c r="F55" s="83"/>
    </row>
    <row r="56" spans="1:6">
      <c r="A56" s="55">
        <v>55</v>
      </c>
      <c r="B56" s="82" t="s">
        <v>912</v>
      </c>
      <c r="C56" s="82" t="s">
        <v>1356</v>
      </c>
      <c r="D56" s="83" t="s">
        <v>743</v>
      </c>
      <c r="E56" s="83" t="s">
        <v>818</v>
      </c>
      <c r="F56" s="83" t="s">
        <v>1227</v>
      </c>
    </row>
    <row r="57" spans="1:6">
      <c r="A57" s="55">
        <v>56</v>
      </c>
      <c r="B57" s="82" t="s">
        <v>913</v>
      </c>
      <c r="C57" s="82" t="s">
        <v>1357</v>
      </c>
      <c r="D57" s="83" t="s">
        <v>751</v>
      </c>
      <c r="E57" s="83" t="s">
        <v>779</v>
      </c>
      <c r="F57" s="83"/>
    </row>
    <row r="58" spans="1:6">
      <c r="A58" s="55">
        <v>57</v>
      </c>
      <c r="B58" s="82" t="s">
        <v>174</v>
      </c>
      <c r="C58" s="82" t="s">
        <v>175</v>
      </c>
      <c r="D58" s="83" t="s">
        <v>743</v>
      </c>
      <c r="E58" s="83" t="s">
        <v>746</v>
      </c>
      <c r="F58" s="83"/>
    </row>
    <row r="59" spans="1:6">
      <c r="A59" s="55">
        <v>58</v>
      </c>
      <c r="B59" s="82" t="s">
        <v>914</v>
      </c>
      <c r="C59" s="82" t="s">
        <v>1339</v>
      </c>
      <c r="D59" s="83" t="s">
        <v>751</v>
      </c>
      <c r="E59" s="83" t="s">
        <v>752</v>
      </c>
      <c r="F59" s="83"/>
    </row>
    <row r="60" spans="1:6">
      <c r="A60" s="55">
        <v>59</v>
      </c>
      <c r="B60" s="82" t="s">
        <v>915</v>
      </c>
      <c r="C60" s="82" t="s">
        <v>1358</v>
      </c>
      <c r="D60" s="83" t="s">
        <v>743</v>
      </c>
      <c r="E60" s="83" t="s">
        <v>754</v>
      </c>
      <c r="F60" s="83"/>
    </row>
    <row r="61" spans="1:6">
      <c r="A61" s="55">
        <v>60</v>
      </c>
      <c r="B61" s="82" t="s">
        <v>916</v>
      </c>
      <c r="C61" s="82" t="s">
        <v>1359</v>
      </c>
      <c r="D61" s="83" t="s">
        <v>763</v>
      </c>
      <c r="E61" s="83" t="s">
        <v>764</v>
      </c>
      <c r="F61" s="83"/>
    </row>
    <row r="62" spans="1:6">
      <c r="A62" s="55">
        <v>61</v>
      </c>
      <c r="B62" s="82" t="s">
        <v>917</v>
      </c>
      <c r="C62" s="82" t="s">
        <v>1276</v>
      </c>
      <c r="D62" s="83" t="s">
        <v>740</v>
      </c>
      <c r="E62" s="82" t="s">
        <v>741</v>
      </c>
      <c r="F62" s="83" t="s">
        <v>1351</v>
      </c>
    </row>
    <row r="63" spans="1:6">
      <c r="A63" s="55">
        <v>62</v>
      </c>
      <c r="B63" s="82" t="s">
        <v>918</v>
      </c>
      <c r="C63" s="82" t="s">
        <v>1359</v>
      </c>
      <c r="D63" s="82" t="s">
        <v>748</v>
      </c>
      <c r="E63" s="83" t="s">
        <v>749</v>
      </c>
      <c r="F63" s="83" t="s">
        <v>1360</v>
      </c>
    </row>
    <row r="64" spans="1:6">
      <c r="A64" s="55">
        <v>63</v>
      </c>
      <c r="B64" s="82" t="s">
        <v>919</v>
      </c>
      <c r="C64" s="82" t="s">
        <v>1355</v>
      </c>
      <c r="D64" s="83" t="s">
        <v>751</v>
      </c>
      <c r="E64" s="83" t="s">
        <v>766</v>
      </c>
      <c r="F64" s="83"/>
    </row>
    <row r="65" spans="1:6">
      <c r="A65" s="55">
        <v>64</v>
      </c>
      <c r="B65" s="82" t="s">
        <v>844</v>
      </c>
      <c r="C65" s="82" t="s">
        <v>1235</v>
      </c>
      <c r="D65" s="83" t="s">
        <v>743</v>
      </c>
      <c r="E65" s="83" t="s">
        <v>770</v>
      </c>
      <c r="F65" s="83"/>
    </row>
    <row r="66" spans="1:6">
      <c r="A66" s="126">
        <v>65</v>
      </c>
      <c r="B66" s="98" t="s">
        <v>1361</v>
      </c>
      <c r="C66" s="100" t="s">
        <v>790</v>
      </c>
      <c r="D66" s="98" t="s">
        <v>789</v>
      </c>
      <c r="E66" s="100" t="s">
        <v>790</v>
      </c>
      <c r="F66" s="98" t="s">
        <v>1343</v>
      </c>
    </row>
    <row r="67" spans="1:6">
      <c r="A67" s="126">
        <v>66</v>
      </c>
      <c r="B67" s="100" t="s">
        <v>920</v>
      </c>
      <c r="C67" s="100" t="s">
        <v>1362</v>
      </c>
      <c r="D67" s="98" t="s">
        <v>743</v>
      </c>
      <c r="E67" s="98" t="s">
        <v>746</v>
      </c>
      <c r="F67" s="98" t="s">
        <v>1221</v>
      </c>
    </row>
    <row r="68" spans="1:6">
      <c r="A68" s="55">
        <v>67</v>
      </c>
      <c r="B68" s="82" t="s">
        <v>424</v>
      </c>
      <c r="C68" s="82" t="s">
        <v>408</v>
      </c>
      <c r="D68" s="83" t="s">
        <v>763</v>
      </c>
      <c r="E68" s="83" t="s">
        <v>805</v>
      </c>
      <c r="F68" s="83"/>
    </row>
    <row r="69" spans="1:6">
      <c r="A69" s="126">
        <v>68</v>
      </c>
      <c r="B69" s="100" t="s">
        <v>921</v>
      </c>
      <c r="C69" s="100" t="s">
        <v>1363</v>
      </c>
      <c r="D69" s="98" t="s">
        <v>740</v>
      </c>
      <c r="E69" s="100" t="s">
        <v>741</v>
      </c>
      <c r="F69" s="98" t="s">
        <v>1221</v>
      </c>
    </row>
    <row r="70" spans="1:6">
      <c r="A70" s="55">
        <v>69</v>
      </c>
      <c r="B70" s="82" t="s">
        <v>922</v>
      </c>
      <c r="C70" s="82" t="s">
        <v>1364</v>
      </c>
      <c r="D70" s="83" t="s">
        <v>798</v>
      </c>
      <c r="E70" s="83" t="s">
        <v>801</v>
      </c>
      <c r="F70" s="83"/>
    </row>
    <row r="71" spans="1:6">
      <c r="A71" s="55">
        <v>70</v>
      </c>
      <c r="B71" s="82" t="s">
        <v>850</v>
      </c>
      <c r="C71" s="82" t="s">
        <v>1219</v>
      </c>
      <c r="D71" s="83" t="s">
        <v>760</v>
      </c>
      <c r="E71" s="83" t="s">
        <v>761</v>
      </c>
      <c r="F71" s="83"/>
    </row>
    <row r="72" spans="1:6">
      <c r="A72" s="55">
        <v>71</v>
      </c>
      <c r="B72" s="82" t="s">
        <v>923</v>
      </c>
      <c r="C72" s="82" t="s">
        <v>1365</v>
      </c>
      <c r="D72" s="83" t="s">
        <v>774</v>
      </c>
      <c r="E72" s="83" t="s">
        <v>777</v>
      </c>
      <c r="F72" s="83" t="s">
        <v>1366</v>
      </c>
    </row>
    <row r="73" spans="1:6">
      <c r="A73" s="126">
        <v>72</v>
      </c>
      <c r="B73" s="100" t="s">
        <v>924</v>
      </c>
      <c r="C73" s="100" t="s">
        <v>1367</v>
      </c>
      <c r="D73" s="98" t="s">
        <v>743</v>
      </c>
      <c r="E73" s="98" t="s">
        <v>754</v>
      </c>
      <c r="F73" s="98" t="s">
        <v>1221</v>
      </c>
    </row>
    <row r="74" spans="1:6">
      <c r="A74" s="126">
        <v>73</v>
      </c>
      <c r="B74" s="100" t="s">
        <v>925</v>
      </c>
      <c r="C74" s="100" t="s">
        <v>1368</v>
      </c>
      <c r="D74" s="98" t="s">
        <v>789</v>
      </c>
      <c r="E74" s="100" t="s">
        <v>790</v>
      </c>
      <c r="F74" s="98" t="s">
        <v>1369</v>
      </c>
    </row>
    <row r="75" spans="1:6">
      <c r="A75" s="55">
        <v>74</v>
      </c>
      <c r="B75" s="82" t="s">
        <v>926</v>
      </c>
      <c r="C75" s="82" t="s">
        <v>188</v>
      </c>
      <c r="D75" s="82" t="s">
        <v>748</v>
      </c>
      <c r="E75" s="83" t="s">
        <v>749</v>
      </c>
      <c r="F75" s="82" t="s">
        <v>1272</v>
      </c>
    </row>
    <row r="76" spans="1:6">
      <c r="A76" s="55">
        <v>75</v>
      </c>
      <c r="B76" s="82" t="s">
        <v>927</v>
      </c>
      <c r="C76" s="82" t="s">
        <v>1273</v>
      </c>
      <c r="D76" s="83" t="s">
        <v>798</v>
      </c>
      <c r="E76" s="83" t="s">
        <v>799</v>
      </c>
      <c r="F76" s="83"/>
    </row>
    <row r="77" spans="1:6">
      <c r="A77" s="55">
        <v>76</v>
      </c>
      <c r="B77" s="82" t="s">
        <v>928</v>
      </c>
      <c r="C77" s="82" t="s">
        <v>1355</v>
      </c>
      <c r="D77" s="83" t="s">
        <v>751</v>
      </c>
      <c r="E77" s="83" t="s">
        <v>766</v>
      </c>
      <c r="F77" s="83"/>
    </row>
    <row r="78" spans="1:6">
      <c r="A78" s="126">
        <v>77</v>
      </c>
      <c r="B78" s="100" t="s">
        <v>929</v>
      </c>
      <c r="C78" s="100" t="s">
        <v>1370</v>
      </c>
      <c r="D78" s="98" t="s">
        <v>789</v>
      </c>
      <c r="E78" s="100" t="s">
        <v>790</v>
      </c>
      <c r="F78" s="98" t="s">
        <v>1369</v>
      </c>
    </row>
    <row r="79" spans="1:6">
      <c r="A79" s="55">
        <v>78</v>
      </c>
      <c r="B79" s="82" t="s">
        <v>930</v>
      </c>
      <c r="C79" s="82" t="s">
        <v>1371</v>
      </c>
      <c r="D79" s="83" t="s">
        <v>751</v>
      </c>
      <c r="E79" s="83" t="s">
        <v>811</v>
      </c>
      <c r="F79" s="83"/>
    </row>
    <row r="80" spans="1:6">
      <c r="A80" s="55">
        <v>79</v>
      </c>
      <c r="B80" s="82" t="s">
        <v>931</v>
      </c>
      <c r="C80" s="82" t="s">
        <v>1290</v>
      </c>
      <c r="D80" s="83" t="s">
        <v>743</v>
      </c>
      <c r="E80" s="83" t="s">
        <v>744</v>
      </c>
      <c r="F80" s="83" t="s">
        <v>1326</v>
      </c>
    </row>
    <row r="81" spans="1:6">
      <c r="A81" s="55">
        <v>80</v>
      </c>
      <c r="B81" s="82" t="s">
        <v>932</v>
      </c>
      <c r="C81" s="82" t="s">
        <v>1346</v>
      </c>
      <c r="D81" s="83" t="s">
        <v>751</v>
      </c>
      <c r="E81" s="83" t="s">
        <v>752</v>
      </c>
      <c r="F81" s="83"/>
    </row>
    <row r="82" spans="1:6">
      <c r="A82" s="55">
        <v>81</v>
      </c>
      <c r="B82" s="82" t="s">
        <v>933</v>
      </c>
      <c r="C82" s="82" t="s">
        <v>1372</v>
      </c>
      <c r="D82" s="83" t="s">
        <v>751</v>
      </c>
      <c r="E82" s="83" t="s">
        <v>809</v>
      </c>
      <c r="F82" s="83" t="s">
        <v>1373</v>
      </c>
    </row>
    <row r="83" spans="1:6">
      <c r="A83" s="55">
        <v>82</v>
      </c>
      <c r="B83" s="82" t="s">
        <v>934</v>
      </c>
      <c r="C83" s="82" t="s">
        <v>383</v>
      </c>
      <c r="D83" s="83" t="s">
        <v>743</v>
      </c>
      <c r="E83" s="83" t="s">
        <v>816</v>
      </c>
      <c r="F83" s="83" t="s">
        <v>1284</v>
      </c>
    </row>
    <row r="84" spans="1:6">
      <c r="A84" s="55">
        <v>83</v>
      </c>
      <c r="B84" s="82" t="s">
        <v>935</v>
      </c>
      <c r="C84" s="82" t="s">
        <v>1374</v>
      </c>
      <c r="D84" s="83" t="s">
        <v>763</v>
      </c>
      <c r="E84" s="83" t="s">
        <v>803</v>
      </c>
      <c r="F84" s="83" t="s">
        <v>1267</v>
      </c>
    </row>
    <row r="85" spans="1:6">
      <c r="A85" s="55">
        <v>84</v>
      </c>
      <c r="B85" s="82" t="s">
        <v>936</v>
      </c>
      <c r="C85" s="82" t="s">
        <v>1243</v>
      </c>
      <c r="D85" s="83" t="s">
        <v>743</v>
      </c>
      <c r="E85" s="83" t="s">
        <v>746</v>
      </c>
      <c r="F85" s="83"/>
    </row>
    <row r="86" spans="1:6">
      <c r="A86" s="55">
        <v>85</v>
      </c>
      <c r="B86" s="82" t="s">
        <v>937</v>
      </c>
      <c r="C86" s="82" t="s">
        <v>1273</v>
      </c>
      <c r="D86" s="82" t="s">
        <v>748</v>
      </c>
      <c r="E86" s="83" t="s">
        <v>749</v>
      </c>
      <c r="F86" s="82" t="s">
        <v>1272</v>
      </c>
    </row>
    <row r="87" spans="1:6">
      <c r="A87" s="55">
        <v>86</v>
      </c>
      <c r="B87" s="82" t="s">
        <v>847</v>
      </c>
      <c r="C87" s="82" t="s">
        <v>188</v>
      </c>
      <c r="D87" s="83" t="s">
        <v>751</v>
      </c>
      <c r="E87" s="83" t="s">
        <v>768</v>
      </c>
      <c r="F87" s="83"/>
    </row>
    <row r="88" spans="1:6">
      <c r="A88" s="55">
        <v>87</v>
      </c>
      <c r="B88" s="82" t="s">
        <v>938</v>
      </c>
      <c r="C88" s="82" t="s">
        <v>1375</v>
      </c>
      <c r="D88" s="82" t="s">
        <v>748</v>
      </c>
      <c r="E88" s="83" t="s">
        <v>749</v>
      </c>
      <c r="F88" s="82" t="s">
        <v>1272</v>
      </c>
    </row>
    <row r="89" spans="1:6">
      <c r="A89" s="55">
        <v>88</v>
      </c>
      <c r="B89" s="82" t="s">
        <v>939</v>
      </c>
      <c r="C89" s="82" t="s">
        <v>188</v>
      </c>
      <c r="D89" s="83" t="s">
        <v>751</v>
      </c>
      <c r="E89" s="83" t="s">
        <v>756</v>
      </c>
      <c r="F89" s="83"/>
    </row>
    <row r="90" spans="1:6">
      <c r="A90" s="55">
        <v>89</v>
      </c>
      <c r="B90" s="82" t="s">
        <v>940</v>
      </c>
      <c r="C90" s="82" t="s">
        <v>1376</v>
      </c>
      <c r="D90" s="82" t="s">
        <v>748</v>
      </c>
      <c r="E90" s="83" t="s">
        <v>749</v>
      </c>
      <c r="F90" s="83"/>
    </row>
    <row r="91" spans="1:6">
      <c r="A91" s="126">
        <v>90</v>
      </c>
      <c r="B91" s="100" t="s">
        <v>941</v>
      </c>
      <c r="C91" s="100" t="s">
        <v>1367</v>
      </c>
      <c r="D91" s="98" t="s">
        <v>740</v>
      </c>
      <c r="E91" s="100" t="s">
        <v>741</v>
      </c>
      <c r="F91" s="98" t="s">
        <v>1221</v>
      </c>
    </row>
    <row r="92" spans="1:6">
      <c r="A92" s="55">
        <v>91</v>
      </c>
      <c r="B92" s="82" t="s">
        <v>942</v>
      </c>
      <c r="C92" s="82" t="s">
        <v>1238</v>
      </c>
      <c r="D92" s="83" t="s">
        <v>743</v>
      </c>
      <c r="E92" s="83" t="s">
        <v>746</v>
      </c>
      <c r="F92" s="83" t="s">
        <v>1218</v>
      </c>
    </row>
    <row r="93" spans="1:6">
      <c r="A93" s="55">
        <v>92</v>
      </c>
      <c r="B93" s="82" t="s">
        <v>943</v>
      </c>
      <c r="C93" s="82" t="s">
        <v>1377</v>
      </c>
      <c r="D93" s="83" t="s">
        <v>740</v>
      </c>
      <c r="E93" s="82" t="s">
        <v>741</v>
      </c>
      <c r="F93" s="83"/>
    </row>
    <row r="94" spans="1:6">
      <c r="A94" s="55">
        <v>93</v>
      </c>
      <c r="B94" s="82" t="s">
        <v>944</v>
      </c>
      <c r="C94" s="82" t="s">
        <v>188</v>
      </c>
      <c r="D94" s="83" t="s">
        <v>740</v>
      </c>
      <c r="E94" s="82" t="s">
        <v>741</v>
      </c>
      <c r="F94" s="82" t="s">
        <v>1272</v>
      </c>
    </row>
    <row r="95" spans="1:6">
      <c r="A95" s="55">
        <v>94</v>
      </c>
      <c r="B95" s="82" t="s">
        <v>857</v>
      </c>
      <c r="C95" s="82" t="s">
        <v>1378</v>
      </c>
      <c r="D95" s="83" t="s">
        <v>743</v>
      </c>
      <c r="E95" s="83" t="s">
        <v>783</v>
      </c>
      <c r="F95" s="83" t="s">
        <v>1281</v>
      </c>
    </row>
    <row r="96" spans="1:6">
      <c r="A96" s="55">
        <v>95</v>
      </c>
      <c r="B96" s="82" t="s">
        <v>945</v>
      </c>
      <c r="C96" s="82" t="s">
        <v>184</v>
      </c>
      <c r="D96" s="83" t="s">
        <v>743</v>
      </c>
      <c r="E96" s="83" t="s">
        <v>754</v>
      </c>
      <c r="F96" s="83" t="s">
        <v>1227</v>
      </c>
    </row>
    <row r="97" spans="1:6">
      <c r="A97" s="55">
        <v>96</v>
      </c>
      <c r="B97" s="82" t="s">
        <v>407</v>
      </c>
      <c r="C97" s="82" t="s">
        <v>408</v>
      </c>
      <c r="D97" s="83" t="s">
        <v>740</v>
      </c>
      <c r="E97" s="83" t="s">
        <v>807</v>
      </c>
      <c r="F97" s="83"/>
    </row>
    <row r="98" spans="1:6">
      <c r="A98" s="55">
        <v>97</v>
      </c>
      <c r="B98" s="82" t="s">
        <v>946</v>
      </c>
      <c r="C98" s="82" t="s">
        <v>1379</v>
      </c>
      <c r="D98" s="83" t="s">
        <v>743</v>
      </c>
      <c r="E98" s="83" t="s">
        <v>746</v>
      </c>
      <c r="F98" s="83"/>
    </row>
    <row r="99" spans="1:6">
      <c r="A99" s="55">
        <v>98</v>
      </c>
      <c r="B99" s="82" t="s">
        <v>947</v>
      </c>
      <c r="C99" s="82" t="s">
        <v>1215</v>
      </c>
      <c r="D99" s="83" t="s">
        <v>760</v>
      </c>
      <c r="E99" s="83" t="s">
        <v>761</v>
      </c>
      <c r="F99" s="83"/>
    </row>
    <row r="100" spans="1:6">
      <c r="A100" s="55">
        <v>99</v>
      </c>
      <c r="B100" s="82" t="s">
        <v>948</v>
      </c>
      <c r="C100" s="82" t="s">
        <v>1380</v>
      </c>
      <c r="D100" s="83" t="s">
        <v>743</v>
      </c>
      <c r="E100" s="83" t="s">
        <v>744</v>
      </c>
      <c r="F100" s="82" t="s">
        <v>1381</v>
      </c>
    </row>
    <row r="101" spans="1:6">
      <c r="A101" s="55">
        <v>100</v>
      </c>
      <c r="B101" s="82" t="s">
        <v>949</v>
      </c>
      <c r="C101" s="82" t="s">
        <v>1347</v>
      </c>
      <c r="D101" s="82" t="s">
        <v>748</v>
      </c>
      <c r="E101" s="83" t="s">
        <v>772</v>
      </c>
      <c r="F101" s="83"/>
    </row>
  </sheetData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A6A6A6"/>
  </sheetPr>
  <dimension ref="A1:O177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/>
  <cols>
    <col min="1" max="1" width="38" customWidth="1"/>
    <col min="2" max="3" width="10" customWidth="1"/>
    <col min="4" max="4" width="19.33203125" customWidth="1"/>
    <col min="5" max="5" width="13" customWidth="1"/>
    <col min="6" max="6" width="16" customWidth="1"/>
    <col min="7" max="8" width="18" customWidth="1"/>
    <col min="9" max="9" width="40" customWidth="1"/>
    <col min="11" max="11" width="18" customWidth="1"/>
    <col min="12" max="12" width="9" customWidth="1"/>
    <col min="13" max="13" width="44" customWidth="1"/>
  </cols>
  <sheetData>
    <row r="1" spans="1:15" ht="16">
      <c r="A1" s="49" t="s">
        <v>1382</v>
      </c>
      <c r="O1" s="110" t="s">
        <v>1383</v>
      </c>
    </row>
    <row r="2" spans="1:15">
      <c r="A2" s="93" t="s">
        <v>1384</v>
      </c>
      <c r="B2" s="132">
        <v>30</v>
      </c>
      <c r="C2" s="29" t="s">
        <v>1385</v>
      </c>
    </row>
    <row r="3" spans="1:15">
      <c r="A3" s="93" t="s">
        <v>1386</v>
      </c>
      <c r="B3" s="132">
        <v>30</v>
      </c>
    </row>
    <row r="5" spans="1:15" ht="32">
      <c r="A5" s="79" t="s">
        <v>825</v>
      </c>
      <c r="B5" s="79" t="s">
        <v>1387</v>
      </c>
      <c r="C5" s="79" t="s">
        <v>1388</v>
      </c>
      <c r="D5" s="80" t="s">
        <v>1389</v>
      </c>
      <c r="E5" s="79" t="s">
        <v>1390</v>
      </c>
      <c r="F5" s="80" t="s">
        <v>1391</v>
      </c>
      <c r="G5" s="79" t="s">
        <v>1392</v>
      </c>
      <c r="H5" s="79" t="s">
        <v>1393</v>
      </c>
      <c r="I5" s="79" t="s">
        <v>6</v>
      </c>
      <c r="K5" s="79" t="s">
        <v>1394</v>
      </c>
      <c r="L5" s="79" t="s">
        <v>493</v>
      </c>
      <c r="M5" s="79" t="s">
        <v>695</v>
      </c>
    </row>
    <row r="6" spans="1:15">
      <c r="A6" s="82" t="s">
        <v>187</v>
      </c>
      <c r="B6" s="55">
        <v>1</v>
      </c>
      <c r="C6" s="55">
        <v>26</v>
      </c>
      <c r="D6" s="133">
        <v>130000000</v>
      </c>
      <c r="E6" s="98" t="str">
        <f t="shared" ref="E6:E37" si="0">IF(D6="","",IF(D6&gt;=1000000000,"1B+",IF(D6&gt;=500000000,"500M+",IF(D6&gt;=100000000,"100M+",IF(D6&gt;=50000000,"50M+",IF(D6&gt;=10000000,"10M+",IF(D6&gt;=5000000,"5M+",IF(D6&gt;=1000000,"1M+","1M 미만"))))))))</f>
        <v>100M+</v>
      </c>
      <c r="F6" s="98" t="s">
        <v>1395</v>
      </c>
      <c r="G6" s="98" t="s">
        <v>1395</v>
      </c>
      <c r="H6" s="83" t="str">
        <f t="shared" ref="H6:H37" si="1">IF(AND(ISNUMBER(B6),B6&lt;=$B$2,ISNUMBER(C6),C6&lt;=$B$3),"① 둘 다 높음",IF(AND(ISNUMBER(B6),B6&lt;=$B$2),"② 매출만 높음",IF(AND(ISNUMBER(C6),C6&lt;=$B$3),"③ 다운로드만 높음","④ 둘 다 기준 밖")))</f>
        <v>① 둘 다 높음</v>
      </c>
      <c r="I6" s="83"/>
      <c r="K6" s="24" t="s">
        <v>1396</v>
      </c>
      <c r="L6" s="24">
        <f>COUNTIF($H$6:$H$177,K6)</f>
        <v>4</v>
      </c>
      <c r="M6" s="24" t="s">
        <v>1397</v>
      </c>
    </row>
    <row r="7" spans="1:15" ht="30">
      <c r="A7" s="82" t="s">
        <v>870</v>
      </c>
      <c r="B7" s="55">
        <v>2</v>
      </c>
      <c r="C7" s="55">
        <v>4</v>
      </c>
      <c r="D7" s="133">
        <v>1700000000</v>
      </c>
      <c r="E7" s="98" t="str">
        <f t="shared" si="0"/>
        <v>1B+</v>
      </c>
      <c r="F7" s="98" t="s">
        <v>1395</v>
      </c>
      <c r="G7" s="98" t="s">
        <v>1395</v>
      </c>
      <c r="H7" s="83" t="str">
        <f t="shared" si="1"/>
        <v>① 둘 다 높음</v>
      </c>
      <c r="I7" s="83"/>
      <c r="K7" s="24" t="s">
        <v>1398</v>
      </c>
      <c r="L7" s="24">
        <f>COUNTIF($H$6:$H$177,K7)</f>
        <v>25</v>
      </c>
      <c r="M7" s="24" t="s">
        <v>1399</v>
      </c>
    </row>
    <row r="8" spans="1:15" ht="30">
      <c r="A8" s="82" t="s">
        <v>364</v>
      </c>
      <c r="B8" s="55">
        <v>3</v>
      </c>
      <c r="C8" s="55">
        <v>48</v>
      </c>
      <c r="D8" s="133">
        <v>2300000000</v>
      </c>
      <c r="E8" s="98" t="str">
        <f t="shared" si="0"/>
        <v>1B+</v>
      </c>
      <c r="F8" s="98" t="s">
        <v>1395</v>
      </c>
      <c r="G8" s="98" t="s">
        <v>1395</v>
      </c>
      <c r="H8" s="83" t="str">
        <f t="shared" si="1"/>
        <v>② 매출만 높음</v>
      </c>
      <c r="I8" s="83"/>
      <c r="K8" s="24" t="s">
        <v>1400</v>
      </c>
      <c r="L8" s="24">
        <f>COUNTIF($H$6:$H$177,K8)</f>
        <v>26</v>
      </c>
      <c r="M8" s="43" t="s">
        <v>1401</v>
      </c>
    </row>
    <row r="9" spans="1:15">
      <c r="A9" s="82" t="s">
        <v>179</v>
      </c>
      <c r="B9" s="55">
        <v>4</v>
      </c>
      <c r="C9" s="55">
        <v>42</v>
      </c>
      <c r="D9" s="133">
        <v>370000000</v>
      </c>
      <c r="E9" s="98" t="str">
        <f t="shared" si="0"/>
        <v>100M+</v>
      </c>
      <c r="F9" s="98" t="s">
        <v>1395</v>
      </c>
      <c r="G9" s="98" t="s">
        <v>1395</v>
      </c>
      <c r="H9" s="83" t="str">
        <f t="shared" si="1"/>
        <v>② 매출만 높음</v>
      </c>
      <c r="I9" s="83"/>
      <c r="K9" s="24" t="s">
        <v>1402</v>
      </c>
      <c r="L9" s="24">
        <f>COUNTIF($H$6:$H$177,K9)</f>
        <v>117</v>
      </c>
      <c r="M9" s="24" t="s">
        <v>1403</v>
      </c>
    </row>
    <row r="10" spans="1:15">
      <c r="A10" s="82" t="s">
        <v>871</v>
      </c>
      <c r="B10" s="55">
        <v>5</v>
      </c>
      <c r="C10" s="55">
        <v>17</v>
      </c>
      <c r="D10" s="133">
        <v>91000000</v>
      </c>
      <c r="E10" s="98" t="str">
        <f t="shared" si="0"/>
        <v>50M+</v>
      </c>
      <c r="F10" s="98" t="s">
        <v>1395</v>
      </c>
      <c r="G10" s="98" t="s">
        <v>1395</v>
      </c>
      <c r="H10" s="83" t="str">
        <f t="shared" si="1"/>
        <v>① 둘 다 높음</v>
      </c>
      <c r="I10" s="83"/>
      <c r="K10" s="83" t="s">
        <v>726</v>
      </c>
      <c r="L10" s="83">
        <f>SUM(L6:L9)</f>
        <v>172</v>
      </c>
      <c r="M10" s="83"/>
    </row>
    <row r="11" spans="1:15">
      <c r="A11" s="82" t="s">
        <v>872</v>
      </c>
      <c r="B11" s="55">
        <v>6</v>
      </c>
      <c r="C11" s="55">
        <v>22</v>
      </c>
      <c r="D11" s="133">
        <v>520000000</v>
      </c>
      <c r="E11" s="98" t="str">
        <f t="shared" si="0"/>
        <v>500M+</v>
      </c>
      <c r="F11" s="98" t="s">
        <v>1395</v>
      </c>
      <c r="G11" s="98" t="s">
        <v>1395</v>
      </c>
      <c r="H11" s="83" t="str">
        <f t="shared" si="1"/>
        <v>① 둘 다 높음</v>
      </c>
      <c r="I11" s="83"/>
    </row>
    <row r="12" spans="1:15">
      <c r="A12" s="82" t="s">
        <v>382</v>
      </c>
      <c r="B12" s="55">
        <v>7</v>
      </c>
      <c r="C12" s="55" t="s">
        <v>790</v>
      </c>
      <c r="D12" s="133">
        <v>350000000</v>
      </c>
      <c r="E12" s="98" t="str">
        <f t="shared" si="0"/>
        <v>100M+</v>
      </c>
      <c r="F12" s="98" t="s">
        <v>1395</v>
      </c>
      <c r="G12" s="98" t="s">
        <v>1395</v>
      </c>
      <c r="H12" s="83" t="str">
        <f t="shared" si="1"/>
        <v>② 매출만 높음</v>
      </c>
      <c r="I12" s="83"/>
      <c r="K12" s="29" t="s">
        <v>1404</v>
      </c>
    </row>
    <row r="13" spans="1:15">
      <c r="A13" s="82" t="s">
        <v>399</v>
      </c>
      <c r="B13" s="55">
        <v>8</v>
      </c>
      <c r="C13" s="55" t="s">
        <v>790</v>
      </c>
      <c r="D13" s="133">
        <v>59000000</v>
      </c>
      <c r="E13" s="98" t="str">
        <f t="shared" si="0"/>
        <v>50M+</v>
      </c>
      <c r="F13" s="82" t="s">
        <v>1405</v>
      </c>
      <c r="G13" s="82" t="s">
        <v>1406</v>
      </c>
      <c r="H13" s="83" t="str">
        <f t="shared" si="1"/>
        <v>② 매출만 높음</v>
      </c>
      <c r="I13" s="82" t="s">
        <v>1407</v>
      </c>
      <c r="K13" s="44" t="s">
        <v>1408</v>
      </c>
    </row>
    <row r="14" spans="1:15">
      <c r="A14" s="82" t="s">
        <v>373</v>
      </c>
      <c r="B14" s="55">
        <v>9</v>
      </c>
      <c r="C14" s="55">
        <v>47</v>
      </c>
      <c r="D14" s="133">
        <v>110000000</v>
      </c>
      <c r="E14" s="98" t="str">
        <f t="shared" si="0"/>
        <v>100M+</v>
      </c>
      <c r="F14" s="98" t="s">
        <v>1395</v>
      </c>
      <c r="G14" s="98" t="s">
        <v>1395</v>
      </c>
      <c r="H14" s="83" t="str">
        <f t="shared" si="1"/>
        <v>② 매출만 높음</v>
      </c>
      <c r="I14" s="83"/>
      <c r="K14" s="44" t="s">
        <v>1409</v>
      </c>
    </row>
    <row r="15" spans="1:15">
      <c r="A15" s="82" t="s">
        <v>190</v>
      </c>
      <c r="B15" s="55">
        <v>10</v>
      </c>
      <c r="C15" s="55">
        <v>63</v>
      </c>
      <c r="D15" s="133">
        <v>100000000</v>
      </c>
      <c r="E15" s="98" t="str">
        <f t="shared" si="0"/>
        <v>100M+</v>
      </c>
      <c r="F15" s="98" t="s">
        <v>1395</v>
      </c>
      <c r="G15" s="98" t="s">
        <v>1395</v>
      </c>
      <c r="H15" s="83" t="str">
        <f t="shared" si="1"/>
        <v>② 매출만 높음</v>
      </c>
      <c r="I15" s="83"/>
      <c r="K15" s="44" t="s">
        <v>1410</v>
      </c>
    </row>
    <row r="16" spans="1:15">
      <c r="A16" s="82" t="s">
        <v>432</v>
      </c>
      <c r="B16" s="55">
        <v>11</v>
      </c>
      <c r="C16" s="55" t="s">
        <v>790</v>
      </c>
      <c r="D16" s="133">
        <v>560000000</v>
      </c>
      <c r="E16" s="98" t="str">
        <f t="shared" si="0"/>
        <v>500M+</v>
      </c>
      <c r="F16" s="98" t="s">
        <v>1395</v>
      </c>
      <c r="G16" s="98" t="s">
        <v>1395</v>
      </c>
      <c r="H16" s="83" t="str">
        <f t="shared" si="1"/>
        <v>② 매출만 높음</v>
      </c>
      <c r="I16" s="83"/>
      <c r="K16" s="29" t="s">
        <v>1411</v>
      </c>
    </row>
    <row r="17" spans="1:11">
      <c r="A17" s="82" t="s">
        <v>873</v>
      </c>
      <c r="B17" s="55">
        <v>12</v>
      </c>
      <c r="C17" s="55" t="s">
        <v>790</v>
      </c>
      <c r="D17" s="133">
        <v>110000000</v>
      </c>
      <c r="E17" s="98" t="str">
        <f t="shared" si="0"/>
        <v>100M+</v>
      </c>
      <c r="F17" s="98" t="s">
        <v>1395</v>
      </c>
      <c r="G17" s="98" t="s">
        <v>1395</v>
      </c>
      <c r="H17" s="83" t="str">
        <f t="shared" si="1"/>
        <v>② 매출만 높음</v>
      </c>
      <c r="I17" s="83"/>
      <c r="K17" s="44" t="s">
        <v>1412</v>
      </c>
    </row>
    <row r="18" spans="1:11">
      <c r="A18" s="82" t="s">
        <v>874</v>
      </c>
      <c r="B18" s="55">
        <v>13</v>
      </c>
      <c r="C18" s="55" t="s">
        <v>790</v>
      </c>
      <c r="D18" s="133">
        <v>93000000</v>
      </c>
      <c r="E18" s="98" t="str">
        <f t="shared" si="0"/>
        <v>50M+</v>
      </c>
      <c r="F18" s="98" t="s">
        <v>1395</v>
      </c>
      <c r="G18" s="98" t="s">
        <v>1395</v>
      </c>
      <c r="H18" s="83" t="str">
        <f t="shared" si="1"/>
        <v>② 매출만 높음</v>
      </c>
      <c r="I18" s="83"/>
    </row>
    <row r="19" spans="1:11">
      <c r="A19" s="82" t="s">
        <v>875</v>
      </c>
      <c r="B19" s="55">
        <v>14</v>
      </c>
      <c r="C19" s="55" t="s">
        <v>790</v>
      </c>
      <c r="D19" s="133">
        <v>130000000</v>
      </c>
      <c r="E19" s="98" t="str">
        <f t="shared" si="0"/>
        <v>100M+</v>
      </c>
      <c r="F19" s="98" t="s">
        <v>1395</v>
      </c>
      <c r="G19" s="98" t="s">
        <v>1395</v>
      </c>
      <c r="H19" s="83" t="str">
        <f t="shared" si="1"/>
        <v>② 매출만 높음</v>
      </c>
      <c r="I19" s="83"/>
    </row>
    <row r="20" spans="1:11">
      <c r="A20" s="82" t="s">
        <v>876</v>
      </c>
      <c r="B20" s="55">
        <v>15</v>
      </c>
      <c r="C20" s="55" t="s">
        <v>790</v>
      </c>
      <c r="D20" s="133">
        <v>72000000</v>
      </c>
      <c r="E20" s="98" t="str">
        <f t="shared" si="0"/>
        <v>50M+</v>
      </c>
      <c r="F20" s="98" t="s">
        <v>1395</v>
      </c>
      <c r="G20" s="98" t="s">
        <v>1395</v>
      </c>
      <c r="H20" s="83" t="str">
        <f t="shared" si="1"/>
        <v>② 매출만 높음</v>
      </c>
      <c r="I20" s="83"/>
    </row>
    <row r="21" spans="1:11">
      <c r="A21" s="82" t="s">
        <v>877</v>
      </c>
      <c r="B21" s="55">
        <v>16</v>
      </c>
      <c r="C21" s="55" t="s">
        <v>790</v>
      </c>
      <c r="D21" s="133">
        <v>41000000</v>
      </c>
      <c r="E21" s="98" t="str">
        <f t="shared" si="0"/>
        <v>10M+</v>
      </c>
      <c r="F21" s="98" t="s">
        <v>1395</v>
      </c>
      <c r="G21" s="98" t="s">
        <v>1395</v>
      </c>
      <c r="H21" s="83" t="str">
        <f t="shared" si="1"/>
        <v>② 매출만 높음</v>
      </c>
      <c r="I21" s="83"/>
    </row>
    <row r="22" spans="1:11">
      <c r="A22" s="82" t="s">
        <v>878</v>
      </c>
      <c r="B22" s="55">
        <v>17</v>
      </c>
      <c r="C22" s="55" t="s">
        <v>790</v>
      </c>
      <c r="D22" s="133">
        <v>220000000</v>
      </c>
      <c r="E22" s="98" t="str">
        <f t="shared" si="0"/>
        <v>100M+</v>
      </c>
      <c r="F22" s="98" t="s">
        <v>1395</v>
      </c>
      <c r="G22" s="98" t="s">
        <v>1395</v>
      </c>
      <c r="H22" s="83" t="str">
        <f t="shared" si="1"/>
        <v>② 매출만 높음</v>
      </c>
      <c r="I22" s="83"/>
    </row>
    <row r="23" spans="1:11">
      <c r="A23" s="82" t="s">
        <v>879</v>
      </c>
      <c r="B23" s="55">
        <v>18</v>
      </c>
      <c r="C23" s="55" t="s">
        <v>790</v>
      </c>
      <c r="D23" s="133">
        <v>77000000</v>
      </c>
      <c r="E23" s="98" t="str">
        <f t="shared" si="0"/>
        <v>50M+</v>
      </c>
      <c r="F23" s="98" t="s">
        <v>1395</v>
      </c>
      <c r="G23" s="98" t="s">
        <v>1395</v>
      </c>
      <c r="H23" s="83" t="str">
        <f t="shared" si="1"/>
        <v>② 매출만 높음</v>
      </c>
      <c r="I23" s="83"/>
    </row>
    <row r="24" spans="1:11">
      <c r="A24" s="82" t="s">
        <v>880</v>
      </c>
      <c r="B24" s="55">
        <v>19</v>
      </c>
      <c r="C24" s="55" t="s">
        <v>790</v>
      </c>
      <c r="D24" s="133">
        <v>610000000</v>
      </c>
      <c r="E24" s="98" t="str">
        <f t="shared" si="0"/>
        <v>500M+</v>
      </c>
      <c r="F24" s="98" t="s">
        <v>1395</v>
      </c>
      <c r="G24" s="98" t="s">
        <v>1395</v>
      </c>
      <c r="H24" s="83" t="str">
        <f t="shared" si="1"/>
        <v>② 매출만 높음</v>
      </c>
      <c r="I24" s="83"/>
    </row>
    <row r="25" spans="1:11">
      <c r="A25" s="82" t="s">
        <v>390</v>
      </c>
      <c r="B25" s="55">
        <v>20</v>
      </c>
      <c r="C25" s="55">
        <v>98</v>
      </c>
      <c r="D25" s="133">
        <v>67000000</v>
      </c>
      <c r="E25" s="98" t="str">
        <f t="shared" si="0"/>
        <v>50M+</v>
      </c>
      <c r="F25" s="98" t="s">
        <v>1395</v>
      </c>
      <c r="G25" s="98" t="s">
        <v>1395</v>
      </c>
      <c r="H25" s="83" t="str">
        <f t="shared" si="1"/>
        <v>② 매출만 높음</v>
      </c>
      <c r="I25" s="83"/>
    </row>
    <row r="26" spans="1:11">
      <c r="A26" s="82" t="s">
        <v>881</v>
      </c>
      <c r="B26" s="55">
        <v>21</v>
      </c>
      <c r="C26" s="55" t="s">
        <v>790</v>
      </c>
      <c r="D26" s="133">
        <v>83000000</v>
      </c>
      <c r="E26" s="98" t="str">
        <f t="shared" si="0"/>
        <v>50M+</v>
      </c>
      <c r="F26" s="98" t="s">
        <v>1395</v>
      </c>
      <c r="G26" s="98" t="s">
        <v>1395</v>
      </c>
      <c r="H26" s="83" t="str">
        <f t="shared" si="1"/>
        <v>② 매출만 높음</v>
      </c>
      <c r="I26" s="83"/>
    </row>
    <row r="27" spans="1:11">
      <c r="A27" s="82" t="s">
        <v>882</v>
      </c>
      <c r="B27" s="55">
        <v>22</v>
      </c>
      <c r="C27" s="55" t="s">
        <v>790</v>
      </c>
      <c r="D27" s="133">
        <v>36000000</v>
      </c>
      <c r="E27" s="98" t="str">
        <f t="shared" si="0"/>
        <v>10M+</v>
      </c>
      <c r="F27" s="98" t="s">
        <v>1395</v>
      </c>
      <c r="G27" s="98" t="s">
        <v>1395</v>
      </c>
      <c r="H27" s="83" t="str">
        <f t="shared" si="1"/>
        <v>② 매출만 높음</v>
      </c>
      <c r="I27" s="83"/>
    </row>
    <row r="28" spans="1:11">
      <c r="A28" s="82" t="s">
        <v>883</v>
      </c>
      <c r="B28" s="55">
        <v>23</v>
      </c>
      <c r="C28" s="55" t="s">
        <v>790</v>
      </c>
      <c r="D28" s="133">
        <v>18000000</v>
      </c>
      <c r="E28" s="98" t="str">
        <f t="shared" si="0"/>
        <v>10M+</v>
      </c>
      <c r="F28" s="98" t="s">
        <v>1395</v>
      </c>
      <c r="G28" s="98" t="s">
        <v>1395</v>
      </c>
      <c r="H28" s="83" t="str">
        <f t="shared" si="1"/>
        <v>② 매출만 높음</v>
      </c>
      <c r="I28" s="83"/>
    </row>
    <row r="29" spans="1:11">
      <c r="A29" s="82" t="s">
        <v>884</v>
      </c>
      <c r="B29" s="55">
        <v>24</v>
      </c>
      <c r="C29" s="55" t="s">
        <v>790</v>
      </c>
      <c r="D29" s="133">
        <v>470000000</v>
      </c>
      <c r="E29" s="98" t="str">
        <f t="shared" si="0"/>
        <v>100M+</v>
      </c>
      <c r="F29" s="98" t="s">
        <v>1395</v>
      </c>
      <c r="G29" s="98" t="s">
        <v>1395</v>
      </c>
      <c r="H29" s="83" t="str">
        <f t="shared" si="1"/>
        <v>② 매출만 높음</v>
      </c>
      <c r="I29" s="83"/>
    </row>
    <row r="30" spans="1:11">
      <c r="A30" s="82" t="s">
        <v>885</v>
      </c>
      <c r="B30" s="55">
        <v>25</v>
      </c>
      <c r="C30" s="55" t="s">
        <v>790</v>
      </c>
      <c r="D30" s="133">
        <v>22000000</v>
      </c>
      <c r="E30" s="98" t="str">
        <f t="shared" si="0"/>
        <v>10M+</v>
      </c>
      <c r="F30" s="98" t="s">
        <v>1395</v>
      </c>
      <c r="G30" s="98" t="s">
        <v>1395</v>
      </c>
      <c r="H30" s="83" t="str">
        <f t="shared" si="1"/>
        <v>② 매출만 높음</v>
      </c>
      <c r="I30" s="83"/>
    </row>
    <row r="31" spans="1:11">
      <c r="A31" s="82" t="s">
        <v>839</v>
      </c>
      <c r="B31" s="55">
        <v>27</v>
      </c>
      <c r="C31" s="55">
        <v>83</v>
      </c>
      <c r="D31" s="133">
        <v>29000000</v>
      </c>
      <c r="E31" s="98" t="str">
        <f t="shared" si="0"/>
        <v>10M+</v>
      </c>
      <c r="F31" s="98" t="s">
        <v>1395</v>
      </c>
      <c r="G31" s="98" t="s">
        <v>1395</v>
      </c>
      <c r="H31" s="83" t="str">
        <f t="shared" si="1"/>
        <v>② 매출만 높음</v>
      </c>
      <c r="I31" s="83"/>
    </row>
    <row r="32" spans="1:11">
      <c r="A32" s="82" t="s">
        <v>886</v>
      </c>
      <c r="B32" s="55">
        <v>28</v>
      </c>
      <c r="C32" s="55">
        <v>97</v>
      </c>
      <c r="D32" s="133">
        <v>2200000000</v>
      </c>
      <c r="E32" s="98" t="str">
        <f t="shared" si="0"/>
        <v>1B+</v>
      </c>
      <c r="F32" s="98" t="s">
        <v>1395</v>
      </c>
      <c r="G32" s="98" t="s">
        <v>1395</v>
      </c>
      <c r="H32" s="83" t="str">
        <f t="shared" si="1"/>
        <v>② 매출만 높음</v>
      </c>
      <c r="I32" s="83"/>
    </row>
    <row r="33" spans="1:9">
      <c r="A33" s="82" t="s">
        <v>439</v>
      </c>
      <c r="B33" s="55">
        <v>29</v>
      </c>
      <c r="C33" s="55">
        <v>68</v>
      </c>
      <c r="D33" s="133">
        <v>69000000</v>
      </c>
      <c r="E33" s="98" t="str">
        <f t="shared" si="0"/>
        <v>50M+</v>
      </c>
      <c r="F33" s="98" t="s">
        <v>1395</v>
      </c>
      <c r="G33" s="98" t="s">
        <v>1395</v>
      </c>
      <c r="H33" s="83" t="str">
        <f t="shared" si="1"/>
        <v>② 매출만 높음</v>
      </c>
      <c r="I33" s="83"/>
    </row>
    <row r="34" spans="1:9">
      <c r="A34" s="82" t="s">
        <v>887</v>
      </c>
      <c r="B34" s="55">
        <v>30</v>
      </c>
      <c r="C34" s="55" t="s">
        <v>790</v>
      </c>
      <c r="D34" s="133">
        <v>27000000</v>
      </c>
      <c r="E34" s="98" t="str">
        <f t="shared" si="0"/>
        <v>10M+</v>
      </c>
      <c r="F34" s="98" t="s">
        <v>1395</v>
      </c>
      <c r="G34" s="98" t="s">
        <v>1395</v>
      </c>
      <c r="H34" s="83" t="str">
        <f t="shared" si="1"/>
        <v>② 매출만 높음</v>
      </c>
      <c r="I34" s="83"/>
    </row>
    <row r="35" spans="1:9">
      <c r="A35" s="82" t="s">
        <v>888</v>
      </c>
      <c r="B35" s="55">
        <v>31</v>
      </c>
      <c r="C35" s="55" t="s">
        <v>790</v>
      </c>
      <c r="D35" s="133">
        <v>880000000</v>
      </c>
      <c r="E35" s="98" t="str">
        <f t="shared" si="0"/>
        <v>500M+</v>
      </c>
      <c r="F35" s="98" t="s">
        <v>1395</v>
      </c>
      <c r="G35" s="98" t="s">
        <v>1395</v>
      </c>
      <c r="H35" s="83" t="str">
        <f t="shared" si="1"/>
        <v>④ 둘 다 기준 밖</v>
      </c>
      <c r="I35" s="83"/>
    </row>
    <row r="36" spans="1:9">
      <c r="A36" s="82" t="s">
        <v>889</v>
      </c>
      <c r="B36" s="55">
        <v>32</v>
      </c>
      <c r="C36" s="55" t="s">
        <v>790</v>
      </c>
      <c r="D36" s="133">
        <v>630000000</v>
      </c>
      <c r="E36" s="98" t="str">
        <f t="shared" si="0"/>
        <v>500M+</v>
      </c>
      <c r="F36" s="98" t="s">
        <v>1395</v>
      </c>
      <c r="G36" s="98" t="s">
        <v>1395</v>
      </c>
      <c r="H36" s="83" t="str">
        <f t="shared" si="1"/>
        <v>④ 둘 다 기준 밖</v>
      </c>
      <c r="I36" s="83"/>
    </row>
    <row r="37" spans="1:9">
      <c r="A37" s="82" t="s">
        <v>890</v>
      </c>
      <c r="B37" s="55">
        <v>33</v>
      </c>
      <c r="C37" s="55" t="s">
        <v>790</v>
      </c>
      <c r="D37" s="133">
        <v>15000000</v>
      </c>
      <c r="E37" s="98" t="str">
        <f t="shared" si="0"/>
        <v>10M+</v>
      </c>
      <c r="F37" s="98" t="s">
        <v>1395</v>
      </c>
      <c r="G37" s="98" t="s">
        <v>1395</v>
      </c>
      <c r="H37" s="83" t="str">
        <f t="shared" si="1"/>
        <v>④ 둘 다 기준 밖</v>
      </c>
      <c r="I37" s="83"/>
    </row>
    <row r="38" spans="1:9">
      <c r="A38" s="82" t="s">
        <v>891</v>
      </c>
      <c r="B38" s="55">
        <v>34</v>
      </c>
      <c r="C38" s="55" t="s">
        <v>790</v>
      </c>
      <c r="D38" s="133">
        <v>2600000</v>
      </c>
      <c r="E38" s="98" t="str">
        <f t="shared" ref="E38:E69" si="2">IF(D38="","",IF(D38&gt;=1000000000,"1B+",IF(D38&gt;=500000000,"500M+",IF(D38&gt;=100000000,"100M+",IF(D38&gt;=50000000,"50M+",IF(D38&gt;=10000000,"10M+",IF(D38&gt;=5000000,"5M+",IF(D38&gt;=1000000,"1M+","1M 미만"))))))))</f>
        <v>1M+</v>
      </c>
      <c r="F38" s="98" t="s">
        <v>1395</v>
      </c>
      <c r="G38" s="98" t="s">
        <v>1395</v>
      </c>
      <c r="H38" s="83" t="str">
        <f t="shared" ref="H38:H69" si="3">IF(AND(ISNUMBER(B38),B38&lt;=$B$2,ISNUMBER(C38),C38&lt;=$B$3),"① 둘 다 높음",IF(AND(ISNUMBER(B38),B38&lt;=$B$2),"② 매출만 높음",IF(AND(ISNUMBER(C38),C38&lt;=$B$3),"③ 다운로드만 높음","④ 둘 다 기준 밖")))</f>
        <v>④ 둘 다 기준 밖</v>
      </c>
      <c r="I38" s="83"/>
    </row>
    <row r="39" spans="1:9">
      <c r="A39" s="82" t="s">
        <v>892</v>
      </c>
      <c r="B39" s="55">
        <v>35</v>
      </c>
      <c r="C39" s="55">
        <v>49</v>
      </c>
      <c r="D39" s="133">
        <v>13000000</v>
      </c>
      <c r="E39" s="98" t="str">
        <f t="shared" si="2"/>
        <v>10M+</v>
      </c>
      <c r="F39" s="98" t="s">
        <v>1395</v>
      </c>
      <c r="G39" s="98" t="s">
        <v>1395</v>
      </c>
      <c r="H39" s="83" t="str">
        <f t="shared" si="3"/>
        <v>④ 둘 다 기준 밖</v>
      </c>
      <c r="I39" s="83"/>
    </row>
    <row r="40" spans="1:9">
      <c r="A40" s="82" t="s">
        <v>893</v>
      </c>
      <c r="B40" s="55">
        <v>36</v>
      </c>
      <c r="C40" s="55" t="s">
        <v>790</v>
      </c>
      <c r="D40" s="133">
        <v>34000000</v>
      </c>
      <c r="E40" s="98" t="str">
        <f t="shared" si="2"/>
        <v>10M+</v>
      </c>
      <c r="F40" s="98" t="s">
        <v>1395</v>
      </c>
      <c r="G40" s="98" t="s">
        <v>1395</v>
      </c>
      <c r="H40" s="83" t="str">
        <f t="shared" si="3"/>
        <v>④ 둘 다 기준 밖</v>
      </c>
      <c r="I40" s="83"/>
    </row>
    <row r="41" spans="1:9">
      <c r="A41" s="82" t="s">
        <v>894</v>
      </c>
      <c r="B41" s="55">
        <v>37</v>
      </c>
      <c r="C41" s="55" t="s">
        <v>790</v>
      </c>
      <c r="D41" s="133">
        <v>520000000</v>
      </c>
      <c r="E41" s="98" t="str">
        <f t="shared" si="2"/>
        <v>500M+</v>
      </c>
      <c r="F41" s="98" t="s">
        <v>1395</v>
      </c>
      <c r="G41" s="98" t="s">
        <v>1395</v>
      </c>
      <c r="H41" s="83" t="str">
        <f t="shared" si="3"/>
        <v>④ 둘 다 기준 밖</v>
      </c>
      <c r="I41" s="83"/>
    </row>
    <row r="42" spans="1:9">
      <c r="A42" s="82" t="s">
        <v>895</v>
      </c>
      <c r="B42" s="55">
        <v>38</v>
      </c>
      <c r="C42" s="55" t="s">
        <v>790</v>
      </c>
      <c r="D42" s="133">
        <v>33000000</v>
      </c>
      <c r="E42" s="98" t="str">
        <f t="shared" si="2"/>
        <v>10M+</v>
      </c>
      <c r="F42" s="98" t="s">
        <v>1395</v>
      </c>
      <c r="G42" s="98" t="s">
        <v>1395</v>
      </c>
      <c r="H42" s="83" t="str">
        <f t="shared" si="3"/>
        <v>④ 둘 다 기준 밖</v>
      </c>
      <c r="I42" s="83"/>
    </row>
    <row r="43" spans="1:9">
      <c r="A43" s="82" t="s">
        <v>896</v>
      </c>
      <c r="B43" s="55">
        <v>39</v>
      </c>
      <c r="C43" s="55">
        <v>40</v>
      </c>
      <c r="D43" s="133">
        <v>3400000</v>
      </c>
      <c r="E43" s="98" t="str">
        <f t="shared" si="2"/>
        <v>1M+</v>
      </c>
      <c r="F43" s="98" t="s">
        <v>1395</v>
      </c>
      <c r="G43" s="98" t="s">
        <v>1395</v>
      </c>
      <c r="H43" s="83" t="str">
        <f t="shared" si="3"/>
        <v>④ 둘 다 기준 밖</v>
      </c>
      <c r="I43" s="83"/>
    </row>
    <row r="44" spans="1:9">
      <c r="A44" s="82" t="s">
        <v>897</v>
      </c>
      <c r="B44" s="55">
        <v>40</v>
      </c>
      <c r="C44" s="55" t="s">
        <v>790</v>
      </c>
      <c r="D44" s="133">
        <v>37000000</v>
      </c>
      <c r="E44" s="98" t="str">
        <f t="shared" si="2"/>
        <v>10M+</v>
      </c>
      <c r="F44" s="98" t="s">
        <v>1395</v>
      </c>
      <c r="G44" s="98" t="s">
        <v>1395</v>
      </c>
      <c r="H44" s="83" t="str">
        <f t="shared" si="3"/>
        <v>④ 둘 다 기준 밖</v>
      </c>
      <c r="I44" s="83"/>
    </row>
    <row r="45" spans="1:9">
      <c r="A45" s="82" t="s">
        <v>898</v>
      </c>
      <c r="B45" s="55">
        <v>41</v>
      </c>
      <c r="C45" s="55" t="s">
        <v>790</v>
      </c>
      <c r="D45" s="133">
        <v>69000000</v>
      </c>
      <c r="E45" s="98" t="str">
        <f t="shared" si="2"/>
        <v>50M+</v>
      </c>
      <c r="F45" s="98" t="s">
        <v>1395</v>
      </c>
      <c r="G45" s="98" t="s">
        <v>1395</v>
      </c>
      <c r="H45" s="83" t="str">
        <f t="shared" si="3"/>
        <v>④ 둘 다 기준 밖</v>
      </c>
      <c r="I45" s="83"/>
    </row>
    <row r="46" spans="1:9">
      <c r="A46" s="82" t="s">
        <v>899</v>
      </c>
      <c r="B46" s="55">
        <v>42</v>
      </c>
      <c r="C46" s="55" t="s">
        <v>790</v>
      </c>
      <c r="D46" s="133">
        <v>18000000</v>
      </c>
      <c r="E46" s="98" t="str">
        <f t="shared" si="2"/>
        <v>10M+</v>
      </c>
      <c r="F46" s="98" t="s">
        <v>1395</v>
      </c>
      <c r="G46" s="98" t="s">
        <v>1395</v>
      </c>
      <c r="H46" s="83" t="str">
        <f t="shared" si="3"/>
        <v>④ 둘 다 기준 밖</v>
      </c>
      <c r="I46" s="83"/>
    </row>
    <row r="47" spans="1:9">
      <c r="A47" s="82" t="s">
        <v>900</v>
      </c>
      <c r="B47" s="55">
        <v>43</v>
      </c>
      <c r="C47" s="55">
        <v>62</v>
      </c>
      <c r="D47" s="133">
        <v>19000000</v>
      </c>
      <c r="E47" s="98" t="str">
        <f t="shared" si="2"/>
        <v>10M+</v>
      </c>
      <c r="F47" s="98" t="s">
        <v>1395</v>
      </c>
      <c r="G47" s="98" t="s">
        <v>1395</v>
      </c>
      <c r="H47" s="83" t="str">
        <f t="shared" si="3"/>
        <v>④ 둘 다 기준 밖</v>
      </c>
      <c r="I47" s="83"/>
    </row>
    <row r="48" spans="1:9">
      <c r="A48" s="82" t="s">
        <v>901</v>
      </c>
      <c r="B48" s="55">
        <v>44</v>
      </c>
      <c r="C48" s="55" t="s">
        <v>790</v>
      </c>
      <c r="D48" s="133">
        <v>7300000</v>
      </c>
      <c r="E48" s="98" t="str">
        <f t="shared" si="2"/>
        <v>5M+</v>
      </c>
      <c r="F48" s="98" t="s">
        <v>1395</v>
      </c>
      <c r="G48" s="98" t="s">
        <v>1395</v>
      </c>
      <c r="H48" s="83" t="str">
        <f t="shared" si="3"/>
        <v>④ 둘 다 기준 밖</v>
      </c>
      <c r="I48" s="83"/>
    </row>
    <row r="49" spans="1:9">
      <c r="A49" s="82" t="s">
        <v>902</v>
      </c>
      <c r="B49" s="55">
        <v>45</v>
      </c>
      <c r="C49" s="55" t="s">
        <v>790</v>
      </c>
      <c r="D49" s="133">
        <v>5800000</v>
      </c>
      <c r="E49" s="98" t="str">
        <f t="shared" si="2"/>
        <v>5M+</v>
      </c>
      <c r="F49" s="98" t="s">
        <v>1395</v>
      </c>
      <c r="G49" s="98" t="s">
        <v>1395</v>
      </c>
      <c r="H49" s="83" t="str">
        <f t="shared" si="3"/>
        <v>④ 둘 다 기준 밖</v>
      </c>
      <c r="I49" s="83"/>
    </row>
    <row r="50" spans="1:9">
      <c r="A50" s="82" t="s">
        <v>903</v>
      </c>
      <c r="B50" s="55">
        <v>46</v>
      </c>
      <c r="C50" s="55" t="s">
        <v>790</v>
      </c>
      <c r="D50" s="133">
        <v>32000000</v>
      </c>
      <c r="E50" s="98" t="str">
        <f t="shared" si="2"/>
        <v>10M+</v>
      </c>
      <c r="F50" s="98" t="s">
        <v>1395</v>
      </c>
      <c r="G50" s="98" t="s">
        <v>1395</v>
      </c>
      <c r="H50" s="83" t="str">
        <f t="shared" si="3"/>
        <v>④ 둘 다 기준 밖</v>
      </c>
      <c r="I50" s="83"/>
    </row>
    <row r="51" spans="1:9">
      <c r="A51" s="82" t="s">
        <v>904</v>
      </c>
      <c r="B51" s="55">
        <v>47</v>
      </c>
      <c r="C51" s="55" t="s">
        <v>790</v>
      </c>
      <c r="D51" s="133">
        <v>41000000</v>
      </c>
      <c r="E51" s="98" t="str">
        <f t="shared" si="2"/>
        <v>10M+</v>
      </c>
      <c r="F51" s="98" t="s">
        <v>1395</v>
      </c>
      <c r="G51" s="98" t="s">
        <v>1395</v>
      </c>
      <c r="H51" s="83" t="str">
        <f t="shared" si="3"/>
        <v>④ 둘 다 기준 밖</v>
      </c>
      <c r="I51" s="83"/>
    </row>
    <row r="52" spans="1:9">
      <c r="A52" s="82" t="s">
        <v>905</v>
      </c>
      <c r="B52" s="55">
        <v>48</v>
      </c>
      <c r="C52" s="55" t="s">
        <v>790</v>
      </c>
      <c r="D52" s="133">
        <v>12000000</v>
      </c>
      <c r="E52" s="98" t="str">
        <f t="shared" si="2"/>
        <v>10M+</v>
      </c>
      <c r="F52" s="98" t="s">
        <v>1395</v>
      </c>
      <c r="G52" s="98" t="s">
        <v>1395</v>
      </c>
      <c r="H52" s="83" t="str">
        <f t="shared" si="3"/>
        <v>④ 둘 다 기준 밖</v>
      </c>
      <c r="I52" s="83"/>
    </row>
    <row r="53" spans="1:9">
      <c r="A53" s="82" t="s">
        <v>906</v>
      </c>
      <c r="B53" s="55">
        <v>49</v>
      </c>
      <c r="C53" s="55">
        <v>67</v>
      </c>
      <c r="D53" s="133">
        <v>9300000</v>
      </c>
      <c r="E53" s="98" t="str">
        <f t="shared" si="2"/>
        <v>5M+</v>
      </c>
      <c r="F53" s="98" t="s">
        <v>1395</v>
      </c>
      <c r="G53" s="98" t="s">
        <v>1395</v>
      </c>
      <c r="H53" s="83" t="str">
        <f t="shared" si="3"/>
        <v>④ 둘 다 기준 밖</v>
      </c>
      <c r="I53" s="83"/>
    </row>
    <row r="54" spans="1:9">
      <c r="A54" s="82" t="s">
        <v>907</v>
      </c>
      <c r="B54" s="55">
        <v>50</v>
      </c>
      <c r="C54" s="55" t="s">
        <v>790</v>
      </c>
      <c r="D54" s="133">
        <v>25000000</v>
      </c>
      <c r="E54" s="98" t="str">
        <f t="shared" si="2"/>
        <v>10M+</v>
      </c>
      <c r="F54" s="98" t="s">
        <v>1395</v>
      </c>
      <c r="G54" s="98" t="s">
        <v>1395</v>
      </c>
      <c r="H54" s="83" t="str">
        <f t="shared" si="3"/>
        <v>④ 둘 다 기준 밖</v>
      </c>
      <c r="I54" s="83"/>
    </row>
    <row r="55" spans="1:9">
      <c r="A55" s="82" t="s">
        <v>908</v>
      </c>
      <c r="B55" s="55">
        <v>51</v>
      </c>
      <c r="C55" s="55" t="s">
        <v>790</v>
      </c>
      <c r="D55" s="133">
        <v>7600000</v>
      </c>
      <c r="E55" s="98" t="str">
        <f t="shared" si="2"/>
        <v>5M+</v>
      </c>
      <c r="F55" s="98" t="s">
        <v>1395</v>
      </c>
      <c r="G55" s="98" t="s">
        <v>1395</v>
      </c>
      <c r="H55" s="83" t="str">
        <f t="shared" si="3"/>
        <v>④ 둘 다 기준 밖</v>
      </c>
      <c r="I55" s="83"/>
    </row>
    <row r="56" spans="1:9">
      <c r="A56" s="82" t="s">
        <v>909</v>
      </c>
      <c r="B56" s="55">
        <v>52</v>
      </c>
      <c r="C56" s="55" t="s">
        <v>790</v>
      </c>
      <c r="D56" s="133">
        <v>23000000</v>
      </c>
      <c r="E56" s="98" t="str">
        <f t="shared" si="2"/>
        <v>10M+</v>
      </c>
      <c r="F56" s="98" t="s">
        <v>1395</v>
      </c>
      <c r="G56" s="98" t="s">
        <v>1395</v>
      </c>
      <c r="H56" s="83" t="str">
        <f t="shared" si="3"/>
        <v>④ 둘 다 기준 밖</v>
      </c>
      <c r="I56" s="83"/>
    </row>
    <row r="57" spans="1:9">
      <c r="A57" s="82" t="s">
        <v>910</v>
      </c>
      <c r="B57" s="55">
        <v>53</v>
      </c>
      <c r="C57" s="55" t="s">
        <v>790</v>
      </c>
      <c r="D57" s="133">
        <v>11000000</v>
      </c>
      <c r="E57" s="98" t="str">
        <f t="shared" si="2"/>
        <v>10M+</v>
      </c>
      <c r="F57" s="98" t="s">
        <v>1395</v>
      </c>
      <c r="G57" s="98" t="s">
        <v>1395</v>
      </c>
      <c r="H57" s="83" t="str">
        <f t="shared" si="3"/>
        <v>④ 둘 다 기준 밖</v>
      </c>
      <c r="I57" s="83"/>
    </row>
    <row r="58" spans="1:9">
      <c r="A58" s="82" t="s">
        <v>911</v>
      </c>
      <c r="B58" s="55">
        <v>54</v>
      </c>
      <c r="C58" s="55" t="s">
        <v>790</v>
      </c>
      <c r="D58" s="133">
        <v>370000000</v>
      </c>
      <c r="E58" s="98" t="str">
        <f t="shared" si="2"/>
        <v>100M+</v>
      </c>
      <c r="F58" s="98" t="s">
        <v>1395</v>
      </c>
      <c r="G58" s="98" t="s">
        <v>1395</v>
      </c>
      <c r="H58" s="83" t="str">
        <f t="shared" si="3"/>
        <v>④ 둘 다 기준 밖</v>
      </c>
      <c r="I58" s="83"/>
    </row>
    <row r="59" spans="1:9">
      <c r="A59" s="82" t="s">
        <v>912</v>
      </c>
      <c r="B59" s="55">
        <v>55</v>
      </c>
      <c r="C59" s="55" t="s">
        <v>790</v>
      </c>
      <c r="D59" s="133">
        <v>78000000</v>
      </c>
      <c r="E59" s="98" t="str">
        <f t="shared" si="2"/>
        <v>50M+</v>
      </c>
      <c r="F59" s="98" t="s">
        <v>1395</v>
      </c>
      <c r="G59" s="98" t="s">
        <v>1395</v>
      </c>
      <c r="H59" s="83" t="str">
        <f t="shared" si="3"/>
        <v>④ 둘 다 기준 밖</v>
      </c>
      <c r="I59" s="83"/>
    </row>
    <row r="60" spans="1:9">
      <c r="A60" s="82" t="s">
        <v>913</v>
      </c>
      <c r="B60" s="55">
        <v>56</v>
      </c>
      <c r="C60" s="55" t="s">
        <v>790</v>
      </c>
      <c r="D60" s="133">
        <v>8400000</v>
      </c>
      <c r="E60" s="98" t="str">
        <f t="shared" si="2"/>
        <v>5M+</v>
      </c>
      <c r="F60" s="98" t="s">
        <v>1395</v>
      </c>
      <c r="G60" s="98" t="s">
        <v>1395</v>
      </c>
      <c r="H60" s="83" t="str">
        <f t="shared" si="3"/>
        <v>④ 둘 다 기준 밖</v>
      </c>
      <c r="I60" s="83"/>
    </row>
    <row r="61" spans="1:9">
      <c r="A61" s="82" t="s">
        <v>174</v>
      </c>
      <c r="B61" s="55">
        <v>57</v>
      </c>
      <c r="C61" s="55">
        <v>11</v>
      </c>
      <c r="D61" s="133">
        <v>40000000</v>
      </c>
      <c r="E61" s="98" t="str">
        <f t="shared" si="2"/>
        <v>10M+</v>
      </c>
      <c r="F61" s="98" t="s">
        <v>1395</v>
      </c>
      <c r="G61" s="98" t="s">
        <v>1395</v>
      </c>
      <c r="H61" s="83" t="str">
        <f t="shared" si="3"/>
        <v>③ 다운로드만 높음</v>
      </c>
      <c r="I61" s="83"/>
    </row>
    <row r="62" spans="1:9">
      <c r="A62" s="82" t="s">
        <v>914</v>
      </c>
      <c r="B62" s="55">
        <v>58</v>
      </c>
      <c r="C62" s="55" t="s">
        <v>790</v>
      </c>
      <c r="D62" s="133">
        <v>23000000</v>
      </c>
      <c r="E62" s="98" t="str">
        <f t="shared" si="2"/>
        <v>10M+</v>
      </c>
      <c r="F62" s="98" t="s">
        <v>1395</v>
      </c>
      <c r="G62" s="98" t="s">
        <v>1395</v>
      </c>
      <c r="H62" s="83" t="str">
        <f t="shared" si="3"/>
        <v>④ 둘 다 기준 밖</v>
      </c>
      <c r="I62" s="83"/>
    </row>
    <row r="63" spans="1:9">
      <c r="A63" s="82" t="s">
        <v>915</v>
      </c>
      <c r="B63" s="55">
        <v>59</v>
      </c>
      <c r="C63" s="55" t="s">
        <v>790</v>
      </c>
      <c r="D63" s="133">
        <v>50000000</v>
      </c>
      <c r="E63" s="98" t="str">
        <f t="shared" si="2"/>
        <v>50M+</v>
      </c>
      <c r="F63" s="98" t="s">
        <v>1395</v>
      </c>
      <c r="G63" s="98" t="s">
        <v>1395</v>
      </c>
      <c r="H63" s="83" t="str">
        <f t="shared" si="3"/>
        <v>④ 둘 다 기준 밖</v>
      </c>
      <c r="I63" s="83"/>
    </row>
    <row r="64" spans="1:9">
      <c r="A64" s="82" t="s">
        <v>916</v>
      </c>
      <c r="B64" s="55">
        <v>60</v>
      </c>
      <c r="C64" s="55" t="s">
        <v>790</v>
      </c>
      <c r="D64" s="133">
        <v>1100000000</v>
      </c>
      <c r="E64" s="98" t="str">
        <f t="shared" si="2"/>
        <v>1B+</v>
      </c>
      <c r="F64" s="98" t="s">
        <v>1395</v>
      </c>
      <c r="G64" s="98" t="s">
        <v>1395</v>
      </c>
      <c r="H64" s="83" t="str">
        <f t="shared" si="3"/>
        <v>④ 둘 다 기준 밖</v>
      </c>
      <c r="I64" s="83"/>
    </row>
    <row r="65" spans="1:9">
      <c r="A65" s="82" t="s">
        <v>917</v>
      </c>
      <c r="B65" s="55">
        <v>61</v>
      </c>
      <c r="C65" s="55" t="s">
        <v>790</v>
      </c>
      <c r="D65" s="133">
        <v>16000000</v>
      </c>
      <c r="E65" s="98" t="str">
        <f t="shared" si="2"/>
        <v>10M+</v>
      </c>
      <c r="F65" s="98" t="s">
        <v>1395</v>
      </c>
      <c r="G65" s="98" t="s">
        <v>1395</v>
      </c>
      <c r="H65" s="83" t="str">
        <f t="shared" si="3"/>
        <v>④ 둘 다 기준 밖</v>
      </c>
      <c r="I65" s="83"/>
    </row>
    <row r="66" spans="1:9">
      <c r="A66" s="82" t="s">
        <v>918</v>
      </c>
      <c r="B66" s="55">
        <v>62</v>
      </c>
      <c r="C66" s="55" t="s">
        <v>790</v>
      </c>
      <c r="D66" s="133">
        <v>11000000</v>
      </c>
      <c r="E66" s="98" t="str">
        <f t="shared" si="2"/>
        <v>10M+</v>
      </c>
      <c r="F66" s="98" t="s">
        <v>1395</v>
      </c>
      <c r="G66" s="98" t="s">
        <v>1395</v>
      </c>
      <c r="H66" s="83" t="str">
        <f t="shared" si="3"/>
        <v>④ 둘 다 기준 밖</v>
      </c>
      <c r="I66" s="83"/>
    </row>
    <row r="67" spans="1:9">
      <c r="A67" s="82" t="s">
        <v>919</v>
      </c>
      <c r="B67" s="55">
        <v>63</v>
      </c>
      <c r="C67" s="55" t="s">
        <v>790</v>
      </c>
      <c r="D67" s="133">
        <v>6600000</v>
      </c>
      <c r="E67" s="98" t="str">
        <f t="shared" si="2"/>
        <v>5M+</v>
      </c>
      <c r="F67" s="98" t="s">
        <v>1395</v>
      </c>
      <c r="G67" s="98" t="s">
        <v>1395</v>
      </c>
      <c r="H67" s="83" t="str">
        <f t="shared" si="3"/>
        <v>④ 둘 다 기준 밖</v>
      </c>
      <c r="I67" s="83"/>
    </row>
    <row r="68" spans="1:9">
      <c r="A68" s="82" t="s">
        <v>844</v>
      </c>
      <c r="B68" s="55">
        <v>64</v>
      </c>
      <c r="C68" s="55">
        <v>27</v>
      </c>
      <c r="D68" s="133">
        <v>3000000</v>
      </c>
      <c r="E68" s="98" t="str">
        <f t="shared" si="2"/>
        <v>1M+</v>
      </c>
      <c r="F68" s="98" t="s">
        <v>1395</v>
      </c>
      <c r="G68" s="98" t="s">
        <v>1395</v>
      </c>
      <c r="H68" s="83" t="str">
        <f t="shared" si="3"/>
        <v>③ 다운로드만 높음</v>
      </c>
      <c r="I68" s="83"/>
    </row>
    <row r="69" spans="1:9">
      <c r="A69" s="82" t="s">
        <v>920</v>
      </c>
      <c r="B69" s="55">
        <v>66</v>
      </c>
      <c r="C69" s="55">
        <v>21</v>
      </c>
      <c r="D69" s="133">
        <v>3500000</v>
      </c>
      <c r="E69" s="98" t="str">
        <f t="shared" si="2"/>
        <v>1M+</v>
      </c>
      <c r="F69" s="98" t="s">
        <v>1395</v>
      </c>
      <c r="G69" s="98" t="s">
        <v>1395</v>
      </c>
      <c r="H69" s="83" t="str">
        <f t="shared" si="3"/>
        <v>③ 다운로드만 높음</v>
      </c>
      <c r="I69" s="83"/>
    </row>
    <row r="70" spans="1:9">
      <c r="A70" s="82" t="s">
        <v>424</v>
      </c>
      <c r="B70" s="55">
        <v>67</v>
      </c>
      <c r="C70" s="55" t="s">
        <v>790</v>
      </c>
      <c r="D70" s="133">
        <v>550000000</v>
      </c>
      <c r="E70" s="98" t="str">
        <f t="shared" ref="E70:E101" si="4">IF(D70="","",IF(D70&gt;=1000000000,"1B+",IF(D70&gt;=500000000,"500M+",IF(D70&gt;=100000000,"100M+",IF(D70&gt;=50000000,"50M+",IF(D70&gt;=10000000,"10M+",IF(D70&gt;=5000000,"5M+",IF(D70&gt;=1000000,"1M+","1M 미만"))))))))</f>
        <v>500M+</v>
      </c>
      <c r="F70" s="98" t="s">
        <v>1395</v>
      </c>
      <c r="G70" s="98" t="s">
        <v>1395</v>
      </c>
      <c r="H70" s="83" t="str">
        <f t="shared" ref="H70:H101" si="5">IF(AND(ISNUMBER(B70),B70&lt;=$B$2,ISNUMBER(C70),C70&lt;=$B$3),"① 둘 다 높음",IF(AND(ISNUMBER(B70),B70&lt;=$B$2),"② 매출만 높음",IF(AND(ISNUMBER(C70),C70&lt;=$B$3),"③ 다운로드만 높음","④ 둘 다 기준 밖")))</f>
        <v>④ 둘 다 기준 밖</v>
      </c>
      <c r="I70" s="83"/>
    </row>
    <row r="71" spans="1:9">
      <c r="A71" s="82" t="s">
        <v>921</v>
      </c>
      <c r="B71" s="55">
        <v>68</v>
      </c>
      <c r="C71" s="55">
        <v>87</v>
      </c>
      <c r="D71" s="133">
        <v>2700000</v>
      </c>
      <c r="E71" s="98" t="str">
        <f t="shared" si="4"/>
        <v>1M+</v>
      </c>
      <c r="F71" s="98" t="s">
        <v>1395</v>
      </c>
      <c r="G71" s="98" t="s">
        <v>1395</v>
      </c>
      <c r="H71" s="83" t="str">
        <f t="shared" si="5"/>
        <v>④ 둘 다 기준 밖</v>
      </c>
      <c r="I71" s="83"/>
    </row>
    <row r="72" spans="1:9">
      <c r="A72" s="82" t="s">
        <v>922</v>
      </c>
      <c r="B72" s="55">
        <v>69</v>
      </c>
      <c r="C72" s="55" t="s">
        <v>790</v>
      </c>
      <c r="D72" s="133">
        <v>400000000</v>
      </c>
      <c r="E72" s="98" t="str">
        <f t="shared" si="4"/>
        <v>100M+</v>
      </c>
      <c r="F72" s="98" t="s">
        <v>1395</v>
      </c>
      <c r="G72" s="98" t="s">
        <v>1395</v>
      </c>
      <c r="H72" s="83" t="str">
        <f t="shared" si="5"/>
        <v>④ 둘 다 기준 밖</v>
      </c>
      <c r="I72" s="83"/>
    </row>
    <row r="73" spans="1:9">
      <c r="A73" s="82" t="s">
        <v>850</v>
      </c>
      <c r="B73" s="55">
        <v>70</v>
      </c>
      <c r="C73" s="55">
        <v>9</v>
      </c>
      <c r="D73" s="133">
        <v>10000000</v>
      </c>
      <c r="E73" s="98" t="str">
        <f t="shared" si="4"/>
        <v>10M+</v>
      </c>
      <c r="F73" s="98" t="s">
        <v>1395</v>
      </c>
      <c r="G73" s="98" t="s">
        <v>1395</v>
      </c>
      <c r="H73" s="83" t="str">
        <f t="shared" si="5"/>
        <v>③ 다운로드만 높음</v>
      </c>
      <c r="I73" s="83"/>
    </row>
    <row r="74" spans="1:9">
      <c r="A74" s="82" t="s">
        <v>923</v>
      </c>
      <c r="B74" s="55">
        <v>71</v>
      </c>
      <c r="C74" s="55" t="s">
        <v>790</v>
      </c>
      <c r="D74" s="133">
        <v>98000000</v>
      </c>
      <c r="E74" s="98" t="str">
        <f t="shared" si="4"/>
        <v>50M+</v>
      </c>
      <c r="F74" s="98" t="s">
        <v>1395</v>
      </c>
      <c r="G74" s="98" t="s">
        <v>1395</v>
      </c>
      <c r="H74" s="83" t="str">
        <f t="shared" si="5"/>
        <v>④ 둘 다 기준 밖</v>
      </c>
      <c r="I74" s="83"/>
    </row>
    <row r="75" spans="1:9">
      <c r="A75" s="82" t="s">
        <v>924</v>
      </c>
      <c r="B75" s="55">
        <v>72</v>
      </c>
      <c r="C75" s="55" t="s">
        <v>790</v>
      </c>
      <c r="D75" s="133">
        <v>8100000</v>
      </c>
      <c r="E75" s="98" t="str">
        <f t="shared" si="4"/>
        <v>5M+</v>
      </c>
      <c r="F75" s="98" t="s">
        <v>1395</v>
      </c>
      <c r="G75" s="98" t="s">
        <v>1395</v>
      </c>
      <c r="H75" s="83" t="str">
        <f t="shared" si="5"/>
        <v>④ 둘 다 기준 밖</v>
      </c>
      <c r="I75" s="83"/>
    </row>
    <row r="76" spans="1:9">
      <c r="A76" s="82" t="s">
        <v>925</v>
      </c>
      <c r="B76" s="55">
        <v>73</v>
      </c>
      <c r="C76" s="55" t="s">
        <v>790</v>
      </c>
      <c r="D76" s="133">
        <v>4600000</v>
      </c>
      <c r="E76" s="98" t="str">
        <f t="shared" si="4"/>
        <v>1M+</v>
      </c>
      <c r="F76" s="98" t="s">
        <v>1395</v>
      </c>
      <c r="G76" s="98" t="s">
        <v>1395</v>
      </c>
      <c r="H76" s="83" t="str">
        <f t="shared" si="5"/>
        <v>④ 둘 다 기준 밖</v>
      </c>
      <c r="I76" s="83"/>
    </row>
    <row r="77" spans="1:9">
      <c r="A77" s="82" t="s">
        <v>926</v>
      </c>
      <c r="B77" s="55">
        <v>74</v>
      </c>
      <c r="C77" s="55" t="s">
        <v>790</v>
      </c>
      <c r="D77" s="133">
        <v>65000000</v>
      </c>
      <c r="E77" s="98" t="str">
        <f t="shared" si="4"/>
        <v>50M+</v>
      </c>
      <c r="F77" s="98" t="s">
        <v>1395</v>
      </c>
      <c r="G77" s="98" t="s">
        <v>1395</v>
      </c>
      <c r="H77" s="83" t="str">
        <f t="shared" si="5"/>
        <v>④ 둘 다 기준 밖</v>
      </c>
      <c r="I77" s="83"/>
    </row>
    <row r="78" spans="1:9">
      <c r="A78" s="82" t="s">
        <v>927</v>
      </c>
      <c r="B78" s="55">
        <v>75</v>
      </c>
      <c r="C78" s="55" t="s">
        <v>790</v>
      </c>
      <c r="D78" s="133">
        <v>45000000</v>
      </c>
      <c r="E78" s="98" t="str">
        <f t="shared" si="4"/>
        <v>10M+</v>
      </c>
      <c r="F78" s="98" t="s">
        <v>1395</v>
      </c>
      <c r="G78" s="98" t="s">
        <v>1395</v>
      </c>
      <c r="H78" s="83" t="str">
        <f t="shared" si="5"/>
        <v>④ 둘 다 기준 밖</v>
      </c>
      <c r="I78" s="83"/>
    </row>
    <row r="79" spans="1:9">
      <c r="A79" s="82" t="s">
        <v>928</v>
      </c>
      <c r="B79" s="55">
        <v>76</v>
      </c>
      <c r="C79" s="55" t="s">
        <v>790</v>
      </c>
      <c r="D79" s="133">
        <v>13000000</v>
      </c>
      <c r="E79" s="98" t="str">
        <f t="shared" si="4"/>
        <v>10M+</v>
      </c>
      <c r="F79" s="98" t="s">
        <v>1395</v>
      </c>
      <c r="G79" s="98" t="s">
        <v>1395</v>
      </c>
      <c r="H79" s="83" t="str">
        <f t="shared" si="5"/>
        <v>④ 둘 다 기준 밖</v>
      </c>
      <c r="I79" s="83"/>
    </row>
    <row r="80" spans="1:9">
      <c r="A80" s="82" t="s">
        <v>929</v>
      </c>
      <c r="B80" s="55">
        <v>77</v>
      </c>
      <c r="C80" s="55" t="s">
        <v>790</v>
      </c>
      <c r="D80" s="133">
        <v>6000000</v>
      </c>
      <c r="E80" s="98" t="str">
        <f t="shared" si="4"/>
        <v>5M+</v>
      </c>
      <c r="F80" s="98" t="s">
        <v>1395</v>
      </c>
      <c r="G80" s="98" t="s">
        <v>1395</v>
      </c>
      <c r="H80" s="83" t="str">
        <f t="shared" si="5"/>
        <v>④ 둘 다 기준 밖</v>
      </c>
      <c r="I80" s="83"/>
    </row>
    <row r="81" spans="1:9">
      <c r="A81" s="82" t="s">
        <v>930</v>
      </c>
      <c r="B81" s="55">
        <v>78</v>
      </c>
      <c r="C81" s="55" t="s">
        <v>790</v>
      </c>
      <c r="D81" s="133">
        <v>83000000</v>
      </c>
      <c r="E81" s="98" t="str">
        <f t="shared" si="4"/>
        <v>50M+</v>
      </c>
      <c r="F81" s="98" t="s">
        <v>1395</v>
      </c>
      <c r="G81" s="98" t="s">
        <v>1395</v>
      </c>
      <c r="H81" s="83" t="str">
        <f t="shared" si="5"/>
        <v>④ 둘 다 기준 밖</v>
      </c>
      <c r="I81" s="83"/>
    </row>
    <row r="82" spans="1:9">
      <c r="A82" s="82" t="s">
        <v>931</v>
      </c>
      <c r="B82" s="55">
        <v>79</v>
      </c>
      <c r="C82" s="55" t="s">
        <v>790</v>
      </c>
      <c r="D82" s="133">
        <v>110000000</v>
      </c>
      <c r="E82" s="98" t="str">
        <f t="shared" si="4"/>
        <v>100M+</v>
      </c>
      <c r="F82" s="98" t="s">
        <v>1395</v>
      </c>
      <c r="G82" s="98" t="s">
        <v>1395</v>
      </c>
      <c r="H82" s="83" t="str">
        <f t="shared" si="5"/>
        <v>④ 둘 다 기준 밖</v>
      </c>
      <c r="I82" s="83"/>
    </row>
    <row r="83" spans="1:9">
      <c r="A83" s="82" t="s">
        <v>932</v>
      </c>
      <c r="B83" s="55">
        <v>80</v>
      </c>
      <c r="C83" s="55" t="s">
        <v>790</v>
      </c>
      <c r="D83" s="133">
        <v>38000000</v>
      </c>
      <c r="E83" s="98" t="str">
        <f t="shared" si="4"/>
        <v>10M+</v>
      </c>
      <c r="F83" s="98" t="s">
        <v>1395</v>
      </c>
      <c r="G83" s="98" t="s">
        <v>1395</v>
      </c>
      <c r="H83" s="83" t="str">
        <f t="shared" si="5"/>
        <v>④ 둘 다 기준 밖</v>
      </c>
      <c r="I83" s="83"/>
    </row>
    <row r="84" spans="1:9">
      <c r="A84" s="82" t="s">
        <v>933</v>
      </c>
      <c r="B84" s="55">
        <v>81</v>
      </c>
      <c r="C84" s="55" t="s">
        <v>790</v>
      </c>
      <c r="D84" s="133">
        <v>300000000</v>
      </c>
      <c r="E84" s="98" t="str">
        <f t="shared" si="4"/>
        <v>100M+</v>
      </c>
      <c r="F84" s="98" t="s">
        <v>1395</v>
      </c>
      <c r="G84" s="98" t="s">
        <v>1395</v>
      </c>
      <c r="H84" s="83" t="str">
        <f t="shared" si="5"/>
        <v>④ 둘 다 기준 밖</v>
      </c>
      <c r="I84" s="83"/>
    </row>
    <row r="85" spans="1:9">
      <c r="A85" s="82" t="s">
        <v>934</v>
      </c>
      <c r="B85" s="55">
        <v>82</v>
      </c>
      <c r="C85" s="55">
        <v>73</v>
      </c>
      <c r="D85" s="133">
        <v>5400000</v>
      </c>
      <c r="E85" s="98" t="str">
        <f t="shared" si="4"/>
        <v>5M+</v>
      </c>
      <c r="F85" s="98" t="s">
        <v>1395</v>
      </c>
      <c r="G85" s="98" t="s">
        <v>1395</v>
      </c>
      <c r="H85" s="83" t="str">
        <f t="shared" si="5"/>
        <v>④ 둘 다 기준 밖</v>
      </c>
      <c r="I85" s="83"/>
    </row>
    <row r="86" spans="1:9">
      <c r="A86" s="82" t="s">
        <v>935</v>
      </c>
      <c r="B86" s="55">
        <v>83</v>
      </c>
      <c r="C86" s="55" t="s">
        <v>790</v>
      </c>
      <c r="D86" s="133">
        <v>6800000</v>
      </c>
      <c r="E86" s="98" t="str">
        <f t="shared" si="4"/>
        <v>5M+</v>
      </c>
      <c r="F86" s="98" t="s">
        <v>1395</v>
      </c>
      <c r="G86" s="98" t="s">
        <v>1395</v>
      </c>
      <c r="H86" s="83" t="str">
        <f t="shared" si="5"/>
        <v>④ 둘 다 기준 밖</v>
      </c>
      <c r="I86" s="83"/>
    </row>
    <row r="87" spans="1:9">
      <c r="A87" s="82" t="s">
        <v>936</v>
      </c>
      <c r="B87" s="55">
        <v>84</v>
      </c>
      <c r="C87" s="55">
        <v>35</v>
      </c>
      <c r="D87" s="133">
        <v>39000000</v>
      </c>
      <c r="E87" s="98" t="str">
        <f t="shared" si="4"/>
        <v>10M+</v>
      </c>
      <c r="F87" s="98" t="s">
        <v>1395</v>
      </c>
      <c r="G87" s="98" t="s">
        <v>1395</v>
      </c>
      <c r="H87" s="83" t="str">
        <f t="shared" si="5"/>
        <v>④ 둘 다 기준 밖</v>
      </c>
      <c r="I87" s="83"/>
    </row>
    <row r="88" spans="1:9">
      <c r="A88" s="82" t="s">
        <v>937</v>
      </c>
      <c r="B88" s="55">
        <v>85</v>
      </c>
      <c r="C88" s="55" t="s">
        <v>790</v>
      </c>
      <c r="D88" s="133">
        <v>75000000</v>
      </c>
      <c r="E88" s="98" t="str">
        <f t="shared" si="4"/>
        <v>50M+</v>
      </c>
      <c r="F88" s="98" t="s">
        <v>1395</v>
      </c>
      <c r="G88" s="98" t="s">
        <v>1395</v>
      </c>
      <c r="H88" s="83" t="str">
        <f t="shared" si="5"/>
        <v>④ 둘 다 기준 밖</v>
      </c>
      <c r="I88" s="83"/>
    </row>
    <row r="89" spans="1:9">
      <c r="A89" s="82" t="s">
        <v>847</v>
      </c>
      <c r="B89" s="55">
        <v>86</v>
      </c>
      <c r="C89" s="55" t="s">
        <v>790</v>
      </c>
      <c r="D89" s="133">
        <v>29000000</v>
      </c>
      <c r="E89" s="98" t="str">
        <f t="shared" si="4"/>
        <v>10M+</v>
      </c>
      <c r="F89" s="98" t="s">
        <v>1395</v>
      </c>
      <c r="G89" s="98" t="s">
        <v>1395</v>
      </c>
      <c r="H89" s="83" t="str">
        <f t="shared" si="5"/>
        <v>④ 둘 다 기준 밖</v>
      </c>
      <c r="I89" s="83"/>
    </row>
    <row r="90" spans="1:9">
      <c r="A90" s="82" t="s">
        <v>938</v>
      </c>
      <c r="B90" s="55">
        <v>87</v>
      </c>
      <c r="C90" s="55" t="s">
        <v>790</v>
      </c>
      <c r="D90" s="133">
        <v>5400000</v>
      </c>
      <c r="E90" s="98" t="str">
        <f t="shared" si="4"/>
        <v>5M+</v>
      </c>
      <c r="F90" s="98" t="s">
        <v>1395</v>
      </c>
      <c r="G90" s="98" t="s">
        <v>1395</v>
      </c>
      <c r="H90" s="83" t="str">
        <f t="shared" si="5"/>
        <v>④ 둘 다 기준 밖</v>
      </c>
      <c r="I90" s="83"/>
    </row>
    <row r="91" spans="1:9">
      <c r="A91" s="82" t="s">
        <v>939</v>
      </c>
      <c r="B91" s="55">
        <v>88</v>
      </c>
      <c r="C91" s="55" t="s">
        <v>790</v>
      </c>
      <c r="D91" s="133">
        <v>23000000</v>
      </c>
      <c r="E91" s="98" t="str">
        <f t="shared" si="4"/>
        <v>10M+</v>
      </c>
      <c r="F91" s="98" t="s">
        <v>1395</v>
      </c>
      <c r="G91" s="98" t="s">
        <v>1395</v>
      </c>
      <c r="H91" s="83" t="str">
        <f t="shared" si="5"/>
        <v>④ 둘 다 기준 밖</v>
      </c>
      <c r="I91" s="83"/>
    </row>
    <row r="92" spans="1:9">
      <c r="A92" s="82" t="s">
        <v>940</v>
      </c>
      <c r="B92" s="55">
        <v>89</v>
      </c>
      <c r="C92" s="55" t="s">
        <v>790</v>
      </c>
      <c r="D92" s="133">
        <v>170000000</v>
      </c>
      <c r="E92" s="98" t="str">
        <f t="shared" si="4"/>
        <v>100M+</v>
      </c>
      <c r="F92" s="98" t="s">
        <v>1395</v>
      </c>
      <c r="G92" s="98" t="s">
        <v>1395</v>
      </c>
      <c r="H92" s="83" t="str">
        <f t="shared" si="5"/>
        <v>④ 둘 다 기준 밖</v>
      </c>
      <c r="I92" s="83"/>
    </row>
    <row r="93" spans="1:9">
      <c r="A93" s="82" t="s">
        <v>941</v>
      </c>
      <c r="B93" s="55">
        <v>90</v>
      </c>
      <c r="C93" s="55" t="s">
        <v>790</v>
      </c>
      <c r="D93" s="133">
        <v>3600000</v>
      </c>
      <c r="E93" s="98" t="str">
        <f t="shared" si="4"/>
        <v>1M+</v>
      </c>
      <c r="F93" s="98" t="s">
        <v>1395</v>
      </c>
      <c r="G93" s="98" t="s">
        <v>1395</v>
      </c>
      <c r="H93" s="83" t="str">
        <f t="shared" si="5"/>
        <v>④ 둘 다 기준 밖</v>
      </c>
      <c r="I93" s="83"/>
    </row>
    <row r="94" spans="1:9">
      <c r="A94" s="82" t="s">
        <v>942</v>
      </c>
      <c r="B94" s="55">
        <v>91</v>
      </c>
      <c r="C94" s="55" t="s">
        <v>790</v>
      </c>
      <c r="D94" s="133">
        <v>25000000</v>
      </c>
      <c r="E94" s="98" t="str">
        <f t="shared" si="4"/>
        <v>10M+</v>
      </c>
      <c r="F94" s="98" t="s">
        <v>1395</v>
      </c>
      <c r="G94" s="98" t="s">
        <v>1395</v>
      </c>
      <c r="H94" s="83" t="str">
        <f t="shared" si="5"/>
        <v>④ 둘 다 기준 밖</v>
      </c>
      <c r="I94" s="83"/>
    </row>
    <row r="95" spans="1:9">
      <c r="A95" s="82" t="s">
        <v>943</v>
      </c>
      <c r="B95" s="55">
        <v>92</v>
      </c>
      <c r="C95" s="55" t="s">
        <v>790</v>
      </c>
      <c r="D95" s="133">
        <v>95000000</v>
      </c>
      <c r="E95" s="98" t="str">
        <f t="shared" si="4"/>
        <v>50M+</v>
      </c>
      <c r="F95" s="98" t="s">
        <v>1395</v>
      </c>
      <c r="G95" s="98" t="s">
        <v>1395</v>
      </c>
      <c r="H95" s="83" t="str">
        <f t="shared" si="5"/>
        <v>④ 둘 다 기준 밖</v>
      </c>
      <c r="I95" s="83"/>
    </row>
    <row r="96" spans="1:9">
      <c r="A96" s="82" t="s">
        <v>944</v>
      </c>
      <c r="B96" s="55">
        <v>93</v>
      </c>
      <c r="C96" s="55" t="s">
        <v>790</v>
      </c>
      <c r="D96" s="133">
        <v>15000000</v>
      </c>
      <c r="E96" s="98" t="str">
        <f t="shared" si="4"/>
        <v>10M+</v>
      </c>
      <c r="F96" s="98" t="s">
        <v>1395</v>
      </c>
      <c r="G96" s="98" t="s">
        <v>1395</v>
      </c>
      <c r="H96" s="83" t="str">
        <f t="shared" si="5"/>
        <v>④ 둘 다 기준 밖</v>
      </c>
      <c r="I96" s="83"/>
    </row>
    <row r="97" spans="1:9">
      <c r="A97" s="82" t="s">
        <v>857</v>
      </c>
      <c r="B97" s="55">
        <v>94</v>
      </c>
      <c r="C97" s="55" t="s">
        <v>790</v>
      </c>
      <c r="D97" s="133">
        <v>35000000</v>
      </c>
      <c r="E97" s="98" t="str">
        <f t="shared" si="4"/>
        <v>10M+</v>
      </c>
      <c r="F97" s="98" t="s">
        <v>1395</v>
      </c>
      <c r="G97" s="98" t="s">
        <v>1395</v>
      </c>
      <c r="H97" s="83" t="str">
        <f t="shared" si="5"/>
        <v>④ 둘 다 기준 밖</v>
      </c>
      <c r="I97" s="83"/>
    </row>
    <row r="98" spans="1:9">
      <c r="A98" s="82" t="s">
        <v>945</v>
      </c>
      <c r="B98" s="55">
        <v>95</v>
      </c>
      <c r="C98" s="55" t="s">
        <v>790</v>
      </c>
      <c r="D98" s="133">
        <v>18000000</v>
      </c>
      <c r="E98" s="98" t="str">
        <f t="shared" si="4"/>
        <v>10M+</v>
      </c>
      <c r="F98" s="98" t="s">
        <v>1395</v>
      </c>
      <c r="G98" s="98" t="s">
        <v>1395</v>
      </c>
      <c r="H98" s="83" t="str">
        <f t="shared" si="5"/>
        <v>④ 둘 다 기준 밖</v>
      </c>
      <c r="I98" s="83"/>
    </row>
    <row r="99" spans="1:9">
      <c r="A99" s="82" t="s">
        <v>407</v>
      </c>
      <c r="B99" s="55">
        <v>96</v>
      </c>
      <c r="C99" s="55" t="s">
        <v>790</v>
      </c>
      <c r="D99" s="133">
        <v>630000000</v>
      </c>
      <c r="E99" s="98" t="str">
        <f t="shared" si="4"/>
        <v>500M+</v>
      </c>
      <c r="F99" s="98" t="s">
        <v>1395</v>
      </c>
      <c r="G99" s="98" t="s">
        <v>1395</v>
      </c>
      <c r="H99" s="83" t="str">
        <f t="shared" si="5"/>
        <v>④ 둘 다 기준 밖</v>
      </c>
      <c r="I99" s="83"/>
    </row>
    <row r="100" spans="1:9">
      <c r="A100" s="82" t="s">
        <v>946</v>
      </c>
      <c r="B100" s="55">
        <v>97</v>
      </c>
      <c r="C100" s="55">
        <v>24</v>
      </c>
      <c r="D100" s="133">
        <v>5500000</v>
      </c>
      <c r="E100" s="98" t="str">
        <f t="shared" si="4"/>
        <v>5M+</v>
      </c>
      <c r="F100" s="98" t="s">
        <v>1395</v>
      </c>
      <c r="G100" s="98" t="s">
        <v>1395</v>
      </c>
      <c r="H100" s="83" t="str">
        <f t="shared" si="5"/>
        <v>③ 다운로드만 높음</v>
      </c>
      <c r="I100" s="83"/>
    </row>
    <row r="101" spans="1:9">
      <c r="A101" s="82" t="s">
        <v>947</v>
      </c>
      <c r="B101" s="55">
        <v>98</v>
      </c>
      <c r="C101" s="55">
        <v>3</v>
      </c>
      <c r="D101" s="133">
        <v>350000000</v>
      </c>
      <c r="E101" s="98" t="str">
        <f t="shared" si="4"/>
        <v>100M+</v>
      </c>
      <c r="F101" s="98" t="s">
        <v>1395</v>
      </c>
      <c r="G101" s="98" t="s">
        <v>1395</v>
      </c>
      <c r="H101" s="83" t="str">
        <f t="shared" si="5"/>
        <v>③ 다운로드만 높음</v>
      </c>
      <c r="I101" s="83"/>
    </row>
    <row r="102" spans="1:9">
      <c r="A102" s="82" t="s">
        <v>948</v>
      </c>
      <c r="B102" s="55">
        <v>99</v>
      </c>
      <c r="C102" s="55" t="s">
        <v>790</v>
      </c>
      <c r="D102" s="133">
        <v>75000000</v>
      </c>
      <c r="E102" s="98" t="str">
        <f t="shared" ref="E102:E133" si="6">IF(D102="","",IF(D102&gt;=1000000000,"1B+",IF(D102&gt;=500000000,"500M+",IF(D102&gt;=100000000,"100M+",IF(D102&gt;=50000000,"50M+",IF(D102&gt;=10000000,"10M+",IF(D102&gt;=5000000,"5M+",IF(D102&gt;=1000000,"1M+","1M 미만"))))))))</f>
        <v>50M+</v>
      </c>
      <c r="F102" s="98" t="s">
        <v>1395</v>
      </c>
      <c r="G102" s="98" t="s">
        <v>1395</v>
      </c>
      <c r="H102" s="83" t="str">
        <f t="shared" ref="H102:H133" si="7">IF(AND(ISNUMBER(B102),B102&lt;=$B$2,ISNUMBER(C102),C102&lt;=$B$3),"① 둘 다 높음",IF(AND(ISNUMBER(B102),B102&lt;=$B$2),"② 매출만 높음",IF(AND(ISNUMBER(C102),C102&lt;=$B$3),"③ 다운로드만 높음","④ 둘 다 기준 밖")))</f>
        <v>④ 둘 다 기준 밖</v>
      </c>
      <c r="I102" s="83"/>
    </row>
    <row r="103" spans="1:9">
      <c r="A103" s="82" t="s">
        <v>949</v>
      </c>
      <c r="B103" s="55">
        <v>100</v>
      </c>
      <c r="C103" s="55" t="s">
        <v>790</v>
      </c>
      <c r="D103" s="133">
        <v>140000000</v>
      </c>
      <c r="E103" s="98" t="str">
        <f t="shared" si="6"/>
        <v>100M+</v>
      </c>
      <c r="F103" s="98" t="s">
        <v>1395</v>
      </c>
      <c r="G103" s="98" t="s">
        <v>1395</v>
      </c>
      <c r="H103" s="83" t="str">
        <f t="shared" si="7"/>
        <v>④ 둘 다 기준 밖</v>
      </c>
      <c r="I103" s="83"/>
    </row>
    <row r="104" spans="1:9">
      <c r="A104" s="82" t="s">
        <v>168</v>
      </c>
      <c r="B104" s="55" t="s">
        <v>790</v>
      </c>
      <c r="C104" s="55">
        <v>1</v>
      </c>
      <c r="D104" s="133">
        <v>1900000</v>
      </c>
      <c r="E104" s="98" t="str">
        <f t="shared" si="6"/>
        <v>1M+</v>
      </c>
      <c r="F104" s="98" t="s">
        <v>1395</v>
      </c>
      <c r="G104" s="98" t="s">
        <v>1395</v>
      </c>
      <c r="H104" s="83" t="str">
        <f t="shared" si="7"/>
        <v>③ 다운로드만 높음</v>
      </c>
      <c r="I104" s="83"/>
    </row>
    <row r="105" spans="1:9">
      <c r="A105" s="82" t="s">
        <v>950</v>
      </c>
      <c r="B105" s="55" t="s">
        <v>790</v>
      </c>
      <c r="C105" s="55">
        <v>2</v>
      </c>
      <c r="D105" s="133">
        <v>21000000</v>
      </c>
      <c r="E105" s="98" t="str">
        <f t="shared" si="6"/>
        <v>10M+</v>
      </c>
      <c r="F105" s="98" t="s">
        <v>1395</v>
      </c>
      <c r="G105" s="98" t="s">
        <v>1395</v>
      </c>
      <c r="H105" s="83" t="str">
        <f t="shared" si="7"/>
        <v>③ 다운로드만 높음</v>
      </c>
      <c r="I105" s="83"/>
    </row>
    <row r="106" spans="1:9">
      <c r="A106" s="82" t="s">
        <v>355</v>
      </c>
      <c r="B106" s="55" t="s">
        <v>790</v>
      </c>
      <c r="C106" s="55">
        <v>5</v>
      </c>
      <c r="D106" s="133">
        <v>410000000</v>
      </c>
      <c r="E106" s="98" t="str">
        <f t="shared" si="6"/>
        <v>100M+</v>
      </c>
      <c r="F106" s="98" t="s">
        <v>1395</v>
      </c>
      <c r="G106" s="98" t="s">
        <v>1395</v>
      </c>
      <c r="H106" s="83" t="str">
        <f t="shared" si="7"/>
        <v>③ 다운로드만 높음</v>
      </c>
      <c r="I106" s="83"/>
    </row>
    <row r="107" spans="1:9">
      <c r="A107" s="82" t="s">
        <v>951</v>
      </c>
      <c r="B107" s="55" t="s">
        <v>790</v>
      </c>
      <c r="C107" s="55">
        <v>6</v>
      </c>
      <c r="D107" s="133">
        <v>740000</v>
      </c>
      <c r="E107" s="98" t="str">
        <f t="shared" si="6"/>
        <v>1M 미만</v>
      </c>
      <c r="F107" s="98" t="s">
        <v>1395</v>
      </c>
      <c r="G107" s="98" t="s">
        <v>1395</v>
      </c>
      <c r="H107" s="83" t="str">
        <f t="shared" si="7"/>
        <v>③ 다운로드만 높음</v>
      </c>
      <c r="I107" s="83"/>
    </row>
    <row r="108" spans="1:9">
      <c r="A108" s="82" t="s">
        <v>171</v>
      </c>
      <c r="B108" s="55" t="s">
        <v>790</v>
      </c>
      <c r="C108" s="55">
        <v>7</v>
      </c>
      <c r="D108" s="133">
        <v>1100000000</v>
      </c>
      <c r="E108" s="98" t="str">
        <f t="shared" si="6"/>
        <v>1B+</v>
      </c>
      <c r="F108" s="98" t="s">
        <v>1395</v>
      </c>
      <c r="G108" s="98" t="s">
        <v>1395</v>
      </c>
      <c r="H108" s="83" t="str">
        <f t="shared" si="7"/>
        <v>③ 다운로드만 높음</v>
      </c>
      <c r="I108" s="83"/>
    </row>
    <row r="109" spans="1:9">
      <c r="A109" s="82" t="s">
        <v>176</v>
      </c>
      <c r="B109" s="55" t="s">
        <v>790</v>
      </c>
      <c r="C109" s="55">
        <v>8</v>
      </c>
      <c r="D109" s="133">
        <v>11000000</v>
      </c>
      <c r="E109" s="98" t="str">
        <f t="shared" si="6"/>
        <v>10M+</v>
      </c>
      <c r="F109" s="98" t="s">
        <v>1395</v>
      </c>
      <c r="G109" s="98" t="s">
        <v>1395</v>
      </c>
      <c r="H109" s="83" t="str">
        <f t="shared" si="7"/>
        <v>③ 다운로드만 높음</v>
      </c>
      <c r="I109" s="83"/>
    </row>
    <row r="110" spans="1:9">
      <c r="A110" s="82" t="s">
        <v>952</v>
      </c>
      <c r="B110" s="55" t="s">
        <v>790</v>
      </c>
      <c r="C110" s="55">
        <v>10</v>
      </c>
      <c r="D110" s="133">
        <v>290000</v>
      </c>
      <c r="E110" s="98" t="str">
        <f t="shared" si="6"/>
        <v>1M 미만</v>
      </c>
      <c r="F110" s="98" t="s">
        <v>1395</v>
      </c>
      <c r="G110" s="98" t="s">
        <v>1395</v>
      </c>
      <c r="H110" s="83" t="str">
        <f t="shared" si="7"/>
        <v>③ 다운로드만 높음</v>
      </c>
      <c r="I110" s="83"/>
    </row>
    <row r="111" spans="1:9">
      <c r="A111" s="82" t="s">
        <v>953</v>
      </c>
      <c r="B111" s="55" t="s">
        <v>790</v>
      </c>
      <c r="C111" s="55">
        <v>12</v>
      </c>
      <c r="D111" s="133">
        <v>22000000</v>
      </c>
      <c r="E111" s="98" t="str">
        <f t="shared" si="6"/>
        <v>10M+</v>
      </c>
      <c r="F111" s="98" t="s">
        <v>1395</v>
      </c>
      <c r="G111" s="98" t="s">
        <v>1395</v>
      </c>
      <c r="H111" s="83" t="str">
        <f t="shared" si="7"/>
        <v>③ 다운로드만 높음</v>
      </c>
      <c r="I111" s="83"/>
    </row>
    <row r="112" spans="1:9">
      <c r="A112" s="82" t="s">
        <v>954</v>
      </c>
      <c r="B112" s="55" t="s">
        <v>790</v>
      </c>
      <c r="C112" s="55">
        <v>13</v>
      </c>
      <c r="D112" s="133">
        <v>16000000</v>
      </c>
      <c r="E112" s="98" t="str">
        <f t="shared" si="6"/>
        <v>10M+</v>
      </c>
      <c r="F112" s="98" t="s">
        <v>1395</v>
      </c>
      <c r="G112" s="98" t="s">
        <v>1395</v>
      </c>
      <c r="H112" s="83" t="str">
        <f t="shared" si="7"/>
        <v>③ 다운로드만 높음</v>
      </c>
      <c r="I112" s="83"/>
    </row>
    <row r="113" spans="1:9">
      <c r="A113" s="82" t="s">
        <v>955</v>
      </c>
      <c r="B113" s="55" t="s">
        <v>790</v>
      </c>
      <c r="C113" s="55">
        <v>14</v>
      </c>
      <c r="D113" s="133">
        <v>110000000</v>
      </c>
      <c r="E113" s="98" t="str">
        <f t="shared" si="6"/>
        <v>100M+</v>
      </c>
      <c r="F113" s="98" t="s">
        <v>1395</v>
      </c>
      <c r="G113" s="98" t="s">
        <v>1395</v>
      </c>
      <c r="H113" s="83" t="str">
        <f t="shared" si="7"/>
        <v>③ 다운로드만 높음</v>
      </c>
      <c r="I113" s="83"/>
    </row>
    <row r="114" spans="1:9">
      <c r="A114" s="82" t="s">
        <v>956</v>
      </c>
      <c r="B114" s="55" t="s">
        <v>790</v>
      </c>
      <c r="C114" s="55">
        <v>15</v>
      </c>
      <c r="D114" s="133">
        <v>580000000</v>
      </c>
      <c r="E114" s="98" t="str">
        <f t="shared" si="6"/>
        <v>500M+</v>
      </c>
      <c r="F114" s="98" t="s">
        <v>1395</v>
      </c>
      <c r="G114" s="98" t="s">
        <v>1395</v>
      </c>
      <c r="H114" s="83" t="str">
        <f t="shared" si="7"/>
        <v>③ 다운로드만 높음</v>
      </c>
      <c r="I114" s="83"/>
    </row>
    <row r="115" spans="1:9">
      <c r="A115" s="82" t="s">
        <v>957</v>
      </c>
      <c r="B115" s="55" t="s">
        <v>790</v>
      </c>
      <c r="C115" s="55">
        <v>16</v>
      </c>
      <c r="D115" s="133">
        <v>110000000</v>
      </c>
      <c r="E115" s="98" t="str">
        <f t="shared" si="6"/>
        <v>100M+</v>
      </c>
      <c r="F115" s="98" t="s">
        <v>1395</v>
      </c>
      <c r="G115" s="98" t="s">
        <v>1395</v>
      </c>
      <c r="H115" s="83" t="str">
        <f t="shared" si="7"/>
        <v>③ 다운로드만 높음</v>
      </c>
      <c r="I115" s="83"/>
    </row>
    <row r="116" spans="1:9">
      <c r="A116" s="82" t="s">
        <v>958</v>
      </c>
      <c r="B116" s="55" t="s">
        <v>790</v>
      </c>
      <c r="C116" s="55">
        <v>18</v>
      </c>
      <c r="D116" s="133">
        <v>2200000</v>
      </c>
      <c r="E116" s="98" t="str">
        <f t="shared" si="6"/>
        <v>1M+</v>
      </c>
      <c r="F116" s="98" t="s">
        <v>1395</v>
      </c>
      <c r="G116" s="98" t="s">
        <v>1395</v>
      </c>
      <c r="H116" s="83" t="str">
        <f t="shared" si="7"/>
        <v>③ 다운로드만 높음</v>
      </c>
      <c r="I116" s="83"/>
    </row>
    <row r="117" spans="1:9">
      <c r="A117" s="82" t="s">
        <v>959</v>
      </c>
      <c r="B117" s="55" t="s">
        <v>790</v>
      </c>
      <c r="C117" s="55">
        <v>19</v>
      </c>
      <c r="D117" s="133">
        <v>94000000</v>
      </c>
      <c r="E117" s="98" t="str">
        <f t="shared" si="6"/>
        <v>50M+</v>
      </c>
      <c r="F117" s="98" t="s">
        <v>1395</v>
      </c>
      <c r="G117" s="98" t="s">
        <v>1395</v>
      </c>
      <c r="H117" s="83" t="str">
        <f t="shared" si="7"/>
        <v>③ 다운로드만 높음</v>
      </c>
      <c r="I117" s="83"/>
    </row>
    <row r="118" spans="1:9">
      <c r="A118" s="82" t="s">
        <v>960</v>
      </c>
      <c r="B118" s="55" t="s">
        <v>790</v>
      </c>
      <c r="C118" s="55">
        <v>20</v>
      </c>
      <c r="D118" s="133">
        <v>13000000</v>
      </c>
      <c r="E118" s="98" t="str">
        <f t="shared" si="6"/>
        <v>10M+</v>
      </c>
      <c r="F118" s="98" t="s">
        <v>1395</v>
      </c>
      <c r="G118" s="98" t="s">
        <v>1395</v>
      </c>
      <c r="H118" s="83" t="str">
        <f t="shared" si="7"/>
        <v>③ 다운로드만 높음</v>
      </c>
      <c r="I118" s="83"/>
    </row>
    <row r="119" spans="1:9">
      <c r="A119" s="82" t="s">
        <v>853</v>
      </c>
      <c r="B119" s="55" t="s">
        <v>790</v>
      </c>
      <c r="C119" s="55">
        <v>23</v>
      </c>
      <c r="D119" s="133">
        <v>88000000</v>
      </c>
      <c r="E119" s="98" t="str">
        <f t="shared" si="6"/>
        <v>50M+</v>
      </c>
      <c r="F119" s="98" t="s">
        <v>1395</v>
      </c>
      <c r="G119" s="98" t="s">
        <v>1395</v>
      </c>
      <c r="H119" s="83" t="str">
        <f t="shared" si="7"/>
        <v>③ 다운로드만 높음</v>
      </c>
      <c r="I119" s="83"/>
    </row>
    <row r="120" spans="1:9">
      <c r="A120" s="82" t="s">
        <v>416</v>
      </c>
      <c r="B120" s="55" t="s">
        <v>790</v>
      </c>
      <c r="C120" s="55">
        <v>25</v>
      </c>
      <c r="D120" s="133">
        <v>37000000</v>
      </c>
      <c r="E120" s="98" t="str">
        <f t="shared" si="6"/>
        <v>10M+</v>
      </c>
      <c r="F120" s="98" t="s">
        <v>1395</v>
      </c>
      <c r="G120" s="98" t="s">
        <v>1395</v>
      </c>
      <c r="H120" s="83" t="str">
        <f t="shared" si="7"/>
        <v>③ 다운로드만 높음</v>
      </c>
      <c r="I120" s="83"/>
    </row>
    <row r="121" spans="1:9">
      <c r="A121" s="82" t="s">
        <v>961</v>
      </c>
      <c r="B121" s="55" t="s">
        <v>790</v>
      </c>
      <c r="C121" s="55">
        <v>28</v>
      </c>
      <c r="D121" s="133">
        <v>19000000</v>
      </c>
      <c r="E121" s="98" t="str">
        <f t="shared" si="6"/>
        <v>10M+</v>
      </c>
      <c r="F121" s="98" t="s">
        <v>1395</v>
      </c>
      <c r="G121" s="98" t="s">
        <v>1395</v>
      </c>
      <c r="H121" s="83" t="str">
        <f t="shared" si="7"/>
        <v>③ 다운로드만 높음</v>
      </c>
      <c r="I121" s="83"/>
    </row>
    <row r="122" spans="1:9">
      <c r="A122" s="82" t="s">
        <v>962</v>
      </c>
      <c r="B122" s="55" t="s">
        <v>790</v>
      </c>
      <c r="C122" s="55">
        <v>29</v>
      </c>
      <c r="D122" s="133">
        <v>3800000</v>
      </c>
      <c r="E122" s="98" t="str">
        <f t="shared" si="6"/>
        <v>1M+</v>
      </c>
      <c r="F122" s="98" t="s">
        <v>1395</v>
      </c>
      <c r="G122" s="98" t="s">
        <v>1395</v>
      </c>
      <c r="H122" s="83" t="str">
        <f t="shared" si="7"/>
        <v>③ 다운로드만 높음</v>
      </c>
      <c r="I122" s="83"/>
    </row>
    <row r="123" spans="1:9">
      <c r="A123" s="82" t="s">
        <v>963</v>
      </c>
      <c r="B123" s="55" t="s">
        <v>790</v>
      </c>
      <c r="C123" s="55">
        <v>30</v>
      </c>
      <c r="D123" s="133">
        <v>290000000</v>
      </c>
      <c r="E123" s="98" t="str">
        <f t="shared" si="6"/>
        <v>100M+</v>
      </c>
      <c r="F123" s="98" t="s">
        <v>1395</v>
      </c>
      <c r="G123" s="98" t="s">
        <v>1395</v>
      </c>
      <c r="H123" s="83" t="str">
        <f t="shared" si="7"/>
        <v>③ 다운로드만 높음</v>
      </c>
      <c r="I123" s="83"/>
    </row>
    <row r="124" spans="1:9">
      <c r="A124" s="82" t="s">
        <v>964</v>
      </c>
      <c r="B124" s="55" t="s">
        <v>790</v>
      </c>
      <c r="C124" s="55">
        <v>31</v>
      </c>
      <c r="D124" s="133">
        <v>6400000</v>
      </c>
      <c r="E124" s="98" t="str">
        <f t="shared" si="6"/>
        <v>5M+</v>
      </c>
      <c r="F124" s="98" t="s">
        <v>1395</v>
      </c>
      <c r="G124" s="98" t="s">
        <v>1395</v>
      </c>
      <c r="H124" s="83" t="str">
        <f t="shared" si="7"/>
        <v>④ 둘 다 기준 밖</v>
      </c>
      <c r="I124" s="83"/>
    </row>
    <row r="125" spans="1:9">
      <c r="A125" s="82" t="s">
        <v>965</v>
      </c>
      <c r="B125" s="55" t="s">
        <v>790</v>
      </c>
      <c r="C125" s="55">
        <v>32</v>
      </c>
      <c r="D125" s="133">
        <v>480000000</v>
      </c>
      <c r="E125" s="98" t="str">
        <f t="shared" si="6"/>
        <v>100M+</v>
      </c>
      <c r="F125" s="98" t="s">
        <v>1395</v>
      </c>
      <c r="G125" s="98" t="s">
        <v>1395</v>
      </c>
      <c r="H125" s="83" t="str">
        <f t="shared" si="7"/>
        <v>④ 둘 다 기준 밖</v>
      </c>
      <c r="I125" s="83"/>
    </row>
    <row r="126" spans="1:9">
      <c r="A126" s="82" t="s">
        <v>966</v>
      </c>
      <c r="B126" s="55" t="s">
        <v>790</v>
      </c>
      <c r="C126" s="55">
        <v>33</v>
      </c>
      <c r="D126" s="133">
        <v>840000000</v>
      </c>
      <c r="E126" s="98" t="str">
        <f t="shared" si="6"/>
        <v>500M+</v>
      </c>
      <c r="F126" s="98" t="s">
        <v>1395</v>
      </c>
      <c r="G126" s="98" t="s">
        <v>1395</v>
      </c>
      <c r="H126" s="83" t="str">
        <f t="shared" si="7"/>
        <v>④ 둘 다 기준 밖</v>
      </c>
      <c r="I126" s="83"/>
    </row>
    <row r="127" spans="1:9">
      <c r="A127" s="82" t="s">
        <v>967</v>
      </c>
      <c r="B127" s="55" t="s">
        <v>790</v>
      </c>
      <c r="C127" s="55">
        <v>34</v>
      </c>
      <c r="D127" s="133">
        <v>120000000</v>
      </c>
      <c r="E127" s="98" t="str">
        <f t="shared" si="6"/>
        <v>100M+</v>
      </c>
      <c r="F127" s="98" t="s">
        <v>1395</v>
      </c>
      <c r="G127" s="98" t="s">
        <v>1395</v>
      </c>
      <c r="H127" s="83" t="str">
        <f t="shared" si="7"/>
        <v>④ 둘 다 기준 밖</v>
      </c>
      <c r="I127" s="83"/>
    </row>
    <row r="128" spans="1:9">
      <c r="A128" s="82" t="s">
        <v>968</v>
      </c>
      <c r="B128" s="55" t="s">
        <v>790</v>
      </c>
      <c r="C128" s="55">
        <v>36</v>
      </c>
      <c r="D128" s="133">
        <v>1300000000</v>
      </c>
      <c r="E128" s="98" t="str">
        <f t="shared" si="6"/>
        <v>1B+</v>
      </c>
      <c r="F128" s="98" t="s">
        <v>1395</v>
      </c>
      <c r="G128" s="98" t="s">
        <v>1395</v>
      </c>
      <c r="H128" s="83" t="str">
        <f t="shared" si="7"/>
        <v>④ 둘 다 기준 밖</v>
      </c>
      <c r="I128" s="83"/>
    </row>
    <row r="129" spans="1:9">
      <c r="A129" s="82" t="s">
        <v>969</v>
      </c>
      <c r="B129" s="55" t="s">
        <v>790</v>
      </c>
      <c r="C129" s="55">
        <v>37</v>
      </c>
      <c r="D129" s="133">
        <v>22000000</v>
      </c>
      <c r="E129" s="98" t="str">
        <f t="shared" si="6"/>
        <v>10M+</v>
      </c>
      <c r="F129" s="98" t="s">
        <v>1395</v>
      </c>
      <c r="G129" s="98" t="s">
        <v>1395</v>
      </c>
      <c r="H129" s="83" t="str">
        <f t="shared" si="7"/>
        <v>④ 둘 다 기준 밖</v>
      </c>
      <c r="I129" s="83"/>
    </row>
    <row r="130" spans="1:9">
      <c r="A130" s="82" t="s">
        <v>970</v>
      </c>
      <c r="B130" s="55" t="s">
        <v>790</v>
      </c>
      <c r="C130" s="55">
        <v>38</v>
      </c>
      <c r="D130" s="133">
        <v>17000000</v>
      </c>
      <c r="E130" s="98" t="str">
        <f t="shared" si="6"/>
        <v>10M+</v>
      </c>
      <c r="F130" s="98" t="s">
        <v>1395</v>
      </c>
      <c r="G130" s="98" t="s">
        <v>1395</v>
      </c>
      <c r="H130" s="83" t="str">
        <f t="shared" si="7"/>
        <v>④ 둘 다 기준 밖</v>
      </c>
      <c r="I130" s="83"/>
    </row>
    <row r="131" spans="1:9">
      <c r="A131" s="82" t="s">
        <v>971</v>
      </c>
      <c r="B131" s="55" t="s">
        <v>790</v>
      </c>
      <c r="C131" s="55">
        <v>39</v>
      </c>
      <c r="D131" s="133">
        <v>110000000</v>
      </c>
      <c r="E131" s="98" t="str">
        <f t="shared" si="6"/>
        <v>100M+</v>
      </c>
      <c r="F131" s="98" t="s">
        <v>1395</v>
      </c>
      <c r="G131" s="98" t="s">
        <v>1395</v>
      </c>
      <c r="H131" s="83" t="str">
        <f t="shared" si="7"/>
        <v>④ 둘 다 기준 밖</v>
      </c>
      <c r="I131" s="83"/>
    </row>
    <row r="132" spans="1:9">
      <c r="A132" s="82" t="s">
        <v>972</v>
      </c>
      <c r="B132" s="55" t="s">
        <v>790</v>
      </c>
      <c r="C132" s="55">
        <v>41</v>
      </c>
      <c r="D132" s="133">
        <v>7100000</v>
      </c>
      <c r="E132" s="98" t="str">
        <f t="shared" si="6"/>
        <v>5M+</v>
      </c>
      <c r="F132" s="98" t="s">
        <v>1395</v>
      </c>
      <c r="G132" s="98" t="s">
        <v>1395</v>
      </c>
      <c r="H132" s="83" t="str">
        <f t="shared" si="7"/>
        <v>④ 둘 다 기준 밖</v>
      </c>
      <c r="I132" s="83"/>
    </row>
    <row r="133" spans="1:9">
      <c r="A133" s="82" t="s">
        <v>973</v>
      </c>
      <c r="B133" s="55" t="s">
        <v>790</v>
      </c>
      <c r="C133" s="55">
        <v>43</v>
      </c>
      <c r="D133" s="133">
        <v>70000000</v>
      </c>
      <c r="E133" s="98" t="str">
        <f t="shared" si="6"/>
        <v>50M+</v>
      </c>
      <c r="F133" s="98" t="s">
        <v>1395</v>
      </c>
      <c r="G133" s="98" t="s">
        <v>1395</v>
      </c>
      <c r="H133" s="83" t="str">
        <f t="shared" si="7"/>
        <v>④ 둘 다 기준 밖</v>
      </c>
      <c r="I133" s="83"/>
    </row>
    <row r="134" spans="1:9">
      <c r="A134" s="82" t="s">
        <v>974</v>
      </c>
      <c r="B134" s="55" t="s">
        <v>790</v>
      </c>
      <c r="C134" s="55">
        <v>44</v>
      </c>
      <c r="D134" s="133">
        <v>12000000</v>
      </c>
      <c r="E134" s="98" t="str">
        <f t="shared" ref="E134:E165" si="8">IF(D134="","",IF(D134&gt;=1000000000,"1B+",IF(D134&gt;=500000000,"500M+",IF(D134&gt;=100000000,"100M+",IF(D134&gt;=50000000,"50M+",IF(D134&gt;=10000000,"10M+",IF(D134&gt;=5000000,"5M+",IF(D134&gt;=1000000,"1M+","1M 미만"))))))))</f>
        <v>10M+</v>
      </c>
      <c r="F134" s="98" t="s">
        <v>1395</v>
      </c>
      <c r="G134" s="98" t="s">
        <v>1395</v>
      </c>
      <c r="H134" s="83" t="str">
        <f t="shared" ref="H134:H165" si="9">IF(AND(ISNUMBER(B134),B134&lt;=$B$2,ISNUMBER(C134),C134&lt;=$B$3),"① 둘 다 높음",IF(AND(ISNUMBER(B134),B134&lt;=$B$2),"② 매출만 높음",IF(AND(ISNUMBER(C134),C134&lt;=$B$3),"③ 다운로드만 높음","④ 둘 다 기준 밖")))</f>
        <v>④ 둘 다 기준 밖</v>
      </c>
      <c r="I134" s="83"/>
    </row>
    <row r="135" spans="1:9">
      <c r="A135" s="82" t="s">
        <v>975</v>
      </c>
      <c r="B135" s="55" t="s">
        <v>790</v>
      </c>
      <c r="C135" s="55">
        <v>45</v>
      </c>
      <c r="D135" s="133">
        <v>750000</v>
      </c>
      <c r="E135" s="98" t="str">
        <f t="shared" si="8"/>
        <v>1M 미만</v>
      </c>
      <c r="F135" s="98" t="s">
        <v>1395</v>
      </c>
      <c r="G135" s="98" t="s">
        <v>1395</v>
      </c>
      <c r="H135" s="83" t="str">
        <f t="shared" si="9"/>
        <v>④ 둘 다 기준 밖</v>
      </c>
      <c r="I135" s="83"/>
    </row>
    <row r="136" spans="1:9">
      <c r="A136" s="82" t="s">
        <v>976</v>
      </c>
      <c r="B136" s="55" t="s">
        <v>790</v>
      </c>
      <c r="C136" s="55">
        <v>46</v>
      </c>
      <c r="D136" s="133">
        <v>79000000</v>
      </c>
      <c r="E136" s="98" t="str">
        <f t="shared" si="8"/>
        <v>50M+</v>
      </c>
      <c r="F136" s="98" t="s">
        <v>1395</v>
      </c>
      <c r="G136" s="98" t="s">
        <v>1395</v>
      </c>
      <c r="H136" s="83" t="str">
        <f t="shared" si="9"/>
        <v>④ 둘 다 기준 밖</v>
      </c>
      <c r="I136" s="83"/>
    </row>
    <row r="137" spans="1:9">
      <c r="A137" s="82" t="s">
        <v>977</v>
      </c>
      <c r="B137" s="55" t="s">
        <v>790</v>
      </c>
      <c r="C137" s="55">
        <v>50</v>
      </c>
      <c r="D137" s="133">
        <v>7500000</v>
      </c>
      <c r="E137" s="98" t="str">
        <f t="shared" si="8"/>
        <v>5M+</v>
      </c>
      <c r="F137" s="98" t="s">
        <v>1395</v>
      </c>
      <c r="G137" s="98" t="s">
        <v>1395</v>
      </c>
      <c r="H137" s="83" t="str">
        <f t="shared" si="9"/>
        <v>④ 둘 다 기준 밖</v>
      </c>
      <c r="I137" s="83"/>
    </row>
    <row r="138" spans="1:9">
      <c r="A138" s="82" t="s">
        <v>978</v>
      </c>
      <c r="B138" s="55" t="s">
        <v>790</v>
      </c>
      <c r="C138" s="55">
        <v>51</v>
      </c>
      <c r="D138" s="133">
        <v>2800000</v>
      </c>
      <c r="E138" s="98" t="str">
        <f t="shared" si="8"/>
        <v>1M+</v>
      </c>
      <c r="F138" s="98" t="s">
        <v>1395</v>
      </c>
      <c r="G138" s="98" t="s">
        <v>1395</v>
      </c>
      <c r="H138" s="83" t="str">
        <f t="shared" si="9"/>
        <v>④ 둘 다 기준 밖</v>
      </c>
      <c r="I138" s="83"/>
    </row>
    <row r="139" spans="1:9">
      <c r="A139" s="82" t="s">
        <v>979</v>
      </c>
      <c r="B139" s="55" t="s">
        <v>790</v>
      </c>
      <c r="C139" s="55">
        <v>52</v>
      </c>
      <c r="D139" s="133">
        <v>2900000000</v>
      </c>
      <c r="E139" s="98" t="str">
        <f t="shared" si="8"/>
        <v>1B+</v>
      </c>
      <c r="F139" s="98" t="s">
        <v>1395</v>
      </c>
      <c r="G139" s="98" t="s">
        <v>1395</v>
      </c>
      <c r="H139" s="83" t="str">
        <f t="shared" si="9"/>
        <v>④ 둘 다 기준 밖</v>
      </c>
      <c r="I139" s="83"/>
    </row>
    <row r="140" spans="1:9">
      <c r="A140" s="82" t="s">
        <v>980</v>
      </c>
      <c r="B140" s="55" t="s">
        <v>790</v>
      </c>
      <c r="C140" s="55">
        <v>53</v>
      </c>
      <c r="D140" s="133">
        <v>350000</v>
      </c>
      <c r="E140" s="98" t="str">
        <f t="shared" si="8"/>
        <v>1M 미만</v>
      </c>
      <c r="F140" s="98" t="s">
        <v>1395</v>
      </c>
      <c r="G140" s="98" t="s">
        <v>1395</v>
      </c>
      <c r="H140" s="83" t="str">
        <f t="shared" si="9"/>
        <v>④ 둘 다 기준 밖</v>
      </c>
      <c r="I140" s="83"/>
    </row>
    <row r="141" spans="1:9">
      <c r="A141" s="82" t="s">
        <v>981</v>
      </c>
      <c r="B141" s="55" t="s">
        <v>790</v>
      </c>
      <c r="C141" s="55">
        <v>54</v>
      </c>
      <c r="D141" s="133">
        <v>620000000</v>
      </c>
      <c r="E141" s="98" t="str">
        <f t="shared" si="8"/>
        <v>500M+</v>
      </c>
      <c r="F141" s="98" t="s">
        <v>1395</v>
      </c>
      <c r="G141" s="98" t="s">
        <v>1395</v>
      </c>
      <c r="H141" s="83" t="str">
        <f t="shared" si="9"/>
        <v>④ 둘 다 기준 밖</v>
      </c>
      <c r="I141" s="83"/>
    </row>
    <row r="142" spans="1:9">
      <c r="A142" s="82" t="s">
        <v>982</v>
      </c>
      <c r="B142" s="55" t="s">
        <v>790</v>
      </c>
      <c r="C142" s="55">
        <v>55</v>
      </c>
      <c r="D142" s="133">
        <v>11000000</v>
      </c>
      <c r="E142" s="98" t="str">
        <f t="shared" si="8"/>
        <v>10M+</v>
      </c>
      <c r="F142" s="98" t="s">
        <v>1395</v>
      </c>
      <c r="G142" s="98" t="s">
        <v>1395</v>
      </c>
      <c r="H142" s="83" t="str">
        <f t="shared" si="9"/>
        <v>④ 둘 다 기준 밖</v>
      </c>
      <c r="I142" s="83"/>
    </row>
    <row r="143" spans="1:9">
      <c r="A143" s="82" t="s">
        <v>983</v>
      </c>
      <c r="B143" s="55" t="s">
        <v>790</v>
      </c>
      <c r="C143" s="55">
        <v>56</v>
      </c>
      <c r="D143" s="133">
        <v>8900000</v>
      </c>
      <c r="E143" s="98" t="str">
        <f t="shared" si="8"/>
        <v>5M+</v>
      </c>
      <c r="F143" s="98" t="s">
        <v>1395</v>
      </c>
      <c r="G143" s="98" t="s">
        <v>1395</v>
      </c>
      <c r="H143" s="83" t="str">
        <f t="shared" si="9"/>
        <v>④ 둘 다 기준 밖</v>
      </c>
      <c r="I143" s="83"/>
    </row>
    <row r="144" spans="1:9">
      <c r="A144" s="82" t="s">
        <v>984</v>
      </c>
      <c r="B144" s="55" t="s">
        <v>790</v>
      </c>
      <c r="C144" s="55">
        <v>57</v>
      </c>
      <c r="D144" s="133">
        <v>350000000</v>
      </c>
      <c r="E144" s="98" t="str">
        <f t="shared" si="8"/>
        <v>100M+</v>
      </c>
      <c r="F144" s="98" t="s">
        <v>1395</v>
      </c>
      <c r="G144" s="98" t="s">
        <v>1395</v>
      </c>
      <c r="H144" s="83" t="str">
        <f t="shared" si="9"/>
        <v>④ 둘 다 기준 밖</v>
      </c>
      <c r="I144" s="83"/>
    </row>
    <row r="145" spans="1:9">
      <c r="A145" s="82" t="s">
        <v>985</v>
      </c>
      <c r="B145" s="55" t="s">
        <v>790</v>
      </c>
      <c r="C145" s="55">
        <v>58</v>
      </c>
      <c r="D145" s="133">
        <v>1100000</v>
      </c>
      <c r="E145" s="98" t="str">
        <f t="shared" si="8"/>
        <v>1M+</v>
      </c>
      <c r="F145" s="98" t="s">
        <v>1395</v>
      </c>
      <c r="G145" s="98" t="s">
        <v>1395</v>
      </c>
      <c r="H145" s="83" t="str">
        <f t="shared" si="9"/>
        <v>④ 둘 다 기준 밖</v>
      </c>
      <c r="I145" s="83"/>
    </row>
    <row r="146" spans="1:9">
      <c r="A146" s="82" t="s">
        <v>986</v>
      </c>
      <c r="B146" s="55" t="s">
        <v>790</v>
      </c>
      <c r="C146" s="55">
        <v>59</v>
      </c>
      <c r="D146" s="133">
        <v>460000000</v>
      </c>
      <c r="E146" s="98" t="str">
        <f t="shared" si="8"/>
        <v>100M+</v>
      </c>
      <c r="F146" s="98" t="s">
        <v>1395</v>
      </c>
      <c r="G146" s="98" t="s">
        <v>1395</v>
      </c>
      <c r="H146" s="83" t="str">
        <f t="shared" si="9"/>
        <v>④ 둘 다 기준 밖</v>
      </c>
      <c r="I146" s="83"/>
    </row>
    <row r="147" spans="1:9">
      <c r="A147" s="82" t="s">
        <v>987</v>
      </c>
      <c r="B147" s="55" t="s">
        <v>790</v>
      </c>
      <c r="C147" s="55">
        <v>60</v>
      </c>
      <c r="D147" s="133">
        <v>800000000</v>
      </c>
      <c r="E147" s="98" t="str">
        <f t="shared" si="8"/>
        <v>500M+</v>
      </c>
      <c r="F147" s="98" t="s">
        <v>1395</v>
      </c>
      <c r="G147" s="98" t="s">
        <v>1395</v>
      </c>
      <c r="H147" s="83" t="str">
        <f t="shared" si="9"/>
        <v>④ 둘 다 기준 밖</v>
      </c>
      <c r="I147" s="83"/>
    </row>
    <row r="148" spans="1:9">
      <c r="A148" s="82" t="s">
        <v>988</v>
      </c>
      <c r="B148" s="55" t="s">
        <v>790</v>
      </c>
      <c r="C148" s="55">
        <v>61</v>
      </c>
      <c r="D148" s="133">
        <v>67000000</v>
      </c>
      <c r="E148" s="98" t="str">
        <f t="shared" si="8"/>
        <v>50M+</v>
      </c>
      <c r="F148" s="98" t="s">
        <v>1395</v>
      </c>
      <c r="G148" s="98" t="s">
        <v>1395</v>
      </c>
      <c r="H148" s="83" t="str">
        <f t="shared" si="9"/>
        <v>④ 둘 다 기준 밖</v>
      </c>
      <c r="I148" s="83"/>
    </row>
    <row r="149" spans="1:9">
      <c r="A149" s="82" t="s">
        <v>989</v>
      </c>
      <c r="B149" s="55" t="s">
        <v>790</v>
      </c>
      <c r="C149" s="55">
        <v>64</v>
      </c>
      <c r="D149" s="133">
        <v>800000000</v>
      </c>
      <c r="E149" s="98" t="str">
        <f t="shared" si="8"/>
        <v>500M+</v>
      </c>
      <c r="F149" s="98" t="s">
        <v>1395</v>
      </c>
      <c r="G149" s="98" t="s">
        <v>1395</v>
      </c>
      <c r="H149" s="83" t="str">
        <f t="shared" si="9"/>
        <v>④ 둘 다 기준 밖</v>
      </c>
      <c r="I149" s="83"/>
    </row>
    <row r="150" spans="1:9">
      <c r="A150" s="82" t="s">
        <v>990</v>
      </c>
      <c r="B150" s="55" t="s">
        <v>790</v>
      </c>
      <c r="C150" s="55">
        <v>65</v>
      </c>
      <c r="D150" s="133">
        <v>11000000</v>
      </c>
      <c r="E150" s="98" t="str">
        <f t="shared" si="8"/>
        <v>10M+</v>
      </c>
      <c r="F150" s="98" t="s">
        <v>1395</v>
      </c>
      <c r="G150" s="98" t="s">
        <v>1395</v>
      </c>
      <c r="H150" s="83" t="str">
        <f t="shared" si="9"/>
        <v>④ 둘 다 기준 밖</v>
      </c>
      <c r="I150" s="83"/>
    </row>
    <row r="151" spans="1:9">
      <c r="A151" s="82" t="s">
        <v>991</v>
      </c>
      <c r="B151" s="55" t="s">
        <v>790</v>
      </c>
      <c r="C151" s="55">
        <v>66</v>
      </c>
      <c r="D151" s="133">
        <v>0</v>
      </c>
      <c r="E151" s="98" t="str">
        <f t="shared" si="8"/>
        <v>1M 미만</v>
      </c>
      <c r="F151" s="98" t="s">
        <v>1395</v>
      </c>
      <c r="G151" s="98" t="s">
        <v>1395</v>
      </c>
      <c r="H151" s="83" t="str">
        <f t="shared" si="9"/>
        <v>④ 둘 다 기준 밖</v>
      </c>
      <c r="I151" s="83"/>
    </row>
    <row r="152" spans="1:9">
      <c r="A152" s="82" t="s">
        <v>992</v>
      </c>
      <c r="B152" s="55" t="s">
        <v>790</v>
      </c>
      <c r="C152" s="55">
        <v>69</v>
      </c>
      <c r="D152" s="133">
        <v>99000</v>
      </c>
      <c r="E152" s="98" t="str">
        <f t="shared" si="8"/>
        <v>1M 미만</v>
      </c>
      <c r="F152" s="98" t="s">
        <v>1395</v>
      </c>
      <c r="G152" s="98" t="s">
        <v>1395</v>
      </c>
      <c r="H152" s="83" t="str">
        <f t="shared" si="9"/>
        <v>④ 둘 다 기준 밖</v>
      </c>
      <c r="I152" s="83"/>
    </row>
    <row r="153" spans="1:9">
      <c r="A153" s="82" t="s">
        <v>993</v>
      </c>
      <c r="B153" s="55" t="s">
        <v>790</v>
      </c>
      <c r="C153" s="55">
        <v>70</v>
      </c>
      <c r="D153" s="133">
        <v>58000000</v>
      </c>
      <c r="E153" s="98" t="str">
        <f t="shared" si="8"/>
        <v>50M+</v>
      </c>
      <c r="F153" s="98" t="s">
        <v>1395</v>
      </c>
      <c r="G153" s="98" t="s">
        <v>1395</v>
      </c>
      <c r="H153" s="83" t="str">
        <f t="shared" si="9"/>
        <v>④ 둘 다 기준 밖</v>
      </c>
      <c r="I153" s="83"/>
    </row>
    <row r="154" spans="1:9">
      <c r="A154" s="82" t="s">
        <v>994</v>
      </c>
      <c r="B154" s="55" t="s">
        <v>790</v>
      </c>
      <c r="C154" s="55">
        <v>71</v>
      </c>
      <c r="D154" s="133">
        <v>1700000</v>
      </c>
      <c r="E154" s="98" t="str">
        <f t="shared" si="8"/>
        <v>1M+</v>
      </c>
      <c r="F154" s="98" t="s">
        <v>1395</v>
      </c>
      <c r="G154" s="98" t="s">
        <v>1395</v>
      </c>
      <c r="H154" s="83" t="str">
        <f t="shared" si="9"/>
        <v>④ 둘 다 기준 밖</v>
      </c>
      <c r="I154" s="83"/>
    </row>
    <row r="155" spans="1:9">
      <c r="A155" s="82" t="s">
        <v>995</v>
      </c>
      <c r="B155" s="55" t="s">
        <v>790</v>
      </c>
      <c r="C155" s="55">
        <v>72</v>
      </c>
      <c r="D155" s="133">
        <v>120000000</v>
      </c>
      <c r="E155" s="98" t="str">
        <f t="shared" si="8"/>
        <v>100M+</v>
      </c>
      <c r="F155" s="98" t="s">
        <v>1395</v>
      </c>
      <c r="G155" s="98" t="s">
        <v>1395</v>
      </c>
      <c r="H155" s="83" t="str">
        <f t="shared" si="9"/>
        <v>④ 둘 다 기준 밖</v>
      </c>
      <c r="I155" s="83"/>
    </row>
    <row r="156" spans="1:9">
      <c r="A156" s="82" t="s">
        <v>996</v>
      </c>
      <c r="B156" s="55" t="s">
        <v>790</v>
      </c>
      <c r="C156" s="55">
        <v>74</v>
      </c>
      <c r="D156" s="133">
        <v>13000000</v>
      </c>
      <c r="E156" s="98" t="str">
        <f t="shared" si="8"/>
        <v>10M+</v>
      </c>
      <c r="F156" s="98" t="s">
        <v>1395</v>
      </c>
      <c r="G156" s="98" t="s">
        <v>1395</v>
      </c>
      <c r="H156" s="83" t="str">
        <f t="shared" si="9"/>
        <v>④ 둘 다 기준 밖</v>
      </c>
      <c r="I156" s="83"/>
    </row>
    <row r="157" spans="1:9">
      <c r="A157" s="82" t="s">
        <v>997</v>
      </c>
      <c r="B157" s="55" t="s">
        <v>790</v>
      </c>
      <c r="C157" s="55">
        <v>75</v>
      </c>
      <c r="D157" s="133">
        <v>38000000</v>
      </c>
      <c r="E157" s="98" t="str">
        <f t="shared" si="8"/>
        <v>10M+</v>
      </c>
      <c r="F157" s="98" t="s">
        <v>1395</v>
      </c>
      <c r="G157" s="98" t="s">
        <v>1395</v>
      </c>
      <c r="H157" s="83" t="str">
        <f t="shared" si="9"/>
        <v>④ 둘 다 기준 밖</v>
      </c>
      <c r="I157" s="83"/>
    </row>
    <row r="158" spans="1:9">
      <c r="A158" s="82" t="s">
        <v>998</v>
      </c>
      <c r="B158" s="55" t="s">
        <v>790</v>
      </c>
      <c r="C158" s="55">
        <v>76</v>
      </c>
      <c r="D158" s="133">
        <v>11000000</v>
      </c>
      <c r="E158" s="98" t="str">
        <f t="shared" si="8"/>
        <v>10M+</v>
      </c>
      <c r="F158" s="98" t="s">
        <v>1395</v>
      </c>
      <c r="G158" s="98" t="s">
        <v>1395</v>
      </c>
      <c r="H158" s="83" t="str">
        <f t="shared" si="9"/>
        <v>④ 둘 다 기준 밖</v>
      </c>
      <c r="I158" s="83"/>
    </row>
    <row r="159" spans="1:9">
      <c r="A159" s="82" t="s">
        <v>999</v>
      </c>
      <c r="B159" s="55" t="s">
        <v>790</v>
      </c>
      <c r="C159" s="55">
        <v>77</v>
      </c>
      <c r="D159" s="133">
        <v>41000000</v>
      </c>
      <c r="E159" s="98" t="str">
        <f t="shared" si="8"/>
        <v>10M+</v>
      </c>
      <c r="F159" s="98" t="s">
        <v>1395</v>
      </c>
      <c r="G159" s="98" t="s">
        <v>1395</v>
      </c>
      <c r="H159" s="83" t="str">
        <f t="shared" si="9"/>
        <v>④ 둘 다 기준 밖</v>
      </c>
      <c r="I159" s="83"/>
    </row>
    <row r="160" spans="1:9">
      <c r="A160" s="82" t="s">
        <v>1000</v>
      </c>
      <c r="B160" s="55" t="s">
        <v>790</v>
      </c>
      <c r="C160" s="55">
        <v>78</v>
      </c>
      <c r="D160" s="133">
        <v>3800000</v>
      </c>
      <c r="E160" s="98" t="str">
        <f t="shared" si="8"/>
        <v>1M+</v>
      </c>
      <c r="F160" s="98" t="s">
        <v>1395</v>
      </c>
      <c r="G160" s="98" t="s">
        <v>1395</v>
      </c>
      <c r="H160" s="83" t="str">
        <f t="shared" si="9"/>
        <v>④ 둘 다 기준 밖</v>
      </c>
      <c r="I160" s="83"/>
    </row>
    <row r="161" spans="1:9">
      <c r="A161" s="82" t="s">
        <v>1001</v>
      </c>
      <c r="B161" s="55" t="s">
        <v>790</v>
      </c>
      <c r="C161" s="55">
        <v>79</v>
      </c>
      <c r="D161" s="133">
        <v>680000</v>
      </c>
      <c r="E161" s="98" t="str">
        <f t="shared" si="8"/>
        <v>1M 미만</v>
      </c>
      <c r="F161" s="98" t="s">
        <v>1395</v>
      </c>
      <c r="G161" s="98" t="s">
        <v>1395</v>
      </c>
      <c r="H161" s="83" t="str">
        <f t="shared" si="9"/>
        <v>④ 둘 다 기준 밖</v>
      </c>
      <c r="I161" s="83"/>
    </row>
    <row r="162" spans="1:9">
      <c r="A162" s="82" t="s">
        <v>1002</v>
      </c>
      <c r="B162" s="55" t="s">
        <v>790</v>
      </c>
      <c r="C162" s="55">
        <v>81</v>
      </c>
      <c r="D162" s="133">
        <v>4300000</v>
      </c>
      <c r="E162" s="98" t="str">
        <f t="shared" si="8"/>
        <v>1M+</v>
      </c>
      <c r="F162" s="98" t="s">
        <v>1395</v>
      </c>
      <c r="G162" s="98" t="s">
        <v>1395</v>
      </c>
      <c r="H162" s="83" t="str">
        <f t="shared" si="9"/>
        <v>④ 둘 다 기준 밖</v>
      </c>
      <c r="I162" s="83"/>
    </row>
    <row r="163" spans="1:9">
      <c r="A163" s="82" t="s">
        <v>1003</v>
      </c>
      <c r="B163" s="55" t="s">
        <v>790</v>
      </c>
      <c r="C163" s="55">
        <v>82</v>
      </c>
      <c r="D163" s="133">
        <v>3600000</v>
      </c>
      <c r="E163" s="98" t="str">
        <f t="shared" si="8"/>
        <v>1M+</v>
      </c>
      <c r="F163" s="98" t="s">
        <v>1395</v>
      </c>
      <c r="G163" s="98" t="s">
        <v>1395</v>
      </c>
      <c r="H163" s="83" t="str">
        <f t="shared" si="9"/>
        <v>④ 둘 다 기준 밖</v>
      </c>
      <c r="I163" s="83"/>
    </row>
    <row r="164" spans="1:9">
      <c r="A164" s="82" t="s">
        <v>1004</v>
      </c>
      <c r="B164" s="55" t="s">
        <v>790</v>
      </c>
      <c r="C164" s="55">
        <v>84</v>
      </c>
      <c r="D164" s="133">
        <v>14000000</v>
      </c>
      <c r="E164" s="98" t="str">
        <f t="shared" si="8"/>
        <v>10M+</v>
      </c>
      <c r="F164" s="98" t="s">
        <v>1395</v>
      </c>
      <c r="G164" s="98" t="s">
        <v>1395</v>
      </c>
      <c r="H164" s="83" t="str">
        <f t="shared" si="9"/>
        <v>④ 둘 다 기준 밖</v>
      </c>
      <c r="I164" s="83"/>
    </row>
    <row r="165" spans="1:9">
      <c r="A165" s="82" t="s">
        <v>1005</v>
      </c>
      <c r="B165" s="55" t="s">
        <v>790</v>
      </c>
      <c r="C165" s="55">
        <v>85</v>
      </c>
      <c r="D165" s="133">
        <v>3800000</v>
      </c>
      <c r="E165" s="98" t="str">
        <f t="shared" si="8"/>
        <v>1M+</v>
      </c>
      <c r="F165" s="98" t="s">
        <v>1395</v>
      </c>
      <c r="G165" s="98" t="s">
        <v>1395</v>
      </c>
      <c r="H165" s="83" t="str">
        <f t="shared" si="9"/>
        <v>④ 둘 다 기준 밖</v>
      </c>
      <c r="I165" s="83"/>
    </row>
    <row r="166" spans="1:9">
      <c r="A166" s="82" t="s">
        <v>1006</v>
      </c>
      <c r="B166" s="55" t="s">
        <v>790</v>
      </c>
      <c r="C166" s="55">
        <v>86</v>
      </c>
      <c r="D166" s="133">
        <v>210000000</v>
      </c>
      <c r="E166" s="98" t="str">
        <f t="shared" ref="E166:E197" si="10">IF(D166="","",IF(D166&gt;=1000000000,"1B+",IF(D166&gt;=500000000,"500M+",IF(D166&gt;=100000000,"100M+",IF(D166&gt;=50000000,"50M+",IF(D166&gt;=10000000,"10M+",IF(D166&gt;=5000000,"5M+",IF(D166&gt;=1000000,"1M+","1M 미만"))))))))</f>
        <v>100M+</v>
      </c>
      <c r="F166" s="98" t="s">
        <v>1395</v>
      </c>
      <c r="G166" s="98" t="s">
        <v>1395</v>
      </c>
      <c r="H166" s="83" t="str">
        <f t="shared" ref="H166:H177" si="11">IF(AND(ISNUMBER(B166),B166&lt;=$B$2,ISNUMBER(C166),C166&lt;=$B$3),"① 둘 다 높음",IF(AND(ISNUMBER(B166),B166&lt;=$B$2),"② 매출만 높음",IF(AND(ISNUMBER(C166),C166&lt;=$B$3),"③ 다운로드만 높음","④ 둘 다 기준 밖")))</f>
        <v>④ 둘 다 기준 밖</v>
      </c>
      <c r="I166" s="83"/>
    </row>
    <row r="167" spans="1:9">
      <c r="A167" s="82" t="s">
        <v>1007</v>
      </c>
      <c r="B167" s="55" t="s">
        <v>790</v>
      </c>
      <c r="C167" s="55">
        <v>88</v>
      </c>
      <c r="D167" s="133">
        <v>3200000</v>
      </c>
      <c r="E167" s="98" t="str">
        <f t="shared" si="10"/>
        <v>1M+</v>
      </c>
      <c r="F167" s="98" t="s">
        <v>1395</v>
      </c>
      <c r="G167" s="98" t="s">
        <v>1395</v>
      </c>
      <c r="H167" s="83" t="str">
        <f t="shared" si="11"/>
        <v>④ 둘 다 기준 밖</v>
      </c>
      <c r="I167" s="83"/>
    </row>
    <row r="168" spans="1:9">
      <c r="A168" s="82" t="s">
        <v>1008</v>
      </c>
      <c r="B168" s="55" t="s">
        <v>790</v>
      </c>
      <c r="C168" s="55">
        <v>89</v>
      </c>
      <c r="D168" s="133">
        <v>150000</v>
      </c>
      <c r="E168" s="98" t="str">
        <f t="shared" si="10"/>
        <v>1M 미만</v>
      </c>
      <c r="F168" s="98" t="s">
        <v>1395</v>
      </c>
      <c r="G168" s="98" t="s">
        <v>1395</v>
      </c>
      <c r="H168" s="83" t="str">
        <f t="shared" si="11"/>
        <v>④ 둘 다 기준 밖</v>
      </c>
      <c r="I168" s="83"/>
    </row>
    <row r="169" spans="1:9">
      <c r="A169" s="82" t="s">
        <v>1009</v>
      </c>
      <c r="B169" s="55" t="s">
        <v>790</v>
      </c>
      <c r="C169" s="55">
        <v>90</v>
      </c>
      <c r="D169" s="133">
        <v>34000000</v>
      </c>
      <c r="E169" s="98" t="str">
        <f t="shared" si="10"/>
        <v>10M+</v>
      </c>
      <c r="F169" s="98" t="s">
        <v>1395</v>
      </c>
      <c r="G169" s="98" t="s">
        <v>1395</v>
      </c>
      <c r="H169" s="83" t="str">
        <f t="shared" si="11"/>
        <v>④ 둘 다 기준 밖</v>
      </c>
      <c r="I169" s="83"/>
    </row>
    <row r="170" spans="1:9">
      <c r="A170" s="82" t="s">
        <v>1010</v>
      </c>
      <c r="B170" s="55" t="s">
        <v>790</v>
      </c>
      <c r="C170" s="55">
        <v>91</v>
      </c>
      <c r="D170" s="133">
        <v>1500000</v>
      </c>
      <c r="E170" s="98" t="str">
        <f t="shared" si="10"/>
        <v>1M+</v>
      </c>
      <c r="F170" s="98" t="s">
        <v>1395</v>
      </c>
      <c r="G170" s="98" t="s">
        <v>1395</v>
      </c>
      <c r="H170" s="83" t="str">
        <f t="shared" si="11"/>
        <v>④ 둘 다 기준 밖</v>
      </c>
      <c r="I170" s="83"/>
    </row>
    <row r="171" spans="1:9">
      <c r="A171" s="82" t="s">
        <v>1011</v>
      </c>
      <c r="B171" s="55" t="s">
        <v>790</v>
      </c>
      <c r="C171" s="55">
        <v>92</v>
      </c>
      <c r="D171" s="133">
        <v>5200000</v>
      </c>
      <c r="E171" s="98" t="str">
        <f t="shared" si="10"/>
        <v>5M+</v>
      </c>
      <c r="F171" s="98" t="s">
        <v>1395</v>
      </c>
      <c r="G171" s="98" t="s">
        <v>1395</v>
      </c>
      <c r="H171" s="83" t="str">
        <f t="shared" si="11"/>
        <v>④ 둘 다 기준 밖</v>
      </c>
      <c r="I171" s="83"/>
    </row>
    <row r="172" spans="1:9">
      <c r="A172" s="82" t="s">
        <v>1012</v>
      </c>
      <c r="B172" s="55" t="s">
        <v>790</v>
      </c>
      <c r="C172" s="55">
        <v>93</v>
      </c>
      <c r="D172" s="133">
        <v>250000000</v>
      </c>
      <c r="E172" s="98" t="str">
        <f t="shared" si="10"/>
        <v>100M+</v>
      </c>
      <c r="F172" s="98" t="s">
        <v>1395</v>
      </c>
      <c r="G172" s="98" t="s">
        <v>1395</v>
      </c>
      <c r="H172" s="83" t="str">
        <f t="shared" si="11"/>
        <v>④ 둘 다 기준 밖</v>
      </c>
      <c r="I172" s="83"/>
    </row>
    <row r="173" spans="1:9">
      <c r="A173" s="82" t="s">
        <v>1013</v>
      </c>
      <c r="B173" s="55" t="s">
        <v>790</v>
      </c>
      <c r="C173" s="55">
        <v>94</v>
      </c>
      <c r="D173" s="133">
        <v>1800000</v>
      </c>
      <c r="E173" s="98" t="str">
        <f t="shared" si="10"/>
        <v>1M+</v>
      </c>
      <c r="F173" s="98" t="s">
        <v>1395</v>
      </c>
      <c r="G173" s="98" t="s">
        <v>1395</v>
      </c>
      <c r="H173" s="83" t="str">
        <f t="shared" si="11"/>
        <v>④ 둘 다 기준 밖</v>
      </c>
      <c r="I173" s="83"/>
    </row>
    <row r="174" spans="1:9">
      <c r="A174" s="82" t="s">
        <v>1014</v>
      </c>
      <c r="B174" s="55" t="s">
        <v>790</v>
      </c>
      <c r="C174" s="55">
        <v>95</v>
      </c>
      <c r="D174" s="133">
        <v>110000000</v>
      </c>
      <c r="E174" s="98" t="str">
        <f t="shared" si="10"/>
        <v>100M+</v>
      </c>
      <c r="F174" s="98" t="s">
        <v>1395</v>
      </c>
      <c r="G174" s="98" t="s">
        <v>1395</v>
      </c>
      <c r="H174" s="83" t="str">
        <f t="shared" si="11"/>
        <v>④ 둘 다 기준 밖</v>
      </c>
      <c r="I174" s="83"/>
    </row>
    <row r="175" spans="1:9">
      <c r="A175" s="82" t="s">
        <v>1015</v>
      </c>
      <c r="B175" s="55" t="s">
        <v>790</v>
      </c>
      <c r="C175" s="55">
        <v>96</v>
      </c>
      <c r="D175" s="133">
        <v>4400000</v>
      </c>
      <c r="E175" s="98" t="str">
        <f t="shared" si="10"/>
        <v>1M+</v>
      </c>
      <c r="F175" s="98" t="s">
        <v>1395</v>
      </c>
      <c r="G175" s="98" t="s">
        <v>1395</v>
      </c>
      <c r="H175" s="83" t="str">
        <f t="shared" si="11"/>
        <v>④ 둘 다 기준 밖</v>
      </c>
      <c r="I175" s="83"/>
    </row>
    <row r="176" spans="1:9">
      <c r="A176" s="82" t="s">
        <v>1016</v>
      </c>
      <c r="B176" s="55" t="s">
        <v>790</v>
      </c>
      <c r="C176" s="55">
        <v>99</v>
      </c>
      <c r="D176" s="133">
        <v>77000</v>
      </c>
      <c r="E176" s="98" t="str">
        <f t="shared" si="10"/>
        <v>1M 미만</v>
      </c>
      <c r="F176" s="98" t="s">
        <v>1395</v>
      </c>
      <c r="G176" s="98" t="s">
        <v>1395</v>
      </c>
      <c r="H176" s="83" t="str">
        <f t="shared" si="11"/>
        <v>④ 둘 다 기준 밖</v>
      </c>
      <c r="I176" s="83"/>
    </row>
    <row r="177" spans="1:9">
      <c r="A177" s="82" t="s">
        <v>1017</v>
      </c>
      <c r="B177" s="55" t="s">
        <v>790</v>
      </c>
      <c r="C177" s="55">
        <v>100</v>
      </c>
      <c r="D177" s="133">
        <v>200000</v>
      </c>
      <c r="E177" s="98" t="str">
        <f t="shared" si="10"/>
        <v>1M 미만</v>
      </c>
      <c r="F177" s="98" t="s">
        <v>1395</v>
      </c>
      <c r="G177" s="98" t="s">
        <v>1395</v>
      </c>
      <c r="H177" s="83" t="str">
        <f t="shared" si="11"/>
        <v>④ 둘 다 기준 밖</v>
      </c>
      <c r="I177" s="83"/>
    </row>
  </sheetData>
  <autoFilter ref="A5:I177" xr:uid="{00000000-0009-0000-0000-000013000000}"/>
  <phoneticPr fontId="3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0 목차</vt:lpstr>
      <vt:lpstr>0-1 개요</vt:lpstr>
      <vt:lpstr>1-1 점수 기준</vt:lpstr>
      <vt:lpstr>1-2 성공 점수표</vt:lpstr>
      <vt:lpstr>1-3 성적표 카드</vt:lpstr>
      <vt:lpstr>1-4 성공 비결 해부</vt:lpstr>
      <vt:lpstr>1-5 성공 비결 확장</vt:lpstr>
      <vt:lpstr>1-6 공통점 분석</vt:lpstr>
      <vt:lpstr>1-7 성공 공식 TOP5</vt:lpstr>
      <vt:lpstr>2-1 MVP 명세</vt:lpstr>
      <vt:lpstr>2-2 MVP 검증 목표</vt:lpstr>
      <vt:lpstr>2-3 장르 연결(추정)</vt:lpstr>
      <vt:lpstr>2-4 2인 개발 MVP 판단</vt:lpstr>
      <vt:lpstr>3-1 광고 대비 유입</vt:lpstr>
      <vt:lpstr>4-1 지역 벤치마크(참조)</vt:lpstr>
      <vt:lpstr>4-2 장르 차트 판독값(참조)</vt:lpstr>
      <vt:lpstr>4-3 장르 판독 요약(참조)</vt:lpstr>
      <vt:lpstr>4-4 Google Play Top100(참조)</vt:lpstr>
      <vt:lpstr>4-5 매출 Top100(참조)</vt:lpstr>
      <vt:lpstr>4-6 매출-다운로드 비교(참조)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Chin Yeub Chung</cp:lastModifiedBy>
  <cp:revision>1</cp:revision>
  <dcterms:created xsi:type="dcterms:W3CDTF">2026-10-05T09:55:17Z</dcterms:created>
  <dcterms:modified xsi:type="dcterms:W3CDTF">2026-10-05T10:01:25Z</dcterms:modified>
  <dc:language>en-US</dc:language>
</cp:coreProperties>
</file>