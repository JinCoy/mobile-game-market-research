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5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20.xml.rels" ContentType="application/vnd.openxmlformats-package.relationships+xml"/>
  <Override PartName="/xl/worksheets/_rels/sheet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 목차" sheetId="1" state="visible" r:id="rId3"/>
    <sheet name="0-1 개요" sheetId="2" state="visible" r:id="rId4"/>
    <sheet name="1-1 점수 기준" sheetId="3" state="visible" r:id="rId5"/>
    <sheet name="1-2 성공 점수표" sheetId="4" state="visible" r:id="rId6"/>
    <sheet name="1-3 성적표 카드" sheetId="5" state="visible" r:id="rId7"/>
    <sheet name="1-4 성공 비결 해부" sheetId="6" state="visible" r:id="rId8"/>
    <sheet name="1-5 성공 비결 확장" sheetId="7" state="visible" r:id="rId9"/>
    <sheet name="1-6 공통점 분석" sheetId="8" state="visible" r:id="rId10"/>
    <sheet name="1-7 성공 공식 TOP5" sheetId="9" state="visible" r:id="rId11"/>
    <sheet name="2-1 MVP 명세" sheetId="10" state="visible" r:id="rId12"/>
    <sheet name="2-2 MVP 검증 목표" sheetId="11" state="visible" r:id="rId13"/>
    <sheet name="2-3 장르 연결(추정)" sheetId="12" state="visible" r:id="rId14"/>
    <sheet name="2-4 2인 개발 MVP 판단" sheetId="13" state="visible" r:id="rId15"/>
    <sheet name="3-1 광고 대비 유입" sheetId="14" state="visible" r:id="rId16"/>
    <sheet name="3-2 광고 채널 분석" sheetId="15" state="visible" r:id="rId17"/>
    <sheet name="3-3 후킹 영상 분석" sheetId="16" state="visible" r:id="rId18"/>
    <sheet name="3-4 마케팅 실행안" sheetId="17" state="visible" r:id="rId19"/>
    <sheet name="3-5 광고 소재 해부" sheetId="18" state="visible" r:id="rId20"/>
    <sheet name="3-6 광고 MVP 구성표" sheetId="19" state="visible" r:id="rId21"/>
    <sheet name="4-1 지역 벤치마크(참조)" sheetId="20" state="visible" r:id="rId22"/>
    <sheet name="4-2 장르 차트 판독값(참조)" sheetId="21" state="visible" r:id="rId23"/>
    <sheet name="4-3 장르 판독 요약(참조)" sheetId="22" state="visible" r:id="rId24"/>
    <sheet name="4-4 Google Play Top100(참조)" sheetId="23" state="visible" r:id="rId25"/>
    <sheet name="4-5 매출 Top100(참조)" sheetId="24" state="visible" r:id="rId26"/>
    <sheet name="4-6 매출-다운로드 비교(참조)" sheetId="25" state="visible" r:id="rId27"/>
    <sheet name="4-7 대륙별 OS 분포(참조)" sheetId="26" state="visible" r:id="rId28"/>
  </sheets>
  <definedNames>
    <definedName function="false" hidden="true" localSheetId="6" name="_xlnm._FilterDatabase" vbProcedure="false">'1-5 성공 비결 확장'!$A$1:$J$15</definedName>
    <definedName function="false" hidden="true" localSheetId="12" name="_xlnm._FilterDatabase" vbProcedure="false">'2-4 2인 개발 MVP 판단'!$A$78:$K$250</definedName>
    <definedName function="false" hidden="true" localSheetId="19" name="_xlnm._FilterDatabase" vbProcedure="false">'4-1 지역 벤치마크(참조)'!$A$1:$G$25</definedName>
    <definedName function="false" hidden="true" localSheetId="22" name="_xlnm._FilterDatabase" vbProcedure="false">'4-4 Google Play Top100(참조)'!$A$1:$F$101</definedName>
    <definedName function="false" hidden="true" localSheetId="24" name="_xlnm._FilterDatabase" vbProcedure="false">'4-6 매출-다운로드 비교(참조)'!$A$5:$I$177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<sst xmlns="http://schemas.openxmlformats.org/spreadsheetml/2006/main" count="5191" uniqueCount="2292">
  <si>
    <r>
      <rPr>
        <b val="true"/>
        <sz val="14"/>
        <rFont val="Noto Sans CJK SC"/>
        <family val="2"/>
      </rPr>
      <t xml:space="preserve">게임전략</t>
    </r>
    <r>
      <rPr>
        <b val="true"/>
        <sz val="14"/>
        <rFont val="Arial"/>
        <family val="0"/>
        <charset val="1"/>
      </rPr>
      <t xml:space="preserve">_MVP_</t>
    </r>
    <r>
      <rPr>
        <b val="true"/>
        <sz val="14"/>
        <rFont val="Noto Sans CJK SC"/>
        <family val="2"/>
      </rPr>
      <t xml:space="preserve">마케팅</t>
    </r>
    <r>
      <rPr>
        <b val="true"/>
        <sz val="14"/>
        <rFont val="Arial"/>
        <family val="0"/>
        <charset val="1"/>
      </rPr>
      <t xml:space="preserve">.xlsx — </t>
    </r>
    <r>
      <rPr>
        <b val="true"/>
        <sz val="14"/>
        <rFont val="Noto Sans CJK SC"/>
        <family val="2"/>
      </rPr>
      <t xml:space="preserve">목차</t>
    </r>
  </si>
  <si>
    <r>
      <rPr>
        <sz val="11"/>
        <color rgb="FF595959"/>
        <rFont val="Noto Sans CJK SC"/>
        <family val="2"/>
      </rPr>
      <t xml:space="preserve">이 파일</t>
    </r>
    <r>
      <rPr>
        <sz val="11"/>
        <color rgb="FF595959"/>
        <rFont val="Arial"/>
        <family val="0"/>
        <charset val="1"/>
      </rPr>
      <t xml:space="preserve">: </t>
    </r>
    <r>
      <rPr>
        <sz val="11"/>
        <color rgb="FF595959"/>
        <rFont val="Noto Sans CJK SC"/>
        <family val="2"/>
      </rPr>
      <t xml:space="preserve">게임전략</t>
    </r>
    <r>
      <rPr>
        <sz val="11"/>
        <color rgb="FF595959"/>
        <rFont val="Arial"/>
        <family val="0"/>
        <charset val="1"/>
      </rPr>
      <t xml:space="preserve">_MVP_</t>
    </r>
    <r>
      <rPr>
        <sz val="11"/>
        <color rgb="FF595959"/>
        <rFont val="Noto Sans CJK SC"/>
        <family val="2"/>
      </rPr>
      <t xml:space="preserve">마케팅</t>
    </r>
    <r>
      <rPr>
        <sz val="11"/>
        <color rgb="FF595959"/>
        <rFont val="Arial"/>
        <family val="0"/>
        <charset val="1"/>
      </rPr>
      <t xml:space="preserve">.xlsx  /  </t>
    </r>
    <r>
      <rPr>
        <sz val="11"/>
        <color rgb="FF595959"/>
        <rFont val="Noto Sans CJK SC"/>
        <family val="2"/>
      </rPr>
      <t xml:space="preserve">짝 파일</t>
    </r>
    <r>
      <rPr>
        <sz val="11"/>
        <color rgb="FF595959"/>
        <rFont val="Arial"/>
        <family val="0"/>
        <charset val="1"/>
      </rPr>
      <t xml:space="preserve">: </t>
    </r>
    <r>
      <rPr>
        <sz val="11"/>
        <color rgb="FF595959"/>
        <rFont val="Noto Sans CJK SC"/>
        <family val="2"/>
      </rPr>
      <t xml:space="preserve">시장조사</t>
    </r>
    <r>
      <rPr>
        <sz val="11"/>
        <color rgb="FF595959"/>
        <rFont val="Arial"/>
        <family val="0"/>
        <charset val="1"/>
      </rPr>
      <t xml:space="preserve">.xlsx (</t>
    </r>
    <r>
      <rPr>
        <sz val="11"/>
        <color rgb="FF595959"/>
        <rFont val="Noto Sans CJK SC"/>
        <family val="2"/>
      </rPr>
      <t xml:space="preserve">시장</t>
    </r>
    <r>
      <rPr>
        <sz val="11"/>
        <color rgb="FF595959"/>
        <rFont val="Arial"/>
        <family val="0"/>
        <charset val="1"/>
      </rPr>
      <t xml:space="preserve">·</t>
    </r>
    <r>
      <rPr>
        <sz val="11"/>
        <color rgb="FF595959"/>
        <rFont val="Noto Sans CJK SC"/>
        <family val="2"/>
      </rPr>
      <t xml:space="preserve">지역</t>
    </r>
    <r>
      <rPr>
        <sz val="11"/>
        <color rgb="FF595959"/>
        <rFont val="Arial"/>
        <family val="0"/>
        <charset val="1"/>
      </rPr>
      <t xml:space="preserve">·</t>
    </r>
    <r>
      <rPr>
        <sz val="11"/>
        <color rgb="FF595959"/>
        <rFont val="Noto Sans CJK SC"/>
        <family val="2"/>
      </rPr>
      <t xml:space="preserve">매출</t>
    </r>
    <r>
      <rPr>
        <sz val="11"/>
        <color rgb="FF595959"/>
        <rFont val="Arial"/>
        <family val="0"/>
        <charset val="1"/>
      </rPr>
      <t xml:space="preserve">·</t>
    </r>
    <r>
      <rPr>
        <sz val="11"/>
        <color rgb="FF595959"/>
        <rFont val="Noto Sans CJK SC"/>
        <family val="2"/>
      </rPr>
      <t xml:space="preserve">벤치마크 숫자 자료</t>
    </r>
    <r>
      <rPr>
        <sz val="11"/>
        <color rgb="FF595959"/>
        <rFont val="Arial"/>
        <family val="0"/>
        <charset val="1"/>
      </rPr>
      <t xml:space="preserve">)  ·  </t>
    </r>
    <r>
      <rPr>
        <sz val="11"/>
        <color rgb="FF595959"/>
        <rFont val="Noto Sans CJK SC"/>
        <family val="2"/>
      </rPr>
      <t xml:space="preserve">시트 이름을 누르면 그 시트로 이동합니다</t>
    </r>
    <r>
      <rPr>
        <sz val="11"/>
        <color rgb="FF595959"/>
        <rFont val="Arial"/>
        <family val="0"/>
        <charset val="1"/>
      </rPr>
      <t xml:space="preserve">. </t>
    </r>
    <r>
      <rPr>
        <sz val="11"/>
        <color rgb="FF595959"/>
        <rFont val="Noto Sans CJK SC"/>
        <family val="2"/>
      </rPr>
      <t xml:space="preserve">회색 줄은 다음 단계에서 만들 </t>
    </r>
    <r>
      <rPr>
        <sz val="11"/>
        <color rgb="FF595959"/>
        <rFont val="Arial"/>
        <family val="0"/>
        <charset val="1"/>
      </rPr>
      <t xml:space="preserve">'</t>
    </r>
    <r>
      <rPr>
        <sz val="11"/>
        <color rgb="FF595959"/>
        <rFont val="Noto Sans CJK SC"/>
        <family val="2"/>
      </rPr>
      <t xml:space="preserve">예정</t>
    </r>
    <r>
      <rPr>
        <sz val="11"/>
        <color rgb="FF595959"/>
        <rFont val="Arial"/>
        <family val="0"/>
        <charset val="1"/>
      </rPr>
      <t xml:space="preserve">' </t>
    </r>
    <r>
      <rPr>
        <sz val="11"/>
        <color rgb="FF595959"/>
        <rFont val="Noto Sans CJK SC"/>
        <family val="2"/>
      </rPr>
      <t xml:space="preserve">시트입니다</t>
    </r>
    <r>
      <rPr>
        <sz val="11"/>
        <color rgb="FF595959"/>
        <rFont val="Arial"/>
        <family val="0"/>
        <charset val="1"/>
      </rPr>
      <t xml:space="preserve">.</t>
    </r>
  </si>
  <si>
    <t xml:space="preserve">그룹</t>
  </si>
  <si>
    <t xml:space="preserve">시트 이름</t>
  </si>
  <si>
    <t xml:space="preserve">한 줄 설명</t>
  </si>
  <si>
    <t xml:space="preserve">상태</t>
  </si>
  <si>
    <t xml:space="preserve">비고</t>
  </si>
  <si>
    <r>
      <rPr>
        <b val="true"/>
        <sz val="11"/>
        <color rgb="FFFFFFFF"/>
        <rFont val="Arial"/>
        <family val="0"/>
        <charset val="1"/>
      </rPr>
      <t xml:space="preserve">0 </t>
    </r>
    <r>
      <rPr>
        <b val="true"/>
        <sz val="11"/>
        <color rgb="FFFFFFFF"/>
        <rFont val="Noto Sans CJK SC"/>
        <family val="2"/>
      </rPr>
      <t xml:space="preserve">안내</t>
    </r>
  </si>
  <si>
    <r>
      <rPr>
        <sz val="11"/>
        <color rgb="FF000000"/>
        <rFont val="Arial"/>
        <family val="0"/>
        <charset val="1"/>
      </rPr>
      <t xml:space="preserve">0 </t>
    </r>
    <r>
      <rPr>
        <sz val="11"/>
        <color rgb="FF000000"/>
        <rFont val="Noto Sans CJK SC"/>
        <family val="2"/>
      </rPr>
      <t xml:space="preserve">목차</t>
    </r>
  </si>
  <si>
    <t xml:space="preserve">이 시트</t>
  </si>
  <si>
    <t xml:space="preserve">완료</t>
  </si>
  <si>
    <t xml:space="preserve">0-1 개요</t>
  </si>
  <si>
    <r>
      <rPr>
        <sz val="11"/>
        <color rgb="FF000000"/>
        <rFont val="Noto Sans CJK SC"/>
        <family val="2"/>
      </rPr>
      <t xml:space="preserve">분석 범위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기준일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출처 모음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시장조사 파일과 같은 내용</t>
    </r>
    <r>
      <rPr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</si>
  <si>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1 </t>
    </r>
    <r>
      <rPr>
        <b val="true"/>
        <sz val="11"/>
        <color rgb="FFFFFFFF"/>
        <rFont val="Noto Sans CJK SC"/>
        <family val="2"/>
      </rPr>
      <t xml:space="preserve">성공 비결</t>
    </r>
  </si>
  <si>
    <t xml:space="preserve">1-1 점수 기준</t>
  </si>
  <si>
    <r>
      <rPr>
        <sz val="11"/>
        <color rgb="FF000000"/>
        <rFont val="Noto Sans CJK SC"/>
        <family val="2"/>
      </rPr>
      <t xml:space="preserve">성공 점수 배점 가정값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바꾸면 점수표가 자동 재계산</t>
    </r>
    <r>
      <rPr>
        <sz val="11"/>
        <color rgb="FF000000"/>
        <rFont val="Arial"/>
        <family val="0"/>
        <charset val="1"/>
      </rPr>
      <t xml:space="preserve">)</t>
    </r>
  </si>
  <si>
    <t xml:space="preserve">1-2 성공 점수표</t>
  </si>
  <si>
    <r>
      <rPr>
        <sz val="11"/>
        <color rgb="FF000000"/>
        <rFont val="Arial"/>
        <family val="0"/>
        <charset val="1"/>
      </rPr>
      <t xml:space="preserve">12</t>
    </r>
    <r>
      <rPr>
        <sz val="11"/>
        <color rgb="FF000000"/>
        <rFont val="Noto Sans CJK SC"/>
        <family val="2"/>
      </rPr>
      <t xml:space="preserve">개 게임의 순위 기반 성공 점수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수식 자동 계산</t>
    </r>
    <r>
      <rPr>
        <sz val="11"/>
        <color rgb="FF000000"/>
        <rFont val="Arial"/>
        <family val="0"/>
        <charset val="1"/>
      </rPr>
      <t xml:space="preserve">)</t>
    </r>
  </si>
  <si>
    <t xml:space="preserve">1-3 성적표 카드</t>
  </si>
  <si>
    <t xml:space="preserve">게임별 쉬운 설명과 별점 카드</t>
  </si>
  <si>
    <t xml:space="preserve">1-4 성공 비결 해부</t>
  </si>
  <si>
    <r>
      <rPr>
        <sz val="11"/>
        <color rgb="FF000000"/>
        <rFont val="Arial"/>
        <family val="0"/>
        <charset val="1"/>
      </rPr>
      <t xml:space="preserve">12</t>
    </r>
    <r>
      <rPr>
        <sz val="11"/>
        <color rgb="FF000000"/>
        <rFont val="Noto Sans CJK SC"/>
        <family val="2"/>
      </rPr>
      <t xml:space="preserve">개 게임의 재미 루프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첫 </t>
    </r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분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다시 오게 하는 장치</t>
    </r>
  </si>
  <si>
    <t xml:space="preserve">1-5 성공 비결 확장</t>
  </si>
  <si>
    <t xml:space="preserve">장르 그룹별로 넓힌 게임 목록과 차트 근거</t>
  </si>
  <si>
    <t xml:space="preserve">1-6 공통점 분석</t>
  </si>
  <si>
    <r>
      <rPr>
        <sz val="11"/>
        <color rgb="FF000000"/>
        <rFont val="Arial"/>
        <family val="0"/>
        <charset val="1"/>
      </rPr>
      <t xml:space="preserve">26</t>
    </r>
    <r>
      <rPr>
        <sz val="11"/>
        <color rgb="FF000000"/>
        <rFont val="Noto Sans CJK SC"/>
        <family val="2"/>
      </rPr>
      <t xml:space="preserve">개 게임의 공통 요소 표와 요약</t>
    </r>
  </si>
  <si>
    <t xml:space="preserve">1-7 성공 공식 TOP5</t>
  </si>
  <si>
    <r>
      <rPr>
        <sz val="11"/>
        <color rgb="FF000000"/>
        <rFont val="Noto Sans CJK SC"/>
        <family val="2"/>
      </rPr>
      <t xml:space="preserve">공통점에서 뽑은 성공 공식 </t>
    </r>
    <r>
      <rPr>
        <sz val="11"/>
        <color rgb="FF000000"/>
        <rFont val="Arial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가지</t>
    </r>
  </si>
  <si>
    <t xml:space="preserve">2 MVP</t>
  </si>
  <si>
    <t xml:space="preserve">2-1 MVP 명세</t>
  </si>
  <si>
    <r>
      <rPr>
        <sz val="11"/>
        <color rgb="FF000000"/>
        <rFont val="Noto Sans CJK SC"/>
        <family val="2"/>
      </rPr>
      <t xml:space="preserve">게임별 꼭 필요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있으면 좋음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나중에 기능</t>
    </r>
  </si>
  <si>
    <t xml:space="preserve">2-2 MVP 검증 목표</t>
  </si>
  <si>
    <r>
      <rPr>
        <sz val="11"/>
        <color rgb="FF000000"/>
        <rFont val="Noto Sans CJK SC"/>
        <family val="2"/>
      </rPr>
      <t xml:space="preserve">리텐션 합격선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목표 </t>
    </r>
    <r>
      <rPr>
        <sz val="11"/>
        <color rgb="FF000000"/>
        <rFont val="Arial"/>
        <family val="0"/>
        <charset val="1"/>
      </rPr>
      <t xml:space="preserve">(4-1 </t>
    </r>
    <r>
      <rPr>
        <sz val="11"/>
        <color rgb="FF000000"/>
        <rFont val="Noto Sans CJK SC"/>
        <family val="2"/>
      </rPr>
      <t xml:space="preserve">지역 벤치마크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참조</t>
    </r>
    <r>
      <rPr>
        <sz val="11"/>
        <color rgb="FF000000"/>
        <rFont val="Arial"/>
        <family val="0"/>
        <charset val="1"/>
      </rPr>
      <t xml:space="preserve">)</t>
    </r>
    <r>
      <rPr>
        <sz val="11"/>
        <color rgb="FF000000"/>
        <rFont val="Noto Sans CJK SC"/>
        <family val="2"/>
      </rPr>
      <t xml:space="preserve">에서 가져옴</t>
    </r>
    <r>
      <rPr>
        <sz val="11"/>
        <color rgb="FF000000"/>
        <rFont val="Arial"/>
        <family val="0"/>
        <charset val="1"/>
      </rPr>
      <t xml:space="preserve">)</t>
    </r>
  </si>
  <si>
    <t xml:space="preserve">2-3 장르 연결(추정)</t>
  </si>
  <si>
    <r>
      <rPr>
        <sz val="11"/>
        <color rgb="FF000000"/>
        <rFont val="Noto Sans CJK SC"/>
        <family val="2"/>
      </rPr>
      <t xml:space="preserve">우리 장르 그룹 ↔ </t>
    </r>
    <r>
      <rPr>
        <sz val="11"/>
        <color rgb="FF000000"/>
        <rFont val="Arial"/>
        <family val="0"/>
        <charset val="1"/>
      </rPr>
      <t xml:space="preserve">GameAnalytics </t>
    </r>
    <r>
      <rPr>
        <sz val="11"/>
        <color rgb="FF000000"/>
        <rFont val="Noto Sans CJK SC"/>
        <family val="2"/>
      </rPr>
      <t xml:space="preserve">장르 연결 </t>
    </r>
    <r>
      <rPr>
        <sz val="11"/>
        <color rgb="FF000000"/>
        <rFont val="Arial"/>
        <family val="0"/>
        <charset val="1"/>
      </rPr>
      <t xml:space="preserve">(4-3</t>
    </r>
    <r>
      <rPr>
        <sz val="11"/>
        <color rgb="FF000000"/>
        <rFont val="Noto Sans CJK SC"/>
        <family val="2"/>
      </rPr>
      <t xml:space="preserve">에서 가져옴</t>
    </r>
    <r>
      <rPr>
        <sz val="11"/>
        <color rgb="FF000000"/>
        <rFont val="Arial"/>
        <family val="0"/>
        <charset val="1"/>
      </rPr>
      <t xml:space="preserve">)</t>
    </r>
  </si>
  <si>
    <t xml:space="preserve">2-4 2인 개발 MVP 판단</t>
  </si>
  <si>
    <r>
      <rPr>
        <sz val="11"/>
        <color rgb="FF000000"/>
        <rFont val="Noto Sans CJK SC"/>
        <family val="2"/>
      </rPr>
      <t xml:space="preserve">매출 </t>
    </r>
    <r>
      <rPr>
        <sz val="11"/>
        <color rgb="FF000000"/>
        <rFont val="Arial"/>
        <family val="0"/>
        <charset val="1"/>
      </rPr>
      <t xml:space="preserve">Top100 + ③ </t>
    </r>
    <r>
      <rPr>
        <sz val="11"/>
        <color rgb="FF000000"/>
        <rFont val="Noto Sans CJK SC"/>
        <family val="2"/>
      </rPr>
      <t xml:space="preserve">다운로드만 높은 게임 중 </t>
    </r>
    <r>
      <rPr>
        <sz val="11"/>
        <color rgb="FF000000"/>
        <rFont val="Arial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명이 만들 수 있는 </t>
    </r>
    <r>
      <rPr>
        <sz val="11"/>
        <color rgb="FF000000"/>
        <rFont val="Arial"/>
        <family val="0"/>
        <charset val="1"/>
      </rPr>
      <t xml:space="preserve">MVP </t>
    </r>
    <r>
      <rPr>
        <sz val="11"/>
        <color rgb="FF000000"/>
        <rFont val="Noto Sans CJK SC"/>
        <family val="2"/>
      </rPr>
      <t xml:space="preserve">후보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세부 장르 점수 → 게임 판정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수식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</si>
  <si>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단계</t>
    </r>
    <r>
      <rPr>
        <sz val="11"/>
        <color rgb="FF000000"/>
        <rFont val="Arial"/>
        <family val="0"/>
        <charset val="1"/>
      </rPr>
      <t xml:space="preserve">-3</t>
    </r>
    <r>
      <rPr>
        <sz val="11"/>
        <color rgb="FF000000"/>
        <rFont val="Noto Sans CJK SC"/>
        <family val="2"/>
      </rPr>
      <t xml:space="preserve">에서 만듦</t>
    </r>
  </si>
  <si>
    <r>
      <rPr>
        <b val="true"/>
        <sz val="11"/>
        <color rgb="FFFFFFFF"/>
        <rFont val="Arial"/>
        <family val="0"/>
        <charset val="1"/>
      </rPr>
      <t xml:space="preserve">3 </t>
    </r>
    <r>
      <rPr>
        <b val="true"/>
        <sz val="11"/>
        <color rgb="FFFFFFFF"/>
        <rFont val="Noto Sans CJK SC"/>
        <family val="2"/>
      </rPr>
      <t xml:space="preserve">마케팅</t>
    </r>
  </si>
  <si>
    <t xml:space="preserve">3-1 광고 대비 유입</t>
  </si>
  <si>
    <r>
      <rPr>
        <sz val="11"/>
        <color rgb="FF000000"/>
        <rFont val="Noto Sans CJK SC"/>
        <family val="2"/>
      </rPr>
      <t xml:space="preserve">광고비 → 설치 수 → </t>
    </r>
    <r>
      <rPr>
        <sz val="11"/>
        <color rgb="FF000000"/>
        <rFont val="Arial"/>
        <family val="0"/>
        <charset val="1"/>
      </rPr>
      <t xml:space="preserve">D1/D7/D30</t>
    </r>
    <r>
      <rPr>
        <sz val="11"/>
        <color rgb="FF000000"/>
        <rFont val="Noto Sans CJK SC"/>
        <family val="2"/>
      </rPr>
      <t xml:space="preserve">에 남는 사람 수 계산표 </t>
    </r>
    <r>
      <rPr>
        <sz val="11"/>
        <color rgb="FF000000"/>
        <rFont val="Arial"/>
        <family val="0"/>
        <charset val="1"/>
      </rPr>
      <t xml:space="preserve">(CPI </t>
    </r>
    <r>
      <rPr>
        <sz val="11"/>
        <color rgb="FF000000"/>
        <rFont val="Noto Sans CJK SC"/>
        <family val="2"/>
      </rPr>
      <t xml:space="preserve">출처표 </t>
    </r>
    <r>
      <rPr>
        <sz val="11"/>
        <color rgb="FF000000"/>
        <rFont val="Arial"/>
        <family val="0"/>
        <charset val="1"/>
      </rPr>
      <t xml:space="preserve">+ 4-1 </t>
    </r>
    <r>
      <rPr>
        <sz val="11"/>
        <color rgb="FF000000"/>
        <rFont val="Noto Sans CJK SC"/>
        <family val="2"/>
      </rPr>
      <t xml:space="preserve">리텐션</t>
    </r>
    <r>
      <rPr>
        <sz val="11"/>
        <color rgb="FF000000"/>
        <rFont val="Arial"/>
        <family val="0"/>
        <charset val="1"/>
      </rPr>
      <t xml:space="preserve">)</t>
    </r>
  </si>
  <si>
    <t xml:space="preserve">3-2 광고 채널 분석</t>
  </si>
  <si>
    <r>
      <rPr>
        <sz val="11"/>
        <color rgb="FF000000"/>
        <rFont val="Noto Sans CJK SC"/>
        <family val="2"/>
      </rPr>
      <t xml:space="preserve">유튜브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인스타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페이스북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틱톡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인플루언서 비교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공개 자료 </t>
    </r>
    <r>
      <rPr>
        <sz val="11"/>
        <color rgb="FF000000"/>
        <rFont val="Arial"/>
        <family val="0"/>
        <charset val="1"/>
      </rPr>
      <t xml:space="preserve">+ 2</t>
    </r>
    <r>
      <rPr>
        <sz val="11"/>
        <color rgb="FF000000"/>
        <rFont val="Noto Sans CJK SC"/>
        <family val="2"/>
      </rPr>
      <t xml:space="preserve">인 팀 점수표</t>
    </r>
    <r>
      <rPr>
        <sz val="11"/>
        <color rgb="FF000000"/>
        <rFont val="Arial"/>
        <family val="0"/>
        <charset val="1"/>
      </rPr>
      <t xml:space="preserve">)</t>
    </r>
  </si>
  <si>
    <t xml:space="preserve">3-3 후킹 영상 분석</t>
  </si>
  <si>
    <r>
      <rPr>
        <sz val="11"/>
        <color rgb="FF000000"/>
        <rFont val="Arial"/>
        <family val="0"/>
        <charset val="1"/>
      </rPr>
      <t xml:space="preserve">Royal Match·MONOPOLY GO!·Magic Sort! </t>
    </r>
    <r>
      <rPr>
        <sz val="11"/>
        <color rgb="FF000000"/>
        <rFont val="Noto Sans CJK SC"/>
        <family val="2"/>
      </rPr>
      <t xml:space="preserve">메타 광고의 후킹 유형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형식 빈도 </t>
    </r>
    <r>
      <rPr>
        <sz val="11"/>
        <color rgb="FF000000"/>
        <rFont val="Arial"/>
        <family val="0"/>
        <charset val="1"/>
      </rPr>
      <t xml:space="preserve">(AdWhispr </t>
    </r>
    <r>
      <rPr>
        <sz val="11"/>
        <color rgb="FF000000"/>
        <rFont val="Noto Sans CJK SC"/>
        <family val="2"/>
      </rPr>
      <t xml:space="preserve">분류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</si>
  <si>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단계</t>
    </r>
    <r>
      <rPr>
        <sz val="11"/>
        <color rgb="FF000000"/>
        <rFont val="Arial"/>
        <family val="0"/>
        <charset val="1"/>
      </rPr>
      <t xml:space="preserve">-3</t>
    </r>
    <r>
      <rPr>
        <sz val="11"/>
        <color rgb="FF000000"/>
        <rFont val="Noto Sans CJK SC"/>
        <family val="2"/>
      </rPr>
      <t xml:space="preserve">에서 만듦 </t>
    </r>
    <r>
      <rPr>
        <sz val="11"/>
        <color rgb="FF000000"/>
        <rFont val="Arial"/>
        <family val="0"/>
        <charset val="1"/>
      </rPr>
      <t xml:space="preserve">· </t>
    </r>
    <r>
      <rPr>
        <sz val="11"/>
        <color rgb="FF000000"/>
        <rFont val="Noto Sans CJK SC"/>
        <family val="2"/>
      </rPr>
      <t xml:space="preserve">처음 </t>
    </r>
    <r>
      <rPr>
        <sz val="11"/>
        <color rgb="FF000000"/>
        <rFont val="Arial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초는 메타 광고 라이브러리 화면 판독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분석자</t>
    </r>
    <r>
      <rPr>
        <sz val="11"/>
        <color rgb="FF000000"/>
        <rFont val="Arial"/>
        <family val="0"/>
        <charset val="1"/>
      </rPr>
      <t xml:space="preserve">)</t>
    </r>
  </si>
  <si>
    <t xml:space="preserve">3-4 마케팅 실행안</t>
  </si>
  <si>
    <r>
      <rPr>
        <sz val="11"/>
        <color rgb="FF000000"/>
        <rFont val="Noto Sans CJK SC"/>
        <family val="2"/>
      </rPr>
      <t xml:space="preserve">우리 </t>
    </r>
    <r>
      <rPr>
        <sz val="11"/>
        <color rgb="FF000000"/>
        <rFont val="Arial"/>
        <family val="0"/>
        <charset val="1"/>
      </rPr>
      <t xml:space="preserve">MVP</t>
    </r>
    <r>
      <rPr>
        <sz val="11"/>
        <color rgb="FF000000"/>
        <rFont val="Noto Sans CJK SC"/>
        <family val="2"/>
      </rPr>
      <t xml:space="preserve">용 단계별 지역</t>
    </r>
    <r>
      <rPr>
        <sz val="11"/>
        <color rgb="FF000000"/>
        <rFont val="Arial"/>
        <family val="0"/>
        <charset val="1"/>
      </rPr>
      <t xml:space="preserve">·OS·</t>
    </r>
    <r>
      <rPr>
        <sz val="11"/>
        <color rgb="FF000000"/>
        <rFont val="Noto Sans CJK SC"/>
        <family val="2"/>
      </rPr>
      <t xml:space="preserve">채널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예산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소재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측정 지표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분석자 제안</t>
    </r>
    <r>
      <rPr>
        <sz val="11"/>
        <color rgb="FF000000"/>
        <rFont val="Arial"/>
        <family val="0"/>
        <charset val="1"/>
      </rPr>
      <t xml:space="preserve">)</t>
    </r>
  </si>
  <si>
    <t xml:space="preserve">3-5 광고 소재 해부</t>
  </si>
  <si>
    <r>
      <rPr>
        <sz val="11"/>
        <color rgb="FF000000"/>
        <rFont val="Noto Sans CJK SC"/>
        <family val="2"/>
      </rPr>
      <t xml:space="preserve">영상 </t>
    </r>
    <r>
      <rPr>
        <sz val="11"/>
        <color rgb="FF000000"/>
        <rFont val="Arial"/>
        <family val="0"/>
        <charset val="1"/>
      </rPr>
      <t xml:space="preserve">12</t>
    </r>
    <r>
      <rPr>
        <sz val="11"/>
        <color rgb="FF000000"/>
        <rFont val="Noto Sans CJK SC"/>
        <family val="2"/>
      </rPr>
      <t xml:space="preserve">개의 도파민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보상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긴장</t>
    </r>
    <r>
      <rPr>
        <sz val="11"/>
        <color rgb="FF000000"/>
        <rFont val="Arial"/>
        <family val="0"/>
        <charset val="1"/>
      </rPr>
      <t xml:space="preserve">) </t>
    </r>
    <r>
      <rPr>
        <sz val="11"/>
        <color rgb="FF000000"/>
        <rFont val="Noto Sans CJK SC"/>
        <family val="2"/>
      </rPr>
      <t xml:space="preserve">요소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영상 효과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구성 판독 </t>
    </r>
    <r>
      <rPr>
        <sz val="11"/>
        <color rgb="FF000000"/>
        <rFont val="Arial"/>
        <family val="0"/>
        <charset val="1"/>
      </rPr>
      <t xml:space="preserve">+ </t>
    </r>
    <r>
      <rPr>
        <sz val="11"/>
        <color rgb="FF000000"/>
        <rFont val="Noto Sans CJK SC"/>
        <family val="2"/>
      </rPr>
      <t xml:space="preserve">사운드 체크리스트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사용자 기입</t>
    </r>
    <r>
      <rPr>
        <sz val="11"/>
        <color rgb="FF000000"/>
        <rFont val="Arial"/>
        <family val="0"/>
        <charset val="1"/>
      </rPr>
      <t xml:space="preserve">)</t>
    </r>
  </si>
  <si>
    <t xml:space="preserve">3-6 광고 MVP 구성표</t>
  </si>
  <si>
    <r>
      <rPr>
        <sz val="11"/>
        <color rgb="FF000000"/>
        <rFont val="Noto Sans CJK SC"/>
        <family val="2"/>
      </rPr>
      <t xml:space="preserve">우리 정렬 퍼즐용 </t>
    </r>
    <r>
      <rPr>
        <sz val="11"/>
        <color rgb="FF000000"/>
        <rFont val="Arial"/>
        <family val="0"/>
        <charset val="1"/>
      </rPr>
      <t xml:space="preserve">15</t>
    </r>
    <r>
      <rPr>
        <sz val="11"/>
        <color rgb="FF000000"/>
        <rFont val="Noto Sans CJK SC"/>
        <family val="2"/>
      </rPr>
      <t xml:space="preserve">초</t>
    </r>
    <r>
      <rPr>
        <sz val="11"/>
        <color rgb="FF000000"/>
        <rFont val="Arial"/>
        <family val="0"/>
        <charset val="1"/>
      </rPr>
      <t xml:space="preserve">·30</t>
    </r>
    <r>
      <rPr>
        <sz val="11"/>
        <color rgb="FF000000"/>
        <rFont val="Noto Sans CJK SC"/>
        <family val="2"/>
      </rPr>
      <t xml:space="preserve">초 광고 구간별 구성안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분석자 제안</t>
    </r>
    <r>
      <rPr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</si>
  <si>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4 </t>
    </r>
    <r>
      <rPr>
        <b val="true"/>
        <sz val="11"/>
        <color rgb="FFFFFFFF"/>
        <rFont val="Noto Sans CJK SC"/>
        <family val="2"/>
      </rPr>
      <t xml:space="preserve">참조용 복사본</t>
    </r>
  </si>
  <si>
    <t xml:space="preserve">4-1 지역 벤치마크(참조)</t>
  </si>
  <si>
    <r>
      <rPr>
        <sz val="11"/>
        <color rgb="FF000000"/>
        <rFont val="Arial"/>
        <family val="0"/>
        <charset val="1"/>
      </rPr>
      <t xml:space="preserve">2-2 MVP </t>
    </r>
    <r>
      <rPr>
        <sz val="11"/>
        <color rgb="FF000000"/>
        <rFont val="Noto Sans CJK SC"/>
        <family val="2"/>
      </rPr>
      <t xml:space="preserve">검증 목표가 쓰는 표의 복사본</t>
    </r>
  </si>
  <si>
    <r>
      <rPr>
        <sz val="11"/>
        <color rgb="FF000000"/>
        <rFont val="Noto Sans CJK SC"/>
        <family val="2"/>
      </rPr>
      <t xml:space="preserve">원본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시장조사</t>
    </r>
    <r>
      <rPr>
        <sz val="11"/>
        <color rgb="FF000000"/>
        <rFont val="Arial"/>
        <family val="0"/>
        <charset val="1"/>
      </rPr>
      <t xml:space="preserve">.xlsx › 4-2 </t>
    </r>
    <r>
      <rPr>
        <sz val="11"/>
        <color rgb="FF000000"/>
        <rFont val="Noto Sans CJK SC"/>
        <family val="2"/>
      </rPr>
      <t xml:space="preserve">지역 벤치마크</t>
    </r>
  </si>
  <si>
    <t xml:space="preserve">4-2 장르 차트 판독값(참조)</t>
  </si>
  <si>
    <r>
      <rPr>
        <sz val="11"/>
        <color rgb="FF000000"/>
        <rFont val="Arial"/>
        <family val="0"/>
        <charset val="1"/>
      </rPr>
      <t xml:space="preserve">4-3</t>
    </r>
    <r>
      <rPr>
        <sz val="11"/>
        <color rgb="FF000000"/>
        <rFont val="Noto Sans CJK SC"/>
        <family val="2"/>
      </rPr>
      <t xml:space="preserve">이 계산에 쓰는 판독값의 복사본</t>
    </r>
  </si>
  <si>
    <r>
      <rPr>
        <sz val="11"/>
        <color rgb="FF000000"/>
        <rFont val="Noto Sans CJK SC"/>
        <family val="2"/>
      </rPr>
      <t xml:space="preserve">원본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시장조사</t>
    </r>
    <r>
      <rPr>
        <sz val="11"/>
        <color rgb="FF000000"/>
        <rFont val="Arial"/>
        <family val="0"/>
        <charset val="1"/>
      </rPr>
      <t xml:space="preserve">.xlsx › 4-3 </t>
    </r>
    <r>
      <rPr>
        <sz val="11"/>
        <color rgb="FF000000"/>
        <rFont val="Noto Sans CJK SC"/>
        <family val="2"/>
      </rPr>
      <t xml:space="preserve">장르 차트 판독값</t>
    </r>
  </si>
  <si>
    <t xml:space="preserve">4-3 장르 판독 요약(참조)</t>
  </si>
  <si>
    <r>
      <rPr>
        <sz val="11"/>
        <color rgb="FF000000"/>
        <rFont val="Arial"/>
        <family val="0"/>
        <charset val="1"/>
      </rPr>
      <t xml:space="preserve">2-3 </t>
    </r>
    <r>
      <rPr>
        <sz val="11"/>
        <color rgb="FF000000"/>
        <rFont val="Noto Sans CJK SC"/>
        <family val="2"/>
      </rPr>
      <t xml:space="preserve">장르 연결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추정</t>
    </r>
    <r>
      <rPr>
        <sz val="11"/>
        <color rgb="FF000000"/>
        <rFont val="Arial"/>
        <family val="0"/>
        <charset val="1"/>
      </rPr>
      <t xml:space="preserve">)</t>
    </r>
    <r>
      <rPr>
        <sz val="11"/>
        <color rgb="FF000000"/>
        <rFont val="Noto Sans CJK SC"/>
        <family val="2"/>
      </rPr>
      <t xml:space="preserve">이 쓰는 표의 복사본</t>
    </r>
  </si>
  <si>
    <r>
      <rPr>
        <sz val="11"/>
        <color rgb="FF000000"/>
        <rFont val="Noto Sans CJK SC"/>
        <family val="2"/>
      </rPr>
      <t xml:space="preserve">원본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시장조사</t>
    </r>
    <r>
      <rPr>
        <sz val="11"/>
        <color rgb="FF000000"/>
        <rFont val="Arial"/>
        <family val="0"/>
        <charset val="1"/>
      </rPr>
      <t xml:space="preserve">.xlsx › 4-4 </t>
    </r>
    <r>
      <rPr>
        <sz val="11"/>
        <color rgb="FF000000"/>
        <rFont val="Noto Sans CJK SC"/>
        <family val="2"/>
      </rPr>
      <t xml:space="preserve">장르 판독 요약</t>
    </r>
  </si>
  <si>
    <t xml:space="preserve">4-4 Google Play Top100(참조)</t>
  </si>
  <si>
    <r>
      <rPr>
        <sz val="11"/>
        <color rgb="FF000000"/>
        <rFont val="Arial"/>
        <family val="0"/>
        <charset val="1"/>
      </rPr>
      <t xml:space="preserve">2-4</t>
    </r>
    <r>
      <rPr>
        <sz val="11"/>
        <color rgb="FF000000"/>
        <rFont val="Noto Sans CJK SC"/>
        <family val="2"/>
      </rPr>
      <t xml:space="preserve">가 세부 장르를 찾는 무료 </t>
    </r>
    <r>
      <rPr>
        <sz val="11"/>
        <color rgb="FF000000"/>
        <rFont val="Arial"/>
        <family val="0"/>
        <charset val="1"/>
      </rPr>
      <t xml:space="preserve">Top100 </t>
    </r>
    <r>
      <rPr>
        <sz val="11"/>
        <color rgb="FF000000"/>
        <rFont val="Noto Sans CJK SC"/>
        <family val="2"/>
      </rPr>
      <t xml:space="preserve">표의 복사본</t>
    </r>
  </si>
  <si>
    <r>
      <rPr>
        <sz val="11"/>
        <color rgb="FF000000"/>
        <rFont val="Noto Sans CJK SC"/>
        <family val="2"/>
      </rPr>
      <t xml:space="preserve">원본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시장조사</t>
    </r>
    <r>
      <rPr>
        <sz val="11"/>
        <color rgb="FF000000"/>
        <rFont val="Arial"/>
        <family val="0"/>
        <charset val="1"/>
      </rPr>
      <t xml:space="preserve">.xlsx › 1-2 Google Play Top100</t>
    </r>
  </si>
  <si>
    <t xml:space="preserve">4-5 매출 Top100(참조)</t>
  </si>
  <si>
    <r>
      <rPr>
        <sz val="11"/>
        <color rgb="FF000000"/>
        <rFont val="Arial"/>
        <family val="0"/>
        <charset val="1"/>
      </rPr>
      <t xml:space="preserve">2-4</t>
    </r>
    <r>
      <rPr>
        <sz val="11"/>
        <color rgb="FF000000"/>
        <rFont val="Noto Sans CJK SC"/>
        <family val="2"/>
      </rPr>
      <t xml:space="preserve">가 쓰는 매출 </t>
    </r>
    <r>
      <rPr>
        <sz val="11"/>
        <color rgb="FF000000"/>
        <rFont val="Arial"/>
        <family val="0"/>
        <charset val="1"/>
      </rPr>
      <t xml:space="preserve">Top100 </t>
    </r>
    <r>
      <rPr>
        <sz val="11"/>
        <color rgb="FF000000"/>
        <rFont val="Noto Sans CJK SC"/>
        <family val="2"/>
      </rPr>
      <t xml:space="preserve">장르 표의 복사본</t>
    </r>
  </si>
  <si>
    <r>
      <rPr>
        <sz val="11"/>
        <color rgb="FF000000"/>
        <rFont val="Noto Sans CJK SC"/>
        <family val="2"/>
      </rPr>
      <t xml:space="preserve">원본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시장조사</t>
    </r>
    <r>
      <rPr>
        <sz val="11"/>
        <color rgb="FF000000"/>
        <rFont val="Arial"/>
        <family val="0"/>
        <charset val="1"/>
      </rPr>
      <t xml:space="preserve">.xlsx › 3-2 </t>
    </r>
    <r>
      <rPr>
        <sz val="11"/>
        <color rgb="FF000000"/>
        <rFont val="Noto Sans CJK SC"/>
        <family val="2"/>
      </rPr>
      <t xml:space="preserve">매출 </t>
    </r>
    <r>
      <rPr>
        <sz val="11"/>
        <color rgb="FF000000"/>
        <rFont val="Arial"/>
        <family val="0"/>
        <charset val="1"/>
      </rPr>
      <t xml:space="preserve">Top100</t>
    </r>
  </si>
  <si>
    <t xml:space="preserve">4-6 매출-다운로드 비교(참조)</t>
  </si>
  <si>
    <r>
      <rPr>
        <sz val="11"/>
        <color rgb="FF000000"/>
        <rFont val="Arial"/>
        <family val="0"/>
        <charset val="1"/>
      </rPr>
      <t xml:space="preserve">2-4</t>
    </r>
    <r>
      <rPr>
        <sz val="11"/>
        <color rgb="FF000000"/>
        <rFont val="Noto Sans CJK SC"/>
        <family val="2"/>
      </rPr>
      <t xml:space="preserve">가 쓰는 매출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무료 순위와 </t>
    </r>
    <r>
      <rPr>
        <sz val="11"/>
        <color rgb="FF000000"/>
        <rFont val="Arial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가지 유형 분류의 복사본</t>
    </r>
  </si>
  <si>
    <r>
      <rPr>
        <sz val="11"/>
        <color rgb="FF000000"/>
        <rFont val="Noto Sans CJK SC"/>
        <family val="2"/>
      </rPr>
      <t xml:space="preserve">원본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시장조사</t>
    </r>
    <r>
      <rPr>
        <sz val="11"/>
        <color rgb="FF000000"/>
        <rFont val="Arial"/>
        <family val="0"/>
        <charset val="1"/>
      </rPr>
      <t xml:space="preserve">.xlsx › 3-3 </t>
    </r>
    <r>
      <rPr>
        <sz val="11"/>
        <color rgb="FF000000"/>
        <rFont val="Noto Sans CJK SC"/>
        <family val="2"/>
      </rPr>
      <t xml:space="preserve">매출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Noto Sans CJK SC"/>
        <family val="2"/>
      </rPr>
      <t xml:space="preserve">다운로드 비교</t>
    </r>
  </si>
  <si>
    <t xml:space="preserve">4-7 대륙별 OS 분포(참조)</t>
  </si>
  <si>
    <r>
      <rPr>
        <sz val="11"/>
        <color rgb="FF000000"/>
        <rFont val="Arial"/>
        <family val="0"/>
        <charset val="1"/>
      </rPr>
      <t xml:space="preserve">3-4</t>
    </r>
    <r>
      <rPr>
        <sz val="11"/>
        <color rgb="FF000000"/>
        <rFont val="Noto Sans CJK SC"/>
        <family val="2"/>
      </rPr>
      <t xml:space="preserve">가 쓰는 </t>
    </r>
    <r>
      <rPr>
        <sz val="11"/>
        <color rgb="FF000000"/>
        <rFont val="Arial"/>
        <family val="0"/>
        <charset val="1"/>
      </rPr>
      <t xml:space="preserve">OS </t>
    </r>
    <r>
      <rPr>
        <sz val="11"/>
        <color rgb="FF000000"/>
        <rFont val="Noto Sans CJK SC"/>
        <family val="2"/>
      </rPr>
      <t xml:space="preserve">점유율</t>
    </r>
    <r>
      <rPr>
        <sz val="11"/>
        <color rgb="FF000000"/>
        <rFont val="Arial"/>
        <family val="0"/>
        <charset val="1"/>
      </rPr>
      <t xml:space="preserve">·OS </t>
    </r>
    <r>
      <rPr>
        <sz val="11"/>
        <color rgb="FF000000"/>
        <rFont val="Noto Sans CJK SC"/>
        <family val="2"/>
      </rPr>
      <t xml:space="preserve">출시 우선순위 표의 복사본</t>
    </r>
  </si>
  <si>
    <r>
      <rPr>
        <sz val="11"/>
        <color rgb="FF000000"/>
        <rFont val="Noto Sans CJK SC"/>
        <family val="2"/>
      </rPr>
      <t xml:space="preserve">원본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시장조사</t>
    </r>
    <r>
      <rPr>
        <sz val="11"/>
        <color rgb="FF000000"/>
        <rFont val="Arial"/>
        <family val="0"/>
        <charset val="1"/>
      </rPr>
      <t xml:space="preserve">.xlsx › 2-6 </t>
    </r>
    <r>
      <rPr>
        <sz val="11"/>
        <color rgb="FF000000"/>
        <rFont val="Noto Sans CJK SC"/>
        <family val="2"/>
      </rPr>
      <t xml:space="preserve">대륙별 </t>
    </r>
    <r>
      <rPr>
        <sz val="11"/>
        <color rgb="FF000000"/>
        <rFont val="Arial"/>
        <family val="0"/>
        <charset val="1"/>
      </rPr>
      <t xml:space="preserve">OS </t>
    </r>
    <r>
      <rPr>
        <sz val="11"/>
        <color rgb="FF000000"/>
        <rFont val="Noto Sans CJK SC"/>
        <family val="2"/>
      </rPr>
      <t xml:space="preserve">분포</t>
    </r>
  </si>
  <si>
    <r>
      <rPr>
        <b val="true"/>
        <sz val="14"/>
        <rFont val="Noto Sans CJK SC"/>
        <family val="2"/>
      </rPr>
      <t xml:space="preserve">모바일 게임 시장 분석 — 장르 분류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Noto Sans CJK SC"/>
        <family val="2"/>
      </rPr>
      <t xml:space="preserve">지역 비교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Noto Sans CJK SC"/>
        <family val="2"/>
      </rPr>
      <t xml:space="preserve">성공 비결 </t>
    </r>
    <r>
      <rPr>
        <b val="true"/>
        <sz val="14"/>
        <rFont val="Arial"/>
        <family val="0"/>
        <charset val="1"/>
      </rPr>
      <t xml:space="preserve">&amp; MVP · </t>
    </r>
    <r>
      <rPr>
        <b val="true"/>
        <sz val="14"/>
        <rFont val="Noto Sans CJK SC"/>
        <family val="2"/>
      </rPr>
      <t xml:space="preserve">벤치마크</t>
    </r>
  </si>
  <si>
    <t xml:space="preserve">항목</t>
  </si>
  <si>
    <t xml:space="preserve">내용</t>
  </si>
  <si>
    <t xml:space="preserve">분석 범위</t>
  </si>
  <si>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App Store / Google Play </t>
    </r>
    <r>
      <rPr>
        <sz val="11"/>
        <rFont val="Noto Sans CJK SC"/>
        <family val="2"/>
      </rPr>
      <t xml:space="preserve">게임 카테고리 </t>
    </r>
    <r>
      <rPr>
        <sz val="11"/>
        <rFont val="Arial"/>
        <family val="0"/>
        <charset val="1"/>
      </rPr>
      <t xml:space="preserve">Top Free 1~100</t>
    </r>
    <r>
      <rPr>
        <sz val="11"/>
        <rFont val="Noto Sans CJK SC"/>
        <family val="2"/>
      </rPr>
      <t xml:space="preserve">위</t>
    </r>
  </si>
  <si>
    <r>
      <rPr>
        <b val="true"/>
        <sz val="11"/>
        <rFont val="Arial"/>
        <family val="0"/>
        <charset val="1"/>
      </rPr>
      <t xml:space="preserve">App Store </t>
    </r>
    <r>
      <rPr>
        <b val="true"/>
        <sz val="11"/>
        <rFont val="Noto Sans CJK SC"/>
        <family val="2"/>
      </rPr>
      <t xml:space="preserve">기준일</t>
    </r>
  </si>
  <si>
    <t xml:space="preserve">2026-10-03</t>
  </si>
  <si>
    <r>
      <rPr>
        <b val="true"/>
        <sz val="11"/>
        <rFont val="Arial"/>
        <family val="0"/>
        <charset val="1"/>
      </rPr>
      <t xml:space="preserve">App Store </t>
    </r>
    <r>
      <rPr>
        <b val="true"/>
        <sz val="11"/>
        <rFont val="Noto Sans CJK SC"/>
        <family val="2"/>
      </rPr>
      <t xml:space="preserve">출처</t>
    </r>
  </si>
  <si>
    <r>
      <rPr>
        <sz val="11"/>
        <rFont val="Arial"/>
        <family val="0"/>
        <charset val="1"/>
      </rPr>
      <t xml:space="preserve">GameDropDaily (Apple </t>
    </r>
    <r>
      <rPr>
        <sz val="11"/>
        <rFont val="Noto Sans CJK SC"/>
        <family val="2"/>
      </rPr>
      <t xml:space="preserve">공개 </t>
    </r>
    <r>
      <rPr>
        <sz val="11"/>
        <rFont val="Arial"/>
        <family val="0"/>
        <charset val="1"/>
      </rPr>
      <t xml:space="preserve">iTunes RSS </t>
    </r>
    <r>
      <rPr>
        <sz val="11"/>
        <rFont val="Noto Sans CJK SC"/>
        <family val="2"/>
      </rPr>
      <t xml:space="preserve">차트 기반</t>
    </r>
    <r>
      <rPr>
        <sz val="11"/>
        <rFont val="Arial"/>
        <family val="0"/>
        <charset val="1"/>
      </rPr>
      <t xml:space="preserve">) https://gamedropdaily.com/mobile/ · </t>
    </r>
    <r>
      <rPr>
        <sz val="11"/>
        <rFont val="Noto Sans CJK SC"/>
        <family val="2"/>
      </rPr>
      <t xml:space="preserve">퍼블리셔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국가 교차 확인</t>
    </r>
    <r>
      <rPr>
        <sz val="11"/>
        <rFont val="Arial"/>
        <family val="0"/>
        <charset val="1"/>
      </rPr>
      <t xml:space="preserve">: AppBrain https://www.appbrain.com/stats/appstore-rankings</t>
    </r>
  </si>
  <si>
    <r>
      <rPr>
        <b val="true"/>
        <sz val="11"/>
        <rFont val="Arial"/>
        <family val="0"/>
        <charset val="1"/>
      </rPr>
      <t xml:space="preserve">Google Play </t>
    </r>
    <r>
      <rPr>
        <b val="true"/>
        <sz val="11"/>
        <rFont val="Noto Sans CJK SC"/>
        <family val="2"/>
      </rPr>
      <t xml:space="preserve">기준일</t>
    </r>
  </si>
  <si>
    <t xml:space="preserve">2026-10-04</t>
  </si>
  <si>
    <r>
      <rPr>
        <b val="true"/>
        <sz val="11"/>
        <rFont val="Arial"/>
        <family val="0"/>
        <charset val="1"/>
      </rPr>
      <t xml:space="preserve">Google Play </t>
    </r>
    <r>
      <rPr>
        <b val="true"/>
        <sz val="11"/>
        <rFont val="Noto Sans CJK SC"/>
        <family val="2"/>
      </rPr>
      <t xml:space="preserve">출처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</si>
  <si>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Top Free Games https://www.appbrain.com/stats/google-play-rankings/top_free/game/us · </t>
    </r>
    <r>
      <rPr>
        <sz val="11"/>
        <rFont val="Noto Sans CJK SC"/>
        <family val="2"/>
      </rPr>
      <t xml:space="preserve">교차 확인</t>
    </r>
    <r>
      <rPr>
        <sz val="11"/>
        <rFont val="Arial"/>
        <family val="0"/>
        <charset val="1"/>
      </rPr>
      <t xml:space="preserve">: GameDropDaily https://gamedropdaily.com/android/</t>
    </r>
  </si>
  <si>
    <t xml:space="preserve">참고</t>
  </si>
  <si>
    <r>
      <rPr>
        <sz val="11"/>
        <rFont val="Noto Sans CJK SC"/>
        <family val="2"/>
      </rPr>
      <t xml:space="preserve">수집 시점 차이로 출처 간 순위가 </t>
    </r>
    <r>
      <rPr>
        <sz val="11"/>
        <rFont val="Arial"/>
        <family val="0"/>
        <charset val="1"/>
      </rPr>
      <t xml:space="preserve">1~5</t>
    </r>
    <r>
      <rPr>
        <sz val="11"/>
        <rFont val="Noto Sans CJK SC"/>
        <family val="2"/>
      </rPr>
      <t xml:space="preserve">계단 다를 수 있음</t>
    </r>
    <r>
      <rPr>
        <sz val="11"/>
        <rFont val="Arial"/>
        <family val="0"/>
        <charset val="1"/>
      </rPr>
      <t xml:space="preserve">. Google Play 80</t>
    </r>
    <r>
      <rPr>
        <sz val="11"/>
        <rFont val="Noto Sans CJK SC"/>
        <family val="2"/>
      </rPr>
      <t xml:space="preserve">위는 출처 페이지에서 누락되어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확인 불가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로 표시</t>
    </r>
    <r>
      <rPr>
        <sz val="11"/>
        <rFont val="Arial"/>
        <family val="0"/>
        <charset val="1"/>
      </rPr>
      <t xml:space="preserve">.</t>
    </r>
  </si>
  <si>
    <t xml:space="preserve">장르 분류</t>
  </si>
  <si>
    <r>
      <rPr>
        <sz val="11"/>
        <rFont val="Noto Sans CJK SC"/>
        <family val="2"/>
      </rPr>
      <t xml:space="preserve">게임명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스토어 카테고리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공개 게임 정보 기반의 분석자 판단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확신이 낮은 항목은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비고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에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확인 필요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로 표시하고 노란색으로 강조</t>
    </r>
    <r>
      <rPr>
        <sz val="11"/>
        <rFont val="Arial"/>
        <family val="0"/>
        <charset val="1"/>
      </rPr>
      <t xml:space="preserve">.</t>
    </r>
  </si>
  <si>
    <t xml:space="preserve">수정 방법</t>
  </si>
  <si>
    <r>
      <rPr>
        <sz val="11"/>
        <rFont val="Noto Sans CJK SC"/>
        <family val="2"/>
      </rPr>
      <t xml:space="preserve">시장조사</t>
    </r>
    <r>
      <rPr>
        <sz val="11"/>
        <rFont val="Arial"/>
        <family val="0"/>
        <charset val="1"/>
      </rPr>
      <t xml:space="preserve">.xlsx</t>
    </r>
    <r>
      <rPr>
        <sz val="11"/>
        <rFont val="Noto Sans CJK SC"/>
        <family val="2"/>
      </rPr>
      <t xml:space="preserve">의 </t>
    </r>
    <r>
      <rPr>
        <sz val="11"/>
        <rFont val="Arial"/>
        <family val="0"/>
        <charset val="1"/>
      </rPr>
      <t xml:space="preserve">'1-1 App Store Top100' / '1-2 Google Play Top100' </t>
    </r>
    <r>
      <rPr>
        <sz val="11"/>
        <rFont val="Noto Sans CJK SC"/>
        <family val="2"/>
      </rPr>
      <t xml:space="preserve">시트의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대분류</t>
    </r>
    <r>
      <rPr>
        <sz val="11"/>
        <rFont val="Arial"/>
        <family val="0"/>
        <charset val="1"/>
      </rPr>
      <t xml:space="preserve">', '</t>
    </r>
    <r>
      <rPr>
        <sz val="11"/>
        <rFont val="Noto Sans CJK SC"/>
        <family val="2"/>
      </rPr>
      <t xml:space="preserve">세부 장르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열을 수정하면 </t>
    </r>
    <r>
      <rPr>
        <sz val="11"/>
        <rFont val="Arial"/>
        <family val="0"/>
        <charset val="1"/>
      </rPr>
      <t xml:space="preserve">'1-3 </t>
    </r>
    <r>
      <rPr>
        <sz val="11"/>
        <rFont val="Noto Sans CJK SC"/>
        <family val="2"/>
      </rPr>
      <t xml:space="preserve">장르 분포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시트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시장조사</t>
    </r>
    <r>
      <rPr>
        <sz val="11"/>
        <rFont val="Arial"/>
        <family val="0"/>
        <charset val="1"/>
      </rPr>
      <t xml:space="preserve">.xlsx) </t>
    </r>
    <r>
      <rPr>
        <sz val="11"/>
        <rFont val="Noto Sans CJK SC"/>
        <family val="2"/>
      </rPr>
      <t xml:space="preserve">집계가 자동으로 갱신됨</t>
    </r>
    <r>
      <rPr>
        <sz val="11"/>
        <rFont val="Arial"/>
        <family val="0"/>
        <charset val="1"/>
      </rPr>
      <t xml:space="preserve">(COUNTIF </t>
    </r>
    <r>
      <rPr>
        <sz val="11"/>
        <rFont val="Noto Sans CJK SC"/>
        <family val="2"/>
      </rPr>
      <t xml:space="preserve">수식</t>
    </r>
    <r>
      <rPr>
        <sz val="11"/>
        <rFont val="Arial"/>
        <family val="0"/>
        <charset val="1"/>
      </rPr>
      <t xml:space="preserve">).</t>
    </r>
  </si>
  <si>
    <t xml:space="preserve">시트 구성</t>
  </si>
  <si>
    <r>
      <rPr>
        <sz val="11"/>
        <rFont val="Arial"/>
        <family val="0"/>
        <charset val="1"/>
      </rPr>
      <t xml:space="preserve">[0 </t>
    </r>
    <r>
      <rPr>
        <sz val="11"/>
        <rFont val="Noto Sans CJK SC"/>
        <family val="2"/>
      </rPr>
      <t xml:space="preserve">안내</t>
    </r>
    <r>
      <rPr>
        <sz val="11"/>
        <rFont val="Arial"/>
        <family val="0"/>
        <charset val="1"/>
      </rPr>
      <t xml:space="preserve">] 0-1 </t>
    </r>
    <r>
      <rPr>
        <sz val="11"/>
        <rFont val="Noto Sans CJK SC"/>
        <family val="2"/>
      </rPr>
      <t xml:space="preserve">개요 </t>
    </r>
    <r>
      <rPr>
        <sz val="11"/>
        <rFont val="Arial"/>
        <family val="0"/>
        <charset val="1"/>
      </rPr>
      <t xml:space="preserve">/ [1 </t>
    </r>
    <r>
      <rPr>
        <sz val="11"/>
        <rFont val="Noto Sans CJK SC"/>
        <family val="2"/>
      </rPr>
      <t xml:space="preserve">성공 비결</t>
    </r>
    <r>
      <rPr>
        <sz val="11"/>
        <rFont val="Arial"/>
        <family val="0"/>
        <charset val="1"/>
      </rPr>
      <t xml:space="preserve">] 1-1 </t>
    </r>
    <r>
      <rPr>
        <sz val="11"/>
        <rFont val="Noto Sans CJK SC"/>
        <family val="2"/>
      </rPr>
      <t xml:space="preserve">점수 기준 </t>
    </r>
    <r>
      <rPr>
        <sz val="11"/>
        <rFont val="Arial"/>
        <family val="0"/>
        <charset val="1"/>
      </rPr>
      <t xml:space="preserve">· 1-2 </t>
    </r>
    <r>
      <rPr>
        <sz val="11"/>
        <rFont val="Noto Sans CJK SC"/>
        <family val="2"/>
      </rPr>
      <t xml:space="preserve">성공 점수표 </t>
    </r>
    <r>
      <rPr>
        <sz val="11"/>
        <rFont val="Arial"/>
        <family val="0"/>
        <charset val="1"/>
      </rPr>
      <t xml:space="preserve">· 1-3 </t>
    </r>
    <r>
      <rPr>
        <sz val="11"/>
        <rFont val="Noto Sans CJK SC"/>
        <family val="2"/>
      </rPr>
      <t xml:space="preserve">성적표 카드 </t>
    </r>
    <r>
      <rPr>
        <sz val="11"/>
        <rFont val="Arial"/>
        <family val="0"/>
        <charset val="1"/>
      </rPr>
      <t xml:space="preserve">· 1-4 </t>
    </r>
    <r>
      <rPr>
        <sz val="11"/>
        <rFont val="Noto Sans CJK SC"/>
        <family val="2"/>
      </rPr>
      <t xml:space="preserve">성공 비결 해부 </t>
    </r>
    <r>
      <rPr>
        <sz val="11"/>
        <rFont val="Arial"/>
        <family val="0"/>
        <charset val="1"/>
      </rPr>
      <t xml:space="preserve">· 1-5 </t>
    </r>
    <r>
      <rPr>
        <sz val="11"/>
        <rFont val="Noto Sans CJK SC"/>
        <family val="2"/>
      </rPr>
      <t xml:space="preserve">성공 비결 확장 </t>
    </r>
    <r>
      <rPr>
        <sz val="11"/>
        <rFont val="Arial"/>
        <family val="0"/>
        <charset val="1"/>
      </rPr>
      <t xml:space="preserve">· 1-6 </t>
    </r>
    <r>
      <rPr>
        <sz val="11"/>
        <rFont val="Noto Sans CJK SC"/>
        <family val="2"/>
      </rPr>
      <t xml:space="preserve">공통점 분석 </t>
    </r>
    <r>
      <rPr>
        <sz val="11"/>
        <rFont val="Arial"/>
        <family val="0"/>
        <charset val="1"/>
      </rPr>
      <t xml:space="preserve">· 1-7 </t>
    </r>
    <r>
      <rPr>
        <sz val="11"/>
        <rFont val="Noto Sans CJK SC"/>
        <family val="2"/>
      </rPr>
      <t xml:space="preserve">성공 공식 </t>
    </r>
    <r>
      <rPr>
        <sz val="11"/>
        <rFont val="Arial"/>
        <family val="0"/>
        <charset val="1"/>
      </rPr>
      <t xml:space="preserve">TOP5 / [2 MVP] 2-1 MVP </t>
    </r>
    <r>
      <rPr>
        <sz val="11"/>
        <rFont val="Noto Sans CJK SC"/>
        <family val="2"/>
      </rPr>
      <t xml:space="preserve">명세 </t>
    </r>
    <r>
      <rPr>
        <sz val="11"/>
        <rFont val="Arial"/>
        <family val="0"/>
        <charset val="1"/>
      </rPr>
      <t xml:space="preserve">· 2-2 MVP </t>
    </r>
    <r>
      <rPr>
        <sz val="11"/>
        <rFont val="Noto Sans CJK SC"/>
        <family val="2"/>
      </rPr>
      <t xml:space="preserve">검증 목표 </t>
    </r>
    <r>
      <rPr>
        <sz val="11"/>
        <rFont val="Arial"/>
        <family val="0"/>
        <charset val="1"/>
      </rPr>
      <t xml:space="preserve">· 2-3 </t>
    </r>
    <r>
      <rPr>
        <sz val="11"/>
        <rFont val="Noto Sans CJK SC"/>
        <family val="2"/>
      </rPr>
      <t xml:space="preserve">장르 연결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 · 2-4 2</t>
    </r>
    <r>
      <rPr>
        <sz val="11"/>
        <rFont val="Noto Sans CJK SC"/>
        <family val="2"/>
      </rPr>
      <t xml:space="preserve">인 개발 </t>
    </r>
    <r>
      <rPr>
        <sz val="11"/>
        <rFont val="Arial"/>
        <family val="0"/>
        <charset val="1"/>
      </rPr>
      <t xml:space="preserve">MVP </t>
    </r>
    <r>
      <rPr>
        <sz val="11"/>
        <rFont val="Noto Sans CJK SC"/>
        <family val="2"/>
      </rPr>
      <t xml:space="preserve">판단 </t>
    </r>
    <r>
      <rPr>
        <sz val="11"/>
        <rFont val="Arial"/>
        <family val="0"/>
        <charset val="1"/>
      </rPr>
      <t xml:space="preserve">/ [3 </t>
    </r>
    <r>
      <rPr>
        <sz val="11"/>
        <rFont val="Noto Sans CJK SC"/>
        <family val="2"/>
      </rPr>
      <t xml:space="preserve">마케팅</t>
    </r>
    <r>
      <rPr>
        <sz val="11"/>
        <rFont val="Arial"/>
        <family val="0"/>
        <charset val="1"/>
      </rPr>
      <t xml:space="preserve">] 3-1 </t>
    </r>
    <r>
      <rPr>
        <sz val="11"/>
        <rFont val="Noto Sans CJK SC"/>
        <family val="2"/>
      </rPr>
      <t xml:space="preserve">광고 대비 유입 </t>
    </r>
    <r>
      <rPr>
        <sz val="11"/>
        <rFont val="Arial"/>
        <family val="0"/>
        <charset val="1"/>
      </rPr>
      <t xml:space="preserve">· 3-2 </t>
    </r>
    <r>
      <rPr>
        <sz val="11"/>
        <rFont val="Noto Sans CJK SC"/>
        <family val="2"/>
      </rPr>
      <t xml:space="preserve">광고 채널 분석 </t>
    </r>
    <r>
      <rPr>
        <sz val="11"/>
        <rFont val="Arial"/>
        <family val="0"/>
        <charset val="1"/>
      </rPr>
      <t xml:space="preserve">· 3-3 </t>
    </r>
    <r>
      <rPr>
        <sz val="11"/>
        <rFont val="Noto Sans CJK SC"/>
        <family val="2"/>
      </rPr>
      <t xml:space="preserve">후킹 영상 분석 </t>
    </r>
    <r>
      <rPr>
        <sz val="11"/>
        <rFont val="Arial"/>
        <family val="0"/>
        <charset val="1"/>
      </rPr>
      <t xml:space="preserve">· 3-4 </t>
    </r>
    <r>
      <rPr>
        <sz val="11"/>
        <rFont val="Noto Sans CJK SC"/>
        <family val="2"/>
      </rPr>
      <t xml:space="preserve">마케팅 실행안 </t>
    </r>
    <r>
      <rPr>
        <sz val="11"/>
        <rFont val="Arial"/>
        <family val="0"/>
        <charset val="1"/>
      </rPr>
      <t xml:space="preserve">· 3-5 </t>
    </r>
    <r>
      <rPr>
        <sz val="11"/>
        <rFont val="Noto Sans CJK SC"/>
        <family val="2"/>
      </rPr>
      <t xml:space="preserve">광고 소재 해부 </t>
    </r>
    <r>
      <rPr>
        <sz val="11"/>
        <rFont val="Arial"/>
        <family val="0"/>
        <charset val="1"/>
      </rPr>
      <t xml:space="preserve">· 3-6 </t>
    </r>
    <r>
      <rPr>
        <sz val="11"/>
        <rFont val="Noto Sans CJK SC"/>
        <family val="2"/>
      </rPr>
      <t xml:space="preserve">광고 </t>
    </r>
    <r>
      <rPr>
        <sz val="11"/>
        <rFont val="Arial"/>
        <family val="0"/>
        <charset val="1"/>
      </rPr>
      <t xml:space="preserve">MVP </t>
    </r>
    <r>
      <rPr>
        <sz val="11"/>
        <rFont val="Noto Sans CJK SC"/>
        <family val="2"/>
      </rPr>
      <t xml:space="preserve">구성표 </t>
    </r>
    <r>
      <rPr>
        <sz val="11"/>
        <rFont val="Arial"/>
        <family val="0"/>
        <charset val="1"/>
      </rPr>
      <t xml:space="preserve">/ [4 </t>
    </r>
    <r>
      <rPr>
        <sz val="11"/>
        <rFont val="Noto Sans CJK SC"/>
        <family val="2"/>
      </rPr>
      <t xml:space="preserve">참조용 복사본</t>
    </r>
    <r>
      <rPr>
        <sz val="11"/>
        <rFont val="Arial"/>
        <family val="0"/>
        <charset val="1"/>
      </rPr>
      <t xml:space="preserve">] 4-1 </t>
    </r>
    <r>
      <rPr>
        <sz val="11"/>
        <rFont val="Noto Sans CJK SC"/>
        <family val="2"/>
      </rPr>
      <t xml:space="preserve">지역 벤치마크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참조</t>
    </r>
    <r>
      <rPr>
        <sz val="11"/>
        <rFont val="Arial"/>
        <family val="0"/>
        <charset val="1"/>
      </rPr>
      <t xml:space="preserve">) · 4-2 </t>
    </r>
    <r>
      <rPr>
        <sz val="11"/>
        <rFont val="Noto Sans CJK SC"/>
        <family val="2"/>
      </rPr>
      <t xml:space="preserve">장르 차트 판독값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참조</t>
    </r>
    <r>
      <rPr>
        <sz val="11"/>
        <rFont val="Arial"/>
        <family val="0"/>
        <charset val="1"/>
      </rPr>
      <t xml:space="preserve">) · 4-3 </t>
    </r>
    <r>
      <rPr>
        <sz val="11"/>
        <rFont val="Noto Sans CJK SC"/>
        <family val="2"/>
      </rPr>
      <t xml:space="preserve">장르 판독 요약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참조</t>
    </r>
    <r>
      <rPr>
        <sz val="11"/>
        <rFont val="Arial"/>
        <family val="0"/>
        <charset val="1"/>
      </rPr>
      <t xml:space="preserve">) · 4-4 Google Play Top100(</t>
    </r>
    <r>
      <rPr>
        <sz val="11"/>
        <rFont val="Noto Sans CJK SC"/>
        <family val="2"/>
      </rPr>
      <t xml:space="preserve">참조</t>
    </r>
    <r>
      <rPr>
        <sz val="11"/>
        <rFont val="Arial"/>
        <family val="0"/>
        <charset val="1"/>
      </rPr>
      <t xml:space="preserve">) · 4-5 </t>
    </r>
    <r>
      <rPr>
        <sz val="11"/>
        <rFont val="Noto Sans CJK SC"/>
        <family val="2"/>
      </rPr>
      <t xml:space="preserve">매출 </t>
    </r>
    <r>
      <rPr>
        <sz val="11"/>
        <rFont val="Arial"/>
        <family val="0"/>
        <charset val="1"/>
      </rPr>
      <t xml:space="preserve">Top100(</t>
    </r>
    <r>
      <rPr>
        <sz val="11"/>
        <rFont val="Noto Sans CJK SC"/>
        <family val="2"/>
      </rPr>
      <t xml:space="preserve">참조</t>
    </r>
    <r>
      <rPr>
        <sz val="11"/>
        <rFont val="Arial"/>
        <family val="0"/>
        <charset val="1"/>
      </rPr>
      <t xml:space="preserve">) · 4-6 </t>
    </r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다운로드 비교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참조</t>
    </r>
    <r>
      <rPr>
        <sz val="11"/>
        <rFont val="Arial"/>
        <family val="0"/>
        <charset val="1"/>
      </rPr>
      <t xml:space="preserve">) · 4-7 </t>
    </r>
    <r>
      <rPr>
        <sz val="11"/>
        <rFont val="Noto Sans CJK SC"/>
        <family val="2"/>
      </rPr>
      <t xml:space="preserve">대륙별 </t>
    </r>
    <r>
      <rPr>
        <sz val="11"/>
        <rFont val="Arial"/>
        <family val="0"/>
        <charset val="1"/>
      </rPr>
      <t xml:space="preserve">OS </t>
    </r>
    <r>
      <rPr>
        <sz val="11"/>
        <rFont val="Noto Sans CJK SC"/>
        <family val="2"/>
      </rPr>
      <t xml:space="preserve">분포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참조</t>
    </r>
    <r>
      <rPr>
        <sz val="11"/>
        <rFont val="Arial"/>
        <family val="0"/>
        <charset val="1"/>
      </rPr>
      <t xml:space="preserve">)  ※ </t>
    </r>
    <r>
      <rPr>
        <sz val="11"/>
        <rFont val="Noto Sans CJK SC"/>
        <family val="2"/>
      </rPr>
      <t xml:space="preserve">시장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지역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벤치마크 숫자 자료은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는</t>
    </r>
    <r>
      <rPr>
        <sz val="11"/>
        <rFont val="Arial"/>
        <family val="0"/>
        <charset val="1"/>
      </rPr>
      <t xml:space="preserve">) '</t>
    </r>
    <r>
      <rPr>
        <sz val="11"/>
        <rFont val="Noto Sans CJK SC"/>
        <family val="2"/>
      </rPr>
      <t xml:space="preserve">시장조사</t>
    </r>
    <r>
      <rPr>
        <sz val="11"/>
        <rFont val="Arial"/>
        <family val="0"/>
        <charset val="1"/>
      </rPr>
      <t xml:space="preserve">.xlsx' </t>
    </r>
    <r>
      <rPr>
        <sz val="11"/>
        <rFont val="Noto Sans CJK SC"/>
        <family val="2"/>
      </rPr>
      <t xml:space="preserve">파일에 있음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파일 사이 수식 연결 없음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</si>
  <si>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단계 출처</t>
    </r>
  </si>
  <si>
    <r>
      <rPr>
        <sz val="11"/>
        <rFont val="Arial"/>
        <family val="0"/>
        <charset val="1"/>
      </rPr>
      <t xml:space="preserve">GameAnalytics 2026·2025 </t>
    </r>
    <r>
      <rPr>
        <sz val="11"/>
        <rFont val="Noto Sans CJK SC"/>
        <family val="2"/>
      </rPr>
      <t xml:space="preserve">벤치마크</t>
    </r>
    <r>
      <rPr>
        <sz val="11"/>
        <rFont val="Arial"/>
        <family val="0"/>
        <charset val="1"/>
      </rPr>
      <t xml:space="preserve">, AppsFlyer State of App Monetization 2026·Gaming App Marketing 2024, Appodeal Mobile Casual Benchmarks 2025. </t>
    </r>
    <r>
      <rPr>
        <sz val="11"/>
        <rFont val="Noto Sans CJK SC"/>
        <family val="2"/>
      </rPr>
      <t xml:space="preserve">출처 없는 수치는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제외한 자료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에 기록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</si>
  <si>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단계 출처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</si>
  <si>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구글 플레이 매출 순위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한국 </t>
    </r>
    <r>
      <rPr>
        <sz val="11"/>
        <rFont val="Arial"/>
        <family val="0"/>
        <charset val="1"/>
      </rPr>
      <t xml:space="preserve">2026-10-03, </t>
    </r>
    <r>
      <rPr>
        <sz val="11"/>
        <rFont val="Noto Sans CJK SC"/>
        <family val="2"/>
      </rPr>
      <t xml:space="preserve">일본 </t>
    </r>
    <r>
      <rPr>
        <sz val="11"/>
        <rFont val="Arial"/>
        <family val="0"/>
        <charset val="1"/>
      </rPr>
      <t xml:space="preserve">2026-10-04, </t>
    </r>
    <r>
      <rPr>
        <sz val="11"/>
        <rFont val="Noto Sans CJK SC"/>
        <family val="2"/>
      </rPr>
      <t xml:space="preserve">브라질 </t>
    </r>
    <r>
      <rPr>
        <sz val="11"/>
        <rFont val="Arial"/>
        <family val="0"/>
        <charset val="1"/>
      </rPr>
      <t xml:space="preserve">2026-10-01. </t>
    </r>
    <r>
      <rPr>
        <sz val="11"/>
        <rFont val="Noto Sans CJK SC"/>
        <family val="2"/>
      </rPr>
      <t xml:space="preserve">외부 자료</t>
    </r>
    <r>
      <rPr>
        <sz val="11"/>
        <rFont val="Arial"/>
        <family val="0"/>
        <charset val="1"/>
      </rPr>
      <t xml:space="preserve">: Wikipedia(Free Fire). </t>
    </r>
    <r>
      <rPr>
        <sz val="11"/>
        <rFont val="Noto Sans CJK SC"/>
        <family val="2"/>
      </rPr>
      <t xml:space="preserve">별점</t>
    </r>
    <r>
      <rPr>
        <sz val="11"/>
        <rFont val="Arial"/>
        <family val="0"/>
        <charset val="1"/>
      </rPr>
      <t xml:space="preserve">·MVP </t>
    </r>
    <r>
      <rPr>
        <sz val="11"/>
        <rFont val="Noto Sans CJK SC"/>
        <family val="2"/>
      </rPr>
      <t xml:space="preserve">규모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인원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기간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게임 방식 일부는 분석자 추정</t>
    </r>
    <r>
      <rPr>
        <sz val="11"/>
        <rFont val="Arial"/>
        <family val="0"/>
        <charset val="1"/>
      </rPr>
      <t xml:space="preserve">.</t>
    </r>
  </si>
  <si>
    <t xml:space="preserve">지역 비교 출처</t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</si>
  <si>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국가별 </t>
    </r>
    <r>
      <rPr>
        <sz val="11"/>
        <rFont val="Arial"/>
        <family val="0"/>
        <charset val="1"/>
      </rPr>
      <t xml:space="preserve">Google Play Top Free Games: </t>
    </r>
    <r>
      <rPr>
        <sz val="11"/>
        <rFont val="Noto Sans CJK SC"/>
        <family val="2"/>
      </rPr>
      <t xml:space="preserve">캐나다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브라질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일본 </t>
    </r>
    <r>
      <rPr>
        <sz val="11"/>
        <rFont val="Arial"/>
        <family val="0"/>
        <charset val="1"/>
      </rPr>
      <t xml:space="preserve">2026-10-04, </t>
    </r>
    <r>
      <rPr>
        <sz val="11"/>
        <rFont val="Noto Sans CJK SC"/>
        <family val="2"/>
      </rPr>
      <t xml:space="preserve">한국 </t>
    </r>
    <r>
      <rPr>
        <sz val="11"/>
        <rFont val="Arial"/>
        <family val="0"/>
        <charset val="1"/>
      </rPr>
      <t xml:space="preserve">2026-10-03, </t>
    </r>
    <r>
      <rPr>
        <sz val="11"/>
        <rFont val="Noto Sans CJK SC"/>
        <family val="2"/>
      </rPr>
      <t xml:space="preserve">멕시코 </t>
    </r>
    <r>
      <rPr>
        <sz val="11"/>
        <rFont val="Arial"/>
        <family val="0"/>
        <charset val="1"/>
      </rPr>
      <t xml:space="preserve">2026-09-25. </t>
    </r>
    <r>
      <rPr>
        <sz val="11"/>
        <rFont val="Noto Sans CJK SC"/>
        <family val="2"/>
      </rPr>
      <t xml:space="preserve">외부 자료</t>
    </r>
    <r>
      <rPr>
        <sz val="11"/>
        <rFont val="Arial"/>
        <family val="0"/>
        <charset val="1"/>
      </rPr>
      <t xml:space="preserve">: Wikipedia(Free Fire), Sensor Tower &amp; Adjust </t>
    </r>
    <r>
      <rPr>
        <sz val="11"/>
        <rFont val="Noto Sans CJK SC"/>
        <family val="2"/>
      </rPr>
      <t xml:space="preserve">일본 시장 리포트</t>
    </r>
    <r>
      <rPr>
        <sz val="11"/>
        <rFont val="Arial"/>
        <family val="0"/>
        <charset val="1"/>
      </rPr>
      <t xml:space="preserve">(2024)</t>
    </r>
  </si>
  <si>
    <t xml:space="preserve">지역 비교 한계</t>
  </si>
  <si>
    <r>
      <rPr>
        <sz val="11"/>
        <rFont val="Noto Sans CJK SC"/>
        <family val="2"/>
      </rPr>
      <t xml:space="preserve">캐나다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남미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아시아는 구글 플레이만 조사</t>
    </r>
    <r>
      <rPr>
        <sz val="11"/>
        <rFont val="Arial"/>
        <family val="0"/>
        <charset val="1"/>
      </rPr>
      <t xml:space="preserve">(App Store </t>
    </r>
    <r>
      <rPr>
        <sz val="11"/>
        <rFont val="Noto Sans CJK SC"/>
        <family val="2"/>
      </rPr>
      <t xml:space="preserve">미포함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국가별 장르 분류는 </t>
    </r>
    <r>
      <rPr>
        <sz val="11"/>
        <rFont val="Arial"/>
        <family val="0"/>
        <charset val="1"/>
      </rPr>
      <t xml:space="preserve">Top 20 </t>
    </r>
    <r>
      <rPr>
        <sz val="11"/>
        <rFont val="Noto Sans CJK SC"/>
        <family val="2"/>
      </rPr>
      <t xml:space="preserve">기준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동남아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인도네시아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태국 등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는 미포함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원인 설명 일부는 추정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</si>
  <si>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6</t>
    </r>
    <r>
      <rPr>
        <b val="true"/>
        <sz val="11"/>
        <rFont val="Noto Sans CJK SC"/>
        <family val="2"/>
      </rPr>
      <t xml:space="preserve">단계</t>
    </r>
    <r>
      <rPr>
        <b val="true"/>
        <sz val="11"/>
        <rFont val="Arial"/>
        <family val="0"/>
        <charset val="1"/>
      </rPr>
      <t xml:space="preserve">-2 </t>
    </r>
    <r>
      <rPr>
        <b val="true"/>
        <sz val="11"/>
        <rFont val="Noto Sans CJK SC"/>
        <family val="2"/>
      </rPr>
      <t xml:space="preserve">출처 </t>
    </r>
    <r>
      <rPr>
        <b val="true"/>
        <sz val="11"/>
        <rFont val="Arial"/>
        <family val="0"/>
        <charset val="1"/>
      </rPr>
      <t xml:space="preserve">(2026-10-05 </t>
    </r>
    <r>
      <rPr>
        <b val="true"/>
        <sz val="11"/>
        <rFont val="Noto Sans CJK SC"/>
        <family val="2"/>
      </rPr>
      <t xml:space="preserve">조회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</si>
  <si>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매출 </t>
    </r>
    <r>
      <rPr>
        <sz val="11"/>
        <rFont val="Arial"/>
        <family val="0"/>
        <charset val="1"/>
      </rPr>
      <t xml:space="preserve">Top100·</t>
    </r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다운로드 비교</t>
    </r>
    <r>
      <rPr>
        <sz val="11"/>
        <rFont val="Arial"/>
        <family val="0"/>
        <charset val="1"/>
      </rPr>
      <t xml:space="preserve">: AppBrain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Top Grossing / Top Free Games (</t>
    </r>
    <r>
      <rPr>
        <sz val="11"/>
        <rFont val="Noto Sans CJK SC"/>
        <family val="2"/>
      </rPr>
      <t xml:space="preserve">둘 다 </t>
    </r>
    <r>
      <rPr>
        <sz val="11"/>
        <rFont val="Arial"/>
        <family val="0"/>
        <charset val="1"/>
      </rPr>
      <t xml:space="preserve">2026-10-04). </t>
    </r>
    <r>
      <rPr>
        <sz val="11"/>
        <rFont val="Noto Sans CJK SC"/>
        <family val="2"/>
      </rPr>
      <t xml:space="preserve">동남아</t>
    </r>
    <r>
      <rPr>
        <sz val="11"/>
        <rFont val="Arial"/>
        <family val="0"/>
        <charset val="1"/>
      </rPr>
      <t xml:space="preserve">: AppBrain </t>
    </r>
    <r>
      <rPr>
        <sz val="11"/>
        <rFont val="Noto Sans CJK SC"/>
        <family val="2"/>
      </rPr>
      <t xml:space="preserve">인도네시아 </t>
    </r>
    <r>
      <rPr>
        <sz val="11"/>
        <rFont val="Arial"/>
        <family val="0"/>
        <charset val="1"/>
      </rPr>
      <t xml:space="preserve">Top Free Games (2026-10-05). OS: StatCounter Global Stats </t>
    </r>
    <r>
      <rPr>
        <sz val="11"/>
        <rFont val="Noto Sans CJK SC"/>
        <family val="2"/>
      </rPr>
      <t xml:space="preserve">모바일 </t>
    </r>
    <r>
      <rPr>
        <sz val="11"/>
        <rFont val="Arial"/>
        <family val="0"/>
        <charset val="1"/>
      </rPr>
      <t xml:space="preserve">OS </t>
    </r>
    <r>
      <rPr>
        <sz val="11"/>
        <rFont val="Noto Sans CJK SC"/>
        <family val="2"/>
      </rPr>
      <t xml:space="preserve">점유율 </t>
    </r>
    <r>
      <rPr>
        <sz val="11"/>
        <rFont val="Arial"/>
        <family val="0"/>
        <charset val="1"/>
      </rPr>
      <t xml:space="preserve">(2026-09, </t>
    </r>
    <r>
      <rPr>
        <sz val="11"/>
        <rFont val="Noto Sans CJK SC"/>
        <family val="2"/>
      </rPr>
      <t xml:space="preserve">오세아니아 </t>
    </r>
    <r>
      <rPr>
        <sz val="11"/>
        <rFont val="Arial"/>
        <family val="0"/>
        <charset val="1"/>
      </rPr>
      <t xml:space="preserve">2026-08). </t>
    </r>
    <r>
      <rPr>
        <sz val="11"/>
        <rFont val="Noto Sans CJK SC"/>
        <family val="2"/>
      </rPr>
      <t xml:space="preserve">게임 매출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다운로드 스토어 비율</t>
    </r>
    <r>
      <rPr>
        <sz val="11"/>
        <rFont val="Arial"/>
        <family val="0"/>
        <charset val="1"/>
      </rPr>
      <t xml:space="preserve">: Sensor Tower State of Gaming 2026 (9to5Mac </t>
    </r>
    <r>
      <rPr>
        <sz val="11"/>
        <rFont val="Noto Sans CJK SC"/>
        <family val="2"/>
      </rPr>
      <t xml:space="preserve">보도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동남아 벤치마크</t>
    </r>
    <r>
      <rPr>
        <sz val="11"/>
        <rFont val="Arial"/>
        <family val="0"/>
        <charset val="1"/>
      </rPr>
      <t xml:space="preserve">: GameAnalytics 2025 </t>
    </r>
    <r>
      <rPr>
        <sz val="11"/>
        <rFont val="Noto Sans CJK SC"/>
        <family val="2"/>
      </rPr>
      <t xml:space="preserve">보고서 </t>
    </r>
    <r>
      <rPr>
        <sz val="11"/>
        <rFont val="Arial"/>
        <family val="0"/>
        <charset val="1"/>
      </rPr>
      <t xml:space="preserve">p.13~16, 2026 </t>
    </r>
    <r>
      <rPr>
        <sz val="11"/>
        <rFont val="Noto Sans CJK SC"/>
        <family val="2"/>
      </rPr>
      <t xml:space="preserve">보고서 </t>
    </r>
    <r>
      <rPr>
        <sz val="11"/>
        <rFont val="Arial"/>
        <family val="0"/>
        <charset val="1"/>
      </rPr>
      <t xml:space="preserve">p.15~19.</t>
    </r>
  </si>
  <si>
    <r>
      <rPr>
        <b val="true"/>
        <sz val="11"/>
        <rFont val="Arial"/>
        <family val="0"/>
        <charset val="1"/>
      </rPr>
      <t xml:space="preserve">6</t>
    </r>
    <r>
      <rPr>
        <b val="true"/>
        <sz val="11"/>
        <rFont val="Noto Sans CJK SC"/>
        <family val="2"/>
      </rPr>
      <t xml:space="preserve">단계</t>
    </r>
    <r>
      <rPr>
        <b val="true"/>
        <sz val="11"/>
        <rFont val="Arial"/>
        <family val="0"/>
        <charset val="1"/>
      </rPr>
      <t xml:space="preserve">-2 </t>
    </r>
    <r>
      <rPr>
        <b val="true"/>
        <sz val="11"/>
        <rFont val="Noto Sans CJK SC"/>
        <family val="2"/>
      </rPr>
      <t xml:space="preserve">한계</t>
    </r>
  </si>
  <si>
    <r>
      <rPr>
        <sz val="11"/>
        <rFont val="Noto Sans CJK SC"/>
        <family val="2"/>
      </rPr>
      <t xml:space="preserve">태국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베트남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필리핀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말레이시아 </t>
    </r>
    <r>
      <rPr>
        <sz val="11"/>
        <rFont val="Arial"/>
        <family val="0"/>
        <charset val="1"/>
      </rPr>
      <t xml:space="preserve">Top20</t>
    </r>
    <r>
      <rPr>
        <sz val="11"/>
        <rFont val="Noto Sans CJK SC"/>
        <family val="2"/>
      </rPr>
      <t xml:space="preserve">은 공개 순위 출처가 없어 확인 불가</t>
    </r>
    <r>
      <rPr>
        <sz val="11"/>
        <rFont val="Arial"/>
        <family val="0"/>
        <charset val="1"/>
      </rPr>
      <t xml:space="preserve">. OS </t>
    </r>
    <r>
      <rPr>
        <sz val="11"/>
        <rFont val="Noto Sans CJK SC"/>
        <family val="2"/>
      </rPr>
      <t xml:space="preserve">값은 대륙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곳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나라 </t>
    </r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곳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싱가포르 참고 포함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조사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다운로드 비교의 공식 설치 구간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출시일은 </t>
    </r>
    <r>
      <rPr>
        <sz val="11"/>
        <rFont val="Arial"/>
        <family val="0"/>
        <charset val="1"/>
      </rPr>
      <t xml:space="preserve">Kingshot</t>
    </r>
    <r>
      <rPr>
        <sz val="11"/>
        <rFont val="Noto Sans CJK SC"/>
        <family val="2"/>
      </rPr>
      <t xml:space="preserve">만 확인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위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지역 비교 한계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줄의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동남아 미포함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문구는 기존 칸이라 그대로 둠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</si>
  <si>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6</t>
    </r>
    <r>
      <rPr>
        <b val="true"/>
        <sz val="11"/>
        <rFont val="Noto Sans CJK SC"/>
        <family val="2"/>
      </rPr>
      <t xml:space="preserve">단계</t>
    </r>
    <r>
      <rPr>
        <b val="true"/>
        <sz val="11"/>
        <rFont val="Arial"/>
        <family val="0"/>
        <charset val="1"/>
      </rPr>
      <t xml:space="preserve">-3 </t>
    </r>
    <r>
      <rPr>
        <b val="true"/>
        <sz val="11"/>
        <rFont val="Noto Sans CJK SC"/>
        <family val="2"/>
      </rPr>
      <t xml:space="preserve">출처 </t>
    </r>
    <r>
      <rPr>
        <b val="true"/>
        <sz val="11"/>
        <rFont val="Arial"/>
        <family val="0"/>
        <charset val="1"/>
      </rPr>
      <t xml:space="preserve">(2026-10-05 </t>
    </r>
    <r>
      <rPr>
        <b val="true"/>
        <sz val="11"/>
        <rFont val="Noto Sans CJK SC"/>
        <family val="2"/>
      </rPr>
      <t xml:space="preserve">조회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</si>
  <si>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인 개발 </t>
    </r>
    <r>
      <rPr>
        <sz val="11"/>
        <rFont val="Arial"/>
        <family val="0"/>
        <charset val="1"/>
      </rPr>
      <t xml:space="preserve">MVP </t>
    </r>
    <r>
      <rPr>
        <sz val="11"/>
        <rFont val="Noto Sans CJK SC"/>
        <family val="2"/>
      </rPr>
      <t xml:space="preserve">판단</t>
    </r>
    <r>
      <rPr>
        <sz val="11"/>
        <rFont val="Arial"/>
        <family val="0"/>
        <charset val="1"/>
      </rPr>
      <t xml:space="preserve">: 3-2 </t>
    </r>
    <r>
      <rPr>
        <sz val="11"/>
        <rFont val="Noto Sans CJK SC"/>
        <family val="2"/>
      </rPr>
      <t xml:space="preserve">매출 </t>
    </r>
    <r>
      <rPr>
        <sz val="11"/>
        <rFont val="Arial"/>
        <family val="0"/>
        <charset val="1"/>
      </rPr>
      <t xml:space="preserve">Top100·3-3 </t>
    </r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다운로드 비교</t>
    </r>
    <r>
      <rPr>
        <sz val="11"/>
        <rFont val="Arial"/>
        <family val="0"/>
        <charset val="1"/>
      </rPr>
      <t xml:space="preserve">·1-2 Google Play Top100(</t>
    </r>
    <r>
      <rPr>
        <sz val="11"/>
        <rFont val="Noto Sans CJK SC"/>
        <family val="2"/>
      </rPr>
      <t xml:space="preserve">모두 </t>
    </r>
    <r>
      <rPr>
        <sz val="11"/>
        <rFont val="Arial"/>
        <family val="0"/>
        <charset val="1"/>
      </rPr>
      <t xml:space="preserve">2026-10-04)</t>
    </r>
    <r>
      <rPr>
        <sz val="11"/>
        <rFont val="Noto Sans CJK SC"/>
        <family val="2"/>
      </rPr>
      <t xml:space="preserve">을 게임전략 파일에 참조용 복사본으로 두고 수식으로 사용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세부 장르 점수는 분석자 판단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광고 대비 유입</t>
    </r>
    <r>
      <rPr>
        <sz val="11"/>
        <rFont val="Arial"/>
        <family val="0"/>
        <charset val="1"/>
      </rPr>
      <t xml:space="preserve">: CPI — Adjust 'The gaming app insights report: 2026 edition' p.28~29(2024-01~2026-01), Liftoff·Singular '2025 Casual Gaming Apps Report'(2024-02~2025-02), 2</t>
    </r>
    <r>
      <rPr>
        <sz val="11"/>
        <rFont val="Noto Sans CJK SC"/>
        <family val="2"/>
      </rPr>
      <t xml:space="preserve">차 인용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건</t>
    </r>
    <r>
      <rPr>
        <sz val="11"/>
        <rFont val="Arial"/>
        <family val="0"/>
        <charset val="1"/>
      </rPr>
      <t xml:space="preserve">(Statista·Mistplay·GameDev Reports, </t>
    </r>
    <r>
      <rPr>
        <sz val="11"/>
        <rFont val="Noto Sans CJK SC"/>
        <family val="2"/>
      </rPr>
      <t xml:space="preserve">노란 칸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리텐션 — </t>
    </r>
    <r>
      <rPr>
        <sz val="11"/>
        <rFont val="Arial"/>
        <family val="0"/>
        <charset val="1"/>
      </rPr>
      <t xml:space="preserve">GameAnalytics 2026 </t>
    </r>
    <r>
      <rPr>
        <sz val="11"/>
        <rFont val="Noto Sans CJK SC"/>
        <family val="2"/>
      </rPr>
      <t xml:space="preserve">지역 표</t>
    </r>
    <r>
      <rPr>
        <sz val="11"/>
        <rFont val="Arial"/>
        <family val="0"/>
        <charset val="1"/>
      </rPr>
      <t xml:space="preserve">(4-2 / </t>
    </r>
    <r>
      <rPr>
        <sz val="11"/>
        <rFont val="Noto Sans CJK SC"/>
        <family val="2"/>
      </rPr>
      <t xml:space="preserve">게임전략 </t>
    </r>
    <r>
      <rPr>
        <sz val="11"/>
        <rFont val="Arial"/>
        <family val="0"/>
        <charset val="1"/>
      </rPr>
      <t xml:space="preserve">4-1 </t>
    </r>
    <r>
      <rPr>
        <sz val="11"/>
        <rFont val="Noto Sans CJK SC"/>
        <family val="2"/>
      </rPr>
      <t xml:space="preserve">참조</t>
    </r>
    <r>
      <rPr>
        <sz val="11"/>
        <rFont val="Arial"/>
        <family val="0"/>
        <charset val="1"/>
      </rPr>
      <t xml:space="preserve">).</t>
    </r>
  </si>
  <si>
    <r>
      <rPr>
        <b val="true"/>
        <sz val="11"/>
        <rFont val="Arial"/>
        <family val="0"/>
        <charset val="1"/>
      </rPr>
      <t xml:space="preserve">6</t>
    </r>
    <r>
      <rPr>
        <b val="true"/>
        <sz val="11"/>
        <rFont val="Noto Sans CJK SC"/>
        <family val="2"/>
      </rPr>
      <t xml:space="preserve">단계</t>
    </r>
    <r>
      <rPr>
        <b val="true"/>
        <sz val="11"/>
        <rFont val="Arial"/>
        <family val="0"/>
        <charset val="1"/>
      </rPr>
      <t xml:space="preserve">-3 </t>
    </r>
    <r>
      <rPr>
        <b val="true"/>
        <sz val="11"/>
        <rFont val="Noto Sans CJK SC"/>
        <family val="2"/>
      </rPr>
      <t xml:space="preserve">한계</t>
    </r>
  </si>
  <si>
    <r>
      <rPr>
        <sz val="11"/>
        <rFont val="Noto Sans CJK SC"/>
        <family val="2"/>
      </rPr>
      <t xml:space="preserve">세부 장르 점수</t>
    </r>
    <r>
      <rPr>
        <sz val="11"/>
        <rFont val="Arial"/>
        <family val="0"/>
        <charset val="1"/>
      </rPr>
      <t xml:space="preserve">·2</t>
    </r>
    <r>
      <rPr>
        <sz val="11"/>
        <rFont val="Noto Sans CJK SC"/>
        <family val="2"/>
      </rPr>
      <t xml:space="preserve">인 역할</t>
    </r>
    <r>
      <rPr>
        <sz val="11"/>
        <rFont val="Arial"/>
        <family val="0"/>
        <charset val="1"/>
      </rPr>
      <t xml:space="preserve">·MVP </t>
    </r>
    <r>
      <rPr>
        <sz val="11"/>
        <rFont val="Noto Sans CJK SC"/>
        <family val="2"/>
      </rPr>
      <t xml:space="preserve">기간은 분석자 판단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근거 수치 없음</t>
    </r>
    <r>
      <rPr>
        <sz val="11"/>
        <rFont val="Arial"/>
        <family val="0"/>
        <charset val="1"/>
      </rPr>
      <t xml:space="preserve">). '</t>
    </r>
    <r>
      <rPr>
        <sz val="11"/>
        <rFont val="Noto Sans CJK SC"/>
        <family val="2"/>
      </rPr>
      <t xml:space="preserve">지역</t>
    </r>
    <r>
      <rPr>
        <sz val="11"/>
        <rFont val="Arial"/>
        <family val="0"/>
        <charset val="1"/>
      </rPr>
      <t xml:space="preserve">×OS×</t>
    </r>
    <r>
      <rPr>
        <sz val="11"/>
        <rFont val="Noto Sans CJK SC"/>
        <family val="2"/>
      </rPr>
      <t xml:space="preserve">장르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를 모두 나눈 </t>
    </r>
    <r>
      <rPr>
        <sz val="11"/>
        <rFont val="Arial"/>
        <family val="0"/>
        <charset val="1"/>
      </rPr>
      <t xml:space="preserve">CPI</t>
    </r>
    <r>
      <rPr>
        <sz val="11"/>
        <rFont val="Noto Sans CJK SC"/>
        <family val="2"/>
      </rPr>
      <t xml:space="preserve">는 확인 불가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광고 채널 분석</t>
    </r>
    <r>
      <rPr>
        <sz val="11"/>
        <rFont val="Arial"/>
        <family val="0"/>
        <charset val="1"/>
      </rPr>
      <t xml:space="preserve">(3-2)</t>
    </r>
    <r>
      <rPr>
        <sz val="11"/>
        <rFont val="Noto Sans CJK SC"/>
        <family val="2"/>
      </rPr>
      <t xml:space="preserve">의 채널별 게임 </t>
    </r>
    <r>
      <rPr>
        <sz val="11"/>
        <rFont val="Arial"/>
        <family val="0"/>
        <charset val="1"/>
      </rPr>
      <t xml:space="preserve">CPI</t>
    </r>
    <r>
      <rPr>
        <sz val="11"/>
        <rFont val="Noto Sans CJK SC"/>
        <family val="2"/>
      </rPr>
      <t xml:space="preserve">는 확인 불가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후킹 영상</t>
    </r>
    <r>
      <rPr>
        <sz val="11"/>
        <rFont val="Arial"/>
        <family val="0"/>
        <charset val="1"/>
      </rPr>
      <t xml:space="preserve">(3-3)</t>
    </r>
    <r>
      <rPr>
        <sz val="11"/>
        <rFont val="Noto Sans CJK SC"/>
        <family val="2"/>
      </rPr>
      <t xml:space="preserve">은 </t>
    </r>
    <r>
      <rPr>
        <sz val="11"/>
        <rFont val="Arial"/>
        <family val="0"/>
        <charset val="1"/>
      </rPr>
      <t xml:space="preserve">AdWhispr </t>
    </r>
    <r>
      <rPr>
        <sz val="11"/>
        <rFont val="Noto Sans CJK SC"/>
        <family val="2"/>
      </rPr>
      <t xml:space="preserve">분류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게임당 </t>
    </r>
    <r>
      <rPr>
        <sz val="11"/>
        <rFont val="Arial"/>
        <family val="0"/>
        <charset val="1"/>
      </rPr>
      <t xml:space="preserve">25</t>
    </r>
    <r>
      <rPr>
        <sz val="11"/>
        <rFont val="Noto Sans CJK SC"/>
        <family val="2"/>
      </rPr>
      <t xml:space="preserve">개 표본</t>
    </r>
    <r>
      <rPr>
        <sz val="11"/>
        <rFont val="Arial"/>
        <family val="0"/>
        <charset val="1"/>
      </rPr>
      <t xml:space="preserve">) + </t>
    </r>
    <r>
      <rPr>
        <sz val="11"/>
        <rFont val="Noto Sans CJK SC"/>
        <family val="2"/>
      </rPr>
      <t xml:space="preserve">영상 </t>
    </r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개 처음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초 분석자 판독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화면 캡처 </t>
    </r>
    <r>
      <rPr>
        <sz val="11"/>
        <rFont val="Arial"/>
        <family val="0"/>
        <charset val="1"/>
      </rPr>
      <t xml:space="preserve">2~3</t>
    </r>
    <r>
      <rPr>
        <sz val="11"/>
        <rFont val="Noto Sans CJK SC"/>
        <family val="2"/>
      </rPr>
      <t xml:space="preserve">장 기준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마케팅 실행안</t>
    </r>
    <r>
      <rPr>
        <sz val="11"/>
        <rFont val="Arial"/>
        <family val="0"/>
        <charset val="1"/>
      </rPr>
      <t xml:space="preserve">(3-4)·</t>
    </r>
    <r>
      <rPr>
        <sz val="11"/>
        <rFont val="Noto Sans CJK SC"/>
        <family val="2"/>
      </rPr>
      <t xml:space="preserve">광고 </t>
    </r>
    <r>
      <rPr>
        <sz val="11"/>
        <rFont val="Arial"/>
        <family val="0"/>
        <charset val="1"/>
      </rPr>
      <t xml:space="preserve">MVP </t>
    </r>
    <r>
      <rPr>
        <sz val="11"/>
        <rFont val="Noto Sans CJK SC"/>
        <family val="2"/>
      </rPr>
      <t xml:space="preserve">구성표</t>
    </r>
    <r>
      <rPr>
        <sz val="11"/>
        <rFont val="Arial"/>
        <family val="0"/>
        <charset val="1"/>
      </rPr>
      <t xml:space="preserve">(3-6)</t>
    </r>
    <r>
      <rPr>
        <sz val="11"/>
        <rFont val="Noto Sans CJK SC"/>
        <family val="2"/>
      </rPr>
      <t xml:space="preserve">는 전부 분석자 제안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광고 소재 해부</t>
    </r>
    <r>
      <rPr>
        <sz val="11"/>
        <rFont val="Arial"/>
        <family val="0"/>
        <charset val="1"/>
      </rPr>
      <t xml:space="preserve">(3-5)</t>
    </r>
    <r>
      <rPr>
        <sz val="11"/>
        <rFont val="Noto Sans CJK SC"/>
        <family val="2"/>
      </rPr>
      <t xml:space="preserve">는 영상 </t>
    </r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개를 화면 캡처 </t>
    </r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장씩으로 판독했고 사운드는 사용자 기입 칸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</si>
  <si>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6</t>
    </r>
    <r>
      <rPr>
        <b val="true"/>
        <sz val="11"/>
        <rFont val="Noto Sans CJK SC"/>
        <family val="2"/>
      </rPr>
      <t xml:space="preserve">단계</t>
    </r>
    <r>
      <rPr>
        <b val="true"/>
        <sz val="11"/>
        <rFont val="Arial"/>
        <family val="0"/>
        <charset val="1"/>
      </rPr>
      <t xml:space="preserve">-4 </t>
    </r>
    <r>
      <rPr>
        <b val="true"/>
        <sz val="11"/>
        <rFont val="Noto Sans CJK SC"/>
        <family val="2"/>
      </rPr>
      <t xml:space="preserve">출처 </t>
    </r>
    <r>
      <rPr>
        <b val="true"/>
        <sz val="11"/>
        <rFont val="Arial"/>
        <family val="0"/>
        <charset val="1"/>
      </rPr>
      <t xml:space="preserve">(2026-10-07 </t>
    </r>
    <r>
      <rPr>
        <b val="true"/>
        <sz val="11"/>
        <rFont val="Noto Sans CJK SC"/>
        <family val="2"/>
      </rPr>
      <t xml:space="preserve">조회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</si>
  <si>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 Store </t>
    </r>
    <r>
      <rPr>
        <sz val="11"/>
        <rFont val="Noto Sans CJK SC"/>
        <family val="2"/>
      </rPr>
      <t xml:space="preserve">매출 순위</t>
    </r>
    <r>
      <rPr>
        <sz val="11"/>
        <rFont val="Arial"/>
        <family val="0"/>
        <charset val="1"/>
      </rPr>
      <t xml:space="preserve">: AppBrain App Store Top Grossing Games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페이지 갱신 </t>
    </r>
    <r>
      <rPr>
        <sz val="11"/>
        <rFont val="Arial"/>
        <family val="0"/>
        <charset val="1"/>
      </rPr>
      <t xml:space="preserve">2026-10-06, 88</t>
    </r>
    <r>
      <rPr>
        <sz val="11"/>
        <rFont val="Noto Sans CJK SC"/>
        <family val="2"/>
      </rPr>
      <t xml:space="preserve">위까지 표시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다운로드 비교 </t>
    </r>
    <r>
      <rPr>
        <sz val="11"/>
        <rFont val="Arial"/>
        <family val="0"/>
        <charset val="1"/>
      </rPr>
      <t xml:space="preserve">F·G</t>
    </r>
    <r>
      <rPr>
        <sz val="11"/>
        <rFont val="Noto Sans CJK SC"/>
        <family val="2"/>
      </rPr>
      <t xml:space="preserve">열</t>
    </r>
    <r>
      <rPr>
        <sz val="11"/>
        <rFont val="Arial"/>
        <family val="0"/>
        <charset val="1"/>
      </rPr>
      <t xml:space="preserve">: AppBrain </t>
    </r>
    <r>
      <rPr>
        <sz val="11"/>
        <rFont val="Noto Sans CJK SC"/>
        <family val="2"/>
      </rPr>
      <t xml:space="preserve">앱 상세 페이지</t>
    </r>
    <r>
      <rPr>
        <sz val="11"/>
        <rFont val="Arial"/>
        <family val="0"/>
        <charset val="1"/>
      </rPr>
      <t xml:space="preserve">(Google Play </t>
    </r>
    <r>
      <rPr>
        <sz val="11"/>
        <rFont val="Noto Sans CJK SC"/>
        <family val="2"/>
      </rPr>
      <t xml:space="preserve">다운로드 표시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 172</t>
    </r>
    <r>
      <rPr>
        <sz val="11"/>
        <rFont val="Noto Sans CJK SC"/>
        <family val="2"/>
      </rPr>
      <t xml:space="preserve">개 전부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그중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개는 </t>
    </r>
    <r>
      <rPr>
        <sz val="11"/>
        <rFont val="Arial"/>
        <family val="0"/>
        <charset val="1"/>
      </rPr>
      <t xml:space="preserve">Google Play </t>
    </r>
    <r>
      <rPr>
        <sz val="11"/>
        <rFont val="Noto Sans CJK SC"/>
        <family val="2"/>
      </rPr>
      <t xml:space="preserve">상세 페이지 직접 확인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확인 필요 재검토</t>
    </r>
    <r>
      <rPr>
        <sz val="11"/>
        <rFont val="Arial"/>
        <family val="0"/>
        <charset val="1"/>
      </rPr>
      <t xml:space="preserve">: Google Play·App Store·AppBrain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+ 2</t>
    </r>
    <r>
      <rPr>
        <sz val="11"/>
        <rFont val="Noto Sans CJK SC"/>
        <family val="2"/>
      </rPr>
      <t xml:space="preserve">차 출처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게임 위키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정리 사이트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기사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시트에 표시</t>
    </r>
    <r>
      <rPr>
        <sz val="11"/>
        <rFont val="Arial"/>
        <family val="0"/>
        <charset val="1"/>
      </rPr>
      <t xml:space="preserve">).</t>
    </r>
  </si>
  <si>
    <r>
      <rPr>
        <b val="true"/>
        <sz val="11"/>
        <rFont val="Arial"/>
        <family val="0"/>
        <charset val="1"/>
      </rPr>
      <t xml:space="preserve">6</t>
    </r>
    <r>
      <rPr>
        <b val="true"/>
        <sz val="11"/>
        <rFont val="Noto Sans CJK SC"/>
        <family val="2"/>
      </rPr>
      <t xml:space="preserve">단계</t>
    </r>
    <r>
      <rPr>
        <b val="true"/>
        <sz val="11"/>
        <rFont val="Arial"/>
        <family val="0"/>
        <charset val="1"/>
      </rPr>
      <t xml:space="preserve">-4 </t>
    </r>
    <r>
      <rPr>
        <b val="true"/>
        <sz val="11"/>
        <rFont val="Noto Sans CJK SC"/>
        <family val="2"/>
      </rPr>
      <t xml:space="preserve">한계</t>
    </r>
  </si>
  <si>
    <r>
      <rPr>
        <sz val="11"/>
        <rFont val="Arial"/>
        <family val="0"/>
        <charset val="1"/>
      </rPr>
      <t xml:space="preserve">App Store </t>
    </r>
    <r>
      <rPr>
        <sz val="11"/>
        <rFont val="Noto Sans CJK SC"/>
        <family val="2"/>
      </rPr>
      <t xml:space="preserve">매출 </t>
    </r>
    <r>
      <rPr>
        <sz val="11"/>
        <rFont val="Arial"/>
        <family val="0"/>
        <charset val="1"/>
      </rPr>
      <t xml:space="preserve">89~100</t>
    </r>
    <r>
      <rPr>
        <sz val="11"/>
        <rFont val="Noto Sans CJK SC"/>
        <family val="2"/>
      </rPr>
      <t xml:space="preserve">위는 확인 불가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페이지에 없음</t>
    </r>
    <r>
      <rPr>
        <sz val="11"/>
        <rFont val="Arial"/>
        <family val="0"/>
        <charset val="1"/>
      </rPr>
      <t xml:space="preserve">). App Store </t>
    </r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(10-06)</t>
    </r>
    <r>
      <rPr>
        <sz val="11"/>
        <rFont val="Noto Sans CJK SC"/>
        <family val="2"/>
      </rPr>
      <t xml:space="preserve">과 구글 매출</t>
    </r>
    <r>
      <rPr>
        <sz val="11"/>
        <rFont val="Arial"/>
        <family val="0"/>
        <charset val="1"/>
      </rPr>
      <t xml:space="preserve">(10-04)</t>
    </r>
    <r>
      <rPr>
        <sz val="11"/>
        <rFont val="Noto Sans CJK SC"/>
        <family val="2"/>
      </rPr>
      <t xml:space="preserve">은 날짜가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일 다름</t>
    </r>
    <r>
      <rPr>
        <sz val="11"/>
        <rFont val="Arial"/>
        <family val="0"/>
        <charset val="1"/>
      </rPr>
      <t xml:space="preserve">. AppBrain</t>
    </r>
    <r>
      <rPr>
        <sz val="11"/>
        <rFont val="Noto Sans CJK SC"/>
        <family val="2"/>
      </rPr>
      <t xml:space="preserve">이 옮겨 적은 설치 구간은 </t>
    </r>
    <r>
      <rPr>
        <sz val="11"/>
        <rFont val="Arial"/>
        <family val="0"/>
        <charset val="1"/>
      </rPr>
      <t xml:space="preserve">Google Play</t>
    </r>
    <r>
      <rPr>
        <sz val="11"/>
        <rFont val="Noto Sans CJK SC"/>
        <family val="2"/>
      </rPr>
      <t xml:space="preserve">보다 늦을 수 있음</t>
    </r>
    <r>
      <rPr>
        <sz val="11"/>
        <rFont val="Arial"/>
        <family val="0"/>
        <charset val="1"/>
      </rPr>
      <t xml:space="preserve">(2026</t>
    </r>
    <r>
      <rPr>
        <sz val="11"/>
        <rFont val="Noto Sans CJK SC"/>
        <family val="2"/>
      </rPr>
      <t xml:space="preserve">년 출시 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개 대조 중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개 다름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노란 칸</t>
    </r>
    <r>
      <rPr>
        <sz val="11"/>
        <rFont val="Arial"/>
        <family val="0"/>
        <charset val="1"/>
      </rPr>
      <t xml:space="preserve">). Tiki Smash!</t>
    </r>
    <r>
      <rPr>
        <sz val="11"/>
        <rFont val="Noto Sans CJK SC"/>
        <family val="2"/>
      </rPr>
      <t xml:space="preserve">의 등록 월은 확인 불가</t>
    </r>
    <r>
      <rPr>
        <sz val="11"/>
        <rFont val="Arial"/>
        <family val="0"/>
        <charset val="1"/>
      </rPr>
      <t xml:space="preserve">. 2-6 </t>
    </r>
    <r>
      <rPr>
        <sz val="11"/>
        <rFont val="Noto Sans CJK SC"/>
        <family val="2"/>
      </rPr>
      <t xml:space="preserve">표 </t>
    </r>
    <r>
      <rPr>
        <sz val="11"/>
        <rFont val="Arial"/>
        <family val="0"/>
        <charset val="1"/>
      </rPr>
      <t xml:space="preserve">B·C(</t>
    </r>
    <r>
      <rPr>
        <sz val="11"/>
        <rFont val="Noto Sans CJK SC"/>
        <family val="2"/>
      </rPr>
      <t xml:space="preserve">대륙별 게이머 </t>
    </r>
    <r>
      <rPr>
        <sz val="11"/>
        <rFont val="Arial"/>
        <family val="0"/>
        <charset val="1"/>
      </rPr>
      <t xml:space="preserve">OS </t>
    </r>
    <r>
      <rPr>
        <sz val="11"/>
        <rFont val="Noto Sans CJK SC"/>
        <family val="2"/>
      </rPr>
      <t xml:space="preserve">비율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스토어별 매출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와 동남아 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개국 </t>
    </r>
    <r>
      <rPr>
        <sz val="11"/>
        <rFont val="Arial"/>
        <family val="0"/>
        <charset val="1"/>
      </rPr>
      <t xml:space="preserve">Top20</t>
    </r>
    <r>
      <rPr>
        <sz val="11"/>
        <rFont val="Noto Sans CJK SC"/>
        <family val="2"/>
      </rPr>
      <t xml:space="preserve">은 다시 찾아봤지만 공개 자료가 없어 그대로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확인 불가</t>
    </r>
    <r>
      <rPr>
        <sz val="11"/>
        <rFont val="Arial"/>
        <family val="0"/>
        <charset val="1"/>
      </rPr>
      <t xml:space="preserve">'. '</t>
    </r>
    <r>
      <rPr>
        <sz val="11"/>
        <rFont val="Noto Sans CJK SC"/>
        <family val="2"/>
      </rPr>
      <t xml:space="preserve">확인 필요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칸은 같은 부류끼리 묶어 원래 칸에 반영</t>
    </r>
    <r>
      <rPr>
        <sz val="11"/>
        <rFont val="Arial"/>
        <family val="0"/>
        <charset val="1"/>
      </rPr>
      <t xml:space="preserve">(0-2 I</t>
    </r>
    <r>
      <rPr>
        <sz val="11"/>
        <rFont val="Noto Sans CJK SC"/>
        <family val="2"/>
      </rPr>
      <t xml:space="preserve">열</t>
    </r>
    <r>
      <rPr>
        <sz val="11"/>
        <rFont val="Arial"/>
        <family val="0"/>
        <charset val="1"/>
      </rPr>
      <t xml:space="preserve">) — </t>
    </r>
    <r>
      <rPr>
        <sz val="11"/>
        <rFont val="Noto Sans CJK SC"/>
        <family val="2"/>
      </rPr>
      <t xml:space="preserve">세부 장르가 분석자 판단인 칸은 노란색 유지</t>
    </r>
    <r>
      <rPr>
        <sz val="11"/>
        <rFont val="Arial"/>
        <family val="0"/>
        <charset val="1"/>
      </rPr>
      <t xml:space="preserve">.</t>
    </r>
  </si>
  <si>
    <t xml:space="preserve">값</t>
  </si>
  <si>
    <t xml:space="preserve">설명</t>
  </si>
  <si>
    <r>
      <rPr>
        <sz val="11"/>
        <rFont val="Noto Sans CJK SC"/>
        <family val="2"/>
      </rPr>
      <t xml:space="preserve">인기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무료 순위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배점</t>
    </r>
  </si>
  <si>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개국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캐나다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브라질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멕시코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일본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한국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구글 플레이 무료 순위</t>
    </r>
  </si>
  <si>
    <r>
      <rPr>
        <sz val="11"/>
        <rFont val="Noto Sans CJK SC"/>
        <family val="2"/>
      </rPr>
      <t xml:space="preserve">돈 버는 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매출 순위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배점</t>
    </r>
  </si>
  <si>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개국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브라질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일본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한국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구글 플레이 매출 순위</t>
    </r>
  </si>
  <si>
    <r>
      <rPr>
        <sz val="11"/>
        <rFont val="Noto Sans CJK SC"/>
        <family val="2"/>
      </rPr>
      <t xml:space="preserve">규모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누적 설치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배점</t>
    </r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</si>
  <si>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만 설치</t>
    </r>
    <r>
      <rPr>
        <sz val="11"/>
        <rFont val="Arial"/>
        <family val="0"/>
        <charset val="1"/>
      </rPr>
      <t xml:space="preserve">=0</t>
    </r>
    <r>
      <rPr>
        <sz val="11"/>
        <rFont val="Noto Sans CJK SC"/>
        <family val="2"/>
      </rPr>
      <t xml:space="preserve">점</t>
    </r>
    <r>
      <rPr>
        <sz val="11"/>
        <rFont val="Arial"/>
        <family val="0"/>
        <charset val="1"/>
      </rPr>
      <t xml:space="preserve">, 10</t>
    </r>
    <r>
      <rPr>
        <sz val="11"/>
        <rFont val="Noto Sans CJK SC"/>
        <family val="2"/>
      </rPr>
      <t xml:space="preserve">억 설치 이상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만점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로그 비례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</si>
  <si>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만족도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평점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배점</t>
    </r>
  </si>
  <si>
    <r>
      <rPr>
        <sz val="11"/>
        <rFont val="Noto Sans CJK SC"/>
        <family val="2"/>
      </rPr>
      <t xml:space="preserve">평점 </t>
    </r>
    <r>
      <rPr>
        <sz val="11"/>
        <rFont val="Arial"/>
        <family val="0"/>
        <charset val="1"/>
      </rPr>
      <t xml:space="preserve">3.5 </t>
    </r>
    <r>
      <rPr>
        <sz val="11"/>
        <rFont val="Noto Sans CJK SC"/>
        <family val="2"/>
      </rPr>
      <t xml:space="preserve">이하</t>
    </r>
    <r>
      <rPr>
        <sz val="11"/>
        <rFont val="Arial"/>
        <family val="0"/>
        <charset val="1"/>
      </rPr>
      <t xml:space="preserve">=0</t>
    </r>
    <r>
      <rPr>
        <sz val="11"/>
        <rFont val="Noto Sans CJK SC"/>
        <family val="2"/>
      </rPr>
      <t xml:space="preserve">점</t>
    </r>
    <r>
      <rPr>
        <sz val="11"/>
        <rFont val="Arial"/>
        <family val="0"/>
        <charset val="1"/>
      </rPr>
      <t xml:space="preserve">, 5.0=</t>
    </r>
    <r>
      <rPr>
        <sz val="11"/>
        <rFont val="Noto Sans CJK SC"/>
        <family val="2"/>
      </rPr>
      <t xml:space="preserve">만점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평점 미표시는 중간값</t>
    </r>
    <r>
      <rPr>
        <sz val="11"/>
        <rFont val="Arial"/>
        <family val="0"/>
        <charset val="1"/>
      </rPr>
      <t xml:space="preserve">(50%)</t>
    </r>
  </si>
  <si>
    <t xml:space="preserve">오래가는 힘 배점</t>
  </si>
  <si>
    <r>
      <rPr>
        <sz val="11"/>
        <rFont val="Noto Sans CJK SC"/>
        <family val="2"/>
      </rPr>
      <t xml:space="preserve">출시 후 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년 이상 차트 유지 시 만점</t>
    </r>
    <r>
      <rPr>
        <sz val="11"/>
        <rFont val="Arial"/>
        <family val="0"/>
        <charset val="1"/>
      </rPr>
      <t xml:space="preserve">(1</t>
    </r>
    <r>
      <rPr>
        <sz val="11"/>
        <rFont val="Noto Sans CJK SC"/>
        <family val="2"/>
      </rPr>
      <t xml:space="preserve">년당 </t>
    </r>
    <r>
      <rPr>
        <sz val="11"/>
        <rFont val="Arial"/>
        <family val="0"/>
        <charset val="1"/>
      </rPr>
      <t xml:space="preserve">20%)</t>
    </r>
  </si>
  <si>
    <t xml:space="preserve">따라 만들기 쉬움 배점</t>
  </si>
  <si>
    <r>
      <rPr>
        <sz val="11"/>
        <rFont val="Arial"/>
        <family val="0"/>
        <charset val="1"/>
      </rPr>
      <t xml:space="preserve">MVP </t>
    </r>
    <r>
      <rPr>
        <sz val="11"/>
        <rFont val="Noto Sans CJK SC"/>
        <family val="2"/>
      </rPr>
      <t xml:space="preserve">규모 점수표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아래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를 따름</t>
    </r>
  </si>
  <si>
    <t xml:space="preserve">최고 시장 반영 비중</t>
  </si>
  <si>
    <r>
      <rPr>
        <sz val="11"/>
        <rFont val="Noto Sans CJK SC"/>
        <family val="2"/>
      </rPr>
      <t xml:space="preserve">순위 점수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최고 시장 점수</t>
    </r>
    <r>
      <rPr>
        <sz val="11"/>
        <rFont val="Arial"/>
        <family val="0"/>
        <charset val="1"/>
      </rPr>
      <t xml:space="preserve">×0.6 + </t>
    </r>
    <r>
      <rPr>
        <sz val="11"/>
        <rFont val="Noto Sans CJK SC"/>
        <family val="2"/>
      </rPr>
      <t xml:space="preserve">전체 평균</t>
    </r>
    <r>
      <rPr>
        <sz val="11"/>
        <rFont val="Arial"/>
        <family val="0"/>
        <charset val="1"/>
      </rPr>
      <t xml:space="preserve">×0.4 (</t>
    </r>
    <r>
      <rPr>
        <sz val="11"/>
        <rFont val="Noto Sans CJK SC"/>
        <family val="2"/>
      </rPr>
      <t xml:space="preserve">지역 챔피언이 손해 보지 않도록</t>
    </r>
    <r>
      <rPr>
        <sz val="11"/>
        <rFont val="Arial"/>
        <family val="0"/>
        <charset val="1"/>
      </rPr>
      <t xml:space="preserve">)</t>
    </r>
  </si>
  <si>
    <t xml:space="preserve">기준 연도</t>
  </si>
  <si>
    <t xml:space="preserve">오래가는 힘 계산 기준</t>
  </si>
  <si>
    <r>
      <rPr>
        <sz val="11"/>
        <rFont val="Arial"/>
        <family val="0"/>
        <charset val="1"/>
      </rPr>
      <t xml:space="preserve">A+ </t>
    </r>
    <r>
      <rPr>
        <sz val="11"/>
        <rFont val="Noto Sans CJK SC"/>
        <family val="2"/>
      </rPr>
      <t xml:space="preserve">전설 기준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이상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</si>
  <si>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초기 가이드의 </t>
    </r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점은 모든 지역을 석권한 게임이 없어 </t>
    </r>
    <r>
      <rPr>
        <sz val="11"/>
        <rFont val="Arial"/>
        <family val="0"/>
        <charset val="1"/>
      </rPr>
      <t xml:space="preserve">80</t>
    </r>
    <r>
      <rPr>
        <sz val="11"/>
        <rFont val="Noto Sans CJK SC"/>
        <family val="2"/>
      </rPr>
      <t xml:space="preserve">점으로 조정</t>
    </r>
  </si>
  <si>
    <r>
      <rPr>
        <sz val="11"/>
        <rFont val="Arial"/>
        <family val="0"/>
        <charset val="1"/>
      </rPr>
      <t xml:space="preserve">A </t>
    </r>
    <r>
      <rPr>
        <sz val="11"/>
        <rFont val="Noto Sans CJK SC"/>
        <family val="2"/>
      </rPr>
      <t xml:space="preserve">강자 기준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이상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</si>
  <si>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초기 가이드의 </t>
    </r>
    <r>
      <rPr>
        <sz val="11"/>
        <rFont val="Arial"/>
        <family val="0"/>
        <charset val="1"/>
      </rPr>
      <t xml:space="preserve">75</t>
    </r>
    <r>
      <rPr>
        <sz val="11"/>
        <rFont val="Noto Sans CJK SC"/>
        <family val="2"/>
      </rPr>
      <t xml:space="preserve">점에서 조정</t>
    </r>
  </si>
  <si>
    <r>
      <rPr>
        <sz val="11"/>
        <rFont val="Arial"/>
        <family val="0"/>
        <charset val="1"/>
      </rPr>
      <t xml:space="preserve">B </t>
    </r>
    <r>
      <rPr>
        <sz val="11"/>
        <rFont val="Noto Sans CJK SC"/>
        <family val="2"/>
      </rPr>
      <t xml:space="preserve">유망 기준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이상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</si>
  <si>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그 미만은 </t>
    </r>
    <r>
      <rPr>
        <sz val="11"/>
        <rFont val="Arial"/>
        <family val="0"/>
        <charset val="1"/>
      </rPr>
      <t xml:space="preserve">C </t>
    </r>
    <r>
      <rPr>
        <sz val="11"/>
        <rFont val="Noto Sans CJK SC"/>
        <family val="2"/>
      </rPr>
      <t xml:space="preserve">도전자</t>
    </r>
  </si>
  <si>
    <r>
      <rPr>
        <sz val="11"/>
        <rFont val="Arial"/>
        <family val="0"/>
        <charset val="1"/>
      </rPr>
      <t xml:space="preserve">MVP </t>
    </r>
    <r>
      <rPr>
        <sz val="11"/>
        <rFont val="Noto Sans CJK SC"/>
        <family val="2"/>
      </rPr>
      <t xml:space="preserve">규모 </t>
    </r>
    <r>
      <rPr>
        <sz val="11"/>
        <rFont val="Arial"/>
        <family val="0"/>
        <charset val="1"/>
      </rPr>
      <t xml:space="preserve">S </t>
    </r>
    <r>
      <rPr>
        <sz val="11"/>
        <rFont val="Noto Sans CJK SC"/>
        <family val="2"/>
      </rPr>
      <t xml:space="preserve">점수</t>
    </r>
  </si>
  <si>
    <r>
      <rPr>
        <sz val="11"/>
        <rFont val="Noto Sans CJK SC"/>
        <family val="2"/>
      </rPr>
      <t xml:space="preserve">소규모</t>
    </r>
    <r>
      <rPr>
        <sz val="11"/>
        <rFont val="Arial"/>
        <family val="0"/>
        <charset val="1"/>
      </rPr>
      <t xml:space="preserve">: 2~4</t>
    </r>
    <r>
      <rPr>
        <sz val="11"/>
        <rFont val="Noto Sans CJK SC"/>
        <family val="2"/>
      </rPr>
      <t xml:space="preserve">명</t>
    </r>
    <r>
      <rPr>
        <sz val="11"/>
        <rFont val="Arial"/>
        <family val="0"/>
        <charset val="1"/>
      </rPr>
      <t xml:space="preserve">, 2~3</t>
    </r>
    <r>
      <rPr>
        <sz val="11"/>
        <rFont val="Noto Sans CJK SC"/>
        <family val="2"/>
      </rPr>
      <t xml:space="preserve">개월 내외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</si>
  <si>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MVP </t>
    </r>
    <r>
      <rPr>
        <sz val="11"/>
        <rFont val="Noto Sans CJK SC"/>
        <family val="2"/>
      </rPr>
      <t xml:space="preserve">규모 </t>
    </r>
    <r>
      <rPr>
        <sz val="11"/>
        <rFont val="Arial"/>
        <family val="0"/>
        <charset val="1"/>
      </rPr>
      <t xml:space="preserve">M </t>
    </r>
    <r>
      <rPr>
        <sz val="11"/>
        <rFont val="Noto Sans CJK SC"/>
        <family val="2"/>
      </rPr>
      <t xml:space="preserve">점수</t>
    </r>
  </si>
  <si>
    <r>
      <rPr>
        <sz val="11"/>
        <rFont val="Noto Sans CJK SC"/>
        <family val="2"/>
      </rPr>
      <t xml:space="preserve">중규모</t>
    </r>
    <r>
      <rPr>
        <sz val="11"/>
        <rFont val="Arial"/>
        <family val="0"/>
        <charset val="1"/>
      </rPr>
      <t xml:space="preserve">: 5~10</t>
    </r>
    <r>
      <rPr>
        <sz val="11"/>
        <rFont val="Noto Sans CJK SC"/>
        <family val="2"/>
      </rPr>
      <t xml:space="preserve">명</t>
    </r>
    <r>
      <rPr>
        <sz val="11"/>
        <rFont val="Arial"/>
        <family val="0"/>
        <charset val="1"/>
      </rPr>
      <t xml:space="preserve">, 4~8</t>
    </r>
    <r>
      <rPr>
        <sz val="11"/>
        <rFont val="Noto Sans CJK SC"/>
        <family val="2"/>
      </rPr>
      <t xml:space="preserve">개월 내외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</si>
  <si>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MVP </t>
    </r>
    <r>
      <rPr>
        <sz val="11"/>
        <rFont val="Noto Sans CJK SC"/>
        <family val="2"/>
      </rPr>
      <t xml:space="preserve">규모 </t>
    </r>
    <r>
      <rPr>
        <sz val="11"/>
        <rFont val="Arial"/>
        <family val="0"/>
        <charset val="1"/>
      </rPr>
      <t xml:space="preserve">L </t>
    </r>
    <r>
      <rPr>
        <sz val="11"/>
        <rFont val="Noto Sans CJK SC"/>
        <family val="2"/>
      </rPr>
      <t xml:space="preserve">점수</t>
    </r>
  </si>
  <si>
    <r>
      <rPr>
        <sz val="11"/>
        <rFont val="Noto Sans CJK SC"/>
        <family val="2"/>
      </rPr>
      <t xml:space="preserve">대규모</t>
    </r>
    <r>
      <rPr>
        <sz val="11"/>
        <rFont val="Arial"/>
        <family val="0"/>
        <charset val="1"/>
      </rPr>
      <t xml:space="preserve">: 10~25</t>
    </r>
    <r>
      <rPr>
        <sz val="11"/>
        <rFont val="Noto Sans CJK SC"/>
        <family val="2"/>
      </rPr>
      <t xml:space="preserve">명</t>
    </r>
    <r>
      <rPr>
        <sz val="11"/>
        <rFont val="Arial"/>
        <family val="0"/>
        <charset val="1"/>
      </rPr>
      <t xml:space="preserve">, 8~15</t>
    </r>
    <r>
      <rPr>
        <sz val="11"/>
        <rFont val="Noto Sans CJK SC"/>
        <family val="2"/>
      </rPr>
      <t xml:space="preserve">개월 내외 또는 </t>
    </r>
    <r>
      <rPr>
        <sz val="11"/>
        <rFont val="Arial"/>
        <family val="0"/>
        <charset val="1"/>
      </rPr>
      <t xml:space="preserve">IP </t>
    </r>
    <r>
      <rPr>
        <sz val="11"/>
        <rFont val="Noto Sans CJK SC"/>
        <family val="2"/>
      </rPr>
      <t xml:space="preserve">필요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</si>
  <si>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MVP </t>
    </r>
    <r>
      <rPr>
        <sz val="11"/>
        <rFont val="Noto Sans CJK SC"/>
        <family val="2"/>
      </rPr>
      <t xml:space="preserve">규모 </t>
    </r>
    <r>
      <rPr>
        <sz val="11"/>
        <rFont val="Arial"/>
        <family val="0"/>
        <charset val="1"/>
      </rPr>
      <t xml:space="preserve">XL </t>
    </r>
    <r>
      <rPr>
        <sz val="11"/>
        <rFont val="Noto Sans CJK SC"/>
        <family val="2"/>
      </rPr>
      <t xml:space="preserve">점수</t>
    </r>
  </si>
  <si>
    <r>
      <rPr>
        <sz val="11"/>
        <rFont val="Noto Sans CJK SC"/>
        <family val="2"/>
      </rPr>
      <t xml:space="preserve">초대형</t>
    </r>
    <r>
      <rPr>
        <sz val="11"/>
        <rFont val="Arial"/>
        <family val="0"/>
        <charset val="1"/>
      </rPr>
      <t xml:space="preserve">: 30</t>
    </r>
    <r>
      <rPr>
        <sz val="11"/>
        <rFont val="Noto Sans CJK SC"/>
        <family val="2"/>
      </rPr>
      <t xml:space="preserve">명 이상</t>
    </r>
    <r>
      <rPr>
        <sz val="11"/>
        <rFont val="Arial"/>
        <family val="0"/>
        <charset val="1"/>
      </rPr>
      <t xml:space="preserve">, 1.5</t>
    </r>
    <r>
      <rPr>
        <sz val="11"/>
        <rFont val="Noto Sans CJK SC"/>
        <family val="2"/>
      </rPr>
      <t xml:space="preserve">년 이상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서버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라이브 운영 필수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</si>
  <si>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파란 글씨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노란 칸은 바꿀 수 있는 가정값입니다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바꾸면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성공 점수표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가 자동으로 다시 계산됩니다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</si>
  <si>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b val="true"/>
        <sz val="11"/>
        <color rgb="FFFFFFFF"/>
        <rFont val="Noto Sans CJK SC"/>
        <family val="2"/>
      </rPr>
      <t xml:space="preserve">무료 순위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구글 플레이</t>
    </r>
    <r>
      <rPr>
        <b val="true"/>
        <sz val="11"/>
        <color rgb="FFFFFFFF"/>
        <rFont val="Arial"/>
        <family val="0"/>
        <charset val="1"/>
      </rPr>
      <t xml:space="preserve">, </t>
    </r>
    <r>
      <rPr>
        <b val="true"/>
        <sz val="11"/>
        <color rgb="FFFFFFFF"/>
        <rFont val="Noto Sans CJK SC"/>
        <family val="2"/>
      </rPr>
      <t xml:space="preserve">빈칸</t>
    </r>
    <r>
      <rPr>
        <b val="true"/>
        <sz val="11"/>
        <color rgb="FFFFFFFF"/>
        <rFont val="Arial"/>
        <family val="0"/>
        <charset val="1"/>
      </rPr>
      <t xml:space="preserve">=Top100 </t>
    </r>
    <r>
      <rPr>
        <b val="true"/>
        <sz val="11"/>
        <color rgb="FFFFFFFF"/>
        <rFont val="Noto Sans CJK SC"/>
        <family val="2"/>
      </rPr>
      <t xml:space="preserve">밖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</si>
  <si>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매출 순위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구글 플레이</t>
    </r>
    <r>
      <rPr>
        <b val="true"/>
        <sz val="11"/>
        <color rgb="FFFFFFFF"/>
        <rFont val="Arial"/>
        <family val="0"/>
        <charset val="1"/>
      </rPr>
      <t xml:space="preserve">, </t>
    </r>
    <r>
      <rPr>
        <b val="true"/>
        <sz val="11"/>
        <color rgb="FFFFFFFF"/>
        <rFont val="Noto Sans CJK SC"/>
        <family val="2"/>
      </rPr>
      <t xml:space="preserve">빈칸</t>
    </r>
    <r>
      <rPr>
        <b val="true"/>
        <sz val="11"/>
        <color rgb="FFFFFFFF"/>
        <rFont val="Arial"/>
        <family val="0"/>
        <charset val="1"/>
      </rPr>
      <t xml:space="preserve">=Top100 </t>
    </r>
    <r>
      <rPr>
        <b val="true"/>
        <sz val="11"/>
        <color rgb="FFFFFFFF"/>
        <rFont val="Noto Sans CJK SC"/>
        <family val="2"/>
      </rPr>
      <t xml:space="preserve">밖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</si>
  <si>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기본 정보</t>
  </si>
  <si>
    <r>
      <rPr>
        <b val="true"/>
        <sz val="11"/>
        <color rgb="FFFFFFFF"/>
        <rFont val="Noto Sans CJK SC"/>
        <family val="2"/>
      </rPr>
      <t xml:space="preserve">점수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자동 계산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</si>
  <si>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게임</t>
  </si>
  <si>
    <t xml:space="preserve">퍼블리셔</t>
  </si>
  <si>
    <t xml:space="preserve">장르</t>
  </si>
  <si>
    <t xml:space="preserve">미국</t>
  </si>
  <si>
    <t xml:space="preserve">캐나다</t>
  </si>
  <si>
    <t xml:space="preserve">브라질</t>
  </si>
  <si>
    <t xml:space="preserve">멕시코</t>
  </si>
  <si>
    <t xml:space="preserve">일본</t>
  </si>
  <si>
    <t xml:space="preserve">한국</t>
  </si>
  <si>
    <r>
      <rPr>
        <b val="true"/>
        <sz val="11"/>
        <color rgb="FFFFFFFF"/>
        <rFont val="Noto Sans CJK SC"/>
        <family val="2"/>
      </rPr>
      <t xml:space="preserve">누적 설치</t>
    </r>
    <r>
      <rPr>
        <b val="true"/>
        <sz val="11"/>
        <color rgb="FFFFFFFF"/>
        <rFont val="Arial"/>
        <family val="0"/>
        <charset val="1"/>
      </rPr>
      <t xml:space="preserve">(GP)</t>
    </r>
  </si>
  <si>
    <t xml:space="preserve">평점</t>
  </si>
  <si>
    <r>
      <rPr>
        <b val="true"/>
        <sz val="11"/>
        <color rgb="FFFFFFFF"/>
        <rFont val="Noto Sans CJK SC"/>
        <family val="2"/>
      </rPr>
      <t xml:space="preserve">출시연도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추정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</si>
  <si>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MVP </t>
    </r>
    <r>
      <rPr>
        <b val="true"/>
        <sz val="11"/>
        <color rgb="FFFFFFFF"/>
        <rFont val="Noto Sans CJK SC"/>
        <family val="2"/>
      </rPr>
      <t xml:space="preserve">규모</t>
    </r>
  </si>
  <si>
    <r>
      <rPr>
        <b val="true"/>
        <sz val="11"/>
        <color rgb="FFFFFFFF"/>
        <rFont val="Noto Sans CJK SC"/>
        <family val="2"/>
      </rPr>
      <t xml:space="preserve">인기 </t>
    </r>
    <r>
      <rPr>
        <b val="true"/>
        <sz val="11"/>
        <color rgb="FFFFFFFF"/>
        <rFont val="Arial"/>
        <family val="0"/>
        <charset val="1"/>
      </rPr>
      <t xml:space="preserve">/25</t>
    </r>
  </si>
  <si>
    <r>
      <rPr>
        <b val="true"/>
        <sz val="11"/>
        <color rgb="FFFFFFFF"/>
        <rFont val="Noto Sans CJK SC"/>
        <family val="2"/>
      </rPr>
      <t xml:space="preserve">돈 버는 힘 </t>
    </r>
    <r>
      <rPr>
        <b val="true"/>
        <sz val="11"/>
        <color rgb="FFFFFFFF"/>
        <rFont val="Arial"/>
        <family val="0"/>
        <charset val="1"/>
      </rPr>
      <t xml:space="preserve">/25</t>
    </r>
  </si>
  <si>
    <r>
      <rPr>
        <b val="true"/>
        <sz val="11"/>
        <color rgb="FFFFFFFF"/>
        <rFont val="Noto Sans CJK SC"/>
        <family val="2"/>
      </rPr>
      <t xml:space="preserve">규모 </t>
    </r>
    <r>
      <rPr>
        <b val="true"/>
        <sz val="11"/>
        <color rgb="FFFFFFFF"/>
        <rFont val="Arial"/>
        <family val="0"/>
        <charset val="1"/>
      </rPr>
      <t xml:space="preserve">/15</t>
    </r>
  </si>
  <si>
    <r>
      <rPr>
        <b val="true"/>
        <sz val="11"/>
        <color rgb="FFFFFFFF"/>
        <rFont val="Noto Sans CJK SC"/>
        <family val="2"/>
      </rPr>
      <t xml:space="preserve">만족도 </t>
    </r>
    <r>
      <rPr>
        <b val="true"/>
        <sz val="11"/>
        <color rgb="FFFFFFFF"/>
        <rFont val="Arial"/>
        <family val="0"/>
        <charset val="1"/>
      </rPr>
      <t xml:space="preserve">/15</t>
    </r>
  </si>
  <si>
    <r>
      <rPr>
        <b val="true"/>
        <sz val="11"/>
        <color rgb="FFFFFFFF"/>
        <rFont val="Noto Sans CJK SC"/>
        <family val="2"/>
      </rPr>
      <t xml:space="preserve">오래가는 힘 </t>
    </r>
    <r>
      <rPr>
        <b val="true"/>
        <sz val="11"/>
        <color rgb="FFFFFFFF"/>
        <rFont val="Arial"/>
        <family val="0"/>
        <charset val="1"/>
      </rPr>
      <t xml:space="preserve">/10</t>
    </r>
  </si>
  <si>
    <r>
      <rPr>
        <b val="true"/>
        <sz val="11"/>
        <color rgb="FFFFFFFF"/>
        <rFont val="Noto Sans CJK SC"/>
        <family val="2"/>
      </rPr>
      <t xml:space="preserve">따라 만들기 </t>
    </r>
    <r>
      <rPr>
        <b val="true"/>
        <sz val="11"/>
        <color rgb="FFFFFFFF"/>
        <rFont val="Arial"/>
        <family val="0"/>
        <charset val="1"/>
      </rPr>
      <t xml:space="preserve">/10</t>
    </r>
  </si>
  <si>
    <r>
      <rPr>
        <b val="true"/>
        <sz val="11"/>
        <color rgb="FFFFFFFF"/>
        <rFont val="Noto Sans CJK SC"/>
        <family val="2"/>
      </rPr>
      <t xml:space="preserve">총점 </t>
    </r>
    <r>
      <rPr>
        <b val="true"/>
        <sz val="11"/>
        <color rgb="FFFFFFFF"/>
        <rFont val="Arial"/>
        <family val="0"/>
        <charset val="1"/>
      </rPr>
      <t xml:space="preserve">/100</t>
    </r>
  </si>
  <si>
    <t xml:space="preserve">등급</t>
  </si>
  <si>
    <t xml:space="preserve">순위</t>
  </si>
  <si>
    <t xml:space="preserve">Meowdoku</t>
  </si>
  <si>
    <t xml:space="preserve">Oakever Games</t>
  </si>
  <si>
    <r>
      <rPr>
        <sz val="11"/>
        <rFont val="Noto Sans CJK SC"/>
        <family val="2"/>
      </rPr>
      <t xml:space="preserve">퍼즐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로직</t>
    </r>
  </si>
  <si>
    <t xml:space="preserve">S</t>
  </si>
  <si>
    <t xml:space="preserve">Rotate Rings</t>
  </si>
  <si>
    <t xml:space="preserve">Nebula Studio</t>
  </si>
  <si>
    <r>
      <rPr>
        <sz val="11"/>
        <rFont val="Noto Sans CJK SC"/>
        <family val="2"/>
      </rPr>
      <t xml:space="preserve">퍼즐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정렬</t>
    </r>
  </si>
  <si>
    <t xml:space="preserve">Block Blast!</t>
  </si>
  <si>
    <t xml:space="preserve">Hungry Studio</t>
  </si>
  <si>
    <r>
      <rPr>
        <sz val="11"/>
        <rFont val="Noto Sans CJK SC"/>
        <family val="2"/>
      </rPr>
      <t xml:space="preserve">퍼즐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블록</t>
    </r>
  </si>
  <si>
    <t xml:space="preserve">Magic Sort!</t>
  </si>
  <si>
    <t xml:space="preserve">Grand Games</t>
  </si>
  <si>
    <t xml:space="preserve">Bus Fever Party!</t>
  </si>
  <si>
    <t xml:space="preserve">Lumi Games</t>
  </si>
  <si>
    <r>
      <rPr>
        <sz val="11"/>
        <rFont val="Noto Sans CJK SC"/>
        <family val="2"/>
      </rPr>
      <t xml:space="preserve">퍼즐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버스잼</t>
    </r>
  </si>
  <si>
    <t xml:space="preserve">Royal Match</t>
  </si>
  <si>
    <t xml:space="preserve">Dream Games</t>
  </si>
  <si>
    <r>
      <rPr>
        <sz val="11"/>
        <rFont val="Noto Sans CJK SC"/>
        <family val="2"/>
      </rPr>
      <t xml:space="preserve">퍼즐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매치</t>
    </r>
    <r>
      <rPr>
        <sz val="11"/>
        <rFont val="Arial"/>
        <family val="0"/>
        <charset val="1"/>
      </rPr>
      <t xml:space="preserve">3+</t>
    </r>
    <r>
      <rPr>
        <sz val="11"/>
        <rFont val="Noto Sans CJK SC"/>
        <family val="2"/>
      </rPr>
      <t xml:space="preserve">꾸미기</t>
    </r>
  </si>
  <si>
    <t xml:space="preserve">M</t>
  </si>
  <si>
    <t xml:space="preserve">Gossip Harbor</t>
  </si>
  <si>
    <t xml:space="preserve">Microfun</t>
  </si>
  <si>
    <r>
      <rPr>
        <sz val="11"/>
        <rFont val="Noto Sans CJK SC"/>
        <family val="2"/>
      </rPr>
      <t xml:space="preserve">퍼즐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머지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스토리</t>
    </r>
  </si>
  <si>
    <t xml:space="preserve">L</t>
  </si>
  <si>
    <t xml:space="preserve">MONOPOLY GO!</t>
  </si>
  <si>
    <t xml:space="preserve">Scopely</t>
  </si>
  <si>
    <r>
      <rPr>
        <sz val="11"/>
        <rFont val="Noto Sans CJK SC"/>
        <family val="2"/>
      </rPr>
      <t xml:space="preserve">보드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주사위 소셜</t>
    </r>
  </si>
  <si>
    <t xml:space="preserve">Whiteout Survival</t>
  </si>
  <si>
    <t xml:space="preserve">Century Games</t>
  </si>
  <si>
    <r>
      <rPr>
        <sz val="11"/>
        <rFont val="Noto Sans CJK SC"/>
        <family val="2"/>
      </rPr>
      <t xml:space="preserve">전략 </t>
    </r>
    <r>
      <rPr>
        <sz val="11"/>
        <rFont val="Arial"/>
        <family val="0"/>
        <charset val="1"/>
      </rPr>
      <t xml:space="preserve">· 4X</t>
    </r>
  </si>
  <si>
    <t xml:space="preserve">XL</t>
  </si>
  <si>
    <t xml:space="preserve">Free Fire</t>
  </si>
  <si>
    <t xml:space="preserve">Garena</t>
  </si>
  <si>
    <r>
      <rPr>
        <sz val="11"/>
        <rFont val="Noto Sans CJK SC"/>
        <family val="2"/>
      </rPr>
      <t xml:space="preserve">액션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배틀로얄</t>
    </r>
  </si>
  <si>
    <t xml:space="preserve">치이카와 포켓</t>
  </si>
  <si>
    <t xml:space="preserve">Applibot</t>
  </si>
  <si>
    <r>
      <rPr>
        <sz val="11"/>
        <rFont val="Noto Sans CJK SC"/>
        <family val="2"/>
      </rPr>
      <t xml:space="preserve">캐릭터 </t>
    </r>
    <r>
      <rPr>
        <sz val="11"/>
        <rFont val="Arial"/>
        <family val="0"/>
        <charset val="1"/>
      </rPr>
      <t xml:space="preserve">IP</t>
    </r>
  </si>
  <si>
    <t xml:space="preserve">후더덕 서바이벌</t>
  </si>
  <si>
    <t xml:space="preserve">Joy Nice Games</t>
  </si>
  <si>
    <r>
      <rPr>
        <sz val="11"/>
        <rFont val="Noto Sans CJK SC"/>
        <family val="2"/>
      </rPr>
      <t xml:space="preserve">방치형 </t>
    </r>
    <r>
      <rPr>
        <sz val="11"/>
        <rFont val="Arial"/>
        <family val="0"/>
        <charset val="1"/>
      </rPr>
      <t xml:space="preserve">RPG</t>
    </r>
  </si>
  <si>
    <r>
      <rPr>
        <i val="true"/>
        <sz val="11"/>
        <color rgb="FF595959"/>
        <rFont val="Noto Sans CJK SC"/>
        <family val="2"/>
      </rPr>
      <t xml:space="preserve">출처</t>
    </r>
    <r>
      <rPr>
        <i val="true"/>
        <sz val="11"/>
        <color rgb="FF595959"/>
        <rFont val="Arial"/>
        <family val="0"/>
        <charset val="1"/>
      </rPr>
      <t xml:space="preserve">: AppBrain </t>
    </r>
    <r>
      <rPr>
        <i val="true"/>
        <sz val="11"/>
        <color rgb="FF595959"/>
        <rFont val="Noto Sans CJK SC"/>
        <family val="2"/>
      </rPr>
      <t xml:space="preserve">국가별 </t>
    </r>
    <r>
      <rPr>
        <i val="true"/>
        <sz val="11"/>
        <color rgb="FF595959"/>
        <rFont val="Arial"/>
        <family val="0"/>
        <charset val="1"/>
      </rPr>
      <t xml:space="preserve">Google Play </t>
    </r>
    <r>
      <rPr>
        <i val="true"/>
        <sz val="11"/>
        <color rgb="FF595959"/>
        <rFont val="Noto Sans CJK SC"/>
        <family val="2"/>
      </rPr>
      <t xml:space="preserve">순위 — 무료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미국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캐나다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브라질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일본 </t>
    </r>
    <r>
      <rPr>
        <i val="true"/>
        <sz val="11"/>
        <color rgb="FF595959"/>
        <rFont val="Arial"/>
        <family val="0"/>
        <charset val="1"/>
      </rPr>
      <t xml:space="preserve">2026-10-04, </t>
    </r>
    <r>
      <rPr>
        <i val="true"/>
        <sz val="11"/>
        <color rgb="FF595959"/>
        <rFont val="Noto Sans CJK SC"/>
        <family val="2"/>
      </rPr>
      <t xml:space="preserve">한국 </t>
    </r>
    <r>
      <rPr>
        <i val="true"/>
        <sz val="11"/>
        <color rgb="FF595959"/>
        <rFont val="Arial"/>
        <family val="0"/>
        <charset val="1"/>
      </rPr>
      <t xml:space="preserve">10-03, </t>
    </r>
    <r>
      <rPr>
        <i val="true"/>
        <sz val="11"/>
        <color rgb="FF595959"/>
        <rFont val="Noto Sans CJK SC"/>
        <family val="2"/>
      </rPr>
      <t xml:space="preserve">멕시코 </t>
    </r>
    <r>
      <rPr>
        <i val="true"/>
        <sz val="11"/>
        <color rgb="FF595959"/>
        <rFont val="Arial"/>
        <family val="0"/>
        <charset val="1"/>
      </rPr>
      <t xml:space="preserve">09-25 / </t>
    </r>
    <r>
      <rPr>
        <i val="true"/>
        <sz val="11"/>
        <color rgb="FF595959"/>
        <rFont val="Noto Sans CJK SC"/>
        <family val="2"/>
      </rPr>
      <t xml:space="preserve">매출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미국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한국 </t>
    </r>
    <r>
      <rPr>
        <i val="true"/>
        <sz val="11"/>
        <color rgb="FF595959"/>
        <rFont val="Arial"/>
        <family val="0"/>
        <charset val="1"/>
      </rPr>
      <t xml:space="preserve">10-03, </t>
    </r>
    <r>
      <rPr>
        <i val="true"/>
        <sz val="11"/>
        <color rgb="FF595959"/>
        <rFont val="Noto Sans CJK SC"/>
        <family val="2"/>
      </rPr>
      <t xml:space="preserve">일본 </t>
    </r>
    <r>
      <rPr>
        <i val="true"/>
        <sz val="11"/>
        <color rgb="FF595959"/>
        <rFont val="Arial"/>
        <family val="0"/>
        <charset val="1"/>
      </rPr>
      <t xml:space="preserve">10-04, </t>
    </r>
    <r>
      <rPr>
        <i val="true"/>
        <sz val="11"/>
        <color rgb="FF595959"/>
        <rFont val="Noto Sans CJK SC"/>
        <family val="2"/>
      </rPr>
      <t xml:space="preserve">브라질 </t>
    </r>
    <r>
      <rPr>
        <i val="true"/>
        <sz val="11"/>
        <color rgb="FF595959"/>
        <rFont val="Arial"/>
        <family val="0"/>
        <charset val="1"/>
      </rPr>
      <t xml:space="preserve">10-01.</t>
    </r>
  </si>
  <si>
    <r>
      <rPr>
        <i val="true"/>
        <sz val="11"/>
        <color rgb="FF595959"/>
        <rFont val="Noto Sans CJK SC"/>
        <family val="2"/>
      </rPr>
      <t xml:space="preserve">누적 설치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평점</t>
    </r>
    <r>
      <rPr>
        <i val="true"/>
        <sz val="11"/>
        <color rgb="FF595959"/>
        <rFont val="Arial"/>
        <family val="0"/>
        <charset val="1"/>
      </rPr>
      <t xml:space="preserve">: AppBrain </t>
    </r>
    <r>
      <rPr>
        <i val="true"/>
        <sz val="11"/>
        <color rgb="FF595959"/>
        <rFont val="Noto Sans CJK SC"/>
        <family val="2"/>
      </rPr>
      <t xml:space="preserve">표기값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구글 플레이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치이카와 포켓은 일본판 기준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평점 미표시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빈칸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는 만족도 중간값 처리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</si>
  <si>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출시연도는 공개 정보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앱 </t>
    </r>
    <r>
      <rPr>
        <i val="true"/>
        <sz val="11"/>
        <color rgb="FF595959"/>
        <rFont val="Arial"/>
        <family val="0"/>
        <charset val="1"/>
      </rPr>
      <t xml:space="preserve">ID </t>
    </r>
    <r>
      <rPr>
        <i val="true"/>
        <sz val="11"/>
        <color rgb="FF595959"/>
        <rFont val="Noto Sans CJK SC"/>
        <family val="2"/>
      </rPr>
      <t xml:space="preserve">기반 추정치이며</t>
    </r>
    <r>
      <rPr>
        <i val="true"/>
        <sz val="11"/>
        <color rgb="FF595959"/>
        <rFont val="Arial"/>
        <family val="0"/>
        <charset val="1"/>
      </rPr>
      <t xml:space="preserve">, MVP </t>
    </r>
    <r>
      <rPr>
        <i val="true"/>
        <sz val="11"/>
        <color rgb="FF595959"/>
        <rFont val="Noto Sans CJK SC"/>
        <family val="2"/>
      </rPr>
      <t xml:space="preserve">규모는 분석자 판단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추정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입니다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파란 글씨는 입력값입니다</t>
    </r>
    <r>
      <rPr>
        <i val="true"/>
        <sz val="11"/>
        <color rgb="FF595959"/>
        <rFont val="Arial"/>
        <family val="0"/>
        <charset val="1"/>
      </rPr>
      <t xml:space="preserve">.</t>
    </r>
  </si>
  <si>
    <t xml:space="preserve">이렇게 생각하면 쉬워요</t>
  </si>
  <si>
    <t xml:space="preserve">🎮 재미</t>
  </si>
  <si>
    <t xml:space="preserve">👶 쉬움</t>
  </si>
  <si>
    <t xml:space="preserve">🔁 또 오기</t>
  </si>
  <si>
    <t xml:space="preserve">👫 친구</t>
  </si>
  <si>
    <t xml:space="preserve">💰 용돈 벌기</t>
  </si>
  <si>
    <t xml:space="preserve">종합 등급</t>
  </si>
  <si>
    <t xml:space="preserve">총점</t>
  </si>
  <si>
    <t xml:space="preserve">이 게임의 비밀 한 줄</t>
  </si>
  <si>
    <r>
      <rPr>
        <b val="true"/>
        <sz val="11"/>
        <color rgb="FFFFFFFF"/>
        <rFont val="Noto Sans CJK SC"/>
        <family val="2"/>
      </rPr>
      <t xml:space="preserve">재미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입력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</si>
  <si>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쉬움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입력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</si>
  <si>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또오기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입력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</si>
  <si>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친구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입력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</si>
  <si>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용돈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입력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</si>
  <si>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고양이 그림으로 칸을 채우는 스도쿠 같은 논리 퍼즐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게임명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장르 기반 추정</t>
    </r>
    <r>
      <rPr>
        <sz val="11"/>
        <rFont val="Arial"/>
        <family val="0"/>
        <charset val="1"/>
      </rPr>
      <t xml:space="preserve">)</t>
    </r>
  </si>
  <si>
    <t xml:space="preserve">고양이 스티커로 하는 숫자 없는 스도쿠</t>
  </si>
  <si>
    <r>
      <rPr>
        <sz val="11"/>
        <rFont val="Noto Sans CJK SC"/>
        <family val="2"/>
      </rPr>
      <t xml:space="preserve">어려운 스도쿠를 귀여운 고양이로 포장해 문턱을 낮췄어요</t>
    </r>
    <r>
      <rPr>
        <sz val="11"/>
        <rFont val="Arial"/>
        <family val="0"/>
        <charset val="1"/>
      </rPr>
      <t xml:space="preserve">. 6</t>
    </r>
    <r>
      <rPr>
        <sz val="11"/>
        <rFont val="Noto Sans CJK SC"/>
        <family val="2"/>
      </rPr>
      <t xml:space="preserve">개국 모두 상위권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일본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캐나다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).</t>
    </r>
  </si>
  <si>
    <r>
      <rPr>
        <sz val="11"/>
        <rFont val="Noto Sans CJK SC"/>
        <family val="2"/>
      </rPr>
      <t xml:space="preserve">고리를 돌려 같은 색끼리 모으는 정렬 퍼즐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게임명 기반 추정</t>
    </r>
    <r>
      <rPr>
        <sz val="11"/>
        <rFont val="Arial"/>
        <family val="0"/>
        <charset val="1"/>
      </rPr>
      <t xml:space="preserve">)</t>
    </r>
  </si>
  <si>
    <t xml:space="preserve">색깔 고리를 돌리는 큐브 맞추기</t>
  </si>
  <si>
    <r>
      <rPr>
        <sz val="11"/>
        <rFont val="Noto Sans CJK SC"/>
        <family val="2"/>
      </rPr>
      <t xml:space="preserve">손가락 하나로 돌리기만 하면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착착 정리되는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쾌감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미국 구글 플레이 무료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</si>
  <si>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8×8 </t>
    </r>
    <r>
      <rPr>
        <sz val="11"/>
        <rFont val="Noto Sans CJK SC"/>
        <family val="2"/>
      </rPr>
      <t xml:space="preserve">판에 블록 조각을 놓아 줄을 지우는 퍼즐</t>
    </r>
  </si>
  <si>
    <t xml:space="preserve">끝나지 않는 테트리스 조각 맞추기</t>
  </si>
  <si>
    <r>
      <rPr>
        <sz val="11"/>
        <rFont val="Noto Sans CJK SC"/>
        <family val="2"/>
      </rPr>
      <t xml:space="preserve">레벨도 이야기도 없이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한 판 더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만으로 설치 </t>
    </r>
    <r>
      <rPr>
        <sz val="11"/>
        <rFont val="Arial"/>
        <family val="0"/>
        <charset val="1"/>
      </rPr>
      <t xml:space="preserve">11</t>
    </r>
    <r>
      <rPr>
        <sz val="11"/>
        <rFont val="Noto Sans CJK SC"/>
        <family val="2"/>
      </rPr>
      <t xml:space="preserve">억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대신 매출 순위에는 없어서 광고로 돈을 버는 것으로 보여요</t>
    </r>
    <r>
      <rPr>
        <sz val="11"/>
        <rFont val="Arial"/>
        <family val="0"/>
        <charset val="1"/>
      </rPr>
      <t xml:space="preserve">.</t>
    </r>
  </si>
  <si>
    <t xml:space="preserve">병 속 색깔 물을 옮겨 같은 색끼리 모으는 퍼즐</t>
  </si>
  <si>
    <t xml:space="preserve">색깔 주스 나눠 담기</t>
  </si>
  <si>
    <r>
      <rPr>
        <sz val="11"/>
        <rFont val="Noto Sans CJK SC"/>
        <family val="2"/>
      </rPr>
      <t xml:space="preserve">검증된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물 정렬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을 예쁜 연출로 업그레이드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퍼즐 신작 중 미국 매출 </t>
    </r>
    <r>
      <rPr>
        <sz val="11"/>
        <rFont val="Arial"/>
        <family val="0"/>
        <charset val="1"/>
      </rPr>
      <t xml:space="preserve">Top 100(56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에 들어간 유일한 게임</t>
    </r>
    <r>
      <rPr>
        <sz val="11"/>
        <rFont val="Arial"/>
        <family val="0"/>
        <charset val="1"/>
      </rPr>
      <t xml:space="preserve">.</t>
    </r>
  </si>
  <si>
    <t xml:space="preserve">승객을 같은 색 버스에 태워 보내는 버스잼 퍼즐</t>
  </si>
  <si>
    <t xml:space="preserve">색깔별로 줄 세우는 반장 놀이</t>
  </si>
  <si>
    <r>
      <rPr>
        <sz val="11"/>
        <rFont val="Noto Sans CJK SC"/>
        <family val="2"/>
      </rPr>
      <t xml:space="preserve">말이 필요 없는 규칙이라 남미에서도 </t>
    </r>
    <r>
      <rPr>
        <sz val="11"/>
        <rFont val="Arial"/>
        <family val="0"/>
        <charset val="1"/>
      </rPr>
      <t xml:space="preserve">2~3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국경이 없는 게임이에요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</si>
  <si>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같은 그림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개를 맞춰 별을 모으고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별로 왕의 성을 꾸미는 게임</t>
    </r>
  </si>
  <si>
    <r>
      <rPr>
        <sz val="11"/>
        <rFont val="Noto Sans CJK SC"/>
        <family val="2"/>
      </rPr>
      <t xml:space="preserve">사탕 맞추기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내 성 꾸미기</t>
    </r>
  </si>
  <si>
    <r>
      <rPr>
        <sz val="11"/>
        <rFont val="Noto Sans CJK SC"/>
        <family val="2"/>
      </rPr>
      <t xml:space="preserve">익숙한 퍼즐에 최고급 연출과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꾸미는 재미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를 더해 미국 매출 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, 4</t>
    </r>
    <r>
      <rPr>
        <sz val="11"/>
        <rFont val="Noto Sans CJK SC"/>
        <family val="2"/>
      </rPr>
      <t xml:space="preserve">개국 매출 모두 </t>
    </r>
    <r>
      <rPr>
        <sz val="11"/>
        <rFont val="Arial"/>
        <family val="0"/>
        <charset val="1"/>
      </rPr>
      <t xml:space="preserve">Top 25.</t>
    </r>
  </si>
  <si>
    <r>
      <rPr>
        <sz val="11"/>
        <rFont val="Noto Sans CJK SC"/>
        <family val="2"/>
      </rPr>
      <t xml:space="preserve">물건을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개씩 합쳐 주문을 해결하면 드라마 같은 이야기가 이어지는 게임</t>
    </r>
  </si>
  <si>
    <r>
      <rPr>
        <sz val="11"/>
        <rFont val="Noto Sans CJK SC"/>
        <family val="2"/>
      </rPr>
      <t xml:space="preserve">레고 합체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다음 화가 궁금한 드라마</t>
    </r>
  </si>
  <si>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합치는 손맛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과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다음 이야기 궁금증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의 조합</t>
    </r>
    <r>
      <rPr>
        <sz val="11"/>
        <rFont val="Arial"/>
        <family val="0"/>
        <charset val="1"/>
      </rPr>
      <t xml:space="preserve">. 4</t>
    </r>
    <r>
      <rPr>
        <sz val="11"/>
        <rFont val="Noto Sans CJK SC"/>
        <family val="2"/>
      </rPr>
      <t xml:space="preserve">개국 매출 모두 </t>
    </r>
    <r>
      <rPr>
        <sz val="11"/>
        <rFont val="Arial"/>
        <family val="0"/>
        <charset val="1"/>
      </rPr>
      <t xml:space="preserve">Top 16(</t>
    </r>
    <r>
      <rPr>
        <sz val="11"/>
        <rFont val="Noto Sans CJK SC"/>
        <family val="2"/>
      </rPr>
      <t xml:space="preserve">브라질 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).</t>
    </r>
  </si>
  <si>
    <t xml:space="preserve">주사위를 굴려 보드판을 돌며 내 도시를 짓는 게임</t>
  </si>
  <si>
    <r>
      <rPr>
        <sz val="11"/>
        <rFont val="Noto Sans CJK SC"/>
        <family val="2"/>
      </rPr>
      <t xml:space="preserve">온 가족이 아는 부루마불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스티커 앨범 모으기</t>
    </r>
  </si>
  <si>
    <r>
      <rPr>
        <sz val="11"/>
        <rFont val="Noto Sans CJK SC"/>
        <family val="2"/>
      </rPr>
      <t xml:space="preserve">누구나 아는 이름</t>
    </r>
    <r>
      <rPr>
        <sz val="11"/>
        <rFont val="Arial"/>
        <family val="0"/>
        <charset val="1"/>
      </rPr>
      <t xml:space="preserve">(IP) + </t>
    </r>
    <r>
      <rPr>
        <sz val="11"/>
        <rFont val="Noto Sans CJK SC"/>
        <family val="2"/>
      </rPr>
      <t xml:space="preserve">친구와 함께하는 이벤트로 미국 매출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하지만 일본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한국에서는 순위 밖이에요</t>
    </r>
    <r>
      <rPr>
        <sz val="11"/>
        <rFont val="Arial"/>
        <family val="0"/>
        <charset val="1"/>
      </rPr>
      <t xml:space="preserve">.</t>
    </r>
  </si>
  <si>
    <t xml:space="preserve">눈보라 속 마을을 키우고 동맹과 함께 싸우는 전략 게임</t>
  </si>
  <si>
    <r>
      <rPr>
        <sz val="11"/>
        <rFont val="Noto Sans CJK SC"/>
        <family val="2"/>
      </rPr>
      <t xml:space="preserve">눈 오는 날 우리 마을 키우기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반 대항전</t>
    </r>
  </si>
  <si>
    <r>
      <rPr>
        <sz val="11"/>
        <rFont val="Noto Sans CJK SC"/>
        <family val="2"/>
      </rPr>
      <t xml:space="preserve">다운로드는 많지 않아도 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개국 매출 모두 </t>
    </r>
    <r>
      <rPr>
        <sz val="11"/>
        <rFont val="Arial"/>
        <family val="0"/>
        <charset val="1"/>
      </rPr>
      <t xml:space="preserve">Top 25(</t>
    </r>
    <r>
      <rPr>
        <sz val="11"/>
        <rFont val="Noto Sans CJK SC"/>
        <family val="2"/>
      </rPr>
      <t xml:space="preserve">한국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열심히 하는 소수가 큰돈을 써요</t>
    </r>
    <r>
      <rPr>
        <sz val="11"/>
        <rFont val="Arial"/>
        <family val="0"/>
        <charset val="1"/>
      </rPr>
      <t xml:space="preserve">.</t>
    </r>
  </si>
  <si>
    <t xml:space="preserve">여러 명이 섬에 떨어져 마지막까지 살아남는 짧은 총싸움 게임</t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</si>
  <si>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분짜리 서바이벌 술래잡기</t>
    </r>
  </si>
  <si>
    <r>
      <rPr>
        <sz val="11"/>
        <rFont val="Noto Sans CJK SC"/>
        <family val="2"/>
      </rPr>
      <t xml:space="preserve">성능 낮은 휴대폰에서도 잘 돌아가게 만들어 브라질 무료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매출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</si>
  <si>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인기 캐릭터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치이카와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가 나오는 게임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세부 게임 방식은 확인 필요</t>
    </r>
    <r>
      <rPr>
        <sz val="11"/>
        <rFont val="Arial"/>
        <family val="0"/>
        <charset val="1"/>
      </rPr>
      <t xml:space="preserve">)</t>
    </r>
  </si>
  <si>
    <t xml:space="preserve">좋아하는 캐릭터 스티커북</t>
  </si>
  <si>
    <r>
      <rPr>
        <sz val="11"/>
        <rFont val="Noto Sans CJK SC"/>
        <family val="2"/>
      </rPr>
      <t xml:space="preserve">캐릭터 팬이 곧 홍보대사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일본 무료 </t>
    </r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매출 </t>
    </r>
    <r>
      <rPr>
        <sz val="11"/>
        <rFont val="Arial"/>
        <family val="0"/>
        <charset val="1"/>
      </rPr>
      <t xml:space="preserve">81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한국에서도 </t>
    </r>
    <r>
      <rPr>
        <sz val="11"/>
        <rFont val="Arial"/>
        <family val="0"/>
        <charset val="1"/>
      </rPr>
      <t xml:space="preserve">39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</si>
  <si>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켜두기만 해도 캐릭터가 자라는 방치형 </t>
    </r>
    <r>
      <rPr>
        <sz val="11"/>
        <rFont val="Arial"/>
        <family val="0"/>
        <charset val="1"/>
      </rPr>
      <t xml:space="preserve">RPG</t>
    </r>
    <r>
      <rPr>
        <sz val="11"/>
        <rFont val="Noto Sans CJK SC"/>
        <family val="2"/>
      </rPr>
      <t xml:space="preserve">로 추정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확인 필요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</si>
  <si>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저절로 크는 다마고치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뽑기</t>
    </r>
  </si>
  <si>
    <r>
      <rPr>
        <sz val="11"/>
        <rFont val="Noto Sans CJK SC"/>
        <family val="2"/>
      </rPr>
      <t xml:space="preserve">게임 이름에 </t>
    </r>
    <r>
      <rPr>
        <sz val="11"/>
        <rFont val="Arial"/>
        <family val="0"/>
        <charset val="1"/>
      </rPr>
      <t xml:space="preserve">'777</t>
    </r>
    <r>
      <rPr>
        <sz val="11"/>
        <rFont val="Noto Sans CJK SC"/>
        <family val="2"/>
      </rPr>
      <t xml:space="preserve">뽑기 증정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을 넣어 이름 자체가 광고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한국 무료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매출 </t>
    </r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</si>
  <si>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별점</t>
    </r>
    <r>
      <rPr>
        <i val="true"/>
        <sz val="11"/>
        <color rgb="FF595959"/>
        <rFont val="Arial"/>
        <family val="0"/>
        <charset val="1"/>
      </rPr>
      <t xml:space="preserve">(1~5)</t>
    </r>
    <r>
      <rPr>
        <i val="true"/>
        <sz val="11"/>
        <color rgb="FF595959"/>
        <rFont val="Noto Sans CJK SC"/>
        <family val="2"/>
      </rPr>
      <t xml:space="preserve">은 분석자 평가이며 </t>
    </r>
    <r>
      <rPr>
        <i val="true"/>
        <sz val="11"/>
        <color rgb="FF595959"/>
        <rFont val="Arial"/>
        <family val="0"/>
        <charset val="1"/>
      </rPr>
      <t xml:space="preserve">L~P</t>
    </r>
    <r>
      <rPr>
        <i val="true"/>
        <sz val="11"/>
        <color rgb="FF595959"/>
        <rFont val="Noto Sans CJK SC"/>
        <family val="2"/>
      </rPr>
      <t xml:space="preserve">열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파란 글씨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을 바꾸면 별 표시가 자동으로 바뀝니다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종합 등급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총점은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성공 점수표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에서 가져옵니다</t>
    </r>
    <r>
      <rPr>
        <i val="true"/>
        <sz val="11"/>
        <color rgb="FF595959"/>
        <rFont val="Arial"/>
        <family val="0"/>
        <charset val="1"/>
      </rPr>
      <t xml:space="preserve">.</t>
    </r>
  </si>
  <si>
    <t xml:space="preserve">① 핵심 재미 루프</t>
  </si>
  <si>
    <r>
      <rPr>
        <b val="true"/>
        <sz val="11"/>
        <color rgb="FFFFFFFF"/>
        <rFont val="Noto Sans CJK SC"/>
        <family val="2"/>
      </rPr>
      <t xml:space="preserve">② 첫 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분 경험</t>
    </r>
  </si>
  <si>
    <t xml:space="preserve">③ 다시 오게 하는 장치</t>
  </si>
  <si>
    <r>
      <rPr>
        <b val="true"/>
        <sz val="11"/>
        <color rgb="FFFFFFFF"/>
        <rFont val="Noto Sans CJK SC"/>
        <family val="2"/>
      </rPr>
      <t xml:space="preserve">④ 수익 모델</t>
    </r>
    <r>
      <rPr>
        <b val="true"/>
        <sz val="11"/>
        <color rgb="FFFFFFFF"/>
        <rFont val="Arial"/>
        <family val="0"/>
        <charset val="1"/>
      </rPr>
      <t xml:space="preserve">(BM)</t>
    </r>
  </si>
  <si>
    <t xml:space="preserve">⑤ 마케팅</t>
  </si>
  <si>
    <t xml:space="preserve">⑥ 아트 컨셉</t>
  </si>
  <si>
    <t xml:space="preserve">근거 수준</t>
  </si>
  <si>
    <t xml:space="preserve">칸 고르기 → 규칙에 맞는 고양이 배치 → 판 완성</t>
  </si>
  <si>
    <r>
      <rPr>
        <sz val="11"/>
        <rFont val="Noto Sans CJK SC"/>
        <family val="2"/>
      </rPr>
      <t xml:space="preserve">작은 판으로 규칙을 자연스럽게 익히는 튜토리얼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</si>
  <si>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레벨 진행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점점 커지는 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</si>
  <si>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광고 중심 추정 —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개국 무료 상위권이지만 매출 </t>
    </r>
    <r>
      <rPr>
        <sz val="11"/>
        <rFont val="Arial"/>
        <family val="0"/>
        <charset val="1"/>
      </rPr>
      <t xml:space="preserve">Top 100 </t>
    </r>
    <r>
      <rPr>
        <sz val="11"/>
        <rFont val="Noto Sans CJK SC"/>
        <family val="2"/>
      </rPr>
      <t xml:space="preserve">진입 없음</t>
    </r>
  </si>
  <si>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개국 동시 무료 상위권 → 대규모 글로벌 </t>
    </r>
    <r>
      <rPr>
        <sz val="11"/>
        <rFont val="Arial"/>
        <family val="0"/>
        <charset val="1"/>
      </rPr>
      <t xml:space="preserve">UA 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같은 회사</t>
    </r>
    <r>
      <rPr>
        <sz val="11"/>
        <rFont val="Arial"/>
        <family val="0"/>
        <charset val="1"/>
      </rPr>
      <t xml:space="preserve">(Oakever)</t>
    </r>
    <r>
      <rPr>
        <sz val="11"/>
        <rFont val="Noto Sans CJK SC"/>
        <family val="2"/>
      </rPr>
      <t xml:space="preserve">가 </t>
    </r>
    <r>
      <rPr>
        <sz val="11"/>
        <rFont val="Arial"/>
        <family val="0"/>
        <charset val="1"/>
      </rPr>
      <t xml:space="preserve">Amaze GO!·Jigsawcard </t>
    </r>
    <r>
      <rPr>
        <sz val="11"/>
        <rFont val="Noto Sans CJK SC"/>
        <family val="2"/>
      </rPr>
      <t xml:space="preserve">등 다수 동시 운영</t>
    </r>
  </si>
  <si>
    <r>
      <rPr>
        <sz val="11"/>
        <rFont val="Noto Sans CJK SC"/>
        <family val="2"/>
      </rPr>
      <t xml:space="preserve">귀여운 고양이 캐릭터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밝고 깔끔한 화면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</si>
  <si>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차트 데이터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장르 추정</t>
    </r>
  </si>
  <si>
    <t xml:space="preserve">고리 회전 → 같은 색 정렬 → 한 줄 정리되는 쾌감</t>
  </si>
  <si>
    <r>
      <rPr>
        <sz val="11"/>
        <rFont val="Noto Sans CJK SC"/>
        <family val="2"/>
      </rPr>
      <t xml:space="preserve">한 번 돌려보면 바로 이해되는 단순 조작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</si>
  <si>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레벨 진행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</si>
  <si>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광고 중심 추정 — 매출 </t>
    </r>
    <r>
      <rPr>
        <sz val="11"/>
        <rFont val="Arial"/>
        <family val="0"/>
        <charset val="1"/>
      </rPr>
      <t xml:space="preserve">Top 100 </t>
    </r>
    <r>
      <rPr>
        <sz val="11"/>
        <rFont val="Noto Sans CJK SC"/>
        <family val="2"/>
      </rPr>
      <t xml:space="preserve">진입 없음</t>
    </r>
  </si>
  <si>
    <r>
      <rPr>
        <sz val="11"/>
        <rFont val="Noto Sans CJK SC"/>
        <family val="2"/>
      </rPr>
      <t xml:space="preserve">미국 무료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위 등 신작 집중 </t>
    </r>
    <r>
      <rPr>
        <sz val="11"/>
        <rFont val="Arial"/>
        <family val="0"/>
        <charset val="1"/>
      </rPr>
      <t xml:space="preserve">UA 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같은 회사</t>
    </r>
    <r>
      <rPr>
        <sz val="11"/>
        <rFont val="Arial"/>
        <family val="0"/>
        <charset val="1"/>
      </rPr>
      <t xml:space="preserve">(Nebula)</t>
    </r>
    <r>
      <rPr>
        <sz val="11"/>
        <rFont val="Noto Sans CJK SC"/>
        <family val="2"/>
      </rPr>
      <t xml:space="preserve">의 </t>
    </r>
    <r>
      <rPr>
        <sz val="11"/>
        <rFont val="Arial"/>
        <family val="0"/>
        <charset val="1"/>
      </rPr>
      <t xml:space="preserve">Mahjong Blast·GOGO! Blast</t>
    </r>
    <r>
      <rPr>
        <sz val="11"/>
        <rFont val="Noto Sans CJK SC"/>
        <family val="2"/>
      </rPr>
      <t xml:space="preserve">와 포트폴리오 운영</t>
    </r>
  </si>
  <si>
    <r>
      <rPr>
        <sz val="11"/>
        <rFont val="Noto Sans CJK SC"/>
        <family val="2"/>
      </rPr>
      <t xml:space="preserve">단색 고리 위주의 미니멀 그래픽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</si>
  <si>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차트 데이터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게임명 추정</t>
    </r>
  </si>
  <si>
    <r>
      <rPr>
        <sz val="11"/>
        <rFont val="Noto Sans CJK SC"/>
        <family val="2"/>
      </rPr>
      <t xml:space="preserve">블록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개 받기 → 판에 배치 → 줄 지우기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콤보</t>
    </r>
  </si>
  <si>
    <t xml:space="preserve">설명 없이 바로 시작 가능한 한 판 구조</t>
  </si>
  <si>
    <r>
      <rPr>
        <sz val="11"/>
        <rFont val="Noto Sans CJK SC"/>
        <family val="2"/>
      </rPr>
      <t xml:space="preserve">최고 점수 갱신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콤보 연출의 손맛</t>
    </r>
  </si>
  <si>
    <r>
      <rPr>
        <sz val="11"/>
        <rFont val="Noto Sans CJK SC"/>
        <family val="2"/>
      </rPr>
      <t xml:space="preserve">광고 중심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매출 </t>
    </r>
    <r>
      <rPr>
        <sz val="11"/>
        <rFont val="Arial"/>
        <family val="0"/>
        <charset val="1"/>
      </rPr>
      <t xml:space="preserve">Top 100 </t>
    </r>
    <r>
      <rPr>
        <sz val="11"/>
        <rFont val="Noto Sans CJK SC"/>
        <family val="2"/>
      </rPr>
      <t xml:space="preserve">진입 없음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으로 추정</t>
    </r>
  </si>
  <si>
    <r>
      <rPr>
        <sz val="11"/>
        <rFont val="Noto Sans CJK SC"/>
        <family val="2"/>
      </rPr>
      <t xml:space="preserve">설치 </t>
    </r>
    <r>
      <rPr>
        <sz val="11"/>
        <rFont val="Arial"/>
        <family val="0"/>
        <charset val="1"/>
      </rPr>
      <t xml:space="preserve">11</t>
    </r>
    <r>
      <rPr>
        <sz val="11"/>
        <rFont val="Noto Sans CJK SC"/>
        <family val="2"/>
      </rPr>
      <t xml:space="preserve">억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구글 플레이</t>
    </r>
    <r>
      <rPr>
        <sz val="11"/>
        <rFont val="Arial"/>
        <family val="0"/>
        <charset val="1"/>
      </rPr>
      <t xml:space="preserve">) — </t>
    </r>
    <r>
      <rPr>
        <sz val="11"/>
        <rFont val="Noto Sans CJK SC"/>
        <family val="2"/>
      </rPr>
      <t xml:space="preserve">오래 쌓인 입소문과 꾸준한 </t>
    </r>
    <r>
      <rPr>
        <sz val="11"/>
        <rFont val="Arial"/>
        <family val="0"/>
        <charset val="1"/>
      </rPr>
      <t xml:space="preserve">UA</t>
    </r>
  </si>
  <si>
    <r>
      <rPr>
        <sz val="11"/>
        <rFont val="Noto Sans CJK SC"/>
        <family val="2"/>
      </rPr>
      <t xml:space="preserve">나무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보석 느낌의 블록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단순한 판</t>
    </r>
  </si>
  <si>
    <r>
      <rPr>
        <sz val="11"/>
        <rFont val="Noto Sans CJK SC"/>
        <family val="2"/>
      </rPr>
      <t xml:space="preserve">차트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설치 데이터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공개 게임 방식</t>
    </r>
  </si>
  <si>
    <t xml:space="preserve">병 고르기 → 색 옮기기 → 한 병 완성</t>
  </si>
  <si>
    <r>
      <rPr>
        <sz val="11"/>
        <rFont val="Noto Sans CJK SC"/>
        <family val="2"/>
      </rPr>
      <t xml:space="preserve">워터소트 규칙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누구나 아는 방식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으로 즉시 이해</t>
    </r>
  </si>
  <si>
    <r>
      <rPr>
        <sz val="11"/>
        <rFont val="Noto Sans CJK SC"/>
        <family val="2"/>
      </rPr>
      <t xml:space="preserve">레벨 진행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난이도 곡선</t>
    </r>
  </si>
  <si>
    <r>
      <rPr>
        <sz val="11"/>
        <rFont val="Noto Sans CJK SC"/>
        <family val="2"/>
      </rPr>
      <t xml:space="preserve">광고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인앱결제 혼합 추정 — 미국 매출 </t>
    </r>
    <r>
      <rPr>
        <sz val="11"/>
        <rFont val="Arial"/>
        <family val="0"/>
        <charset val="1"/>
      </rPr>
      <t xml:space="preserve">56</t>
    </r>
    <r>
      <rPr>
        <sz val="11"/>
        <rFont val="Noto Sans CJK SC"/>
        <family val="2"/>
      </rPr>
      <t xml:space="preserve">위</t>
    </r>
  </si>
  <si>
    <r>
      <rPr>
        <sz val="11"/>
        <rFont val="Noto Sans CJK SC"/>
        <family val="2"/>
      </rPr>
      <t xml:space="preserve">같은 회사</t>
    </r>
    <r>
      <rPr>
        <sz val="11"/>
        <rFont val="Arial"/>
        <family val="0"/>
        <charset val="1"/>
      </rPr>
      <t xml:space="preserve">(Grand Games)</t>
    </r>
    <r>
      <rPr>
        <sz val="11"/>
        <rFont val="Noto Sans CJK SC"/>
        <family val="2"/>
      </rPr>
      <t xml:space="preserve">의 </t>
    </r>
    <r>
      <rPr>
        <sz val="11"/>
        <rFont val="Arial"/>
        <family val="0"/>
        <charset val="1"/>
      </rPr>
      <t xml:space="preserve">Block Out!</t>
    </r>
    <r>
      <rPr>
        <sz val="11"/>
        <rFont val="Noto Sans CJK SC"/>
        <family val="2"/>
      </rPr>
      <t xml:space="preserve">과 함께 미국 상위권</t>
    </r>
  </si>
  <si>
    <r>
      <rPr>
        <sz val="11"/>
        <rFont val="Noto Sans CJK SC"/>
        <family val="2"/>
      </rPr>
      <t xml:space="preserve">반짝이는 액체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마법 연출</t>
    </r>
  </si>
  <si>
    <r>
      <rPr>
        <sz val="11"/>
        <rFont val="Noto Sans CJK SC"/>
        <family val="2"/>
      </rPr>
      <t xml:space="preserve">차트 데이터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공개 게임 방식</t>
    </r>
  </si>
  <si>
    <t xml:space="preserve">승객 탭 → 같은 색 버스 탑승 → 버스 출발</t>
  </si>
  <si>
    <t xml:space="preserve">첫 판에서 바로 이해되는 색 맞추기</t>
  </si>
  <si>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캐나다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브라질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멕시코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일본 </t>
    </r>
    <r>
      <rPr>
        <sz val="11"/>
        <rFont val="Arial"/>
        <family val="0"/>
        <charset val="1"/>
      </rPr>
      <t xml:space="preserve">Top 10 — </t>
    </r>
    <r>
      <rPr>
        <sz val="11"/>
        <rFont val="Noto Sans CJK SC"/>
        <family val="2"/>
      </rPr>
      <t xml:space="preserve">언어 없이 통하는 광고 소재 추정</t>
    </r>
  </si>
  <si>
    <r>
      <rPr>
        <sz val="11"/>
        <rFont val="Noto Sans CJK SC"/>
        <family val="2"/>
      </rPr>
      <t xml:space="preserve">장난감 같은 </t>
    </r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버스와 승객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</si>
  <si>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개 맞추기 → 레벨 클리어로 별 획득 → 성 꾸미기</t>
    </r>
  </si>
  <si>
    <t xml:space="preserve">짧고 쉬운 초반 레벨로 바로 성공 경험</t>
  </si>
  <si>
    <r>
      <rPr>
        <sz val="11"/>
        <rFont val="Noto Sans CJK SC"/>
        <family val="2"/>
      </rPr>
      <t xml:space="preserve">성 꾸미기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메타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이벤트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공개 정보 기반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</si>
  <si>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목숨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부스터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코인 인앱결제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시즌 패스 계열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공개 정보 기반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</si>
  <si>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왕 캐릭터를 활용한 광고 — 미국 매출 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위</t>
    </r>
  </si>
  <si>
    <r>
      <rPr>
        <sz val="11"/>
        <rFont val="Noto Sans CJK SC"/>
        <family val="2"/>
      </rPr>
      <t xml:space="preserve">고급스러운 </t>
    </r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카툰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밝은 왕국 테마</t>
    </r>
  </si>
  <si>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차트 데이터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공개 게임 방식</t>
    </r>
  </si>
  <si>
    <r>
      <rPr>
        <sz val="11"/>
        <rFont val="Noto Sans CJK SC"/>
        <family val="2"/>
      </rPr>
      <t xml:space="preserve">아이템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개 합치기 → 주문 해결 → 이야기 진행</t>
    </r>
  </si>
  <si>
    <r>
      <rPr>
        <sz val="11"/>
        <rFont val="Noto Sans CJK SC"/>
        <family val="2"/>
      </rPr>
      <t xml:space="preserve">합치기 조작과 드라마 첫 장면을 함께 보여줌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</si>
  <si>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다음 화가 궁금한 스토리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장소 복원</t>
    </r>
  </si>
  <si>
    <r>
      <rPr>
        <sz val="11"/>
        <rFont val="Noto Sans CJK SC"/>
        <family val="2"/>
      </rPr>
      <t xml:space="preserve">에너지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아이템 인앱결제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 —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5·</t>
    </r>
    <r>
      <rPr>
        <sz val="11"/>
        <rFont val="Noto Sans CJK SC"/>
        <family val="2"/>
      </rPr>
      <t xml:space="preserve">브라질 </t>
    </r>
    <r>
      <rPr>
        <sz val="11"/>
        <rFont val="Arial"/>
        <family val="0"/>
        <charset val="1"/>
      </rPr>
      <t xml:space="preserve">4·</t>
    </r>
    <r>
      <rPr>
        <sz val="11"/>
        <rFont val="Noto Sans CJK SC"/>
        <family val="2"/>
      </rPr>
      <t xml:space="preserve">일본 </t>
    </r>
    <r>
      <rPr>
        <sz val="11"/>
        <rFont val="Arial"/>
        <family val="0"/>
        <charset val="1"/>
      </rPr>
      <t xml:space="preserve">16·</t>
    </r>
    <r>
      <rPr>
        <sz val="11"/>
        <rFont val="Noto Sans CJK SC"/>
        <family val="2"/>
      </rPr>
      <t xml:space="preserve">한국 </t>
    </r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위 매출</t>
    </r>
  </si>
  <si>
    <r>
      <rPr>
        <sz val="11"/>
        <rFont val="Noto Sans CJK SC"/>
        <family val="2"/>
      </rPr>
      <t xml:space="preserve">스토리 장면을 앞세운 광고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같은 회사의 </t>
    </r>
    <r>
      <rPr>
        <sz val="11"/>
        <rFont val="Arial"/>
        <family val="0"/>
        <charset val="1"/>
      </rPr>
      <t xml:space="preserve">Seaside Escape·Flambé</t>
    </r>
    <r>
      <rPr>
        <sz val="11"/>
        <rFont val="Noto Sans CJK SC"/>
        <family val="2"/>
      </rPr>
      <t xml:space="preserve">도 매출 </t>
    </r>
    <r>
      <rPr>
        <sz val="11"/>
        <rFont val="Arial"/>
        <family val="0"/>
        <charset val="1"/>
      </rPr>
      <t xml:space="preserve">Top 100</t>
    </r>
  </si>
  <si>
    <r>
      <rPr>
        <sz val="11"/>
        <rFont val="Noto Sans CJK SC"/>
        <family val="2"/>
      </rPr>
      <t xml:space="preserve">드라마 같은 인물 일러스트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아기자기한 아이템</t>
    </r>
  </si>
  <si>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차트 데이터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장르 추정</t>
    </r>
  </si>
  <si>
    <r>
      <rPr>
        <sz val="11"/>
        <rFont val="Noto Sans CJK SC"/>
        <family val="2"/>
      </rPr>
      <t xml:space="preserve">주사위 굴리기 → 칸 이동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보상 → 도시 짓기</t>
    </r>
  </si>
  <si>
    <t xml:space="preserve">누구나 아는 모노폴리 규칙</t>
  </si>
  <si>
    <r>
      <rPr>
        <sz val="11"/>
        <rFont val="Noto Sans CJK SC"/>
        <family val="2"/>
      </rPr>
      <t xml:space="preserve">스티커 앨범 수집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친구와 함께하는 이벤트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공개 정보 기반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</si>
  <si>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주사위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이벤트 상품 인앱결제 — 미국 매출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위</t>
    </r>
  </si>
  <si>
    <r>
      <rPr>
        <sz val="11"/>
        <rFont val="Noto Sans CJK SC"/>
        <family val="2"/>
      </rPr>
      <t xml:space="preserve">유명 </t>
    </r>
    <r>
      <rPr>
        <sz val="11"/>
        <rFont val="Arial"/>
        <family val="0"/>
        <charset val="1"/>
      </rPr>
      <t xml:space="preserve">IP + </t>
    </r>
    <r>
      <rPr>
        <sz val="11"/>
        <rFont val="Noto Sans CJK SC"/>
        <family val="2"/>
      </rPr>
      <t xml:space="preserve">대규모 광고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친구 초대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스티커 교환</t>
    </r>
  </si>
  <si>
    <r>
      <rPr>
        <sz val="11"/>
        <rFont val="Noto Sans CJK SC"/>
        <family val="2"/>
      </rPr>
      <t xml:space="preserve">밝은 보드게임 카툰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미스터 모노폴리 캐릭터</t>
    </r>
  </si>
  <si>
    <t xml:space="preserve">건물 짓기 → 자원 모으기 → 영웅 성장 → 동맹 전투</t>
  </si>
  <si>
    <r>
      <rPr>
        <sz val="11"/>
        <rFont val="Noto Sans CJK SC"/>
        <family val="2"/>
      </rPr>
      <t xml:space="preserve">광고와 다른 미니게임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생존 연출로 시작하는 경우 많음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</si>
  <si>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동맹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서버 경쟁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매일 하는 일과</t>
    </r>
  </si>
  <si>
    <r>
      <rPr>
        <sz val="11"/>
        <rFont val="Noto Sans CJK SC"/>
        <family val="2"/>
      </rPr>
      <t xml:space="preserve">영웅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가속 아이템 인앱결제 — 미국 </t>
    </r>
    <r>
      <rPr>
        <sz val="11"/>
        <rFont val="Arial"/>
        <family val="0"/>
        <charset val="1"/>
      </rPr>
      <t xml:space="preserve">10·</t>
    </r>
    <r>
      <rPr>
        <sz val="11"/>
        <rFont val="Noto Sans CJK SC"/>
        <family val="2"/>
      </rPr>
      <t xml:space="preserve">브라질 </t>
    </r>
    <r>
      <rPr>
        <sz val="11"/>
        <rFont val="Arial"/>
        <family val="0"/>
        <charset val="1"/>
      </rPr>
      <t xml:space="preserve">23·</t>
    </r>
    <r>
      <rPr>
        <sz val="11"/>
        <rFont val="Noto Sans CJK SC"/>
        <family val="2"/>
      </rPr>
      <t xml:space="preserve">일본 </t>
    </r>
    <r>
      <rPr>
        <sz val="11"/>
        <rFont val="Arial"/>
        <family val="0"/>
        <charset val="1"/>
      </rPr>
      <t xml:space="preserve">9·</t>
    </r>
    <r>
      <rPr>
        <sz val="11"/>
        <rFont val="Noto Sans CJK SC"/>
        <family val="2"/>
      </rPr>
      <t xml:space="preserve">한국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위 매출</t>
    </r>
  </si>
  <si>
    <r>
      <rPr>
        <sz val="11"/>
        <rFont val="Noto Sans CJK SC"/>
        <family val="2"/>
      </rPr>
      <t xml:space="preserve">같은 회사</t>
    </r>
    <r>
      <rPr>
        <sz val="11"/>
        <rFont val="Arial"/>
        <family val="0"/>
        <charset val="1"/>
      </rPr>
      <t xml:space="preserve">(Century Games)</t>
    </r>
    <r>
      <rPr>
        <sz val="11"/>
        <rFont val="Noto Sans CJK SC"/>
        <family val="2"/>
      </rPr>
      <t xml:space="preserve">의 </t>
    </r>
    <r>
      <rPr>
        <sz val="11"/>
        <rFont val="Arial"/>
        <family val="0"/>
        <charset val="1"/>
      </rPr>
      <t xml:space="preserve">Kingshot·Tasty Travels</t>
    </r>
    <r>
      <rPr>
        <sz val="11"/>
        <rFont val="Noto Sans CJK SC"/>
        <family val="2"/>
      </rPr>
      <t xml:space="preserve">와 대규모 </t>
    </r>
    <r>
      <rPr>
        <sz val="11"/>
        <rFont val="Arial"/>
        <family val="0"/>
        <charset val="1"/>
      </rPr>
      <t xml:space="preserve">UA</t>
    </r>
  </si>
  <si>
    <r>
      <rPr>
        <sz val="11"/>
        <rFont val="Noto Sans CJK SC"/>
        <family val="2"/>
      </rPr>
      <t xml:space="preserve">얼어붙은 세계의 </t>
    </r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리얼 카툰</t>
    </r>
  </si>
  <si>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차트 데이터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장르 일반 지식</t>
    </r>
  </si>
  <si>
    <t xml:space="preserve">낙하 → 장비 줍기 → 전투 → 마지막 생존</t>
  </si>
  <si>
    <r>
      <rPr>
        <sz val="11"/>
        <rFont val="Noto Sans CJK SC"/>
        <family val="2"/>
      </rPr>
      <t xml:space="preserve">짧은 한 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빠른 매칭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공개 정보 기반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</si>
  <si>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랭크 시스템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캐릭터 수집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친구와 스쿼드</t>
    </r>
  </si>
  <si>
    <r>
      <rPr>
        <sz val="11"/>
        <rFont val="Noto Sans CJK SC"/>
        <family val="2"/>
      </rPr>
      <t xml:space="preserve">캐릭터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스킨 인앱결제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콜라보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예</t>
    </r>
    <r>
      <rPr>
        <sz val="11"/>
        <rFont val="Arial"/>
        <family val="0"/>
        <charset val="1"/>
      </rPr>
      <t xml:space="preserve">: NARUTO) — </t>
    </r>
    <r>
      <rPr>
        <sz val="11"/>
        <rFont val="Noto Sans CJK SC"/>
        <family val="2"/>
      </rPr>
      <t xml:space="preserve">브라질 매출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위</t>
    </r>
  </si>
  <si>
    <r>
      <rPr>
        <sz val="11"/>
        <rFont val="Noto Sans CJK SC"/>
        <family val="2"/>
      </rPr>
      <t xml:space="preserve">저사양 폰 최적화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브라질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태국에서 투표 인기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위 수상 이력</t>
    </r>
  </si>
  <si>
    <r>
      <rPr>
        <sz val="11"/>
        <rFont val="Noto Sans CJK SC"/>
        <family val="2"/>
      </rPr>
      <t xml:space="preserve">캐릭터 중심 </t>
    </r>
    <r>
      <rPr>
        <sz val="11"/>
        <rFont val="Arial"/>
        <family val="0"/>
        <charset val="1"/>
      </rPr>
      <t xml:space="preserve">3D, </t>
    </r>
    <r>
      <rPr>
        <sz val="11"/>
        <rFont val="Noto Sans CJK SC"/>
        <family val="2"/>
      </rPr>
      <t xml:space="preserve">화려한 콜라보 스킨</t>
    </r>
  </si>
  <si>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차트 데이터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외부 자료</t>
    </r>
    <r>
      <rPr>
        <sz val="11"/>
        <rFont val="Arial"/>
        <family val="0"/>
        <charset val="1"/>
      </rPr>
      <t xml:space="preserve">(Wikipedia)</t>
    </r>
  </si>
  <si>
    <r>
      <rPr>
        <sz val="11"/>
        <rFont val="Noto Sans CJK SC"/>
        <family val="2"/>
      </rPr>
      <t xml:space="preserve">캐릭터와 함께 미니게임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수집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확인 필요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</si>
  <si>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좋아하는 캐릭터를 바로 만나는 경험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</si>
  <si>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캐릭터 수집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꾸미기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</si>
  <si>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인앱결제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 — </t>
    </r>
    <r>
      <rPr>
        <sz val="11"/>
        <rFont val="Noto Sans CJK SC"/>
        <family val="2"/>
      </rPr>
      <t xml:space="preserve">일본 매출 </t>
    </r>
    <r>
      <rPr>
        <sz val="11"/>
        <rFont val="Arial"/>
        <family val="0"/>
        <charset val="1"/>
      </rPr>
      <t xml:space="preserve">81</t>
    </r>
    <r>
      <rPr>
        <sz val="11"/>
        <rFont val="Noto Sans CJK SC"/>
        <family val="2"/>
      </rPr>
      <t xml:space="preserve">위</t>
    </r>
  </si>
  <si>
    <t xml:space="preserve">원작 캐릭터 팬덤</t>
  </si>
  <si>
    <t xml:space="preserve">원작 그림체 그대로</t>
  </si>
  <si>
    <r>
      <rPr>
        <sz val="11"/>
        <rFont val="Noto Sans CJK SC"/>
        <family val="2"/>
      </rPr>
      <t xml:space="preserve">차트 데이터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게임 방식 미확인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</si>
  <si>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켜두기 → 자동 전투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성장 → 뽑기로 강화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</si>
  <si>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초반에 대량 뽑기 지급으로 강해지는 느낌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</si>
  <si>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방치 보상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매일 뽑기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</si>
  <si>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뽑기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성장 패키지 인앱결제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 — </t>
    </r>
    <r>
      <rPr>
        <sz val="11"/>
        <rFont val="Noto Sans CJK SC"/>
        <family val="2"/>
      </rPr>
      <t xml:space="preserve">한국 매출 </t>
    </r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위</t>
    </r>
  </si>
  <si>
    <r>
      <rPr>
        <sz val="11"/>
        <rFont val="Noto Sans CJK SC"/>
        <family val="2"/>
      </rPr>
      <t xml:space="preserve">앱 이름에 </t>
    </r>
    <r>
      <rPr>
        <sz val="11"/>
        <rFont val="Arial"/>
        <family val="0"/>
        <charset val="1"/>
      </rPr>
      <t xml:space="preserve">'777</t>
    </r>
    <r>
      <rPr>
        <sz val="11"/>
        <rFont val="Noto Sans CJK SC"/>
        <family val="2"/>
      </rPr>
      <t xml:space="preserve">뽑기 증정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을 넣어 스토어 자체를 광고판으로 사용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같은 회사</t>
    </r>
    <r>
      <rPr>
        <sz val="11"/>
        <rFont val="Arial"/>
        <family val="0"/>
        <charset val="1"/>
      </rPr>
      <t xml:space="preserve">(Joy Nice Games)</t>
    </r>
    <r>
      <rPr>
        <sz val="11"/>
        <rFont val="Noto Sans CJK SC"/>
        <family val="2"/>
      </rPr>
      <t xml:space="preserve">가 </t>
    </r>
    <r>
      <rPr>
        <sz val="11"/>
        <rFont val="Arial"/>
        <family val="0"/>
        <charset val="1"/>
      </rPr>
      <t xml:space="preserve">Legend of Mushroom·</t>
    </r>
    <r>
      <rPr>
        <sz val="11"/>
        <rFont val="Noto Sans CJK SC"/>
        <family val="2"/>
      </rPr>
      <t xml:space="preserve">갓깨비 키우기 운영</t>
    </r>
  </si>
  <si>
    <r>
      <rPr>
        <sz val="11"/>
        <rFont val="Noto Sans CJK SC"/>
        <family val="2"/>
      </rPr>
      <t xml:space="preserve">귀여운 </t>
    </r>
    <r>
      <rPr>
        <sz val="11"/>
        <rFont val="Arial"/>
        <family val="0"/>
        <charset val="1"/>
      </rPr>
      <t xml:space="preserve">2D </t>
    </r>
    <r>
      <rPr>
        <sz val="11"/>
        <rFont val="Noto Sans CJK SC"/>
        <family val="2"/>
      </rPr>
      <t xml:space="preserve">캐릭터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</si>
  <si>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차트 데이터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추정</t>
    </r>
  </si>
  <si>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추정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은 차트 데이터와 게임명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장르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일반적으로 알려진 게임 방식을 바탕으로 한 판단입니다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직접 플레이로 확인이 필요합니다</t>
    </r>
    <r>
      <rPr>
        <i val="true"/>
        <sz val="11"/>
        <color rgb="FF595959"/>
        <rFont val="Arial"/>
        <family val="0"/>
        <charset val="1"/>
      </rPr>
      <t xml:space="preserve">.</t>
    </r>
  </si>
  <si>
    <t xml:space="preserve">장르 그룹</t>
  </si>
  <si>
    <r>
      <rPr>
        <b val="true"/>
        <sz val="11"/>
        <color rgb="FFFFFFFF"/>
        <rFont val="Noto Sans CJK SC"/>
        <family val="2"/>
      </rPr>
      <t xml:space="preserve">차트 근거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이번 조사에서 확인된 순위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</si>
  <si>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⑥ 아트</t>
  </si>
  <si>
    <r>
      <rPr>
        <sz val="11"/>
        <rFont val="Arial"/>
        <family val="0"/>
        <charset val="1"/>
      </rPr>
      <t xml:space="preserve">1. </t>
    </r>
    <r>
      <rPr>
        <sz val="11"/>
        <rFont val="Noto Sans CJK SC"/>
        <family val="2"/>
      </rPr>
      <t xml:space="preserve">글로벌 퍼즐</t>
    </r>
  </si>
  <si>
    <t xml:space="preserve">Block Out!</t>
  </si>
  <si>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App Store </t>
    </r>
    <r>
      <rPr>
        <sz val="11"/>
        <rFont val="Noto Sans CJK SC"/>
        <family val="2"/>
      </rPr>
      <t xml:space="preserve">무료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위</t>
    </r>
  </si>
  <si>
    <r>
      <rPr>
        <sz val="11"/>
        <rFont val="Noto Sans CJK SC"/>
        <family val="2"/>
      </rPr>
      <t xml:space="preserve">블록을 같은 색 출구로 빼내는 정렬 퍼즐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게임명 기반 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</si>
  <si>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미확인 </t>
    </r>
    <r>
      <rPr>
        <sz val="11"/>
        <rFont val="Arial"/>
        <family val="0"/>
        <charset val="1"/>
      </rPr>
      <t xml:space="preserve">(App Store </t>
    </r>
    <r>
      <rPr>
        <sz val="11"/>
        <rFont val="Noto Sans CJK SC"/>
        <family val="2"/>
      </rPr>
      <t xml:space="preserve">매출 데이터 미수집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</si>
  <si>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같은 회사 </t>
    </r>
    <r>
      <rPr>
        <sz val="11"/>
        <rFont val="Arial"/>
        <family val="0"/>
        <charset val="1"/>
      </rPr>
      <t xml:space="preserve">Magic Sort!</t>
    </r>
    <r>
      <rPr>
        <sz val="11"/>
        <rFont val="Noto Sans CJK SC"/>
        <family val="2"/>
      </rPr>
      <t xml:space="preserve">와 함께 미국 상위권</t>
    </r>
  </si>
  <si>
    <r>
      <rPr>
        <sz val="11"/>
        <rFont val="Noto Sans CJK SC"/>
        <family val="2"/>
      </rPr>
      <t xml:space="preserve">색 블록 위주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</si>
  <si>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t xml:space="preserve">Vita Mahjong</t>
  </si>
  <si>
    <t xml:space="preserve">Vita Studio</t>
  </si>
  <si>
    <r>
      <rPr>
        <sz val="11"/>
        <rFont val="Noto Sans CJK SC"/>
        <family val="2"/>
      </rPr>
      <t xml:space="preserve">무료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5, </t>
    </r>
    <r>
      <rPr>
        <sz val="11"/>
        <rFont val="Noto Sans CJK SC"/>
        <family val="2"/>
      </rPr>
      <t xml:space="preserve">캐나다 </t>
    </r>
    <r>
      <rPr>
        <sz val="11"/>
        <rFont val="Arial"/>
        <family val="0"/>
        <charset val="1"/>
      </rPr>
      <t xml:space="preserve">9, </t>
    </r>
    <r>
      <rPr>
        <sz val="11"/>
        <rFont val="Noto Sans CJK SC"/>
        <family val="2"/>
      </rPr>
      <t xml:space="preserve">브라질 </t>
    </r>
    <r>
      <rPr>
        <sz val="11"/>
        <rFont val="Arial"/>
        <family val="0"/>
        <charset val="1"/>
      </rPr>
      <t xml:space="preserve">29, </t>
    </r>
    <r>
      <rPr>
        <sz val="11"/>
        <rFont val="Noto Sans CJK SC"/>
        <family val="2"/>
      </rPr>
      <t xml:space="preserve">멕시코 </t>
    </r>
    <r>
      <rPr>
        <sz val="11"/>
        <rFont val="Arial"/>
        <family val="0"/>
        <charset val="1"/>
      </rPr>
      <t xml:space="preserve">15, </t>
    </r>
    <r>
      <rPr>
        <sz val="11"/>
        <rFont val="Noto Sans CJK SC"/>
        <family val="2"/>
      </rPr>
      <t xml:space="preserve">일본 </t>
    </r>
    <r>
      <rPr>
        <sz val="11"/>
        <rFont val="Arial"/>
        <family val="0"/>
        <charset val="1"/>
      </rPr>
      <t xml:space="preserve">34, </t>
    </r>
    <r>
      <rPr>
        <sz val="11"/>
        <rFont val="Noto Sans CJK SC"/>
        <family val="2"/>
      </rPr>
      <t xml:space="preserve">한국 </t>
    </r>
    <r>
      <rPr>
        <sz val="11"/>
        <rFont val="Arial"/>
        <family val="0"/>
        <charset val="1"/>
      </rPr>
      <t xml:space="preserve">26</t>
    </r>
  </si>
  <si>
    <r>
      <rPr>
        <sz val="11"/>
        <rFont val="Noto Sans CJK SC"/>
        <family val="2"/>
      </rPr>
      <t xml:space="preserve">같은 타일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개 짝 맞춰 없애기</t>
    </r>
  </si>
  <si>
    <t xml:space="preserve">미확인</t>
  </si>
  <si>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개국 모두 </t>
    </r>
    <r>
      <rPr>
        <sz val="11"/>
        <rFont val="Arial"/>
        <family val="0"/>
        <charset val="1"/>
      </rPr>
      <t xml:space="preserve">Top 35 — </t>
    </r>
    <r>
      <rPr>
        <sz val="11"/>
        <rFont val="Noto Sans CJK SC"/>
        <family val="2"/>
      </rPr>
      <t xml:space="preserve">언어가 필요 없는 규칙</t>
    </r>
  </si>
  <si>
    <r>
      <rPr>
        <sz val="11"/>
        <rFont val="Noto Sans CJK SC"/>
        <family val="2"/>
      </rPr>
      <t xml:space="preserve">큰 타일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깔끔한 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시니어 친화로 알려짐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확인 권장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</si>
  <si>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차트 데이터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공개 정보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확인 권장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</si>
  <si>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2. </t>
    </r>
    <r>
      <rPr>
        <sz val="11"/>
        <rFont val="Noto Sans CJK SC"/>
        <family val="2"/>
      </rPr>
      <t xml:space="preserve">퍼즐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메타</t>
    </r>
  </si>
  <si>
    <t xml:space="preserve">Candy Crush Saga</t>
  </si>
  <si>
    <t xml:space="preserve">King</t>
  </si>
  <si>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3, </t>
    </r>
    <r>
      <rPr>
        <sz val="11"/>
        <rFont val="Noto Sans CJK SC"/>
        <family val="2"/>
      </rPr>
      <t xml:space="preserve">브라질 </t>
    </r>
    <r>
      <rPr>
        <sz val="11"/>
        <rFont val="Arial"/>
        <family val="0"/>
        <charset val="1"/>
      </rPr>
      <t xml:space="preserve">5 / </t>
    </r>
    <r>
      <rPr>
        <sz val="11"/>
        <rFont val="Noto Sans CJK SC"/>
        <family val="2"/>
      </rPr>
      <t xml:space="preserve">무료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GP 48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</si>
  <si>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개 맞추기 → 레벨 클리어 → 지도 따라 전진</t>
    </r>
  </si>
  <si>
    <r>
      <rPr>
        <sz val="11"/>
        <rFont val="Noto Sans CJK SC"/>
        <family val="2"/>
      </rPr>
      <t xml:space="preserve">긴 레벨 지도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이벤트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친구 점수 비교</t>
    </r>
  </si>
  <si>
    <r>
      <rPr>
        <sz val="11"/>
        <rFont val="Noto Sans CJK SC"/>
        <family val="2"/>
      </rPr>
      <t xml:space="preserve">목숨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부스터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이동 추가 인앱결제</t>
    </r>
  </si>
  <si>
    <t xml:space="preserve">오래된 브랜드 인지도</t>
  </si>
  <si>
    <r>
      <rPr>
        <sz val="11"/>
        <rFont val="Noto Sans CJK SC"/>
        <family val="2"/>
      </rPr>
      <t xml:space="preserve">사탕 테마의 밝은 </t>
    </r>
    <r>
      <rPr>
        <sz val="11"/>
        <rFont val="Arial"/>
        <family val="0"/>
        <charset val="1"/>
      </rPr>
      <t xml:space="preserve">2D</t>
    </r>
  </si>
  <si>
    <r>
      <rPr>
        <sz val="11"/>
        <rFont val="Noto Sans CJK SC"/>
        <family val="2"/>
      </rPr>
      <t xml:space="preserve">매출 데이터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공개 게임 방식</t>
    </r>
  </si>
  <si>
    <t xml:space="preserve">Royal Kingdom</t>
  </si>
  <si>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8 / </t>
    </r>
    <r>
      <rPr>
        <sz val="11"/>
        <rFont val="Noto Sans CJK SC"/>
        <family val="2"/>
      </rPr>
      <t xml:space="preserve">무료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일본 </t>
    </r>
    <r>
      <rPr>
        <sz val="11"/>
        <rFont val="Arial"/>
        <family val="0"/>
        <charset val="1"/>
      </rPr>
      <t xml:space="preserve">5, </t>
    </r>
    <r>
      <rPr>
        <sz val="11"/>
        <rFont val="Noto Sans CJK SC"/>
        <family val="2"/>
      </rPr>
      <t xml:space="preserve">한국 </t>
    </r>
    <r>
      <rPr>
        <sz val="11"/>
        <rFont val="Arial"/>
        <family val="0"/>
        <charset val="1"/>
      </rPr>
      <t xml:space="preserve">17,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GP 47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</si>
  <si>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개 맞추기 → 보상 → 왕국 건설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 세부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</si>
  <si>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왕국 건설 메타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</si>
  <si>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인앱결제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미국 매출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</si>
  <si>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Royal Match </t>
    </r>
    <r>
      <rPr>
        <sz val="11"/>
        <rFont val="Noto Sans CJK SC"/>
        <family val="2"/>
      </rPr>
      <t xml:space="preserve">개발사의 후속작</t>
    </r>
  </si>
  <si>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카툰 판타지</t>
    </r>
  </si>
  <si>
    <r>
      <rPr>
        <sz val="11"/>
        <rFont val="Noto Sans CJK SC"/>
        <family val="2"/>
      </rPr>
      <t xml:space="preserve">매출 데이터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일부 추정</t>
    </r>
  </si>
  <si>
    <r>
      <rPr>
        <sz val="11"/>
        <rFont val="Arial"/>
        <family val="0"/>
        <charset val="1"/>
      </rPr>
      <t xml:space="preserve">3. </t>
    </r>
    <r>
      <rPr>
        <sz val="11"/>
        <rFont val="Noto Sans CJK SC"/>
        <family val="2"/>
      </rPr>
      <t xml:space="preserve">소셜 캐주얼</t>
    </r>
  </si>
  <si>
    <t xml:space="preserve">Coin Master</t>
  </si>
  <si>
    <t xml:space="preserve">Moon Active</t>
  </si>
  <si>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7, </t>
    </r>
    <r>
      <rPr>
        <sz val="11"/>
        <rFont val="Noto Sans CJK SC"/>
        <family val="2"/>
      </rPr>
      <t xml:space="preserve">브라질 </t>
    </r>
    <r>
      <rPr>
        <sz val="11"/>
        <rFont val="Arial"/>
        <family val="0"/>
        <charset val="1"/>
      </rPr>
      <t xml:space="preserve">3 / </t>
    </r>
    <r>
      <rPr>
        <sz val="11"/>
        <rFont val="Noto Sans CJK SC"/>
        <family val="2"/>
      </rPr>
      <t xml:space="preserve">무료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iOS 67</t>
    </r>
  </si>
  <si>
    <r>
      <rPr>
        <sz val="11"/>
        <rFont val="Noto Sans CJK SC"/>
        <family val="2"/>
      </rPr>
      <t xml:space="preserve">슬롯 돌리기 → 코인 → 마을 건설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다른 유저 공격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습격</t>
    </r>
  </si>
  <si>
    <r>
      <rPr>
        <sz val="11"/>
        <rFont val="Noto Sans CJK SC"/>
        <family val="2"/>
      </rPr>
      <t xml:space="preserve">카드 수집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친구와 공격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복수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이벤트</t>
    </r>
  </si>
  <si>
    <r>
      <rPr>
        <sz val="11"/>
        <rFont val="Noto Sans CJK SC"/>
        <family val="2"/>
      </rPr>
      <t xml:space="preserve">스핀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코인 인앱결제</t>
    </r>
  </si>
  <si>
    <r>
      <rPr>
        <sz val="11"/>
        <rFont val="Noto Sans CJK SC"/>
        <family val="2"/>
      </rPr>
      <t xml:space="preserve">친구 초대</t>
    </r>
    <r>
      <rPr>
        <sz val="11"/>
        <rFont val="Arial"/>
        <family val="0"/>
        <charset val="1"/>
      </rPr>
      <t xml:space="preserve">·SNS </t>
    </r>
    <r>
      <rPr>
        <sz val="11"/>
        <rFont val="Noto Sans CJK SC"/>
        <family val="2"/>
      </rPr>
      <t xml:space="preserve">연동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공개 정보</t>
    </r>
    <r>
      <rPr>
        <sz val="11"/>
        <rFont val="Arial"/>
        <family val="0"/>
        <charset val="1"/>
      </rPr>
      <t xml:space="preserve">)</t>
    </r>
  </si>
  <si>
    <t xml:space="preserve">바이킹 테마 카툰</t>
  </si>
  <si>
    <t xml:space="preserve">Dice Dreams</t>
  </si>
  <si>
    <t xml:space="preserve">SuperPlay</t>
  </si>
  <si>
    <r>
      <rPr>
        <sz val="11"/>
        <rFont val="Noto Sans CJK SC"/>
        <family val="2"/>
      </rPr>
      <t xml:space="preserve">무료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iOS 73, GP 98</t>
    </r>
  </si>
  <si>
    <r>
      <rPr>
        <sz val="11"/>
        <rFont val="Noto Sans CJK SC"/>
        <family val="2"/>
      </rPr>
      <t xml:space="preserve">주사위 굴리기 → 보드 칸 보상 → 왕국 건설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다른 유저 공격</t>
    </r>
  </si>
  <si>
    <r>
      <rPr>
        <sz val="11"/>
        <rFont val="Noto Sans CJK SC"/>
        <family val="2"/>
      </rPr>
      <t xml:space="preserve">이벤트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공개 정보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카드 수집 여부는 확인 필요</t>
    </r>
  </si>
  <si>
    <r>
      <rPr>
        <sz val="11"/>
        <rFont val="Noto Sans CJK SC"/>
        <family val="2"/>
      </rPr>
      <t xml:space="preserve">인앱결제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매출 순위 미확인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</si>
  <si>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같은 회사가 </t>
    </r>
    <r>
      <rPr>
        <sz val="11"/>
        <rFont val="Arial"/>
        <family val="0"/>
        <charset val="1"/>
      </rPr>
      <t xml:space="preserve">Disney Solitaire</t>
    </r>
    <r>
      <rPr>
        <sz val="11"/>
        <rFont val="Noto Sans CJK SC"/>
        <family val="2"/>
      </rPr>
      <t xml:space="preserve">도 운영</t>
    </r>
  </si>
  <si>
    <t xml:space="preserve">동화풍 카툰</t>
  </si>
  <si>
    <r>
      <rPr>
        <sz val="11"/>
        <rFont val="Arial"/>
        <family val="0"/>
        <charset val="1"/>
      </rPr>
      <t xml:space="preserve">4. </t>
    </r>
    <r>
      <rPr>
        <sz val="11"/>
        <rFont val="Noto Sans CJK SC"/>
        <family val="2"/>
      </rPr>
      <t xml:space="preserve">전략</t>
    </r>
    <r>
      <rPr>
        <sz val="11"/>
        <rFont val="Arial"/>
        <family val="0"/>
        <charset val="1"/>
      </rPr>
      <t xml:space="preserve">(4X </t>
    </r>
    <r>
      <rPr>
        <sz val="11"/>
        <rFont val="Noto Sans CJK SC"/>
        <family val="2"/>
      </rPr>
      <t xml:space="preserve">등</t>
    </r>
    <r>
      <rPr>
        <sz val="11"/>
        <rFont val="Arial"/>
        <family val="0"/>
        <charset val="1"/>
      </rPr>
      <t xml:space="preserve">)</t>
    </r>
  </si>
  <si>
    <t xml:space="preserve">Kingshot</t>
  </si>
  <si>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9 / </t>
    </r>
    <r>
      <rPr>
        <sz val="11"/>
        <rFont val="Noto Sans CJK SC"/>
        <family val="2"/>
      </rPr>
      <t xml:space="preserve">무료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iOS 40</t>
    </r>
  </si>
  <si>
    <r>
      <rPr>
        <sz val="11"/>
        <rFont val="Noto Sans CJK SC"/>
        <family val="2"/>
      </rPr>
      <t xml:space="preserve">건설 → 자원 → 영웅 성장 → 동맹 전투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장르 일반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</si>
  <si>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동맹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서버 경쟁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장르 일반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</si>
  <si>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인앱결제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미국 매출 </t>
    </r>
    <r>
      <rPr>
        <sz val="11"/>
        <rFont val="Arial"/>
        <family val="0"/>
        <charset val="1"/>
      </rPr>
      <t xml:space="preserve">9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</si>
  <si>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같은 회사 </t>
    </r>
    <r>
      <rPr>
        <sz val="11"/>
        <rFont val="Arial"/>
        <family val="0"/>
        <charset val="1"/>
      </rPr>
      <t xml:space="preserve">Whiteout Survival</t>
    </r>
    <r>
      <rPr>
        <sz val="11"/>
        <rFont val="Noto Sans CJK SC"/>
        <family val="2"/>
      </rPr>
      <t xml:space="preserve">과 같은 장르</t>
    </r>
  </si>
  <si>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카툰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</si>
  <si>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매출 데이터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장르 일반 지식</t>
    </r>
  </si>
  <si>
    <t xml:space="preserve">Clash Royale</t>
  </si>
  <si>
    <t xml:space="preserve">Supercell</t>
  </si>
  <si>
    <r>
      <rPr>
        <sz val="11"/>
        <rFont val="Noto Sans CJK SC"/>
        <family val="2"/>
      </rPr>
      <t xml:space="preserve">무료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iOS 80 (</t>
    </r>
    <r>
      <rPr>
        <sz val="11"/>
        <rFont val="Noto Sans CJK SC"/>
        <family val="2"/>
      </rPr>
      <t xml:space="preserve">매출 미확인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</si>
  <si>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카드 덱 →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분 실시간 </t>
    </r>
    <r>
      <rPr>
        <sz val="11"/>
        <rFont val="Arial"/>
        <family val="0"/>
        <charset val="1"/>
      </rPr>
      <t xml:space="preserve">1:1 </t>
    </r>
    <r>
      <rPr>
        <sz val="11"/>
        <rFont val="Noto Sans CJK SC"/>
        <family val="2"/>
      </rPr>
      <t xml:space="preserve">대전 → 트로피</t>
    </r>
  </si>
  <si>
    <r>
      <rPr>
        <sz val="11"/>
        <rFont val="Noto Sans CJK SC"/>
        <family val="2"/>
      </rPr>
      <t xml:space="preserve">아레나 승급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클랜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시즌</t>
    </r>
  </si>
  <si>
    <r>
      <rPr>
        <sz val="11"/>
        <rFont val="Noto Sans CJK SC"/>
        <family val="2"/>
      </rPr>
      <t xml:space="preserve">패스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보석 인앱결제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공개 정보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</si>
  <si>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Clash of Clans </t>
    </r>
    <r>
      <rPr>
        <sz val="11"/>
        <rFont val="Noto Sans CJK SC"/>
        <family val="2"/>
      </rPr>
      <t xml:space="preserve">세계관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캐릭터 재사용</t>
    </r>
  </si>
  <si>
    <t xml:space="preserve">클래시 시리즈 카툰</t>
  </si>
  <si>
    <r>
      <rPr>
        <sz val="11"/>
        <rFont val="Arial"/>
        <family val="0"/>
        <charset val="1"/>
      </rPr>
      <t xml:space="preserve">5. </t>
    </r>
    <r>
      <rPr>
        <sz val="11"/>
        <rFont val="Noto Sans CJK SC"/>
        <family val="2"/>
      </rPr>
      <t xml:space="preserve">액션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슈팅</t>
    </r>
  </si>
  <si>
    <t xml:space="preserve">Fortnite</t>
  </si>
  <si>
    <t xml:space="preserve">Epic Games</t>
  </si>
  <si>
    <r>
      <rPr>
        <sz val="11"/>
        <rFont val="Noto Sans CJK SC"/>
        <family val="2"/>
      </rPr>
      <t xml:space="preserve">무료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iOS 18, GP 25 (</t>
    </r>
    <r>
      <rPr>
        <sz val="11"/>
        <rFont val="Noto Sans CJK SC"/>
        <family val="2"/>
      </rPr>
      <t xml:space="preserve">매출 미확인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</si>
  <si>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낙하 → 장비 줍기 → 건축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전투 → 최후 생존</t>
    </r>
  </si>
  <si>
    <r>
      <rPr>
        <sz val="11"/>
        <rFont val="Noto Sans CJK SC"/>
        <family val="2"/>
      </rPr>
      <t xml:space="preserve">배틀패스 시즌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라이브 이벤트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유저 제작 모드</t>
    </r>
  </si>
  <si>
    <r>
      <rPr>
        <sz val="11"/>
        <rFont val="Noto Sans CJK SC"/>
        <family val="2"/>
      </rPr>
      <t xml:space="preserve">스킨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배틀패스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외형 아이템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</si>
  <si>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대형 </t>
    </r>
    <r>
      <rPr>
        <sz val="11"/>
        <rFont val="Arial"/>
        <family val="0"/>
        <charset val="1"/>
      </rPr>
      <t xml:space="preserve">IP </t>
    </r>
    <r>
      <rPr>
        <sz val="11"/>
        <rFont val="Noto Sans CJK SC"/>
        <family val="2"/>
      </rPr>
      <t xml:space="preserve">콜라보</t>
    </r>
  </si>
  <si>
    <r>
      <rPr>
        <sz val="11"/>
        <rFont val="Noto Sans CJK SC"/>
        <family val="2"/>
      </rPr>
      <t xml:space="preserve">밝은 카툰 </t>
    </r>
    <r>
      <rPr>
        <sz val="11"/>
        <rFont val="Arial"/>
        <family val="0"/>
        <charset val="1"/>
      </rPr>
      <t xml:space="preserve">3D</t>
    </r>
  </si>
  <si>
    <t xml:space="preserve">Brawl Stars</t>
  </si>
  <si>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브라질 </t>
    </r>
    <r>
      <rPr>
        <sz val="11"/>
        <rFont val="Arial"/>
        <family val="0"/>
        <charset val="1"/>
      </rPr>
      <t xml:space="preserve">9 / </t>
    </r>
    <r>
      <rPr>
        <sz val="11"/>
        <rFont val="Noto Sans CJK SC"/>
        <family val="2"/>
      </rPr>
      <t xml:space="preserve">무료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iOS 66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</si>
  <si>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대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짧은 대전 → 트로피 → 캐릭터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브롤러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해금</t>
    </r>
  </si>
  <si>
    <r>
      <rPr>
        <sz val="11"/>
        <rFont val="Noto Sans CJK SC"/>
        <family val="2"/>
      </rPr>
      <t xml:space="preserve">브롤러 수집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클럽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패스</t>
    </r>
  </si>
  <si>
    <r>
      <rPr>
        <sz val="11"/>
        <rFont val="Noto Sans CJK SC"/>
        <family val="2"/>
      </rPr>
      <t xml:space="preserve">패스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스킨 인앱결제</t>
    </r>
  </si>
  <si>
    <r>
      <rPr>
        <sz val="11"/>
        <rFont val="Arial"/>
        <family val="0"/>
        <charset val="1"/>
      </rPr>
      <t xml:space="preserve">Supercell </t>
    </r>
    <r>
      <rPr>
        <sz val="11"/>
        <rFont val="Noto Sans CJK SC"/>
        <family val="2"/>
      </rPr>
      <t xml:space="preserve">세계관</t>
    </r>
  </si>
  <si>
    <t xml:space="preserve">캐주얼 카툰</t>
  </si>
  <si>
    <r>
      <rPr>
        <sz val="11"/>
        <rFont val="Arial"/>
        <family val="0"/>
        <charset val="1"/>
      </rPr>
      <t xml:space="preserve">6. </t>
    </r>
    <r>
      <rPr>
        <sz val="11"/>
        <rFont val="Noto Sans CJK SC"/>
        <family val="2"/>
      </rPr>
      <t xml:space="preserve">캐릭터 </t>
    </r>
    <r>
      <rPr>
        <sz val="11"/>
        <rFont val="Arial"/>
        <family val="0"/>
        <charset val="1"/>
      </rPr>
      <t xml:space="preserve">IP</t>
    </r>
  </si>
  <si>
    <t xml:space="preserve">Pokémon GO</t>
  </si>
  <si>
    <r>
      <rPr>
        <sz val="11"/>
        <rFont val="Noto Sans CJK SC"/>
        <family val="2"/>
      </rPr>
      <t xml:space="preserve">무료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한국 </t>
    </r>
    <r>
      <rPr>
        <sz val="11"/>
        <rFont val="Arial"/>
        <family val="0"/>
        <charset val="1"/>
      </rPr>
      <t xml:space="preserve">3,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iOS 76</t>
    </r>
  </si>
  <si>
    <t xml:space="preserve">걸어 다니며 포켓몬 발견 → 포획 → 수집</t>
  </si>
  <si>
    <r>
      <rPr>
        <sz val="11"/>
        <rFont val="Noto Sans CJK SC"/>
        <family val="2"/>
      </rPr>
      <t xml:space="preserve">레이드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커뮤니티 이벤트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공개 정보</t>
    </r>
    <r>
      <rPr>
        <sz val="11"/>
        <rFont val="Arial"/>
        <family val="0"/>
        <charset val="1"/>
      </rPr>
      <t xml:space="preserve">)</t>
    </r>
  </si>
  <si>
    <t xml:space="preserve">아이템 인앱결제</t>
  </si>
  <si>
    <r>
      <rPr>
        <sz val="11"/>
        <rFont val="Noto Sans CJK SC"/>
        <family val="2"/>
      </rPr>
      <t xml:space="preserve">포켓몬 </t>
    </r>
    <r>
      <rPr>
        <sz val="11"/>
        <rFont val="Arial"/>
        <family val="0"/>
        <charset val="1"/>
      </rPr>
      <t xml:space="preserve">IP + </t>
    </r>
    <r>
      <rPr>
        <sz val="11"/>
        <rFont val="Noto Sans CJK SC"/>
        <family val="2"/>
      </rPr>
      <t xml:space="preserve">실외 활동</t>
    </r>
  </si>
  <si>
    <r>
      <rPr>
        <sz val="11"/>
        <rFont val="Arial"/>
        <family val="0"/>
        <charset val="1"/>
      </rPr>
      <t xml:space="preserve">AR + </t>
    </r>
    <r>
      <rPr>
        <sz val="11"/>
        <rFont val="Noto Sans CJK SC"/>
        <family val="2"/>
      </rPr>
      <t xml:space="preserve">포켓몬 원작 그림</t>
    </r>
  </si>
  <si>
    <t xml:space="preserve">Pokémon TCG Pocket</t>
  </si>
  <si>
    <t xml:space="preserve">The Pokémon Company</t>
  </si>
  <si>
    <r>
      <rPr>
        <sz val="11"/>
        <rFont val="Noto Sans CJK SC"/>
        <family val="2"/>
      </rPr>
      <t xml:space="preserve">무료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일본 </t>
    </r>
    <r>
      <rPr>
        <sz val="11"/>
        <rFont val="Arial"/>
        <family val="0"/>
        <charset val="1"/>
      </rPr>
      <t xml:space="preserve">30,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GP 68</t>
    </r>
  </si>
  <si>
    <t xml:space="preserve">매일 카드팩 열기 → 수집 → 대전</t>
  </si>
  <si>
    <r>
      <rPr>
        <sz val="11"/>
        <rFont val="Noto Sans CJK SC"/>
        <family val="2"/>
      </rPr>
      <t xml:space="preserve">매일 무료 카드팩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공개 정보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</si>
  <si>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카드팩 인앱결제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랜덤 보상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</si>
  <si>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포켓몬 </t>
    </r>
    <r>
      <rPr>
        <sz val="11"/>
        <rFont val="Arial"/>
        <family val="0"/>
        <charset val="1"/>
      </rPr>
      <t xml:space="preserve">IP + </t>
    </r>
    <r>
      <rPr>
        <sz val="11"/>
        <rFont val="Noto Sans CJK SC"/>
        <family val="2"/>
      </rPr>
      <t xml:space="preserve">실물 카드의 추억</t>
    </r>
  </si>
  <si>
    <t xml:space="preserve">원작 카드 일러스트</t>
  </si>
  <si>
    <r>
      <rPr>
        <sz val="11"/>
        <rFont val="Arial"/>
        <family val="0"/>
        <charset val="1"/>
      </rPr>
      <t xml:space="preserve">7. </t>
    </r>
    <r>
      <rPr>
        <sz val="11"/>
        <rFont val="Noto Sans CJK SC"/>
        <family val="2"/>
      </rPr>
      <t xml:space="preserve">한국식 </t>
    </r>
    <r>
      <rPr>
        <sz val="11"/>
        <rFont val="Arial"/>
        <family val="0"/>
        <charset val="1"/>
      </rPr>
      <t xml:space="preserve">RPG</t>
    </r>
  </si>
  <si>
    <r>
      <rPr>
        <b val="true"/>
        <sz val="11"/>
        <rFont val="Noto Sans CJK SC"/>
        <family val="2"/>
      </rPr>
      <t xml:space="preserve">메이플스토리 방치형 </t>
    </r>
    <r>
      <rPr>
        <b val="true"/>
        <sz val="11"/>
        <rFont val="Arial"/>
        <family val="0"/>
        <charset val="1"/>
      </rPr>
      <t xml:space="preserve">RPG</t>
    </r>
  </si>
  <si>
    <t xml:space="preserve">Nexon</t>
  </si>
  <si>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한국 </t>
    </r>
    <r>
      <rPr>
        <sz val="11"/>
        <rFont val="Arial"/>
        <family val="0"/>
        <charset val="1"/>
      </rPr>
      <t xml:space="preserve">8 / </t>
    </r>
    <r>
      <rPr>
        <sz val="11"/>
        <rFont val="Noto Sans CJK SC"/>
        <family val="2"/>
      </rPr>
      <t xml:space="preserve">무료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한국 </t>
    </r>
    <r>
      <rPr>
        <sz val="11"/>
        <rFont val="Arial"/>
        <family val="0"/>
        <charset val="1"/>
      </rPr>
      <t xml:space="preserve">54</t>
    </r>
  </si>
  <si>
    <r>
      <rPr>
        <sz val="11"/>
        <rFont val="Noto Sans CJK SC"/>
        <family val="2"/>
      </rPr>
      <t xml:space="preserve">자동 사냥 → 장비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스탯 성장 → 보스</t>
    </r>
  </si>
  <si>
    <r>
      <rPr>
        <sz val="11"/>
        <rFont val="Noto Sans CJK SC"/>
        <family val="2"/>
      </rPr>
      <t xml:space="preserve">방치 보상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길드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장르 일반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</si>
  <si>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성장 패키지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뽑기 인앱결제</t>
    </r>
  </si>
  <si>
    <r>
      <rPr>
        <sz val="11"/>
        <rFont val="Noto Sans CJK SC"/>
        <family val="2"/>
      </rPr>
      <t xml:space="preserve">메이플스토리 </t>
    </r>
    <r>
      <rPr>
        <sz val="11"/>
        <rFont val="Arial"/>
        <family val="0"/>
        <charset val="1"/>
      </rPr>
      <t xml:space="preserve">IP</t>
    </r>
  </si>
  <si>
    <r>
      <rPr>
        <sz val="11"/>
        <rFont val="Noto Sans CJK SC"/>
        <family val="2"/>
      </rPr>
      <t xml:space="preserve">원작 </t>
    </r>
    <r>
      <rPr>
        <sz val="11"/>
        <rFont val="Arial"/>
        <family val="0"/>
        <charset val="1"/>
      </rPr>
      <t xml:space="preserve">2D </t>
    </r>
    <r>
      <rPr>
        <sz val="11"/>
        <rFont val="Noto Sans CJK SC"/>
        <family val="2"/>
      </rPr>
      <t xml:space="preserve">그림체</t>
    </r>
  </si>
  <si>
    <t xml:space="preserve">트릭컬 리바이브</t>
  </si>
  <si>
    <t xml:space="preserve">Epid Games</t>
  </si>
  <si>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한국 </t>
    </r>
    <r>
      <rPr>
        <sz val="11"/>
        <rFont val="Arial"/>
        <family val="0"/>
        <charset val="1"/>
      </rPr>
      <t xml:space="preserve">7 / </t>
    </r>
    <r>
      <rPr>
        <sz val="11"/>
        <rFont val="Noto Sans CJK SC"/>
        <family val="2"/>
      </rPr>
      <t xml:space="preserve">무료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한국 </t>
    </r>
    <r>
      <rPr>
        <sz val="11"/>
        <rFont val="Arial"/>
        <family val="0"/>
        <charset val="1"/>
      </rPr>
      <t xml:space="preserve">44</t>
    </r>
  </si>
  <si>
    <r>
      <rPr>
        <sz val="11"/>
        <rFont val="Noto Sans CJK SC"/>
        <family val="2"/>
      </rPr>
      <t xml:space="preserve">캐릭터 뽑기 → 육성 → 전투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세부 확인 필요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</si>
  <si>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캐릭터 수집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이벤트</t>
    </r>
  </si>
  <si>
    <t xml:space="preserve">뽑기 인앱결제</t>
  </si>
  <si>
    <r>
      <rPr>
        <sz val="11"/>
        <rFont val="Noto Sans CJK SC"/>
        <family val="2"/>
      </rPr>
      <t xml:space="preserve">게임명에 </t>
    </r>
    <r>
      <rPr>
        <sz val="11"/>
        <rFont val="Arial"/>
        <family val="0"/>
        <charset val="1"/>
      </rPr>
      <t xml:space="preserve">'600</t>
    </r>
    <r>
      <rPr>
        <sz val="11"/>
        <rFont val="Noto Sans CJK SC"/>
        <family val="2"/>
      </rPr>
      <t xml:space="preserve">뽑기 증정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표기</t>
    </r>
  </si>
  <si>
    <r>
      <rPr>
        <sz val="11"/>
        <rFont val="Noto Sans CJK SC"/>
        <family val="2"/>
      </rPr>
      <t xml:space="preserve">귀여운 </t>
    </r>
    <r>
      <rPr>
        <sz val="11"/>
        <rFont val="Arial"/>
        <family val="0"/>
        <charset val="1"/>
      </rPr>
      <t xml:space="preserve">2D </t>
    </r>
    <r>
      <rPr>
        <sz val="11"/>
        <rFont val="Noto Sans CJK SC"/>
        <family val="2"/>
      </rPr>
      <t xml:space="preserve">캐릭터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확인 권장</t>
    </r>
    <r>
      <rPr>
        <sz val="11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</si>
  <si>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기존 </t>
    </r>
    <r>
      <rPr>
        <i val="true"/>
        <sz val="11"/>
        <color rgb="FF595959"/>
        <rFont val="Arial"/>
        <family val="0"/>
        <charset val="1"/>
      </rPr>
      <t xml:space="preserve">12</t>
    </r>
    <r>
      <rPr>
        <i val="true"/>
        <sz val="11"/>
        <color rgb="FF595959"/>
        <rFont val="Noto Sans CJK SC"/>
        <family val="2"/>
      </rPr>
      <t xml:space="preserve">개 게임은 </t>
    </r>
    <r>
      <rPr>
        <i val="true"/>
        <sz val="11"/>
        <color rgb="FF595959"/>
        <rFont val="Arial"/>
        <family val="0"/>
        <charset val="1"/>
      </rPr>
      <t xml:space="preserve">'1-4 </t>
    </r>
    <r>
      <rPr>
        <i val="true"/>
        <sz val="11"/>
        <color rgb="FF595959"/>
        <rFont val="Noto Sans CJK SC"/>
        <family val="2"/>
      </rPr>
      <t xml:space="preserve">성공 비결 해부</t>
    </r>
    <r>
      <rPr>
        <i val="true"/>
        <sz val="11"/>
        <color rgb="FF595959"/>
        <rFont val="Arial"/>
        <family val="0"/>
        <charset val="1"/>
      </rPr>
      <t xml:space="preserve">' </t>
    </r>
    <r>
      <rPr>
        <i val="true"/>
        <sz val="11"/>
        <color rgb="FF595959"/>
        <rFont val="Noto Sans CJK SC"/>
        <family val="2"/>
      </rPr>
      <t xml:space="preserve">시트에 있습니다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확장 게임은 차트 데이터를 다시 모으지 않아 </t>
    </r>
    <r>
      <rPr>
        <i val="true"/>
        <sz val="11"/>
        <color rgb="FF595959"/>
        <rFont val="Arial"/>
        <family val="0"/>
        <charset val="1"/>
      </rPr>
      <t xml:space="preserve">'1-2 </t>
    </r>
    <r>
      <rPr>
        <i val="true"/>
        <sz val="11"/>
        <color rgb="FF595959"/>
        <rFont val="Noto Sans CJK SC"/>
        <family val="2"/>
      </rPr>
      <t xml:space="preserve">성공 점수표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에는 넣지 않았습니다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</si>
  <si>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b val="true"/>
        <sz val="11"/>
        <color rgb="FFFFFFFF"/>
        <rFont val="Noto Sans CJK SC"/>
        <family val="2"/>
      </rPr>
      <t xml:space="preserve">매출 </t>
    </r>
    <r>
      <rPr>
        <b val="true"/>
        <sz val="11"/>
        <color rgb="FFFFFFFF"/>
        <rFont val="Arial"/>
        <family val="0"/>
        <charset val="1"/>
      </rPr>
      <t xml:space="preserve">Top100 </t>
    </r>
    <r>
      <rPr>
        <b val="true"/>
        <sz val="11"/>
        <color rgb="FFFFFFFF"/>
        <rFont val="Noto Sans CJK SC"/>
        <family val="2"/>
      </rPr>
      <t xml:space="preserve">진입 </t>
    </r>
    <r>
      <rPr>
        <b val="true"/>
        <sz val="11"/>
        <color rgb="FFFFFFFF"/>
        <rFont val="Arial"/>
        <family val="0"/>
        <charset val="1"/>
      </rPr>
      <t xml:space="preserve">(4</t>
    </r>
    <r>
      <rPr>
        <b val="true"/>
        <sz val="11"/>
        <color rgb="FFFFFFFF"/>
        <rFont val="Noto Sans CJK SC"/>
        <family val="2"/>
      </rPr>
      <t xml:space="preserve">개국 중 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곳 이상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</si>
  <si>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한 손가락 단순 조작</t>
  </si>
  <si>
    <r>
      <rPr>
        <b val="true"/>
        <sz val="11"/>
        <color rgb="FFFFFFFF"/>
        <rFont val="Noto Sans CJK SC"/>
        <family val="2"/>
      </rPr>
      <t xml:space="preserve">짧은 한 판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몇 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</si>
  <si>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메타 진행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꾸미기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건설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스토리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성장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</si>
  <si>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수집 요소</t>
  </si>
  <si>
    <r>
      <rPr>
        <b val="true"/>
        <sz val="11"/>
        <color rgb="FFFFFFFF"/>
        <rFont val="Noto Sans CJK SC"/>
        <family val="2"/>
      </rPr>
      <t xml:space="preserve">친구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동맹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대전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소셜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</si>
  <si>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유명 </t>
    </r>
    <r>
      <rPr>
        <b val="true"/>
        <sz val="11"/>
        <color rgb="FFFFFFFF"/>
        <rFont val="Arial"/>
        <family val="0"/>
        <charset val="1"/>
      </rPr>
      <t xml:space="preserve">IP·</t>
    </r>
    <r>
      <rPr>
        <b val="true"/>
        <sz val="11"/>
        <color rgb="FFFFFFFF"/>
        <rFont val="Noto Sans CJK SC"/>
        <family val="2"/>
      </rPr>
      <t xml:space="preserve">콜라보</t>
    </r>
  </si>
  <si>
    <r>
      <rPr>
        <b val="true"/>
        <sz val="11"/>
        <color rgb="FFFFFFFF"/>
        <rFont val="Noto Sans CJK SC"/>
        <family val="2"/>
      </rPr>
      <t xml:space="preserve">랜덤 보상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뽑기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슬롯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카드팩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</si>
  <si>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광고 수익 중심</t>
  </si>
  <si>
    <t xml:space="preserve">인앱결제 중심</t>
  </si>
  <si>
    <r>
      <rPr>
        <b val="true"/>
        <sz val="11"/>
        <color rgb="FFFFFFFF"/>
        <rFont val="Noto Sans CJK SC"/>
        <family val="2"/>
      </rPr>
      <t xml:space="preserve">라이브 이벤트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시즌</t>
    </r>
  </si>
  <si>
    <t xml:space="preserve">아니오</t>
  </si>
  <si>
    <t xml:space="preserve">?</t>
  </si>
  <si>
    <t xml:space="preserve">예</t>
  </si>
  <si>
    <r>
      <rPr>
        <b val="true"/>
        <sz val="12"/>
        <rFont val="Noto Sans CJK SC"/>
        <family val="2"/>
      </rPr>
      <t xml:space="preserve">공통점 요약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자동 계산</t>
    </r>
    <r>
      <rPr>
        <b val="true"/>
        <sz val="12"/>
        <rFont val="Arial"/>
        <family val="0"/>
        <charset val="1"/>
      </rPr>
      <t xml:space="preserve">)</t>
    </r>
  </si>
  <si>
    <t xml:space="preserve">요소</t>
  </si>
  <si>
    <r>
      <rPr>
        <b val="true"/>
        <sz val="11"/>
        <color rgb="FFFFFFFF"/>
        <rFont val="Arial"/>
        <family val="0"/>
        <charset val="1"/>
      </rPr>
      <t xml:space="preserve">'</t>
    </r>
    <r>
      <rPr>
        <b val="true"/>
        <sz val="11"/>
        <color rgb="FFFFFFFF"/>
        <rFont val="Noto Sans CJK SC"/>
        <family val="2"/>
      </rPr>
      <t xml:space="preserve">예</t>
    </r>
    <r>
      <rPr>
        <b val="true"/>
        <sz val="11"/>
        <color rgb="FFFFFFFF"/>
        <rFont val="Arial"/>
        <family val="0"/>
        <charset val="1"/>
      </rPr>
      <t xml:space="preserve">' </t>
    </r>
    <r>
      <rPr>
        <b val="true"/>
        <sz val="11"/>
        <color rgb="FFFFFFFF"/>
        <rFont val="Noto Sans CJK SC"/>
        <family val="2"/>
      </rPr>
      <t xml:space="preserve">게임 수</t>
    </r>
  </si>
  <si>
    <t xml:space="preserve">확인된 게임 중 비율</t>
  </si>
  <si>
    <t xml:space="preserve">매출 진입 게임 중 비율</t>
  </si>
  <si>
    <t xml:space="preserve">매출 미진입 게임 중 비율</t>
  </si>
  <si>
    <r>
      <rPr>
        <b val="true"/>
        <sz val="11"/>
        <color rgb="FFFFFFFF"/>
        <rFont val="Noto Sans CJK SC"/>
        <family val="2"/>
      </rPr>
      <t xml:space="preserve">차이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매출 진입 − 미진입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</si>
  <si>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짧은 한 판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몇 분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</si>
  <si>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메타 진행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꾸미기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건설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스토리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성장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</si>
  <si>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친구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동맹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대전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소셜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</si>
  <si>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유명 </t>
    </r>
    <r>
      <rPr>
        <b val="true"/>
        <sz val="11"/>
        <rFont val="Arial"/>
        <family val="0"/>
        <charset val="1"/>
      </rPr>
      <t xml:space="preserve">IP·</t>
    </r>
    <r>
      <rPr>
        <b val="true"/>
        <sz val="11"/>
        <rFont val="Noto Sans CJK SC"/>
        <family val="2"/>
      </rPr>
      <t xml:space="preserve">콜라보</t>
    </r>
  </si>
  <si>
    <r>
      <rPr>
        <b val="true"/>
        <sz val="11"/>
        <rFont val="Noto Sans CJK SC"/>
        <family val="2"/>
      </rPr>
      <t xml:space="preserve">랜덤 보상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뽑기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슬롯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카드팩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</si>
  <si>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라이브 이벤트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시즌</t>
    </r>
  </si>
  <si>
    <r>
      <rPr>
        <b val="true"/>
        <sz val="12"/>
        <rFont val="Noto Sans CJK SC"/>
        <family val="2"/>
      </rPr>
      <t xml:space="preserve">장르 그룹별 </t>
    </r>
    <r>
      <rPr>
        <b val="true"/>
        <sz val="12"/>
        <rFont val="Arial"/>
        <family val="0"/>
        <charset val="1"/>
      </rPr>
      <t xml:space="preserve">'</t>
    </r>
    <r>
      <rPr>
        <b val="true"/>
        <sz val="12"/>
        <rFont val="Noto Sans CJK SC"/>
        <family val="2"/>
      </rPr>
      <t xml:space="preserve">예</t>
    </r>
    <r>
      <rPr>
        <b val="true"/>
        <sz val="12"/>
        <rFont val="Arial"/>
        <family val="0"/>
        <charset val="1"/>
      </rPr>
      <t xml:space="preserve">' </t>
    </r>
    <r>
      <rPr>
        <b val="true"/>
        <sz val="12"/>
        <rFont val="Noto Sans CJK SC"/>
        <family val="2"/>
      </rPr>
      <t xml:space="preserve">개수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자동 계산</t>
    </r>
    <r>
      <rPr>
        <b val="true"/>
        <sz val="12"/>
        <rFont val="Arial"/>
        <family val="0"/>
        <charset val="1"/>
      </rPr>
      <t xml:space="preserve">)</t>
    </r>
  </si>
  <si>
    <t xml:space="preserve">게임 수</t>
  </si>
  <si>
    <r>
      <rPr>
        <i val="true"/>
        <sz val="11"/>
        <color rgb="FF595959"/>
        <rFont val="Arial"/>
        <family val="0"/>
        <charset val="1"/>
      </rPr>
      <t xml:space="preserve">1=</t>
    </r>
    <r>
      <rPr>
        <i val="true"/>
        <sz val="11"/>
        <color rgb="FF595959"/>
        <rFont val="Noto Sans CJK SC"/>
        <family val="2"/>
      </rPr>
      <t xml:space="preserve">해당</t>
    </r>
    <r>
      <rPr>
        <i val="true"/>
        <sz val="11"/>
        <color rgb="FF595959"/>
        <rFont val="Arial"/>
        <family val="0"/>
        <charset val="1"/>
      </rPr>
      <t xml:space="preserve">, 0=</t>
    </r>
    <r>
      <rPr>
        <i val="true"/>
        <sz val="11"/>
        <color rgb="FF595959"/>
        <rFont val="Noto Sans CJK SC"/>
        <family val="2"/>
      </rPr>
      <t xml:space="preserve">해당 안 함</t>
    </r>
    <r>
      <rPr>
        <i val="true"/>
        <sz val="11"/>
        <color rgb="FF595959"/>
        <rFont val="Arial"/>
        <family val="0"/>
        <charset val="1"/>
      </rPr>
      <t xml:space="preserve">, ?=</t>
    </r>
    <r>
      <rPr>
        <i val="true"/>
        <sz val="11"/>
        <color rgb="FF595959"/>
        <rFont val="Noto Sans CJK SC"/>
        <family val="2"/>
      </rPr>
      <t xml:space="preserve">확인 안 됨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회색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분류는 공개된 게임 방식과 이번 차트 조사에 근거한 분석자 판단이며</t>
    </r>
    <r>
      <rPr>
        <i val="true"/>
        <sz val="11"/>
        <color rgb="FF595959"/>
        <rFont val="Arial"/>
        <family val="0"/>
        <charset val="1"/>
      </rPr>
      <t xml:space="preserve">, '?'</t>
    </r>
    <r>
      <rPr>
        <i val="true"/>
        <sz val="11"/>
        <color rgb="FF595959"/>
        <rFont val="Noto Sans CJK SC"/>
        <family val="2"/>
      </rPr>
      <t xml:space="preserve">는 계산에서 제외됩니다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</si>
  <si>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매출 </t>
    </r>
    <r>
      <rPr>
        <i val="true"/>
        <sz val="11"/>
        <color rgb="FF595959"/>
        <rFont val="Arial"/>
        <family val="0"/>
        <charset val="1"/>
      </rPr>
      <t xml:space="preserve">Top100 </t>
    </r>
    <r>
      <rPr>
        <i val="true"/>
        <sz val="11"/>
        <color rgb="FF595959"/>
        <rFont val="Noto Sans CJK SC"/>
        <family val="2"/>
      </rPr>
      <t xml:space="preserve">진입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은 이번에 조사한 구글 플레이 매출 순위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미국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브라질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일본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한국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에서 확인된 경우만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예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입니다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조사 범위 밖이면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미확인</t>
    </r>
    <r>
      <rPr>
        <i val="true"/>
        <sz val="11"/>
        <color rgb="FF595959"/>
        <rFont val="Arial"/>
        <family val="0"/>
        <charset val="1"/>
      </rPr>
      <t xml:space="preserve">'.</t>
    </r>
  </si>
  <si>
    <r>
      <rPr>
        <i val="true"/>
        <sz val="11"/>
        <color rgb="FF595959"/>
        <rFont val="Noto Sans CJK SC"/>
        <family val="2"/>
      </rPr>
      <t xml:space="preserve">게임 수가 적어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매출 진입 </t>
    </r>
    <r>
      <rPr>
        <i val="true"/>
        <sz val="11"/>
        <color rgb="FF595959"/>
        <rFont val="Arial"/>
        <family val="0"/>
        <charset val="1"/>
      </rPr>
      <t xml:space="preserve">15</t>
    </r>
    <r>
      <rPr>
        <i val="true"/>
        <sz val="11"/>
        <color rgb="FF595959"/>
        <rFont val="Noto Sans CJK SC"/>
        <family val="2"/>
      </rPr>
      <t xml:space="preserve">개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미진입 </t>
    </r>
    <r>
      <rPr>
        <i val="true"/>
        <sz val="11"/>
        <color rgb="FF595959"/>
        <rFont val="Arial"/>
        <family val="0"/>
        <charset val="1"/>
      </rPr>
      <t xml:space="preserve">4</t>
    </r>
    <r>
      <rPr>
        <i val="true"/>
        <sz val="11"/>
        <color rgb="FF595959"/>
        <rFont val="Noto Sans CJK SC"/>
        <family val="2"/>
      </rPr>
      <t xml:space="preserve">개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미확인 </t>
    </r>
    <r>
      <rPr>
        <i val="true"/>
        <sz val="11"/>
        <color rgb="FF595959"/>
        <rFont val="Arial"/>
        <family val="0"/>
        <charset val="1"/>
      </rPr>
      <t xml:space="preserve">7</t>
    </r>
    <r>
      <rPr>
        <i val="true"/>
        <sz val="11"/>
        <color rgb="FF595959"/>
        <rFont val="Noto Sans CJK SC"/>
        <family val="2"/>
      </rPr>
      <t xml:space="preserve">개</t>
    </r>
    <r>
      <rPr>
        <i val="true"/>
        <sz val="11"/>
        <color rgb="FF595959"/>
        <rFont val="Arial"/>
        <family val="0"/>
        <charset val="1"/>
      </rPr>
      <t xml:space="preserve">) </t>
    </r>
    <r>
      <rPr>
        <i val="true"/>
        <sz val="11"/>
        <color rgb="FF595959"/>
        <rFont val="Noto Sans CJK SC"/>
        <family val="2"/>
      </rPr>
      <t xml:space="preserve">비율은 경향을 보는 참고용이며 통계적 결론이 아닙니다</t>
    </r>
    <r>
      <rPr>
        <i val="true"/>
        <sz val="11"/>
        <color rgb="FF595959"/>
        <rFont val="Arial"/>
        <family val="0"/>
        <charset val="1"/>
      </rPr>
      <t xml:space="preserve">.</t>
    </r>
  </si>
  <si>
    <t xml:space="preserve">성공 공식</t>
  </si>
  <si>
    <t xml:space="preserve">쉽게 말하면</t>
  </si>
  <si>
    <t xml:space="preserve">근거</t>
  </si>
  <si>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초 안에 이해되는 규칙</t>
    </r>
  </si>
  <si>
    <t xml:space="preserve">설명서 없이 보자마자 할 수 있어야 해요</t>
  </si>
  <si>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개국 무료 </t>
    </r>
    <r>
      <rPr>
        <sz val="11"/>
        <rFont val="Arial"/>
        <family val="0"/>
        <charset val="1"/>
      </rPr>
      <t xml:space="preserve">Top 10</t>
    </r>
    <r>
      <rPr>
        <sz val="11"/>
        <rFont val="Noto Sans CJK SC"/>
        <family val="2"/>
      </rPr>
      <t xml:space="preserve">에 공통으로 오른 </t>
    </r>
    <r>
      <rPr>
        <sz val="11"/>
        <rFont val="Arial"/>
        <family val="0"/>
        <charset val="1"/>
      </rPr>
      <t xml:space="preserve">Block Blast·Meowdoku·Bus Fever Party·Rotate Rings </t>
    </r>
    <r>
      <rPr>
        <sz val="11"/>
        <rFont val="Noto Sans CJK SC"/>
        <family val="2"/>
      </rPr>
      <t xml:space="preserve">모두 한 손가락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한 규칙 게임</t>
    </r>
  </si>
  <si>
    <r>
      <rPr>
        <b val="true"/>
        <sz val="11"/>
        <rFont val="Arial"/>
        <family val="0"/>
        <charset val="1"/>
      </rPr>
      <t xml:space="preserve">'</t>
    </r>
    <r>
      <rPr>
        <b val="true"/>
        <sz val="11"/>
        <rFont val="Noto Sans CJK SC"/>
        <family val="2"/>
      </rPr>
      <t xml:space="preserve">많이 받는 게임</t>
    </r>
    <r>
      <rPr>
        <b val="true"/>
        <sz val="11"/>
        <rFont val="Arial"/>
        <family val="0"/>
        <charset val="1"/>
      </rPr>
      <t xml:space="preserve">'</t>
    </r>
    <r>
      <rPr>
        <b val="true"/>
        <sz val="11"/>
        <rFont val="Noto Sans CJK SC"/>
        <family val="2"/>
      </rPr>
      <t xml:space="preserve">과 </t>
    </r>
    <r>
      <rPr>
        <b val="true"/>
        <sz val="11"/>
        <rFont val="Arial"/>
        <family val="0"/>
        <charset val="1"/>
      </rPr>
      <t xml:space="preserve">'</t>
    </r>
    <r>
      <rPr>
        <b val="true"/>
        <sz val="11"/>
        <rFont val="Noto Sans CJK SC"/>
        <family val="2"/>
      </rPr>
      <t xml:space="preserve">돈 버는 게임</t>
    </r>
    <r>
      <rPr>
        <b val="true"/>
        <sz val="11"/>
        <rFont val="Arial"/>
        <family val="0"/>
        <charset val="1"/>
      </rPr>
      <t xml:space="preserve">'</t>
    </r>
    <r>
      <rPr>
        <b val="true"/>
        <sz val="11"/>
        <rFont val="Noto Sans CJK SC"/>
        <family val="2"/>
      </rPr>
      <t xml:space="preserve">은 다르다</t>
    </r>
  </si>
  <si>
    <r>
      <rPr>
        <sz val="11"/>
        <rFont val="Noto Sans CJK SC"/>
        <family val="2"/>
      </rPr>
      <t xml:space="preserve">인기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등이 꼭 부자는 아니에요</t>
    </r>
  </si>
  <si>
    <r>
      <rPr>
        <sz val="11"/>
        <rFont val="Noto Sans CJK SC"/>
        <family val="2"/>
      </rPr>
      <t xml:space="preserve">무료 상위 퍼즐 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개 중 매출 </t>
    </r>
    <r>
      <rPr>
        <sz val="11"/>
        <rFont val="Arial"/>
        <family val="0"/>
        <charset val="1"/>
      </rPr>
      <t xml:space="preserve">Top 100</t>
    </r>
    <r>
      <rPr>
        <sz val="11"/>
        <rFont val="Noto Sans CJK SC"/>
        <family val="2"/>
      </rPr>
      <t xml:space="preserve">은 </t>
    </r>
    <r>
      <rPr>
        <sz val="11"/>
        <rFont val="Arial"/>
        <family val="0"/>
        <charset val="1"/>
      </rPr>
      <t xml:space="preserve">Magic Sort(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56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) 1</t>
    </r>
    <r>
      <rPr>
        <sz val="11"/>
        <rFont val="Noto Sans CJK SC"/>
        <family val="2"/>
      </rPr>
      <t xml:space="preserve">개뿐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반대로 </t>
    </r>
    <r>
      <rPr>
        <sz val="11"/>
        <rFont val="Arial"/>
        <family val="0"/>
        <charset val="1"/>
      </rPr>
      <t xml:space="preserve">Whiteout</t>
    </r>
    <r>
      <rPr>
        <sz val="11"/>
        <rFont val="Noto Sans CJK SC"/>
        <family val="2"/>
      </rPr>
      <t xml:space="preserve">은 무료 순위가 낮아도 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개국 매출 </t>
    </r>
    <r>
      <rPr>
        <sz val="11"/>
        <rFont val="Arial"/>
        <family val="0"/>
        <charset val="1"/>
      </rPr>
      <t xml:space="preserve">Top 25</t>
    </r>
  </si>
  <si>
    <r>
      <rPr>
        <b val="true"/>
        <sz val="11"/>
        <rFont val="Noto Sans CJK SC"/>
        <family val="2"/>
      </rPr>
      <t xml:space="preserve">퍼즐 </t>
    </r>
    <r>
      <rPr>
        <b val="true"/>
        <sz val="11"/>
        <rFont val="Arial"/>
        <family val="0"/>
        <charset val="1"/>
      </rPr>
      <t xml:space="preserve">+ </t>
    </r>
    <r>
      <rPr>
        <b val="true"/>
        <sz val="11"/>
        <rFont val="Noto Sans CJK SC"/>
        <family val="2"/>
      </rPr>
      <t xml:space="preserve">꾸미기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이야기 </t>
    </r>
    <r>
      <rPr>
        <b val="true"/>
        <sz val="11"/>
        <rFont val="Arial"/>
        <family val="0"/>
        <charset val="1"/>
      </rPr>
      <t xml:space="preserve">= </t>
    </r>
    <r>
      <rPr>
        <b val="true"/>
        <sz val="11"/>
        <rFont val="Noto Sans CJK SC"/>
        <family val="2"/>
      </rPr>
      <t xml:space="preserve">돈</t>
    </r>
  </si>
  <si>
    <r>
      <rPr>
        <sz val="11"/>
        <rFont val="Noto Sans CJK SC"/>
        <family val="2"/>
      </rPr>
      <t xml:space="preserve">퍼즐만 있으면 심심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내 성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드라마가 있으면 계속 와요</t>
    </r>
  </si>
  <si>
    <r>
      <rPr>
        <sz val="11"/>
        <rFont val="Arial"/>
        <family val="0"/>
        <charset val="1"/>
      </rPr>
      <t xml:space="preserve">Royal Match(</t>
    </r>
    <r>
      <rPr>
        <sz val="11"/>
        <rFont val="Noto Sans CJK SC"/>
        <family val="2"/>
      </rPr>
      <t xml:space="preserve">성 꾸미기</t>
    </r>
    <r>
      <rPr>
        <sz val="11"/>
        <rFont val="Arial"/>
        <family val="0"/>
        <charset val="1"/>
      </rPr>
      <t xml:space="preserve">)·Gossip Harbor(</t>
    </r>
    <r>
      <rPr>
        <sz val="11"/>
        <rFont val="Noto Sans CJK SC"/>
        <family val="2"/>
      </rPr>
      <t xml:space="preserve">스토리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가 퍼즐 장르로 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개국 매출 모두 </t>
    </r>
    <r>
      <rPr>
        <sz val="11"/>
        <rFont val="Arial"/>
        <family val="0"/>
        <charset val="1"/>
      </rPr>
      <t xml:space="preserve">Top 25</t>
    </r>
  </si>
  <si>
    <t xml:space="preserve">같이 하면 오래 간다</t>
  </si>
  <si>
    <r>
      <rPr>
        <sz val="11"/>
        <rFont val="Noto Sans CJK SC"/>
        <family val="2"/>
      </rPr>
      <t xml:space="preserve">친구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동맹과 함께하면 그만두기 어려워요</t>
    </r>
  </si>
  <si>
    <r>
      <rPr>
        <sz val="11"/>
        <rFont val="Arial"/>
        <family val="0"/>
        <charset val="1"/>
      </rPr>
      <t xml:space="preserve">MONOPOLY GO!(</t>
    </r>
    <r>
      <rPr>
        <sz val="11"/>
        <rFont val="Noto Sans CJK SC"/>
        <family val="2"/>
      </rPr>
      <t xml:space="preserve">친구 이벤트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미국 매출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, Whiteout(</t>
    </r>
    <r>
      <rPr>
        <sz val="11"/>
        <rFont val="Noto Sans CJK SC"/>
        <family val="2"/>
      </rPr>
      <t xml:space="preserve">동맹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한국 매출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, Free Fire(</t>
    </r>
    <r>
      <rPr>
        <sz val="11"/>
        <rFont val="Noto Sans CJK SC"/>
        <family val="2"/>
      </rPr>
      <t xml:space="preserve">스쿼드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브라질 매출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위</t>
    </r>
  </si>
  <si>
    <r>
      <rPr>
        <b val="true"/>
        <sz val="11"/>
        <rFont val="Noto Sans CJK SC"/>
        <family val="2"/>
      </rPr>
      <t xml:space="preserve">현지 사람이 아는 얼굴</t>
    </r>
    <r>
      <rPr>
        <b val="true"/>
        <sz val="11"/>
        <rFont val="Arial"/>
        <family val="0"/>
        <charset val="1"/>
      </rPr>
      <t xml:space="preserve">(IP)</t>
    </r>
    <r>
      <rPr>
        <b val="true"/>
        <sz val="11"/>
        <rFont val="Noto Sans CJK SC"/>
        <family val="2"/>
      </rPr>
      <t xml:space="preserve">을 빌린다</t>
    </r>
  </si>
  <si>
    <t xml:space="preserve">유명한 캐릭터가 나오면 처음부터 믿고 받아요</t>
  </si>
  <si>
    <r>
      <rPr>
        <sz val="11"/>
        <rFont val="Arial"/>
        <family val="0"/>
        <charset val="1"/>
      </rPr>
      <t xml:space="preserve">Free Fire x NARUTO, MONOPOLY, </t>
    </r>
    <r>
      <rPr>
        <sz val="11"/>
        <rFont val="Noto Sans CJK SC"/>
        <family val="2"/>
      </rPr>
      <t xml:space="preserve">치이카와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일본 무료 </t>
    </r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), Disney Solitaire</t>
    </r>
  </si>
  <si>
    <r>
      <rPr>
        <b val="true"/>
        <sz val="12"/>
        <rFont val="Noto Sans CJK SC"/>
        <family val="2"/>
      </rPr>
      <t xml:space="preserve">가장 작게 시작할 수 있는 </t>
    </r>
    <r>
      <rPr>
        <b val="true"/>
        <sz val="12"/>
        <rFont val="Arial"/>
        <family val="0"/>
        <charset val="1"/>
      </rPr>
      <t xml:space="preserve">MVP </t>
    </r>
    <r>
      <rPr>
        <b val="true"/>
        <sz val="12"/>
        <rFont val="Noto Sans CJK SC"/>
        <family val="2"/>
      </rPr>
      <t xml:space="preserve">순위</t>
    </r>
  </si>
  <si>
    <r>
      <rPr>
        <sz val="11"/>
        <rFont val="Arial"/>
        <family val="0"/>
        <charset val="1"/>
      </rPr>
      <t xml:space="preserve">MVP </t>
    </r>
    <r>
      <rPr>
        <sz val="11"/>
        <rFont val="Noto Sans CJK SC"/>
        <family val="2"/>
      </rPr>
      <t xml:space="preserve">규모</t>
    </r>
  </si>
  <si>
    <t xml:space="preserve">이유</t>
  </si>
  <si>
    <r>
      <rPr>
        <sz val="11"/>
        <rFont val="Noto Sans CJK SC"/>
        <family val="2"/>
      </rPr>
      <t xml:space="preserve">판 하나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규칙 하나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레벨 제작도 필요 없음</t>
    </r>
  </si>
  <si>
    <r>
      <rPr>
        <sz val="11"/>
        <rFont val="Noto Sans CJK SC"/>
        <family val="2"/>
      </rPr>
      <t xml:space="preserve">조작 하나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레벨 데이터</t>
    </r>
  </si>
  <si>
    <r>
      <rPr>
        <sz val="11"/>
        <rFont val="Noto Sans CJK SC"/>
        <family val="2"/>
      </rPr>
      <t xml:space="preserve">색 매칭 규칙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레벨</t>
    </r>
  </si>
  <si>
    <r>
      <rPr>
        <sz val="11"/>
        <rFont val="Noto Sans CJK SC"/>
        <family val="2"/>
      </rPr>
      <t xml:space="preserve">논리 퍼즐 엔진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레벨 생성기</t>
    </r>
  </si>
  <si>
    <r>
      <rPr>
        <sz val="11"/>
        <rFont val="Noto Sans CJK SC"/>
        <family val="2"/>
      </rPr>
      <t xml:space="preserve">검증된 규칙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연출 품질이 관건</t>
    </r>
  </si>
  <si>
    <r>
      <rPr>
        <sz val="11"/>
        <rFont val="Noto Sans CJK SC"/>
        <family val="2"/>
      </rPr>
      <t xml:space="preserve">매치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엔진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꾸미기 메타</t>
    </r>
  </si>
  <si>
    <r>
      <rPr>
        <sz val="11"/>
        <rFont val="Noto Sans CJK SC"/>
        <family val="2"/>
      </rPr>
      <t xml:space="preserve">방치 루프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뽑기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밸런스 작업 많음</t>
    </r>
  </si>
  <si>
    <r>
      <rPr>
        <sz val="11"/>
        <rFont val="Noto Sans CJK SC"/>
        <family val="2"/>
      </rPr>
      <t xml:space="preserve">스토리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아트 콘텐츠 양이 많음</t>
    </r>
  </si>
  <si>
    <r>
      <rPr>
        <sz val="11"/>
        <rFont val="Arial"/>
        <family val="0"/>
        <charset val="1"/>
      </rPr>
      <t xml:space="preserve">IP + </t>
    </r>
    <r>
      <rPr>
        <sz val="11"/>
        <rFont val="Noto Sans CJK SC"/>
        <family val="2"/>
      </rPr>
      <t xml:space="preserve">실시간 이벤트</t>
    </r>
  </si>
  <si>
    <r>
      <rPr>
        <sz val="11"/>
        <rFont val="Arial"/>
        <family val="0"/>
        <charset val="1"/>
      </rPr>
      <t xml:space="preserve">IP </t>
    </r>
    <r>
      <rPr>
        <sz val="11"/>
        <rFont val="Noto Sans CJK SC"/>
        <family val="2"/>
      </rPr>
      <t xml:space="preserve">라이선스 필수</t>
    </r>
  </si>
  <si>
    <r>
      <rPr>
        <sz val="11"/>
        <rFont val="Noto Sans CJK SC"/>
        <family val="2"/>
      </rPr>
      <t xml:space="preserve">서버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라이브 운영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마케팅 비용</t>
    </r>
  </si>
  <si>
    <t xml:space="preserve">실시간 멀티플레이 서버</t>
  </si>
  <si>
    <r>
      <rPr>
        <b val="true"/>
        <sz val="11"/>
        <color rgb="FFFFFFFF"/>
        <rFont val="Noto Sans CJK SC"/>
        <family val="2"/>
      </rPr>
      <t xml:space="preserve">꼭 필요 </t>
    </r>
    <r>
      <rPr>
        <b val="true"/>
        <sz val="11"/>
        <color rgb="FFFFFFFF"/>
        <rFont val="Arial"/>
        <family val="0"/>
        <charset val="1"/>
      </rPr>
      <t xml:space="preserve">(Must)</t>
    </r>
  </si>
  <si>
    <r>
      <rPr>
        <b val="true"/>
        <sz val="11"/>
        <color rgb="FFFFFFFF"/>
        <rFont val="Noto Sans CJK SC"/>
        <family val="2"/>
      </rPr>
      <t xml:space="preserve">있으면 좋음 </t>
    </r>
    <r>
      <rPr>
        <b val="true"/>
        <sz val="11"/>
        <color rgb="FFFFFFFF"/>
        <rFont val="Arial"/>
        <family val="0"/>
        <charset val="1"/>
      </rPr>
      <t xml:space="preserve">(Should)</t>
    </r>
  </si>
  <si>
    <r>
      <rPr>
        <b val="true"/>
        <sz val="11"/>
        <color rgb="FFFFFFFF"/>
        <rFont val="Noto Sans CJK SC"/>
        <family val="2"/>
      </rPr>
      <t xml:space="preserve">나중에 </t>
    </r>
    <r>
      <rPr>
        <b val="true"/>
        <sz val="11"/>
        <color rgb="FFFFFFFF"/>
        <rFont val="Arial"/>
        <family val="0"/>
        <charset val="1"/>
      </rPr>
      <t xml:space="preserve">(Later)</t>
    </r>
  </si>
  <si>
    <r>
      <rPr>
        <b val="true"/>
        <sz val="11"/>
        <color rgb="FFFFFFFF"/>
        <rFont val="Noto Sans CJK SC"/>
        <family val="2"/>
      </rPr>
      <t xml:space="preserve">예상 인원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기간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추정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</si>
  <si>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출시 전후 확인할 숫자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검증 지표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</si>
  <si>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만들 때 가장 어려운 점</t>
  </si>
  <si>
    <r>
      <rPr>
        <sz val="11"/>
        <rFont val="Noto Sans CJK SC"/>
        <family val="2"/>
      </rPr>
      <t xml:space="preserve">논리 퍼즐 규칙 엔진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정답 검증기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고양이 아트 세트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레벨 </t>
    </r>
    <r>
      <rPr>
        <sz val="11"/>
        <rFont val="Arial"/>
        <family val="0"/>
        <charset val="1"/>
      </rPr>
      <t xml:space="preserve">100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+, </t>
    </r>
    <r>
      <rPr>
        <sz val="11"/>
        <rFont val="Noto Sans CJK SC"/>
        <family val="2"/>
      </rPr>
      <t xml:space="preserve">힌트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되돌리기</t>
    </r>
  </si>
  <si>
    <r>
      <rPr>
        <sz val="11"/>
        <rFont val="Noto Sans CJK SC"/>
        <family val="2"/>
      </rPr>
      <t xml:space="preserve">보상형 광고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전면 광고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일일 퍼즐</t>
    </r>
  </si>
  <si>
    <r>
      <rPr>
        <sz val="11"/>
        <rFont val="Noto Sans CJK SC"/>
        <family val="2"/>
      </rPr>
      <t xml:space="preserve">고양이 도감 수집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시즌 이벤트</t>
    </r>
  </si>
  <si>
    <r>
      <rPr>
        <sz val="11"/>
        <rFont val="Arial"/>
        <family val="0"/>
        <charset val="1"/>
      </rPr>
      <t xml:space="preserve">2~4</t>
    </r>
    <r>
      <rPr>
        <sz val="11"/>
        <rFont val="Noto Sans CJK SC"/>
        <family val="2"/>
      </rPr>
      <t xml:space="preserve">명 </t>
    </r>
    <r>
      <rPr>
        <sz val="11"/>
        <rFont val="Arial"/>
        <family val="0"/>
        <charset val="1"/>
      </rPr>
      <t xml:space="preserve">/ 2~3</t>
    </r>
    <r>
      <rPr>
        <sz val="11"/>
        <rFont val="Noto Sans CJK SC"/>
        <family val="2"/>
      </rPr>
      <t xml:space="preserve">개월</t>
    </r>
  </si>
  <si>
    <r>
      <rPr>
        <sz val="11"/>
        <rFont val="Arial"/>
        <family val="0"/>
        <charset val="1"/>
      </rPr>
      <t xml:space="preserve">D1·D7 </t>
    </r>
    <r>
      <rPr>
        <sz val="11"/>
        <rFont val="Noto Sans CJK SC"/>
        <family val="2"/>
      </rPr>
      <t xml:space="preserve">리텐션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레벨 이탈 구간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광고 시청 수</t>
    </r>
  </si>
  <si>
    <t xml:space="preserve">풀 수 있으면서 너무 쉽지 않은 레벨 대량 생성</t>
  </si>
  <si>
    <r>
      <rPr>
        <sz val="11"/>
        <rFont val="Noto Sans CJK SC"/>
        <family val="2"/>
      </rPr>
      <t xml:space="preserve">고리 회전 조작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색 정렬 판정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레벨 </t>
    </r>
    <r>
      <rPr>
        <sz val="11"/>
        <rFont val="Arial"/>
        <family val="0"/>
        <charset val="1"/>
      </rPr>
      <t xml:space="preserve">100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+, </t>
    </r>
    <r>
      <rPr>
        <sz val="11"/>
        <rFont val="Noto Sans CJK SC"/>
        <family val="2"/>
      </rPr>
      <t xml:space="preserve">손맛 연출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사운드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진동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</si>
  <si>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광고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힌트 아이템</t>
    </r>
  </si>
  <si>
    <r>
      <rPr>
        <sz val="11"/>
        <rFont val="Noto Sans CJK SC"/>
        <family val="2"/>
      </rPr>
      <t xml:space="preserve">테마 스킨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이벤트 레벨</t>
    </r>
  </si>
  <si>
    <r>
      <rPr>
        <sz val="11"/>
        <rFont val="Arial"/>
        <family val="0"/>
        <charset val="1"/>
      </rPr>
      <t xml:space="preserve">D1 </t>
    </r>
    <r>
      <rPr>
        <sz val="11"/>
        <rFont val="Noto Sans CJK SC"/>
        <family val="2"/>
      </rPr>
      <t xml:space="preserve">리텐션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첫 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레벨 완료율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광고 시청 수</t>
    </r>
  </si>
  <si>
    <r>
      <rPr>
        <sz val="11"/>
        <rFont val="Noto Sans CJK SC"/>
        <family val="2"/>
      </rPr>
      <t xml:space="preserve">조작감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회전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스냅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의 기분 좋은 손맛</t>
    </r>
  </si>
  <si>
    <r>
      <rPr>
        <sz val="11"/>
        <rFont val="Arial"/>
        <family val="0"/>
        <charset val="1"/>
      </rPr>
      <t xml:space="preserve">8×8 </t>
    </r>
    <r>
      <rPr>
        <sz val="11"/>
        <rFont val="Noto Sans CJK SC"/>
        <family val="2"/>
      </rPr>
      <t xml:space="preserve">판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블록 생성 규칙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줄 지우기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콤보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최고 점수</t>
    </r>
  </si>
  <si>
    <r>
      <rPr>
        <sz val="11"/>
        <rFont val="Noto Sans CJK SC"/>
        <family val="2"/>
      </rPr>
      <t xml:space="preserve">광고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이어하기 보상 등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</si>
  <si>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모드 추가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레벨형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테마</t>
    </r>
  </si>
  <si>
    <r>
      <rPr>
        <sz val="11"/>
        <rFont val="Arial"/>
        <family val="0"/>
        <charset val="1"/>
      </rPr>
      <t xml:space="preserve">2~3</t>
    </r>
    <r>
      <rPr>
        <sz val="11"/>
        <rFont val="Noto Sans CJK SC"/>
        <family val="2"/>
      </rPr>
      <t xml:space="preserve">명 </t>
    </r>
    <r>
      <rPr>
        <sz val="11"/>
        <rFont val="Arial"/>
        <family val="0"/>
        <charset val="1"/>
      </rPr>
      <t xml:space="preserve">/ 1~2</t>
    </r>
    <r>
      <rPr>
        <sz val="11"/>
        <rFont val="Noto Sans CJK SC"/>
        <family val="2"/>
      </rPr>
      <t xml:space="preserve">개월</t>
    </r>
  </si>
  <si>
    <r>
      <rPr>
        <sz val="11"/>
        <rFont val="Noto Sans CJK SC"/>
        <family val="2"/>
      </rPr>
      <t xml:space="preserve">세션당 판 수</t>
    </r>
    <r>
      <rPr>
        <sz val="11"/>
        <rFont val="Arial"/>
        <family val="0"/>
        <charset val="1"/>
      </rPr>
      <t xml:space="preserve">, D1·D30 </t>
    </r>
    <r>
      <rPr>
        <sz val="11"/>
        <rFont val="Noto Sans CJK SC"/>
        <family val="2"/>
      </rPr>
      <t xml:space="preserve">리텐션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광고 수익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유저</t>
    </r>
  </si>
  <si>
    <r>
      <rPr>
        <sz val="11"/>
        <rFont val="Noto Sans CJK SC"/>
        <family val="2"/>
      </rPr>
      <t xml:space="preserve">블록이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공정하게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나오는 생성 규칙</t>
    </r>
  </si>
  <si>
    <r>
      <rPr>
        <sz val="11"/>
        <rFont val="Noto Sans CJK SC"/>
        <family val="2"/>
      </rPr>
      <t xml:space="preserve">병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액체 정렬 규칙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레벨 </t>
    </r>
    <r>
      <rPr>
        <sz val="11"/>
        <rFont val="Arial"/>
        <family val="0"/>
        <charset val="1"/>
      </rPr>
      <t xml:space="preserve">150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+, </t>
    </r>
    <r>
      <rPr>
        <sz val="11"/>
        <rFont val="Noto Sans CJK SC"/>
        <family val="2"/>
      </rPr>
      <t xml:space="preserve">액체 연출</t>
    </r>
  </si>
  <si>
    <r>
      <rPr>
        <sz val="11"/>
        <rFont val="Noto Sans CJK SC"/>
        <family val="2"/>
      </rPr>
      <t xml:space="preserve">광고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소액 인앱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힌트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빈 병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</si>
  <si>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시즌 이벤트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꾸미기 메타</t>
    </r>
  </si>
  <si>
    <r>
      <rPr>
        <sz val="11"/>
        <rFont val="Arial"/>
        <family val="0"/>
        <charset val="1"/>
      </rPr>
      <t xml:space="preserve">3~4</t>
    </r>
    <r>
      <rPr>
        <sz val="11"/>
        <rFont val="Noto Sans CJK SC"/>
        <family val="2"/>
      </rPr>
      <t xml:space="preserve">명 </t>
    </r>
    <r>
      <rPr>
        <sz val="11"/>
        <rFont val="Arial"/>
        <family val="0"/>
        <charset val="1"/>
      </rPr>
      <t xml:space="preserve">/ 2~3</t>
    </r>
    <r>
      <rPr>
        <sz val="11"/>
        <rFont val="Noto Sans CJK SC"/>
        <family val="2"/>
      </rPr>
      <t xml:space="preserve">개월</t>
    </r>
  </si>
  <si>
    <r>
      <rPr>
        <sz val="11"/>
        <rFont val="Noto Sans CJK SC"/>
        <family val="2"/>
      </rPr>
      <t xml:space="preserve">레벨 이탈 구간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광고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결제 비율</t>
    </r>
  </si>
  <si>
    <t xml:space="preserve">레벨 난이도 곡선 설계</t>
  </si>
  <si>
    <r>
      <rPr>
        <sz val="11"/>
        <rFont val="Noto Sans CJK SC"/>
        <family val="2"/>
      </rPr>
      <t xml:space="preserve">버스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승객 색 매칭 규칙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주차 공간 제한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레벨 </t>
    </r>
    <r>
      <rPr>
        <sz val="11"/>
        <rFont val="Arial"/>
        <family val="0"/>
        <charset val="1"/>
      </rPr>
      <t xml:space="preserve">100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+</t>
    </r>
  </si>
  <si>
    <r>
      <rPr>
        <sz val="11"/>
        <rFont val="Noto Sans CJK SC"/>
        <family val="2"/>
      </rPr>
      <t xml:space="preserve">광고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부스터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대기열 늘리기 등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</si>
  <si>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이벤트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수집</t>
    </r>
  </si>
  <si>
    <r>
      <rPr>
        <sz val="11"/>
        <rFont val="Arial"/>
        <family val="0"/>
        <charset val="1"/>
      </rPr>
      <t xml:space="preserve">D1 </t>
    </r>
    <r>
      <rPr>
        <sz val="11"/>
        <rFont val="Noto Sans CJK SC"/>
        <family val="2"/>
      </rPr>
      <t xml:space="preserve">리텐션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레벨당 실패율</t>
    </r>
  </si>
  <si>
    <t xml:space="preserve">막히는 순간과 풀리는 순간의 균형</t>
  </si>
  <si>
    <r>
      <rPr>
        <sz val="11"/>
        <rFont val="Noto Sans CJK SC"/>
        <family val="2"/>
      </rPr>
      <t xml:space="preserve">매치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엔진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장애물 </t>
    </r>
    <r>
      <rPr>
        <sz val="11"/>
        <rFont val="Arial"/>
        <family val="0"/>
        <charset val="1"/>
      </rPr>
      <t xml:space="preserve">5~8</t>
    </r>
    <r>
      <rPr>
        <sz val="11"/>
        <rFont val="Noto Sans CJK SC"/>
        <family val="2"/>
      </rPr>
      <t xml:space="preserve">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레벨 </t>
    </r>
    <r>
      <rPr>
        <sz val="11"/>
        <rFont val="Arial"/>
        <family val="0"/>
        <charset val="1"/>
      </rPr>
      <t xml:space="preserve">100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+, </t>
    </r>
    <r>
      <rPr>
        <sz val="11"/>
        <rFont val="Noto Sans CJK SC"/>
        <family val="2"/>
      </rPr>
      <t xml:space="preserve">성 꾸미기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구역</t>
    </r>
  </si>
  <si>
    <r>
      <rPr>
        <sz val="11"/>
        <rFont val="Noto Sans CJK SC"/>
        <family val="2"/>
      </rPr>
      <t xml:space="preserve">코인 상점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부스터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목숨 시스템</t>
    </r>
  </si>
  <si>
    <r>
      <rPr>
        <sz val="11"/>
        <rFont val="Noto Sans CJK SC"/>
        <family val="2"/>
      </rPr>
      <t xml:space="preserve">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길드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경쟁 이벤트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시즌 패스</t>
    </r>
  </si>
  <si>
    <r>
      <rPr>
        <sz val="11"/>
        <rFont val="Arial"/>
        <family val="0"/>
        <charset val="1"/>
      </rPr>
      <t xml:space="preserve">5~10</t>
    </r>
    <r>
      <rPr>
        <sz val="11"/>
        <rFont val="Noto Sans CJK SC"/>
        <family val="2"/>
      </rPr>
      <t xml:space="preserve">명 </t>
    </r>
    <r>
      <rPr>
        <sz val="11"/>
        <rFont val="Arial"/>
        <family val="0"/>
        <charset val="1"/>
      </rPr>
      <t xml:space="preserve">/ 4~8</t>
    </r>
    <r>
      <rPr>
        <sz val="11"/>
        <rFont val="Noto Sans CJK SC"/>
        <family val="2"/>
      </rPr>
      <t xml:space="preserve">개월</t>
    </r>
  </si>
  <si>
    <r>
      <rPr>
        <sz val="11"/>
        <rFont val="Arial"/>
        <family val="0"/>
        <charset val="1"/>
      </rPr>
      <t xml:space="preserve">D1·D7 </t>
    </r>
    <r>
      <rPr>
        <sz val="11"/>
        <rFont val="Noto Sans CJK SC"/>
        <family val="2"/>
      </rPr>
      <t xml:space="preserve">리텐션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레벨당 시도 횟수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첫 결제 전환율</t>
    </r>
  </si>
  <si>
    <r>
      <rPr>
        <sz val="11"/>
        <rFont val="Noto Sans CJK SC"/>
        <family val="2"/>
      </rPr>
      <t xml:space="preserve">매치</t>
    </r>
    <r>
      <rPr>
        <sz val="11"/>
        <rFont val="Arial"/>
        <family val="0"/>
        <charset val="1"/>
      </rPr>
      <t xml:space="preserve">3 '</t>
    </r>
    <r>
      <rPr>
        <sz val="11"/>
        <rFont val="Noto Sans CJK SC"/>
        <family val="2"/>
      </rPr>
      <t xml:space="preserve">손맛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과 연출 품질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이미 강자 다수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</si>
  <si>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머지 보드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아이템 체인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주문 시스템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스토리 </t>
    </r>
    <r>
      <rPr>
        <sz val="11"/>
        <rFont val="Arial"/>
        <family val="0"/>
        <charset val="1"/>
      </rPr>
      <t xml:space="preserve">1~2</t>
    </r>
    <r>
      <rPr>
        <sz val="11"/>
        <rFont val="Noto Sans CJK SC"/>
        <family val="2"/>
      </rPr>
      <t xml:space="preserve">장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에너지</t>
    </r>
  </si>
  <si>
    <r>
      <rPr>
        <sz val="11"/>
        <rFont val="Noto Sans CJK SC"/>
        <family val="2"/>
      </rPr>
      <t xml:space="preserve">에너지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아이템 상점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스토리 연출 강화</t>
    </r>
  </si>
  <si>
    <r>
      <rPr>
        <sz val="11"/>
        <rFont val="Noto Sans CJK SC"/>
        <family val="2"/>
      </rPr>
      <t xml:space="preserve">시즌 이벤트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새 지역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장 추가</t>
    </r>
  </si>
  <si>
    <r>
      <rPr>
        <sz val="11"/>
        <rFont val="Arial"/>
        <family val="0"/>
        <charset val="1"/>
      </rPr>
      <t xml:space="preserve">10~20</t>
    </r>
    <r>
      <rPr>
        <sz val="11"/>
        <rFont val="Noto Sans CJK SC"/>
        <family val="2"/>
      </rPr>
      <t xml:space="preserve">명 </t>
    </r>
    <r>
      <rPr>
        <sz val="11"/>
        <rFont val="Arial"/>
        <family val="0"/>
        <charset val="1"/>
      </rPr>
      <t xml:space="preserve">/ 8~12</t>
    </r>
    <r>
      <rPr>
        <sz val="11"/>
        <rFont val="Noto Sans CJK SC"/>
        <family val="2"/>
      </rPr>
      <t xml:space="preserve">개월</t>
    </r>
  </si>
  <si>
    <r>
      <rPr>
        <sz val="11"/>
        <rFont val="Arial"/>
        <family val="0"/>
        <charset val="1"/>
      </rPr>
      <t xml:space="preserve">D7·D30 </t>
    </r>
    <r>
      <rPr>
        <sz val="11"/>
        <rFont val="Noto Sans CJK SC"/>
        <family val="2"/>
      </rPr>
      <t xml:space="preserve">리텐션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스토리 장 완료율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결제 전환율</t>
    </r>
  </si>
  <si>
    <r>
      <rPr>
        <sz val="11"/>
        <rFont val="Noto Sans CJK SC"/>
        <family val="2"/>
      </rPr>
      <t xml:space="preserve">스토리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아트 콘텐츠를 계속 만들어야 하는 제작량</t>
    </r>
  </si>
  <si>
    <r>
      <rPr>
        <sz val="11"/>
        <rFont val="Noto Sans CJK SC"/>
        <family val="2"/>
      </rPr>
      <t xml:space="preserve">주사위 보드 루프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도시 짓기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친구 연동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최소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</si>
  <si>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이벤트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스티커 앨범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주사위 상점</t>
    </r>
  </si>
  <si>
    <r>
      <rPr>
        <sz val="11"/>
        <rFont val="Noto Sans CJK SC"/>
        <family val="2"/>
      </rPr>
      <t xml:space="preserve">파트너 이벤트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앨범 교환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대형 </t>
    </r>
    <r>
      <rPr>
        <sz val="11"/>
        <rFont val="Arial"/>
        <family val="0"/>
        <charset val="1"/>
      </rPr>
      <t xml:space="preserve">IP </t>
    </r>
    <r>
      <rPr>
        <sz val="11"/>
        <rFont val="Noto Sans CJK SC"/>
        <family val="2"/>
      </rPr>
      <t xml:space="preserve">계약</t>
    </r>
  </si>
  <si>
    <r>
      <rPr>
        <sz val="11"/>
        <rFont val="Arial"/>
        <family val="0"/>
        <charset val="1"/>
      </rPr>
      <t xml:space="preserve">15~25</t>
    </r>
    <r>
      <rPr>
        <sz val="11"/>
        <rFont val="Noto Sans CJK SC"/>
        <family val="2"/>
      </rPr>
      <t xml:space="preserve">명 </t>
    </r>
    <r>
      <rPr>
        <sz val="11"/>
        <rFont val="Arial"/>
        <family val="0"/>
        <charset val="1"/>
      </rPr>
      <t xml:space="preserve">/ 10~15</t>
    </r>
    <r>
      <rPr>
        <sz val="11"/>
        <rFont val="Noto Sans CJK SC"/>
        <family val="2"/>
      </rPr>
      <t xml:space="preserve">개월 </t>
    </r>
    <r>
      <rPr>
        <sz val="11"/>
        <rFont val="Arial"/>
        <family val="0"/>
        <charset val="1"/>
      </rPr>
      <t xml:space="preserve">(IP </t>
    </r>
    <r>
      <rPr>
        <sz val="11"/>
        <rFont val="Noto Sans CJK SC"/>
        <family val="2"/>
      </rPr>
      <t xml:space="preserve">제외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</si>
  <si>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D1·D30 </t>
    </r>
    <r>
      <rPr>
        <sz val="11"/>
        <rFont val="Noto Sans CJK SC"/>
        <family val="2"/>
      </rPr>
      <t xml:space="preserve">리텐션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친구 초대율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이벤트 참여율</t>
    </r>
    <r>
      <rPr>
        <sz val="11"/>
        <rFont val="Arial"/>
        <family val="0"/>
        <charset val="1"/>
      </rPr>
      <t xml:space="preserve">, ARPDAU</t>
    </r>
  </si>
  <si>
    <r>
      <rPr>
        <sz val="11"/>
        <rFont val="Arial"/>
        <family val="0"/>
        <charset val="1"/>
      </rPr>
      <t xml:space="preserve">IP </t>
    </r>
    <r>
      <rPr>
        <sz val="11"/>
        <rFont val="Noto Sans CJK SC"/>
        <family val="2"/>
      </rPr>
      <t xml:space="preserve">없이는 같은 효과를 내기 어려움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실시간 이벤트 운영</t>
    </r>
  </si>
  <si>
    <r>
      <rPr>
        <sz val="11"/>
        <rFont val="Noto Sans CJK SC"/>
        <family val="2"/>
      </rPr>
      <t xml:space="preserve">도시 건설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자원 루프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영웅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차 세트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서버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동맹 기본 기능</t>
    </r>
  </si>
  <si>
    <r>
      <rPr>
        <sz val="11"/>
        <rFont val="Noto Sans CJK SC"/>
        <family val="2"/>
      </rPr>
      <t xml:space="preserve">영웅 뽑기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가속 상점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일일 퀘스트</t>
    </r>
  </si>
  <si>
    <r>
      <rPr>
        <sz val="11"/>
        <rFont val="Noto Sans CJK SC"/>
        <family val="2"/>
      </rPr>
      <t xml:space="preserve">동맹 전쟁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시즌 서버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대형 이벤트</t>
    </r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</si>
  <si>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명 이상 </t>
    </r>
    <r>
      <rPr>
        <sz val="11"/>
        <rFont val="Arial"/>
        <family val="0"/>
        <charset val="1"/>
      </rPr>
      <t xml:space="preserve">/ 1.5</t>
    </r>
    <r>
      <rPr>
        <sz val="11"/>
        <rFont val="Noto Sans CJK SC"/>
        <family val="2"/>
      </rPr>
      <t xml:space="preserve">년 이상</t>
    </r>
  </si>
  <si>
    <r>
      <rPr>
        <sz val="11"/>
        <rFont val="Arial"/>
        <family val="0"/>
        <charset val="1"/>
      </rPr>
      <t xml:space="preserve">D30·D90 </t>
    </r>
    <r>
      <rPr>
        <sz val="11"/>
        <rFont val="Noto Sans CJK SC"/>
        <family val="2"/>
      </rPr>
      <t xml:space="preserve">리텐션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상위 결제자 비중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동맹 가입률</t>
    </r>
  </si>
  <si>
    <r>
      <rPr>
        <sz val="11"/>
        <rFont val="Noto Sans CJK SC"/>
        <family val="2"/>
      </rPr>
      <t xml:space="preserve">서버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밸런스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라이브 운영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매우 큰 마케팅 비용</t>
    </r>
  </si>
  <si>
    <r>
      <rPr>
        <sz val="11"/>
        <rFont val="Noto Sans CJK SC"/>
        <family val="2"/>
      </rPr>
      <t xml:space="preserve">실시간 멀티플레이 서버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매칭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맵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무기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캐릭터 기본 세트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저사양 최적화</t>
    </r>
  </si>
  <si>
    <r>
      <rPr>
        <sz val="11"/>
        <rFont val="Noto Sans CJK SC"/>
        <family val="2"/>
      </rPr>
      <t xml:space="preserve">랭크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스킨 상점</t>
    </r>
  </si>
  <si>
    <r>
      <rPr>
        <sz val="11"/>
        <rFont val="Noto Sans CJK SC"/>
        <family val="2"/>
      </rPr>
      <t xml:space="preserve">콜라보</t>
    </r>
    <r>
      <rPr>
        <sz val="11"/>
        <rFont val="Arial"/>
        <family val="0"/>
        <charset val="1"/>
      </rPr>
      <t xml:space="preserve">, e</t>
    </r>
    <r>
      <rPr>
        <sz val="11"/>
        <rFont val="Noto Sans CJK SC"/>
        <family val="2"/>
      </rPr>
      <t xml:space="preserve">스포츠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신규 모드</t>
    </r>
  </si>
  <si>
    <r>
      <rPr>
        <sz val="11"/>
        <rFont val="Arial"/>
        <family val="0"/>
        <charset val="1"/>
      </rPr>
      <t xml:space="preserve">40</t>
    </r>
    <r>
      <rPr>
        <sz val="11"/>
        <rFont val="Noto Sans CJK SC"/>
        <family val="2"/>
      </rPr>
      <t xml:space="preserve">명 이상 </t>
    </r>
    <r>
      <rPr>
        <sz val="11"/>
        <rFont val="Arial"/>
        <family val="0"/>
        <charset val="1"/>
      </rPr>
      <t xml:space="preserve">/ 2</t>
    </r>
    <r>
      <rPr>
        <sz val="11"/>
        <rFont val="Noto Sans CJK SC"/>
        <family val="2"/>
      </rPr>
      <t xml:space="preserve">년 이상</t>
    </r>
  </si>
  <si>
    <r>
      <rPr>
        <sz val="11"/>
        <rFont val="Noto Sans CJK SC"/>
        <family val="2"/>
      </rPr>
      <t xml:space="preserve">동시 접속자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매칭 대기시간</t>
    </r>
    <r>
      <rPr>
        <sz val="11"/>
        <rFont val="Arial"/>
        <family val="0"/>
        <charset val="1"/>
      </rPr>
      <t xml:space="preserve">, D7 </t>
    </r>
    <r>
      <rPr>
        <sz val="11"/>
        <rFont val="Noto Sans CJK SC"/>
        <family val="2"/>
      </rPr>
      <t xml:space="preserve">리텐션</t>
    </r>
  </si>
  <si>
    <r>
      <rPr>
        <sz val="11"/>
        <rFont val="Noto Sans CJK SC"/>
        <family val="2"/>
      </rPr>
      <t xml:space="preserve">실시간 서버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핵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부정행위 대응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저사양 최적화</t>
    </r>
  </si>
  <si>
    <r>
      <rPr>
        <sz val="11"/>
        <rFont val="Arial"/>
        <family val="0"/>
        <charset val="1"/>
      </rPr>
      <t xml:space="preserve">IP </t>
    </r>
    <r>
      <rPr>
        <sz val="11"/>
        <rFont val="Noto Sans CJK SC"/>
        <family val="2"/>
      </rPr>
      <t xml:space="preserve">라이선스 확보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원작 그림체 캐릭터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미니게임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수집 루프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</si>
  <si>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t xml:space="preserve">꾸미기 아이템 상점</t>
  </si>
  <si>
    <r>
      <rPr>
        <sz val="11"/>
        <rFont val="Arial"/>
        <family val="0"/>
        <charset val="1"/>
      </rPr>
      <t xml:space="preserve">IP </t>
    </r>
    <r>
      <rPr>
        <sz val="11"/>
        <rFont val="Noto Sans CJK SC"/>
        <family val="2"/>
      </rPr>
      <t xml:space="preserve">이벤트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굿즈 연동</t>
    </r>
  </si>
  <si>
    <r>
      <rPr>
        <sz val="11"/>
        <rFont val="Arial"/>
        <family val="0"/>
        <charset val="1"/>
      </rPr>
      <t xml:space="preserve">10~20</t>
    </r>
    <r>
      <rPr>
        <sz val="11"/>
        <rFont val="Noto Sans CJK SC"/>
        <family val="2"/>
      </rPr>
      <t xml:space="preserve">명 </t>
    </r>
    <r>
      <rPr>
        <sz val="11"/>
        <rFont val="Arial"/>
        <family val="0"/>
        <charset val="1"/>
      </rPr>
      <t xml:space="preserve">/ 8~12</t>
    </r>
    <r>
      <rPr>
        <sz val="11"/>
        <rFont val="Noto Sans CJK SC"/>
        <family val="2"/>
      </rPr>
      <t xml:space="preserve">개월 </t>
    </r>
    <r>
      <rPr>
        <sz val="11"/>
        <rFont val="Arial"/>
        <family val="0"/>
        <charset val="1"/>
      </rPr>
      <t xml:space="preserve">+ IP </t>
    </r>
    <r>
      <rPr>
        <sz val="11"/>
        <rFont val="Noto Sans CJK SC"/>
        <family val="2"/>
      </rPr>
      <t xml:space="preserve">계약</t>
    </r>
  </si>
  <si>
    <r>
      <rPr>
        <sz val="11"/>
        <rFont val="Noto Sans CJK SC"/>
        <family val="2"/>
      </rPr>
      <t xml:space="preserve">팬 유입 대비 </t>
    </r>
    <r>
      <rPr>
        <sz val="11"/>
        <rFont val="Arial"/>
        <family val="0"/>
        <charset val="1"/>
      </rPr>
      <t xml:space="preserve">D7 </t>
    </r>
    <r>
      <rPr>
        <sz val="11"/>
        <rFont val="Noto Sans CJK SC"/>
        <family val="2"/>
      </rPr>
      <t xml:space="preserve">리텐션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결제 전환율</t>
    </r>
  </si>
  <si>
    <r>
      <rPr>
        <sz val="11"/>
        <rFont val="Arial"/>
        <family val="0"/>
        <charset val="1"/>
      </rPr>
      <t xml:space="preserve">IP </t>
    </r>
    <r>
      <rPr>
        <sz val="11"/>
        <rFont val="Noto Sans CJK SC"/>
        <family val="2"/>
      </rPr>
      <t xml:space="preserve">확보 비용과 원작사 승인 절차</t>
    </r>
  </si>
  <si>
    <r>
      <rPr>
        <sz val="11"/>
        <rFont val="Noto Sans CJK SC"/>
        <family val="2"/>
      </rPr>
      <t xml:space="preserve">방치 성장 루프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자동 전투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뽑기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장비 시스템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초반 대량 뽑기 지급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</si>
  <si>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성장 패키지 상점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출석 보상</t>
    </r>
  </si>
  <si>
    <r>
      <rPr>
        <sz val="11"/>
        <rFont val="Noto Sans CJK SC"/>
        <family val="2"/>
      </rPr>
      <t xml:space="preserve">길드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랭킹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시즌 콘텐츠</t>
    </r>
  </si>
  <si>
    <r>
      <rPr>
        <sz val="11"/>
        <rFont val="Arial"/>
        <family val="0"/>
        <charset val="1"/>
      </rPr>
      <t xml:space="preserve">D1·D7 </t>
    </r>
    <r>
      <rPr>
        <sz val="11"/>
        <rFont val="Noto Sans CJK SC"/>
        <family val="2"/>
      </rPr>
      <t xml:space="preserve">리텐션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첫 결제 전환율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결제자당 매출</t>
    </r>
  </si>
  <si>
    <r>
      <rPr>
        <sz val="11"/>
        <rFont val="Noto Sans CJK SC"/>
        <family val="2"/>
      </rPr>
      <t xml:space="preserve">뽑기 확률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성장 밸런스와 확률 공시 등 규제 대응</t>
    </r>
  </si>
  <si>
    <r>
      <rPr>
        <i val="true"/>
        <sz val="11"/>
        <color rgb="FF595959"/>
        <rFont val="Noto Sans CJK SC"/>
        <family val="2"/>
      </rPr>
      <t xml:space="preserve">인원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기간은 분석자 추정입니다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검증 지표의 목표 수치는 출처가 확인된 값만 </t>
    </r>
    <r>
      <rPr>
        <i val="true"/>
        <sz val="11"/>
        <color rgb="FF595959"/>
        <rFont val="Arial"/>
        <family val="0"/>
        <charset val="1"/>
      </rPr>
      <t xml:space="preserve">'2-2 MVP </t>
    </r>
    <r>
      <rPr>
        <i val="true"/>
        <sz val="11"/>
        <color rgb="FF595959"/>
        <rFont val="Noto Sans CJK SC"/>
        <family val="2"/>
      </rPr>
      <t xml:space="preserve">검증 목표</t>
    </r>
    <r>
      <rPr>
        <i val="true"/>
        <sz val="11"/>
        <color rgb="FF595959"/>
        <rFont val="Arial"/>
        <family val="0"/>
        <charset val="1"/>
      </rPr>
      <t xml:space="preserve">' </t>
    </r>
    <r>
      <rPr>
        <i val="true"/>
        <sz val="11"/>
        <color rgb="FF595959"/>
        <rFont val="Noto Sans CJK SC"/>
        <family val="2"/>
      </rPr>
      <t xml:space="preserve">시트에 정리했습니다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장르별 리텐션은 공식 숫자 자료가 없어</t>
    </r>
    <r>
      <rPr>
        <i val="true"/>
        <sz val="11"/>
        <color rgb="FF595959"/>
        <rFont val="Arial"/>
        <family val="0"/>
        <charset val="1"/>
      </rPr>
      <t xml:space="preserve">, 2025 </t>
    </r>
    <r>
      <rPr>
        <i val="true"/>
        <sz val="11"/>
        <color rgb="FF595959"/>
        <rFont val="Noto Sans CJK SC"/>
        <family val="2"/>
      </rPr>
      <t xml:space="preserve">보고서 이미지 차트를 읽은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판독값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을 </t>
    </r>
    <r>
      <rPr>
        <i val="true"/>
        <sz val="11"/>
        <color rgb="FF595959"/>
        <rFont val="Arial"/>
        <family val="0"/>
        <charset val="1"/>
      </rPr>
      <t xml:space="preserve">'4-3 </t>
    </r>
    <r>
      <rPr>
        <i val="true"/>
        <sz val="11"/>
        <color rgb="FF595959"/>
        <rFont val="Noto Sans CJK SC"/>
        <family val="2"/>
      </rPr>
      <t xml:space="preserve">장르 판독 요약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참조</t>
    </r>
    <r>
      <rPr>
        <i val="true"/>
        <sz val="11"/>
        <color rgb="FF595959"/>
        <rFont val="Arial"/>
        <family val="0"/>
        <charset val="1"/>
      </rPr>
      <t xml:space="preserve">)' </t>
    </r>
    <r>
      <rPr>
        <i val="true"/>
        <sz val="11"/>
        <color rgb="FF595959"/>
        <rFont val="Noto Sans CJK SC"/>
        <family val="2"/>
      </rPr>
      <t xml:space="preserve">시트에 따로 정리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</si>
  <si>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b val="true"/>
        <sz val="11"/>
        <color rgb="FFFFFFFF"/>
        <rFont val="Arial"/>
        <family val="0"/>
        <charset val="1"/>
      </rPr>
      <t xml:space="preserve">D1 </t>
    </r>
    <r>
      <rPr>
        <b val="true"/>
        <sz val="11"/>
        <color rgb="FFFFFFFF"/>
        <rFont val="Noto Sans CJK SC"/>
        <family val="2"/>
      </rPr>
      <t xml:space="preserve">리텐션</t>
    </r>
  </si>
  <si>
    <r>
      <rPr>
        <b val="true"/>
        <sz val="11"/>
        <color rgb="FFFFFFFF"/>
        <rFont val="Arial"/>
        <family val="0"/>
        <charset val="1"/>
      </rPr>
      <t xml:space="preserve">D7 </t>
    </r>
    <r>
      <rPr>
        <b val="true"/>
        <sz val="11"/>
        <color rgb="FFFFFFFF"/>
        <rFont val="Noto Sans CJK SC"/>
        <family val="2"/>
      </rPr>
      <t xml:space="preserve">리텐션</t>
    </r>
  </si>
  <si>
    <r>
      <rPr>
        <b val="true"/>
        <sz val="11"/>
        <color rgb="FFFFFFFF"/>
        <rFont val="Arial"/>
        <family val="0"/>
        <charset val="1"/>
      </rPr>
      <t xml:space="preserve">D30 </t>
    </r>
    <r>
      <rPr>
        <b val="true"/>
        <sz val="11"/>
        <color rgb="FFFFFFFF"/>
        <rFont val="Noto Sans CJK SC"/>
        <family val="2"/>
      </rPr>
      <t xml:space="preserve">리텐션</t>
    </r>
  </si>
  <si>
    <r>
      <rPr>
        <b val="true"/>
        <sz val="11"/>
        <color rgb="FFFFFFFF"/>
        <rFont val="Noto Sans CJK SC"/>
        <family val="2"/>
      </rPr>
      <t xml:space="preserve">수익 참고 </t>
    </r>
    <r>
      <rPr>
        <b val="true"/>
        <sz val="11"/>
        <color rgb="FFFFFFFF"/>
        <rFont val="Arial"/>
        <family val="0"/>
        <charset val="1"/>
      </rPr>
      <t xml:space="preserve">(AppsFlyer, D90, </t>
    </r>
    <r>
      <rPr>
        <b val="true"/>
        <sz val="11"/>
        <color rgb="FFFFFFFF"/>
        <rFont val="Noto Sans CJK SC"/>
        <family val="2"/>
      </rPr>
      <t xml:space="preserve">글로벌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</si>
  <si>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주 타깃 지역</t>
  </si>
  <si>
    <t xml:space="preserve">수익 장르 분류</t>
  </si>
  <si>
    <r>
      <rPr>
        <b val="true"/>
        <sz val="11"/>
        <color rgb="FFFFFFFF"/>
        <rFont val="Noto Sans CJK SC"/>
        <family val="2"/>
      </rPr>
      <t xml:space="preserve">합격선</t>
    </r>
    <r>
      <rPr>
        <b val="true"/>
        <sz val="11"/>
        <color rgb="FFFFFFFF"/>
        <rFont val="Arial"/>
        <family val="0"/>
        <charset val="1"/>
      </rPr>
      <t xml:space="preserve">: </t>
    </r>
    <r>
      <rPr>
        <b val="true"/>
        <sz val="11"/>
        <color rgb="FFFFFFFF"/>
        <rFont val="Noto Sans CJK SC"/>
        <family val="2"/>
      </rPr>
      <t xml:space="preserve">전체 상위 </t>
    </r>
    <r>
      <rPr>
        <b val="true"/>
        <sz val="11"/>
        <color rgb="FFFFFFFF"/>
        <rFont val="Arial"/>
        <family val="0"/>
        <charset val="1"/>
      </rPr>
      <t xml:space="preserve">25%</t>
    </r>
  </si>
  <si>
    <r>
      <rPr>
        <b val="true"/>
        <sz val="11"/>
        <color rgb="FFFFFFFF"/>
        <rFont val="Noto Sans CJK SC"/>
        <family val="2"/>
      </rPr>
      <t xml:space="preserve">목표</t>
    </r>
    <r>
      <rPr>
        <b val="true"/>
        <sz val="11"/>
        <color rgb="FFFFFFFF"/>
        <rFont val="Arial"/>
        <family val="0"/>
        <charset val="1"/>
      </rPr>
      <t xml:space="preserve">: </t>
    </r>
    <r>
      <rPr>
        <b val="true"/>
        <sz val="11"/>
        <color rgb="FFFFFFFF"/>
        <rFont val="Noto Sans CJK SC"/>
        <family val="2"/>
      </rPr>
      <t xml:space="preserve">타깃 지역 상위 </t>
    </r>
    <r>
      <rPr>
        <b val="true"/>
        <sz val="11"/>
        <color rgb="FFFFFFFF"/>
        <rFont val="Arial"/>
        <family val="0"/>
        <charset val="1"/>
      </rPr>
      <t xml:space="preserve">10%</t>
    </r>
  </si>
  <si>
    <t xml:space="preserve">지역 중앙값</t>
  </si>
  <si>
    <t xml:space="preserve">IAP ARPU</t>
  </si>
  <si>
    <r>
      <rPr>
        <b val="true"/>
        <sz val="11"/>
        <color rgb="FFFFFFFF"/>
        <rFont val="Noto Sans CJK SC"/>
        <family val="2"/>
      </rPr>
      <t xml:space="preserve">광고 </t>
    </r>
    <r>
      <rPr>
        <b val="true"/>
        <sz val="11"/>
        <color rgb="FFFFFFFF"/>
        <rFont val="Arial"/>
        <family val="0"/>
        <charset val="1"/>
      </rPr>
      <t xml:space="preserve">ARPU</t>
    </r>
  </si>
  <si>
    <t xml:space="preserve">IAP ARPPU</t>
  </si>
  <si>
    <t xml:space="preserve">장르별 리텐션</t>
  </si>
  <si>
    <t xml:space="preserve">북미</t>
  </si>
  <si>
    <t xml:space="preserve">캐주얼</t>
  </si>
  <si>
    <r>
      <rPr>
        <sz val="11"/>
        <rFont val="Arial"/>
        <family val="0"/>
        <charset val="1"/>
      </rPr>
      <t xml:space="preserve">30% </t>
    </r>
    <r>
      <rPr>
        <sz val="11"/>
        <rFont val="Noto Sans CJK SC"/>
        <family val="2"/>
      </rPr>
      <t xml:space="preserve">약간 상회</t>
    </r>
  </si>
  <si>
    <t xml:space="preserve">6~7%</t>
  </si>
  <si>
    <t xml:space="preserve">1.6~1.8%</t>
  </si>
  <si>
    <t xml:space="preserve">미공개</t>
  </si>
  <si>
    <t xml:space="preserve">미드코어</t>
  </si>
  <si>
    <t xml:space="preserve">남미</t>
  </si>
  <si>
    <t xml:space="preserve">아시아</t>
  </si>
  <si>
    <r>
      <rPr>
        <sz val="11"/>
        <color rgb="FF0000FF"/>
        <rFont val="Noto Sans CJK SC"/>
        <family val="2"/>
      </rPr>
      <t xml:space="preserve">미정 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Noto Sans CJK SC"/>
        <family val="2"/>
      </rPr>
      <t xml:space="preserve">게임 방식 미확인</t>
    </r>
    <r>
      <rPr>
        <sz val="11"/>
        <color rgb="FF0000FF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</si>
  <si>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모든 숫자는 시장조사</t>
    </r>
    <r>
      <rPr>
        <i val="true"/>
        <sz val="11"/>
        <color rgb="FF595959"/>
        <rFont val="Arial"/>
        <family val="0"/>
        <charset val="1"/>
      </rPr>
      <t xml:space="preserve">.xlsx › '4-1 </t>
    </r>
    <r>
      <rPr>
        <i val="true"/>
        <sz val="11"/>
        <color rgb="FF595959"/>
        <rFont val="Noto Sans CJK SC"/>
        <family val="2"/>
      </rPr>
      <t xml:space="preserve">벤치마크 근거</t>
    </r>
    <r>
      <rPr>
        <i val="true"/>
        <sz val="11"/>
        <color rgb="FF595959"/>
        <rFont val="Arial"/>
        <family val="0"/>
        <charset val="1"/>
      </rPr>
      <t xml:space="preserve">' </t>
    </r>
    <r>
      <rPr>
        <i val="true"/>
        <sz val="11"/>
        <color rgb="FF595959"/>
        <rFont val="Noto Sans CJK SC"/>
        <family val="2"/>
      </rPr>
      <t xml:space="preserve">시트와 이 파일의 </t>
    </r>
    <r>
      <rPr>
        <i val="true"/>
        <sz val="11"/>
        <color rgb="FF595959"/>
        <rFont val="Arial"/>
        <family val="0"/>
        <charset val="1"/>
      </rPr>
      <t xml:space="preserve">'4-1 </t>
    </r>
    <r>
      <rPr>
        <i val="true"/>
        <sz val="11"/>
        <color rgb="FF595959"/>
        <rFont val="Noto Sans CJK SC"/>
        <family val="2"/>
      </rPr>
      <t xml:space="preserve">지역 벤치마크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참조</t>
    </r>
    <r>
      <rPr>
        <i val="true"/>
        <sz val="11"/>
        <color rgb="FF595959"/>
        <rFont val="Arial"/>
        <family val="0"/>
        <charset val="1"/>
      </rPr>
      <t xml:space="preserve">)' </t>
    </r>
    <r>
      <rPr>
        <i val="true"/>
        <sz val="11"/>
        <color rgb="FF595959"/>
        <rFont val="Noto Sans CJK SC"/>
        <family val="2"/>
      </rPr>
      <t xml:space="preserve">시트의 출처값을 그대로 가져온 것이며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새로 만든 수치는 없습니다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</si>
  <si>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합격선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과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목표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를 어느 구간</t>
    </r>
    <r>
      <rPr>
        <i val="true"/>
        <sz val="11"/>
        <color rgb="FF595959"/>
        <rFont val="Arial"/>
        <family val="0"/>
        <charset val="1"/>
      </rPr>
      <t xml:space="preserve">(P75·P90)</t>
    </r>
    <r>
      <rPr>
        <i val="true"/>
        <sz val="11"/>
        <color rgb="FF595959"/>
        <rFont val="Noto Sans CJK SC"/>
        <family val="2"/>
      </rPr>
      <t xml:space="preserve">으로 둘지는 분석자 제안입니다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기준을 바꾸려면 </t>
    </r>
    <r>
      <rPr>
        <i val="true"/>
        <sz val="11"/>
        <color rgb="FF595959"/>
        <rFont val="Arial"/>
        <family val="0"/>
        <charset val="1"/>
      </rPr>
      <t xml:space="preserve">D·G·J</t>
    </r>
    <r>
      <rPr>
        <i val="true"/>
        <sz val="11"/>
        <color rgb="FF595959"/>
        <rFont val="Noto Sans CJK SC"/>
        <family val="2"/>
      </rPr>
      <t xml:space="preserve">열 또는 </t>
    </r>
    <r>
      <rPr>
        <i val="true"/>
        <sz val="11"/>
        <color rgb="FF595959"/>
        <rFont val="Arial"/>
        <family val="0"/>
        <charset val="1"/>
      </rPr>
      <t xml:space="preserve">'4-1 </t>
    </r>
    <r>
      <rPr>
        <i val="true"/>
        <sz val="11"/>
        <color rgb="FF595959"/>
        <rFont val="Noto Sans CJK SC"/>
        <family val="2"/>
      </rPr>
      <t xml:space="preserve">지역 벤치마크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참조</t>
    </r>
    <r>
      <rPr>
        <i val="true"/>
        <sz val="11"/>
        <color rgb="FF595959"/>
        <rFont val="Arial"/>
        <family val="0"/>
        <charset val="1"/>
      </rPr>
      <t xml:space="preserve">)' </t>
    </r>
    <r>
      <rPr>
        <i val="true"/>
        <sz val="11"/>
        <color rgb="FF595959"/>
        <rFont val="Noto Sans CJK SC"/>
        <family val="2"/>
      </rPr>
      <t xml:space="preserve">조회 열을 바꾸면 됩니다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</si>
  <si>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주 타깃 지역과 수익 장르 분류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캐주얼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미드코어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는 분석자 판단입니다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파란 글씨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지역을 바꾸면 지역 수치가 자동으로 바뀝니다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</si>
  <si>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리텐션 수치는 전 장르 합산값입니다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장르별 수치는 </t>
    </r>
    <r>
      <rPr>
        <i val="true"/>
        <sz val="11"/>
        <color rgb="FF595959"/>
        <rFont val="Arial"/>
        <family val="0"/>
        <charset val="1"/>
      </rPr>
      <t xml:space="preserve">GameAnalytics 2026 </t>
    </r>
    <r>
      <rPr>
        <i val="true"/>
        <sz val="11"/>
        <color rgb="FF595959"/>
        <rFont val="Noto Sans CJK SC"/>
        <family val="2"/>
      </rPr>
      <t xml:space="preserve">보고서에 없고</t>
    </r>
    <r>
      <rPr>
        <i val="true"/>
        <sz val="11"/>
        <color rgb="FF595959"/>
        <rFont val="Arial"/>
        <family val="0"/>
        <charset val="1"/>
      </rPr>
      <t xml:space="preserve">, 2025 </t>
    </r>
    <r>
      <rPr>
        <i val="true"/>
        <sz val="11"/>
        <color rgb="FF595959"/>
        <rFont val="Noto Sans CJK SC"/>
        <family val="2"/>
      </rPr>
      <t xml:space="preserve">보고서 이미지 차트에서 읽은 판독값은 </t>
    </r>
    <r>
      <rPr>
        <i val="true"/>
        <sz val="11"/>
        <color rgb="FF595959"/>
        <rFont val="Arial"/>
        <family val="0"/>
        <charset val="1"/>
      </rPr>
      <t xml:space="preserve">'4-3 </t>
    </r>
    <r>
      <rPr>
        <i val="true"/>
        <sz val="11"/>
        <color rgb="FF595959"/>
        <rFont val="Noto Sans CJK SC"/>
        <family val="2"/>
      </rPr>
      <t xml:space="preserve">장르 판독 요약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참조</t>
    </r>
    <r>
      <rPr>
        <i val="true"/>
        <sz val="11"/>
        <color rgb="FF595959"/>
        <rFont val="Arial"/>
        <family val="0"/>
        <charset val="1"/>
      </rPr>
      <t xml:space="preserve">)'·'2-3 </t>
    </r>
    <r>
      <rPr>
        <i val="true"/>
        <sz val="11"/>
        <color rgb="FF595959"/>
        <rFont val="Noto Sans CJK SC"/>
        <family val="2"/>
      </rPr>
      <t xml:space="preserve">장르 연결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추정</t>
    </r>
    <r>
      <rPr>
        <i val="true"/>
        <sz val="11"/>
        <color rgb="FF595959"/>
        <rFont val="Arial"/>
        <family val="0"/>
        <charset val="1"/>
      </rPr>
      <t xml:space="preserve">)' </t>
    </r>
    <r>
      <rPr>
        <i val="true"/>
        <sz val="11"/>
        <color rgb="FF595959"/>
        <rFont val="Noto Sans CJK SC"/>
        <family val="2"/>
      </rPr>
      <t xml:space="preserve">시트에 따로 두었습니다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이 표에는 섞지 않음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</si>
  <si>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i val="true"/>
        <sz val="11"/>
        <color rgb="FF595959"/>
        <rFont val="Arial"/>
        <family val="0"/>
        <charset val="1"/>
      </rPr>
      <t xml:space="preserve">D30 </t>
    </r>
    <r>
      <rPr>
        <i val="true"/>
        <sz val="11"/>
        <color rgb="FF595959"/>
        <rFont val="Noto Sans CJK SC"/>
        <family val="2"/>
      </rPr>
      <t xml:space="preserve">리텐션은 </t>
    </r>
    <r>
      <rPr>
        <i val="true"/>
        <sz val="11"/>
        <color rgb="FF595959"/>
        <rFont val="Arial"/>
        <family val="0"/>
        <charset val="1"/>
      </rPr>
      <t xml:space="preserve">2026 </t>
    </r>
    <r>
      <rPr>
        <i val="true"/>
        <sz val="11"/>
        <color rgb="FF595959"/>
        <rFont val="Noto Sans CJK SC"/>
        <family val="2"/>
      </rPr>
      <t xml:space="preserve">보고서 기준이며</t>
    </r>
    <r>
      <rPr>
        <i val="true"/>
        <sz val="11"/>
        <color rgb="FF595959"/>
        <rFont val="Arial"/>
        <family val="0"/>
        <charset val="1"/>
      </rPr>
      <t xml:space="preserve">, 2025 </t>
    </r>
    <r>
      <rPr>
        <i val="true"/>
        <sz val="11"/>
        <color rgb="FF595959"/>
        <rFont val="Noto Sans CJK SC"/>
        <family val="2"/>
      </rPr>
      <t xml:space="preserve">보고서는 </t>
    </r>
    <r>
      <rPr>
        <i val="true"/>
        <sz val="11"/>
        <color rgb="FF595959"/>
        <rFont val="Arial"/>
        <family val="0"/>
        <charset val="1"/>
      </rPr>
      <t xml:space="preserve">D28</t>
    </r>
    <r>
      <rPr>
        <i val="true"/>
        <sz val="11"/>
        <color rgb="FF595959"/>
        <rFont val="Noto Sans CJK SC"/>
        <family val="2"/>
      </rPr>
      <t xml:space="preserve">을 사용해 직접 비교에 주의가 필요합니다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</si>
  <si>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수익 수치</t>
    </r>
    <r>
      <rPr>
        <i val="true"/>
        <sz val="11"/>
        <color rgb="FF595959"/>
        <rFont val="Arial"/>
        <family val="0"/>
        <charset val="1"/>
      </rPr>
      <t xml:space="preserve">(AppsFlyer)</t>
    </r>
    <r>
      <rPr>
        <i val="true"/>
        <sz val="11"/>
        <color rgb="FF595959"/>
        <rFont val="Noto Sans CJK SC"/>
        <family val="2"/>
      </rPr>
      <t xml:space="preserve">는 </t>
    </r>
    <r>
      <rPr>
        <i val="true"/>
        <sz val="11"/>
        <color rgb="FF595959"/>
        <rFont val="Arial"/>
        <family val="0"/>
        <charset val="1"/>
      </rPr>
      <t xml:space="preserve">D90 </t>
    </r>
    <r>
      <rPr>
        <i val="true"/>
        <sz val="11"/>
        <color rgb="FF595959"/>
        <rFont val="Noto Sans CJK SC"/>
        <family val="2"/>
      </rPr>
      <t xml:space="preserve">기준 글로벌 평균이며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지역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플랫폼에 따라 다릅니다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북미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유럽은 더 높다고 보고됨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</si>
  <si>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b val="true"/>
        <sz val="13"/>
        <rFont val="Noto Sans CJK SC"/>
        <family val="2"/>
      </rPr>
      <t xml:space="preserve">우리 프로젝트 장르 그룹 ↔ </t>
    </r>
    <r>
      <rPr>
        <b val="true"/>
        <sz val="13"/>
        <rFont val="Arial"/>
        <family val="0"/>
        <charset val="1"/>
      </rPr>
      <t xml:space="preserve">GameAnalytics </t>
    </r>
    <r>
      <rPr>
        <b val="true"/>
        <sz val="13"/>
        <rFont val="Noto Sans CJK SC"/>
        <family val="2"/>
      </rPr>
      <t xml:space="preserve">장르 연결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분석자 추정</t>
    </r>
    <r>
      <rPr>
        <b val="true"/>
        <sz val="13"/>
        <rFont val="Arial"/>
        <family val="0"/>
        <charset val="1"/>
      </rPr>
      <t xml:space="preserve">)</t>
    </r>
  </si>
  <si>
    <r>
      <rPr>
        <b val="true"/>
        <sz val="11"/>
        <color rgb="FFC00000"/>
        <rFont val="Noto Sans CJK SC"/>
        <family val="2"/>
      </rPr>
      <t xml:space="preserve">⚠ 연결</t>
    </r>
    <r>
      <rPr>
        <b val="true"/>
        <sz val="11"/>
        <color rgb="FFC00000"/>
        <rFont val="Arial"/>
        <family val="0"/>
        <charset val="1"/>
      </rPr>
      <t xml:space="preserve">(C</t>
    </r>
    <r>
      <rPr>
        <b val="true"/>
        <sz val="11"/>
        <color rgb="FFC00000"/>
        <rFont val="Noto Sans CJK SC"/>
        <family val="2"/>
      </rPr>
      <t xml:space="preserve">열</t>
    </r>
    <r>
      <rPr>
        <b val="true"/>
        <sz val="11"/>
        <color rgb="FFC00000"/>
        <rFont val="Arial"/>
        <family val="0"/>
        <charset val="1"/>
      </rPr>
      <t xml:space="preserve">)</t>
    </r>
    <r>
      <rPr>
        <b val="true"/>
        <sz val="11"/>
        <color rgb="FFC00000"/>
        <rFont val="Noto Sans CJK SC"/>
        <family val="2"/>
      </rPr>
      <t xml:space="preserve">은 분석자 추정입니다</t>
    </r>
    <r>
      <rPr>
        <b val="true"/>
        <sz val="11"/>
        <color rgb="FFC00000"/>
        <rFont val="Arial"/>
        <family val="0"/>
        <charset val="1"/>
      </rPr>
      <t xml:space="preserve">. </t>
    </r>
    <r>
      <rPr>
        <b val="true"/>
        <sz val="11"/>
        <color rgb="FFC00000"/>
        <rFont val="Noto Sans CJK SC"/>
        <family val="2"/>
      </rPr>
      <t xml:space="preserve">각 게임이 스토어에 어떤 장르로 등록됐는지는 이번에 확인하지 않았습니다</t>
    </r>
    <r>
      <rPr>
        <b val="true"/>
        <sz val="11"/>
        <color rgb="FFC00000"/>
        <rFont val="Arial"/>
        <family val="0"/>
        <charset val="1"/>
      </rPr>
      <t xml:space="preserve">. C</t>
    </r>
    <r>
      <rPr>
        <b val="true"/>
        <sz val="11"/>
        <color rgb="FFC00000"/>
        <rFont val="Noto Sans CJK SC"/>
        <family val="2"/>
      </rPr>
      <t xml:space="preserve">열</t>
    </r>
    <r>
      <rPr>
        <b val="true"/>
        <sz val="11"/>
        <color rgb="FFC00000"/>
        <rFont val="Arial"/>
        <family val="0"/>
        <charset val="1"/>
      </rPr>
      <t xml:space="preserve">(</t>
    </r>
    <r>
      <rPr>
        <b val="true"/>
        <sz val="11"/>
        <color rgb="FFC00000"/>
        <rFont val="Noto Sans CJK SC"/>
        <family val="2"/>
      </rPr>
      <t xml:space="preserve">노란 칸</t>
    </r>
    <r>
      <rPr>
        <b val="true"/>
        <sz val="11"/>
        <color rgb="FFC00000"/>
        <rFont val="Arial"/>
        <family val="0"/>
        <charset val="1"/>
      </rPr>
      <t xml:space="preserve">)</t>
    </r>
    <r>
      <rPr>
        <b val="true"/>
        <sz val="11"/>
        <color rgb="FFC00000"/>
        <rFont val="Noto Sans CJK SC"/>
        <family val="2"/>
      </rPr>
      <t xml:space="preserve">을 목록에서 바꾸면 오른쪽 숫자가 자동으로 바뀝니다</t>
    </r>
    <r>
      <rPr>
        <b val="true"/>
        <sz val="11"/>
        <color rgb="FFC00000"/>
        <rFont val="Arial"/>
        <family val="0"/>
        <charset val="1"/>
      </rPr>
      <t xml:space="preserve">.</t>
    </r>
  </si>
  <si>
    <t xml:space="preserve">우리 장르 그룹</t>
  </si>
  <si>
    <t xml:space="preserve">대표 게임</t>
  </si>
  <si>
    <r>
      <rPr>
        <b val="true"/>
        <sz val="11"/>
        <color rgb="FFFFFFFF"/>
        <rFont val="Noto Sans CJK SC"/>
        <family val="2"/>
      </rPr>
      <t xml:space="preserve">연결한 </t>
    </r>
    <r>
      <rPr>
        <b val="true"/>
        <sz val="11"/>
        <color rgb="FFFFFFFF"/>
        <rFont val="Arial"/>
        <family val="0"/>
        <charset val="1"/>
      </rPr>
      <t xml:space="preserve">GA </t>
    </r>
    <r>
      <rPr>
        <b val="true"/>
        <sz val="11"/>
        <color rgb="FFFFFFFF"/>
        <rFont val="Noto Sans CJK SC"/>
        <family val="2"/>
      </rPr>
      <t xml:space="preserve">장르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바꿀 수 있음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</si>
  <si>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연결 근거</t>
  </si>
  <si>
    <t xml:space="preserve">신뢰도</t>
  </si>
  <si>
    <t xml:space="preserve">다른 후보 장르</t>
  </si>
  <si>
    <t xml:space="preserve">D1</t>
  </si>
  <si>
    <t xml:space="preserve">D7</t>
  </si>
  <si>
    <t xml:space="preserve">D28</t>
  </si>
  <si>
    <r>
      <rPr>
        <b val="true"/>
        <sz val="11"/>
        <color rgb="FFFFFFFF"/>
        <rFont val="Noto Sans CJK SC"/>
        <family val="2"/>
      </rPr>
      <t xml:space="preserve">하루 플레이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</si>
  <si>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세션 길이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</si>
  <si>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하루 세션 수</t>
  </si>
  <si>
    <r>
      <rPr>
        <b val="true"/>
        <sz val="11"/>
        <color rgb="FFFFFFFF"/>
        <rFont val="Noto Sans CJK SC"/>
        <family val="2"/>
      </rPr>
      <t xml:space="preserve">쉬운 해설 </t>
    </r>
    <r>
      <rPr>
        <b val="true"/>
        <sz val="11"/>
        <color rgb="FFFFFFFF"/>
        <rFont val="Arial"/>
        <family val="0"/>
        <charset val="1"/>
      </rPr>
      <t xml:space="preserve">(100</t>
    </r>
    <r>
      <rPr>
        <b val="true"/>
        <sz val="11"/>
        <color rgb="FFFFFFFF"/>
        <rFont val="Noto Sans CJK SC"/>
        <family val="2"/>
      </rPr>
      <t xml:space="preserve">명 설치 기준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</si>
  <si>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글로벌 퍼즐</t>
    </r>
  </si>
  <si>
    <r>
      <rPr>
        <sz val="11"/>
        <rFont val="Arial"/>
        <family val="0"/>
        <charset val="1"/>
      </rPr>
      <t xml:space="preserve">Block Blast!, Magic Sort!, Meowdoku </t>
    </r>
    <r>
      <rPr>
        <sz val="11"/>
        <rFont val="Noto Sans CJK SC"/>
        <family val="2"/>
      </rPr>
      <t xml:space="preserve">등</t>
    </r>
  </si>
  <si>
    <t xml:space="preserve">Puzzle</t>
  </si>
  <si>
    <r>
      <rPr>
        <sz val="11"/>
        <rFont val="Noto Sans CJK SC"/>
        <family val="2"/>
      </rPr>
      <t xml:space="preserve">정렬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블록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스도쿠류 퍼즐이라 이름이 가장 가까움</t>
    </r>
  </si>
  <si>
    <t xml:space="preserve">중간</t>
  </si>
  <si>
    <r>
      <rPr>
        <sz val="11"/>
        <rFont val="Arial"/>
        <family val="0"/>
        <charset val="1"/>
      </rPr>
      <t xml:space="preserve">Board (Vita Mahjong </t>
    </r>
    <r>
      <rPr>
        <sz val="11"/>
        <rFont val="Noto Sans CJK SC"/>
        <family val="2"/>
      </rPr>
      <t xml:space="preserve">같은 마작류</t>
    </r>
    <r>
      <rPr>
        <sz val="11"/>
        <rFont val="Arial"/>
        <family val="0"/>
        <charset val="1"/>
      </rPr>
      <t xml:space="preserve">), Casual</t>
    </r>
  </si>
  <si>
    <r>
      <rPr>
        <b val="true"/>
        <sz val="11"/>
        <rFont val="Arial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퍼즐 </t>
    </r>
    <r>
      <rPr>
        <b val="true"/>
        <sz val="11"/>
        <rFont val="Arial"/>
        <family val="0"/>
        <charset val="1"/>
      </rPr>
      <t xml:space="preserve">+ </t>
    </r>
    <r>
      <rPr>
        <b val="true"/>
        <sz val="11"/>
        <rFont val="Noto Sans CJK SC"/>
        <family val="2"/>
      </rPr>
      <t xml:space="preserve">메타</t>
    </r>
  </si>
  <si>
    <r>
      <rPr>
        <sz val="11"/>
        <rFont val="Arial"/>
        <family val="0"/>
        <charset val="1"/>
      </rPr>
      <t xml:space="preserve">Royal Match, Candy Crush Saga </t>
    </r>
    <r>
      <rPr>
        <sz val="11"/>
        <rFont val="Noto Sans CJK SC"/>
        <family val="2"/>
      </rPr>
      <t xml:space="preserve">등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</si>
  <si>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개 맞추기 퍼즐이 핵심 놀이</t>
    </r>
  </si>
  <si>
    <t xml:space="preserve">Casual</t>
  </si>
  <si>
    <r>
      <rPr>
        <b val="true"/>
        <sz val="11"/>
        <rFont val="Arial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소셜 캐주얼</t>
    </r>
  </si>
  <si>
    <t xml:space="preserve">MONOPOLY GO!, Coin Master, Dice Dreams</t>
  </si>
  <si>
    <t xml:space="preserve">Board</t>
  </si>
  <si>
    <r>
      <rPr>
        <sz val="11"/>
        <rFont val="Noto Sans CJK SC"/>
        <family val="2"/>
      </rPr>
      <t xml:space="preserve">주사위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보드판 칸 이동이 핵심인 게임이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개</t>
    </r>
  </si>
  <si>
    <t xml:space="preserve">낮음</t>
  </si>
  <si>
    <r>
      <rPr>
        <sz val="11"/>
        <rFont val="Arial"/>
        <family val="0"/>
        <charset val="1"/>
      </rPr>
      <t xml:space="preserve">Casual, Casino (Coin Master</t>
    </r>
    <r>
      <rPr>
        <sz val="11"/>
        <rFont val="Noto Sans CJK SC"/>
        <family val="2"/>
      </rPr>
      <t xml:space="preserve">의 슬롯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</si>
  <si>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전략</t>
    </r>
    <r>
      <rPr>
        <b val="true"/>
        <sz val="11"/>
        <rFont val="Arial"/>
        <family val="0"/>
        <charset val="1"/>
      </rPr>
      <t xml:space="preserve">(4X </t>
    </r>
    <r>
      <rPr>
        <b val="true"/>
        <sz val="11"/>
        <rFont val="Noto Sans CJK SC"/>
        <family val="2"/>
      </rPr>
      <t xml:space="preserve">등</t>
    </r>
    <r>
      <rPr>
        <b val="true"/>
        <sz val="11"/>
        <rFont val="Arial"/>
        <family val="0"/>
        <charset val="1"/>
      </rPr>
      <t xml:space="preserve">)</t>
    </r>
  </si>
  <si>
    <t xml:space="preserve">Whiteout Survival, Kingshot, Clash Royale</t>
  </si>
  <si>
    <t xml:space="preserve">Strategy</t>
  </si>
  <si>
    <t xml:space="preserve">장르 이름이 같음</t>
  </si>
  <si>
    <r>
      <rPr>
        <sz val="11"/>
        <rFont val="Arial"/>
        <family val="0"/>
        <charset val="1"/>
      </rPr>
      <t xml:space="preserve">Multiplayer (Clash Royale </t>
    </r>
    <r>
      <rPr>
        <sz val="11"/>
        <rFont val="Noto Sans CJK SC"/>
        <family val="2"/>
      </rPr>
      <t xml:space="preserve">실시간 대전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</si>
  <si>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액션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슈팅</t>
    </r>
  </si>
  <si>
    <t xml:space="preserve">Free Fire, Fortnite, Brawl Stars</t>
  </si>
  <si>
    <t xml:space="preserve">Action</t>
  </si>
  <si>
    <r>
      <rPr>
        <sz val="11"/>
        <rFont val="Arial"/>
        <family val="0"/>
        <charset val="1"/>
      </rPr>
      <t xml:space="preserve">Multiplayer (</t>
    </r>
    <r>
      <rPr>
        <sz val="11"/>
        <rFont val="Noto Sans CJK SC"/>
        <family val="2"/>
      </rPr>
      <t xml:space="preserve">실시간 대전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</si>
  <si>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캐릭터 </t>
    </r>
    <r>
      <rPr>
        <b val="true"/>
        <sz val="11"/>
        <rFont val="Arial"/>
        <family val="0"/>
        <charset val="1"/>
      </rPr>
      <t xml:space="preserve">IP (</t>
    </r>
    <r>
      <rPr>
        <b val="true"/>
        <sz val="11"/>
        <rFont val="Noto Sans CJK SC"/>
        <family val="2"/>
      </rPr>
      <t xml:space="preserve">걷기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포획</t>
    </r>
    <r>
      <rPr>
        <b val="true"/>
        <sz val="11"/>
        <rFont val="Arial"/>
        <family val="0"/>
        <charset val="1"/>
      </rPr>
      <t xml:space="preserve">)</t>
    </r>
  </si>
  <si>
    <t xml:space="preserve">Adventure</t>
  </si>
  <si>
    <r>
      <rPr>
        <sz val="11"/>
        <rFont val="Noto Sans CJK SC"/>
        <family val="2"/>
      </rPr>
      <t xml:space="preserve">밖을 돌아다니며 탐험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수집</t>
    </r>
  </si>
  <si>
    <t xml:space="preserve">Simulation</t>
  </si>
  <si>
    <r>
      <rPr>
        <b val="true"/>
        <sz val="11"/>
        <rFont val="Arial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캐릭터 </t>
    </r>
    <r>
      <rPr>
        <b val="true"/>
        <sz val="11"/>
        <rFont val="Arial"/>
        <family val="0"/>
        <charset val="1"/>
      </rPr>
      <t xml:space="preserve">IP (</t>
    </r>
    <r>
      <rPr>
        <b val="true"/>
        <sz val="11"/>
        <rFont val="Noto Sans CJK SC"/>
        <family val="2"/>
      </rPr>
      <t xml:space="preserve">카드</t>
    </r>
    <r>
      <rPr>
        <b val="true"/>
        <sz val="11"/>
        <rFont val="Arial"/>
        <family val="0"/>
        <charset val="1"/>
      </rPr>
      <t xml:space="preserve">)</t>
    </r>
  </si>
  <si>
    <t xml:space="preserve">Card</t>
  </si>
  <si>
    <r>
      <rPr>
        <sz val="11"/>
        <rFont val="Noto Sans CJK SC"/>
        <family val="2"/>
      </rPr>
      <t xml:space="preserve">카드 수집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대전</t>
    </r>
  </si>
  <si>
    <t xml:space="preserve">—</t>
  </si>
  <si>
    <r>
      <rPr>
        <b val="true"/>
        <sz val="11"/>
        <rFont val="Arial"/>
        <family val="0"/>
        <charset val="1"/>
      </rPr>
      <t xml:space="preserve">7. </t>
    </r>
    <r>
      <rPr>
        <b val="true"/>
        <sz val="11"/>
        <rFont val="Noto Sans CJK SC"/>
        <family val="2"/>
      </rPr>
      <t xml:space="preserve">한국식 </t>
    </r>
    <r>
      <rPr>
        <b val="true"/>
        <sz val="11"/>
        <rFont val="Arial"/>
        <family val="0"/>
        <charset val="1"/>
      </rPr>
      <t xml:space="preserve">RPG</t>
    </r>
  </si>
  <si>
    <r>
      <rPr>
        <sz val="11"/>
        <rFont val="Noto Sans CJK SC"/>
        <family val="2"/>
      </rPr>
      <t xml:space="preserve">메이플스토리 방치형 </t>
    </r>
    <r>
      <rPr>
        <sz val="11"/>
        <rFont val="Arial"/>
        <family val="0"/>
        <charset val="1"/>
      </rPr>
      <t xml:space="preserve">RPG, </t>
    </r>
    <r>
      <rPr>
        <sz val="11"/>
        <rFont val="Noto Sans CJK SC"/>
        <family val="2"/>
      </rPr>
      <t xml:space="preserve">트릭컬 리바이브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후더덕 서바이벌</t>
    </r>
  </si>
  <si>
    <t xml:space="preserve">Role Playing</t>
  </si>
  <si>
    <r>
      <rPr>
        <sz val="11"/>
        <rFont val="Noto Sans CJK SC"/>
        <family val="2"/>
      </rPr>
      <t xml:space="preserve">캐릭터 성장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전투가 핵심</t>
    </r>
  </si>
  <si>
    <r>
      <rPr>
        <sz val="11"/>
        <rFont val="Arial"/>
        <family val="0"/>
        <charset val="1"/>
      </rPr>
      <t xml:space="preserve">Simulation (</t>
    </r>
    <r>
      <rPr>
        <sz val="11"/>
        <rFont val="Noto Sans CJK SC"/>
        <family val="2"/>
      </rPr>
      <t xml:space="preserve">방치형</t>
    </r>
    <r>
      <rPr>
        <sz val="11"/>
        <rFont val="Arial"/>
        <family val="0"/>
        <charset val="1"/>
      </rPr>
      <t xml:space="preserve">), Action (</t>
    </r>
    <r>
      <rPr>
        <sz val="11"/>
        <rFont val="Noto Sans CJK SC"/>
        <family val="2"/>
      </rPr>
      <t xml:space="preserve">서바이벌류</t>
    </r>
    <r>
      <rPr>
        <sz val="11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</si>
  <si>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치이카와 포켓은 게임 방식을 확인하지 못해 연결하지 않았습니다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</si>
  <si>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Arial"/>
        <family val="0"/>
        <charset val="1"/>
      </rPr>
      <t xml:space="preserve">GameAnalytics </t>
    </r>
    <r>
      <rPr>
        <i val="true"/>
        <sz val="11"/>
        <color rgb="FF595959"/>
        <rFont val="Noto Sans CJK SC"/>
        <family val="2"/>
      </rPr>
      <t xml:space="preserve">숫자는 이 회사 분석 도구를 쓰는 게임 </t>
    </r>
    <r>
      <rPr>
        <i val="true"/>
        <sz val="11"/>
        <color rgb="FF595959"/>
        <rFont val="Arial"/>
        <family val="0"/>
        <charset val="1"/>
      </rPr>
      <t xml:space="preserve">11,600</t>
    </r>
    <r>
      <rPr>
        <i val="true"/>
        <sz val="11"/>
        <color rgb="FF595959"/>
        <rFont val="Noto Sans CJK SC"/>
        <family val="2"/>
      </rPr>
      <t xml:space="preserve">개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작은 개발사 게임 포함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의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장르 가운데 게임</t>
    </r>
    <r>
      <rPr>
        <i val="true"/>
        <sz val="11"/>
        <color rgb="FF595959"/>
        <rFont val="Arial"/>
        <family val="0"/>
        <charset val="1"/>
      </rPr>
      <t xml:space="preserve">' </t>
    </r>
    <r>
      <rPr>
        <i val="true"/>
        <sz val="11"/>
        <color rgb="FF595959"/>
        <rFont val="Noto Sans CJK SC"/>
        <family val="2"/>
      </rPr>
      <t xml:space="preserve">값입니다</t>
    </r>
    <r>
      <rPr>
        <i val="true"/>
        <sz val="11"/>
        <color rgb="FF595959"/>
        <rFont val="Arial"/>
        <family val="0"/>
        <charset val="1"/>
      </rPr>
      <t xml:space="preserve">. Top </t>
    </r>
    <r>
      <rPr>
        <i val="true"/>
        <sz val="11"/>
        <color rgb="FF595959"/>
        <rFont val="Noto Sans CJK SC"/>
        <family val="2"/>
      </rPr>
      <t xml:space="preserve">차트 게임의 실제 리텐션이 아니므로 </t>
    </r>
    <r>
      <rPr>
        <i val="true"/>
        <sz val="11"/>
        <color rgb="FF595959"/>
        <rFont val="Arial"/>
        <family val="0"/>
        <charset val="1"/>
      </rPr>
      <t xml:space="preserve">'MVP</t>
    </r>
    <r>
      <rPr>
        <i val="true"/>
        <sz val="11"/>
        <color rgb="FF595959"/>
        <rFont val="Noto Sans CJK SC"/>
        <family val="2"/>
      </rPr>
      <t xml:space="preserve">가 최소한 넘어야 할 장르 보통선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으로만 쓰세요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</si>
  <si>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Arial"/>
        <family val="0"/>
        <charset val="1"/>
      </rPr>
      <t xml:space="preserve">MVP </t>
    </r>
    <r>
      <rPr>
        <i val="true"/>
        <sz val="11"/>
        <color rgb="FF595959"/>
        <rFont val="Noto Sans CJK SC"/>
        <family val="2"/>
      </rPr>
      <t xml:space="preserve">합격선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전 장르 합산 상위 </t>
    </r>
    <r>
      <rPr>
        <i val="true"/>
        <sz val="11"/>
        <color rgb="FF595959"/>
        <rFont val="Arial"/>
        <family val="0"/>
        <charset val="1"/>
      </rPr>
      <t xml:space="preserve">25%)</t>
    </r>
    <r>
      <rPr>
        <i val="true"/>
        <sz val="11"/>
        <color rgb="FF595959"/>
        <rFont val="Noto Sans CJK SC"/>
        <family val="2"/>
      </rPr>
      <t xml:space="preserve">은 </t>
    </r>
    <r>
      <rPr>
        <i val="true"/>
        <sz val="11"/>
        <color rgb="FF595959"/>
        <rFont val="Arial"/>
        <family val="0"/>
        <charset val="1"/>
      </rPr>
      <t xml:space="preserve">'2-2 MVP </t>
    </r>
    <r>
      <rPr>
        <i val="true"/>
        <sz val="11"/>
        <color rgb="FF595959"/>
        <rFont val="Noto Sans CJK SC"/>
        <family val="2"/>
      </rPr>
      <t xml:space="preserve">검증 목표</t>
    </r>
    <r>
      <rPr>
        <i val="true"/>
        <sz val="11"/>
        <color rgb="FF595959"/>
        <rFont val="Arial"/>
        <family val="0"/>
        <charset val="1"/>
      </rPr>
      <t xml:space="preserve">' </t>
    </r>
    <r>
      <rPr>
        <i val="true"/>
        <sz val="11"/>
        <color rgb="FF595959"/>
        <rFont val="Noto Sans CJK SC"/>
        <family val="2"/>
      </rPr>
      <t xml:space="preserve">시트에 있고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이 시트는 그와 별개인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같은 장르 보통 게임</t>
    </r>
    <r>
      <rPr>
        <i val="true"/>
        <sz val="11"/>
        <color rgb="FF595959"/>
        <rFont val="Arial"/>
        <family val="0"/>
        <charset val="1"/>
      </rPr>
      <t xml:space="preserve">' </t>
    </r>
    <r>
      <rPr>
        <i val="true"/>
        <sz val="11"/>
        <color rgb="FF595959"/>
        <rFont val="Noto Sans CJK SC"/>
        <family val="2"/>
      </rPr>
      <t xml:space="preserve">참고값입니다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</si>
  <si>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신뢰도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중간 </t>
    </r>
    <r>
      <rPr>
        <i val="true"/>
        <sz val="11"/>
        <color rgb="FF595959"/>
        <rFont val="Arial"/>
        <family val="0"/>
        <charset val="1"/>
      </rPr>
      <t xml:space="preserve">= </t>
    </r>
    <r>
      <rPr>
        <i val="true"/>
        <sz val="11"/>
        <color rgb="FF595959"/>
        <rFont val="Noto Sans CJK SC"/>
        <family val="2"/>
      </rPr>
      <t xml:space="preserve">놀이 방식이 장르 이름과 맞음 </t>
    </r>
    <r>
      <rPr>
        <i val="true"/>
        <sz val="11"/>
        <color rgb="FF595959"/>
        <rFont val="Arial"/>
        <family val="0"/>
        <charset val="1"/>
      </rPr>
      <t xml:space="preserve">/ </t>
    </r>
    <r>
      <rPr>
        <i val="true"/>
        <sz val="11"/>
        <color rgb="FF595959"/>
        <rFont val="Noto Sans CJK SC"/>
        <family val="2"/>
      </rPr>
      <t xml:space="preserve">낮음 </t>
    </r>
    <r>
      <rPr>
        <i val="true"/>
        <sz val="11"/>
        <color rgb="FF595959"/>
        <rFont val="Arial"/>
        <family val="0"/>
        <charset val="1"/>
      </rPr>
      <t xml:space="preserve">= </t>
    </r>
    <r>
      <rPr>
        <i val="true"/>
        <sz val="11"/>
        <color rgb="FF595959"/>
        <rFont val="Noto Sans CJK SC"/>
        <family val="2"/>
      </rPr>
      <t xml:space="preserve">그룹 안 게임들이 서로 다른 장르에 걸쳐 있음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</si>
  <si>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b val="true"/>
        <sz val="12"/>
        <rFont val="Arial"/>
        <family val="0"/>
        <charset val="1"/>
      </rPr>
      <t xml:space="preserve">2</t>
    </r>
    <r>
      <rPr>
        <b val="true"/>
        <sz val="12"/>
        <rFont val="Noto Sans CJK SC"/>
        <family val="2"/>
      </rPr>
      <t xml:space="preserve">인 개발 </t>
    </r>
    <r>
      <rPr>
        <b val="true"/>
        <sz val="12"/>
        <rFont val="Arial"/>
        <family val="0"/>
        <charset val="1"/>
      </rPr>
      <t xml:space="preserve">MVP </t>
    </r>
    <r>
      <rPr>
        <b val="true"/>
        <sz val="12"/>
        <rFont val="Noto Sans CJK SC"/>
        <family val="2"/>
      </rPr>
      <t xml:space="preserve">판단 — 미국 구글 플레이 매출 </t>
    </r>
    <r>
      <rPr>
        <b val="true"/>
        <sz val="12"/>
        <rFont val="Arial"/>
        <family val="0"/>
        <charset val="1"/>
      </rPr>
      <t xml:space="preserve">Top100 + '③ </t>
    </r>
    <r>
      <rPr>
        <b val="true"/>
        <sz val="12"/>
        <rFont val="Noto Sans CJK SC"/>
        <family val="2"/>
      </rPr>
      <t xml:space="preserve">다운로드만 높음</t>
    </r>
    <r>
      <rPr>
        <b val="true"/>
        <sz val="12"/>
        <rFont val="Arial"/>
        <family val="0"/>
        <charset val="1"/>
      </rPr>
      <t xml:space="preserve">' </t>
    </r>
    <r>
      <rPr>
        <b val="true"/>
        <sz val="12"/>
        <rFont val="Noto Sans CJK SC"/>
        <family val="2"/>
      </rPr>
      <t xml:space="preserve">게임 중 </t>
    </r>
    <r>
      <rPr>
        <b val="true"/>
        <sz val="12"/>
        <rFont val="Arial"/>
        <family val="0"/>
        <charset val="1"/>
      </rPr>
      <t xml:space="preserve">2</t>
    </r>
    <r>
      <rPr>
        <b val="true"/>
        <sz val="12"/>
        <rFont val="Noto Sans CJK SC"/>
        <family val="2"/>
      </rPr>
      <t xml:space="preserve">명이 작게 만들 수 있는 후보 찾기</t>
    </r>
  </si>
  <si>
    <r>
      <rPr>
        <i val="true"/>
        <sz val="11"/>
        <color rgb="FF595959"/>
        <rFont val="Noto Sans CJK SC"/>
        <family val="2"/>
      </rPr>
      <t xml:space="preserve">읽는 법</t>
    </r>
    <r>
      <rPr>
        <i val="true"/>
        <sz val="11"/>
        <color rgb="FF595959"/>
        <rFont val="Arial"/>
        <family val="0"/>
        <charset val="1"/>
      </rPr>
      <t xml:space="preserve">: ① </t>
    </r>
    <r>
      <rPr>
        <i val="true"/>
        <sz val="11"/>
        <color rgb="FF595959"/>
        <rFont val="Noto Sans CJK SC"/>
        <family val="2"/>
      </rPr>
      <t xml:space="preserve">세부 장르마다 </t>
    </r>
    <r>
      <rPr>
        <i val="true"/>
        <sz val="11"/>
        <color rgb="FF595959"/>
        <rFont val="Arial"/>
        <family val="0"/>
        <charset val="1"/>
      </rPr>
      <t xml:space="preserve">5</t>
    </r>
    <r>
      <rPr>
        <i val="true"/>
        <sz val="11"/>
        <color rgb="FF595959"/>
        <rFont val="Noto Sans CJK SC"/>
        <family val="2"/>
      </rPr>
      <t xml:space="preserve">가지 기준을 </t>
    </r>
    <r>
      <rPr>
        <i val="true"/>
        <sz val="11"/>
        <color rgb="FF595959"/>
        <rFont val="Arial"/>
        <family val="0"/>
        <charset val="1"/>
      </rPr>
      <t xml:space="preserve">1~5</t>
    </r>
    <r>
      <rPr>
        <i val="true"/>
        <sz val="11"/>
        <color rgb="FF595959"/>
        <rFont val="Noto Sans CJK SC"/>
        <family val="2"/>
      </rPr>
      <t xml:space="preserve">점</t>
    </r>
    <r>
      <rPr>
        <i val="true"/>
        <sz val="11"/>
        <color rgb="FF595959"/>
        <rFont val="Arial"/>
        <family val="0"/>
        <charset val="1"/>
      </rPr>
      <t xml:space="preserve">(5</t>
    </r>
    <r>
      <rPr>
        <i val="true"/>
        <sz val="11"/>
        <color rgb="FF595959"/>
        <rFont val="Noto Sans CJK SC"/>
        <family val="2"/>
      </rPr>
      <t xml:space="preserve">점 </t>
    </r>
    <r>
      <rPr>
        <i val="true"/>
        <sz val="11"/>
        <color rgb="FF595959"/>
        <rFont val="Arial"/>
        <family val="0"/>
        <charset val="1"/>
      </rPr>
      <t xml:space="preserve">= 2</t>
    </r>
    <r>
      <rPr>
        <i val="true"/>
        <sz val="11"/>
        <color rgb="FF595959"/>
        <rFont val="Noto Sans CJK SC"/>
        <family val="2"/>
      </rPr>
      <t xml:space="preserve">명이 하기 쉬움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으로 매김 → ② 가중치로 </t>
    </r>
    <r>
      <rPr>
        <i val="true"/>
        <sz val="11"/>
        <color rgb="FF595959"/>
        <rFont val="Arial"/>
        <family val="0"/>
        <charset val="1"/>
      </rPr>
      <t xml:space="preserve">100</t>
    </r>
    <r>
      <rPr>
        <i val="true"/>
        <sz val="11"/>
        <color rgb="FF595959"/>
        <rFont val="Noto Sans CJK SC"/>
        <family val="2"/>
      </rPr>
      <t xml:space="preserve">점 만점 점수 계산 → ③ 게임은 자기 세부 장르의 점수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판정을 받음</t>
    </r>
    <r>
      <rPr>
        <i val="true"/>
        <sz val="11"/>
        <color rgb="FF595959"/>
        <rFont val="Arial"/>
        <family val="0"/>
        <charset val="1"/>
      </rPr>
      <t xml:space="preserve">.  </t>
    </r>
    <r>
      <rPr>
        <i val="true"/>
        <sz val="11"/>
        <color rgb="FF595959"/>
        <rFont val="Noto Sans CJK SC"/>
        <family val="2"/>
      </rPr>
      <t xml:space="preserve">파란 글씨 </t>
    </r>
    <r>
      <rPr>
        <i val="true"/>
        <sz val="11"/>
        <color rgb="FF595959"/>
        <rFont val="Arial"/>
        <family val="0"/>
        <charset val="1"/>
      </rPr>
      <t xml:space="preserve">= </t>
    </r>
    <r>
      <rPr>
        <i val="true"/>
        <sz val="11"/>
        <color rgb="FF595959"/>
        <rFont val="Noto Sans CJK SC"/>
        <family val="2"/>
      </rPr>
      <t xml:space="preserve">바꿀 수 있는 가정값</t>
    </r>
    <r>
      <rPr>
        <i val="true"/>
        <sz val="11"/>
        <color rgb="FF595959"/>
        <rFont val="Arial"/>
        <family val="0"/>
        <charset val="1"/>
      </rPr>
      <t xml:space="preserve">,  </t>
    </r>
    <r>
      <rPr>
        <i val="true"/>
        <sz val="11"/>
        <color rgb="FF595959"/>
        <rFont val="Noto Sans CJK SC"/>
        <family val="2"/>
      </rPr>
      <t xml:space="preserve">노란 칸 </t>
    </r>
    <r>
      <rPr>
        <i val="true"/>
        <sz val="11"/>
        <color rgb="FF595959"/>
        <rFont val="Arial"/>
        <family val="0"/>
        <charset val="1"/>
      </rPr>
      <t xml:space="preserve">= </t>
    </r>
    <r>
      <rPr>
        <i val="true"/>
        <sz val="11"/>
        <color rgb="FF595959"/>
        <rFont val="Noto Sans CJK SC"/>
        <family val="2"/>
      </rPr>
      <t xml:space="preserve">분석자 판단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추정</t>
    </r>
  </si>
  <si>
    <t xml:space="preserve">기준</t>
  </si>
  <si>
    <t xml:space="preserve">쉬운 뜻</t>
  </si>
  <si>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점 </t>
    </r>
    <r>
      <rPr>
        <b val="true"/>
        <sz val="11"/>
        <color rgb="FFFFFFFF"/>
        <rFont val="Arial"/>
        <family val="0"/>
        <charset val="1"/>
      </rPr>
      <t xml:space="preserve">(2</t>
    </r>
    <r>
      <rPr>
        <b val="true"/>
        <sz val="11"/>
        <color rgb="FFFFFFFF"/>
        <rFont val="Noto Sans CJK SC"/>
        <family val="2"/>
      </rPr>
      <t xml:space="preserve">명이 하기 쉬움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</si>
  <si>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점 </t>
    </r>
    <r>
      <rPr>
        <b val="true"/>
        <sz val="11"/>
        <color rgb="FFFFFFFF"/>
        <rFont val="Arial"/>
        <family val="0"/>
        <charset val="1"/>
      </rPr>
      <t xml:space="preserve">(2</t>
    </r>
    <r>
      <rPr>
        <b val="true"/>
        <sz val="11"/>
        <color rgb="FFFFFFFF"/>
        <rFont val="Noto Sans CJK SC"/>
        <family val="2"/>
      </rPr>
      <t xml:space="preserve">명이 하기 어려움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</si>
  <si>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가중치</t>
  </si>
  <si>
    <t xml:space="preserve">판정</t>
  </si>
  <si>
    <r>
      <rPr>
        <b val="true"/>
        <sz val="11"/>
        <color rgb="FFFFFFFF"/>
        <rFont val="Noto Sans CJK SC"/>
        <family val="2"/>
      </rPr>
      <t xml:space="preserve">후보 게임 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</si>
  <si>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세부 장르 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</si>
  <si>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콘텐츠 양</t>
  </si>
  <si>
    <r>
      <rPr>
        <sz val="11"/>
        <rFont val="Noto Sans CJK SC"/>
        <family val="2"/>
      </rPr>
      <t xml:space="preserve">레벨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맵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캐릭터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이야기를 얼마나 많이 만들어야 하나</t>
    </r>
  </si>
  <si>
    <r>
      <rPr>
        <sz val="11"/>
        <rFont val="Noto Sans CJK SC"/>
        <family val="2"/>
      </rPr>
      <t xml:space="preserve">규칙 하나로 레벨을 자동으로 만들 수 있음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블록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정렬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솔리테어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</si>
  <si>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오픈월드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수십 명 캐릭터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긴 이야기</t>
    </r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</si>
  <si>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인 가능</t>
    </r>
  </si>
  <si>
    <t xml:space="preserve">서버 필요</t>
  </si>
  <si>
    <t xml:space="preserve">게임 서버를 따로 만들고 돌려야 하나</t>
  </si>
  <si>
    <r>
      <rPr>
        <sz val="11"/>
        <rFont val="Noto Sans CJK SC"/>
        <family val="2"/>
      </rPr>
      <t xml:space="preserve">인터넷 없이 혼자 플레이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저장만 기기에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</si>
  <si>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실시간 대전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연맹전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거래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서버가 꼭 필요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</si>
  <si>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조건부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범위를 줄이면</t>
    </r>
    <r>
      <rPr>
        <sz val="11"/>
        <rFont val="Arial"/>
        <family val="0"/>
        <charset val="1"/>
      </rPr>
      <t xml:space="preserve">)</t>
    </r>
  </si>
  <si>
    <t xml:space="preserve">아트 양</t>
  </si>
  <si>
    <r>
      <rPr>
        <sz val="11"/>
        <rFont val="Noto Sans CJK SC"/>
        <family val="2"/>
      </rPr>
      <t xml:space="preserve">그림</t>
    </r>
    <r>
      <rPr>
        <sz val="11"/>
        <rFont val="Arial"/>
        <family val="0"/>
        <charset val="1"/>
      </rPr>
      <t xml:space="preserve">·3D </t>
    </r>
    <r>
      <rPr>
        <sz val="11"/>
        <rFont val="Noto Sans CJK SC"/>
        <family val="2"/>
      </rPr>
      <t xml:space="preserve">모델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애니메이션이 얼마나 많이 필요한가</t>
    </r>
  </si>
  <si>
    <r>
      <rPr>
        <sz val="11"/>
        <rFont val="Arial"/>
        <family val="0"/>
        <charset val="1"/>
      </rPr>
      <t xml:space="preserve">2D </t>
    </r>
    <r>
      <rPr>
        <sz val="11"/>
        <rFont val="Noto Sans CJK SC"/>
        <family val="2"/>
      </rPr>
      <t xml:space="preserve">도형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아이콘 위주</t>
    </r>
  </si>
  <si>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캐릭터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애니메이션 대량</t>
    </r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</si>
  <si>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인 어려움</t>
    </r>
  </si>
  <si>
    <t xml:space="preserve">라이브 운영 부담</t>
  </si>
  <si>
    <r>
      <rPr>
        <sz val="11"/>
        <rFont val="Noto Sans CJK SC"/>
        <family val="2"/>
      </rPr>
      <t xml:space="preserve">출시 뒤 이벤트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시즌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밸런스 패치를 얼마나 자주 해야 하나</t>
    </r>
  </si>
  <si>
    <t xml:space="preserve">업데이트가 거의 없어도 됨</t>
  </si>
  <si>
    <r>
      <rPr>
        <sz val="11"/>
        <rFont val="Noto Sans CJK SC"/>
        <family val="2"/>
      </rPr>
      <t xml:space="preserve">매주 이벤트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시즌 패스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밸런스 조정 필수</t>
    </r>
  </si>
  <si>
    <t xml:space="preserve">판단 보류</t>
  </si>
  <si>
    <r>
      <rPr>
        <b val="true"/>
        <sz val="11"/>
        <rFont val="Noto Sans CJK SC"/>
        <family val="2"/>
      </rPr>
      <t xml:space="preserve">심사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규제 부담</t>
    </r>
  </si>
  <si>
    <r>
      <rPr>
        <sz val="11"/>
        <rFont val="Noto Sans CJK SC"/>
        <family val="2"/>
      </rPr>
      <t xml:space="preserve">스토어 정책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나이 제한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확률 표시 같은 규칙이 얼마나 까다로운가</t>
    </r>
  </si>
  <si>
    <t xml:space="preserve">특별한 규제 없음</t>
  </si>
  <si>
    <r>
      <rPr>
        <sz val="11"/>
        <rFont val="Noto Sans CJK SC"/>
        <family val="2"/>
      </rPr>
      <t xml:space="preserve">도박류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소셜 카지노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리얼머니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정책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나라별 규제</t>
    </r>
  </si>
  <si>
    <t xml:space="preserve">합계</t>
  </si>
  <si>
    <r>
      <rPr>
        <b val="true"/>
        <sz val="11"/>
        <rFont val="Noto Sans CJK SC"/>
        <family val="2"/>
      </rPr>
      <t xml:space="preserve">가중치 합계 </t>
    </r>
    <r>
      <rPr>
        <b val="true"/>
        <sz val="11"/>
        <rFont val="Arial"/>
        <family val="0"/>
        <charset val="1"/>
      </rPr>
      <t xml:space="preserve">(100%</t>
    </r>
    <r>
      <rPr>
        <b val="true"/>
        <sz val="11"/>
        <rFont val="Noto Sans CJK SC"/>
        <family val="2"/>
      </rPr>
      <t xml:space="preserve">가 되게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</si>
  <si>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'2</t>
    </r>
    <r>
      <rPr>
        <b val="true"/>
        <sz val="11"/>
        <rFont val="Noto Sans CJK SC"/>
        <family val="2"/>
      </rPr>
      <t xml:space="preserve">인 가능</t>
    </r>
    <r>
      <rPr>
        <b val="true"/>
        <sz val="11"/>
        <rFont val="Arial"/>
        <family val="0"/>
        <charset val="1"/>
      </rPr>
      <t xml:space="preserve">' </t>
    </r>
    <r>
      <rPr>
        <b val="true"/>
        <sz val="11"/>
        <rFont val="Noto Sans CJK SC"/>
        <family val="2"/>
      </rPr>
      <t xml:space="preserve">기준 점수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이 점수 이상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</si>
  <si>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← 가중치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기준 점수는 분석자 제안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바꾸면 아래 점수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판정이 모두 자동으로 바뀜</t>
    </r>
  </si>
  <si>
    <r>
      <rPr>
        <b val="true"/>
        <sz val="11"/>
        <rFont val="Arial"/>
        <family val="0"/>
        <charset val="1"/>
      </rPr>
      <t xml:space="preserve">'</t>
    </r>
    <r>
      <rPr>
        <b val="true"/>
        <sz val="11"/>
        <rFont val="Noto Sans CJK SC"/>
        <family val="2"/>
      </rPr>
      <t xml:space="preserve">조건부</t>
    </r>
    <r>
      <rPr>
        <b val="true"/>
        <sz val="11"/>
        <rFont val="Arial"/>
        <family val="0"/>
        <charset val="1"/>
      </rPr>
      <t xml:space="preserve">' </t>
    </r>
    <r>
      <rPr>
        <b val="true"/>
        <sz val="11"/>
        <rFont val="Noto Sans CJK SC"/>
        <family val="2"/>
      </rPr>
      <t xml:space="preserve">기준 점수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이 점수 이상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</si>
  <si>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점 항목이 하나라도 있으면 </t>
    </r>
    <r>
      <rPr>
        <b val="true"/>
        <sz val="11"/>
        <rFont val="Arial"/>
        <family val="0"/>
        <charset val="1"/>
      </rPr>
      <t xml:space="preserve">'2</t>
    </r>
    <r>
      <rPr>
        <b val="true"/>
        <sz val="11"/>
        <rFont val="Noto Sans CJK SC"/>
        <family val="2"/>
      </rPr>
      <t xml:space="preserve">인 어려움</t>
    </r>
    <r>
      <rPr>
        <b val="true"/>
        <sz val="11"/>
        <rFont val="Arial"/>
        <family val="0"/>
        <charset val="1"/>
      </rPr>
      <t xml:space="preserve">'</t>
    </r>
    <r>
      <rPr>
        <b val="true"/>
        <sz val="11"/>
        <rFont val="Noto Sans CJK SC"/>
        <family val="2"/>
      </rPr>
      <t xml:space="preserve">으로 판정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예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아니오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</si>
  <si>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2"/>
        <rFont val="Noto Sans CJK SC"/>
        <family val="2"/>
      </rPr>
      <t xml:space="preserve">① 세부 장르 점수표 — </t>
    </r>
    <r>
      <rPr>
        <b val="true"/>
        <sz val="12"/>
        <rFont val="Arial"/>
        <family val="0"/>
        <charset val="1"/>
      </rPr>
      <t xml:space="preserve">C~G</t>
    </r>
    <r>
      <rPr>
        <b val="true"/>
        <sz val="12"/>
        <rFont val="Noto Sans CJK SC"/>
        <family val="2"/>
      </rPr>
      <t xml:space="preserve">열 점수는 분석자 판단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노란 칸</t>
    </r>
    <r>
      <rPr>
        <b val="true"/>
        <sz val="12"/>
        <rFont val="Arial"/>
        <family val="0"/>
        <charset val="1"/>
      </rPr>
      <t xml:space="preserve">). </t>
    </r>
    <r>
      <rPr>
        <b val="true"/>
        <sz val="12"/>
        <rFont val="Noto Sans CJK SC"/>
        <family val="2"/>
      </rPr>
      <t xml:space="preserve">장르의 일반적인 구조 기준이며 게임마다 다를 수 있음</t>
    </r>
  </si>
  <si>
    <t xml:space="preserve">대분류</t>
  </si>
  <si>
    <t xml:space="preserve">세부 장르</t>
  </si>
  <si>
    <r>
      <rPr>
        <b val="true"/>
        <sz val="11"/>
        <color rgb="FFFFFFFF"/>
        <rFont val="Noto Sans CJK SC"/>
        <family val="2"/>
      </rPr>
      <t xml:space="preserve">심사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규제 부담</t>
    </r>
  </si>
  <si>
    <r>
      <rPr>
        <b val="true"/>
        <sz val="11"/>
        <color rgb="FFFFFFFF"/>
        <rFont val="Noto Sans CJK SC"/>
        <family val="2"/>
      </rPr>
      <t xml:space="preserve">점수 </t>
    </r>
    <r>
      <rPr>
        <b val="true"/>
        <sz val="11"/>
        <color rgb="FFFFFFFF"/>
        <rFont val="Arial"/>
        <family val="0"/>
        <charset val="1"/>
      </rPr>
      <t xml:space="preserve">(100</t>
    </r>
    <r>
      <rPr>
        <b val="true"/>
        <sz val="11"/>
        <color rgb="FFFFFFFF"/>
        <rFont val="Noto Sans CJK SC"/>
        <family val="2"/>
      </rPr>
      <t xml:space="preserve">점</t>
    </r>
    <r>
      <rPr>
        <b val="true"/>
        <sz val="11"/>
        <color rgb="FFFFFFFF"/>
        <rFont val="Arial"/>
        <family val="0"/>
        <charset val="1"/>
      </rPr>
      <t xml:space="preserve">, 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</si>
  <si>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판정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</si>
  <si>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판단 근거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분석자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</si>
  <si>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찾기용 키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</si>
  <si>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전략</t>
  </si>
  <si>
    <t xml:space="preserve">4X·SLG</t>
  </si>
  <si>
    <r>
      <rPr>
        <sz val="11"/>
        <rFont val="Noto Sans CJK SC"/>
        <family val="2"/>
      </rPr>
      <t xml:space="preserve">연맹전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서버 시즌 운영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대규모 콘텐츠</t>
    </r>
  </si>
  <si>
    <t xml:space="preserve">퍼즐</t>
  </si>
  <si>
    <r>
      <rPr>
        <sz val="11"/>
        <rFont val="Noto Sans CJK SC"/>
        <family val="2"/>
      </rPr>
      <t xml:space="preserve">매치</t>
    </r>
    <r>
      <rPr>
        <sz val="11"/>
        <rFont val="Arial"/>
        <family val="0"/>
        <charset val="1"/>
      </rPr>
      <t xml:space="preserve">3</t>
    </r>
  </si>
  <si>
    <r>
      <rPr>
        <sz val="11"/>
        <rFont val="Noto Sans CJK SC"/>
        <family val="2"/>
      </rPr>
      <t xml:space="preserve">수백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수천 판을 손으로 맞춰야 하고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매출 상위작은 꾸미기 메타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주간 이벤트가 큼</t>
    </r>
  </si>
  <si>
    <r>
      <rPr>
        <sz val="11"/>
        <rFont val="Noto Sans CJK SC"/>
        <family val="2"/>
      </rPr>
      <t xml:space="preserve">정렬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잼</t>
    </r>
  </si>
  <si>
    <r>
      <rPr>
        <sz val="11"/>
        <rFont val="Noto Sans CJK SC"/>
        <family val="2"/>
      </rPr>
      <t xml:space="preserve">색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물건을 옮겨 정렬하는 규칙 하나로 레벨을 자동 생성하기 쉬움</t>
    </r>
    <r>
      <rPr>
        <sz val="11"/>
        <rFont val="Arial"/>
        <family val="0"/>
        <charset val="1"/>
      </rPr>
      <t xml:space="preserve">. 3D </t>
    </r>
    <r>
      <rPr>
        <sz val="11"/>
        <rFont val="Noto Sans CJK SC"/>
        <family val="2"/>
      </rPr>
      <t xml:space="preserve">잼류는 아트가 조금 더 듦</t>
    </r>
  </si>
  <si>
    <t xml:space="preserve">RPG</t>
  </si>
  <si>
    <r>
      <rPr>
        <sz val="11"/>
        <rFont val="Noto Sans CJK SC"/>
        <family val="2"/>
      </rPr>
      <t xml:space="preserve">수집형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가챠</t>
    </r>
    <r>
      <rPr>
        <sz val="11"/>
        <rFont val="Arial"/>
        <family val="0"/>
        <charset val="1"/>
      </rPr>
      <t xml:space="preserve">) RPG</t>
    </r>
  </si>
  <si>
    <r>
      <rPr>
        <sz val="11"/>
        <rFont val="Noto Sans CJK SC"/>
        <family val="2"/>
      </rPr>
      <t xml:space="preserve">캐릭터 대량 제작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확률형 아이템 표시 의무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주간 운영</t>
    </r>
  </si>
  <si>
    <r>
      <rPr>
        <sz val="11"/>
        <rFont val="Noto Sans CJK SC"/>
        <family val="2"/>
      </rPr>
      <t xml:space="preserve">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카지노</t>
    </r>
  </si>
  <si>
    <t xml:space="preserve">소셜 카지노</t>
  </si>
  <si>
    <r>
      <rPr>
        <sz val="11"/>
        <rFont val="Noto Sans CJK SC"/>
        <family val="2"/>
      </rPr>
      <t xml:space="preserve">도박 모사 게임 정책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나이 제한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매일 이벤트</t>
    </r>
  </si>
  <si>
    <t xml:space="preserve">머지</t>
  </si>
  <si>
    <r>
      <rPr>
        <sz val="11"/>
        <rFont val="Noto Sans CJK SC"/>
        <family val="2"/>
      </rPr>
      <t xml:space="preserve">합칠 물건 그림이 아주 많고 이야기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이벤트 운영 부담이 큼</t>
    </r>
  </si>
  <si>
    <r>
      <rPr>
        <sz val="11"/>
        <rFont val="Noto Sans CJK SC"/>
        <family val="2"/>
      </rPr>
      <t xml:space="preserve">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주사위 소셜캐주얼</t>
    </r>
  </si>
  <si>
    <r>
      <rPr>
        <sz val="11"/>
        <rFont val="Noto Sans CJK SC"/>
        <family val="2"/>
      </rPr>
      <t xml:space="preserve">친구 이벤트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경제를 서버가 관리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매주 이벤트가 매출의 핵심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라이브 운영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점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</si>
  <si>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타일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마작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트리플 매치</t>
    </r>
  </si>
  <si>
    <r>
      <rPr>
        <sz val="11"/>
        <rFont val="Noto Sans CJK SC"/>
        <family val="2"/>
      </rPr>
      <t xml:space="preserve">타일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물건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그림 세트가 필요하지만 배치는 반자동 생성 가능</t>
    </r>
    <r>
      <rPr>
        <sz val="11"/>
        <rFont val="Arial"/>
        <family val="0"/>
        <charset val="1"/>
      </rPr>
      <t xml:space="preserve">. 3D </t>
    </r>
    <r>
      <rPr>
        <sz val="11"/>
        <rFont val="Noto Sans CJK SC"/>
        <family val="2"/>
      </rPr>
      <t xml:space="preserve">물건형은 아트 부담↑</t>
    </r>
  </si>
  <si>
    <r>
      <rPr>
        <sz val="11"/>
        <rFont val="Noto Sans CJK SC"/>
        <family val="2"/>
      </rPr>
      <t xml:space="preserve">하이퍼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하이브리드 캐주얼</t>
    </r>
  </si>
  <si>
    <t xml:space="preserve">물리 파괴</t>
  </si>
  <si>
    <r>
      <rPr>
        <sz val="11"/>
        <rFont val="Noto Sans CJK SC"/>
        <family val="2"/>
      </rPr>
      <t xml:space="preserve">물리 엔진 손맛 조정이 핵심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저폴리 </t>
    </r>
    <r>
      <rPr>
        <sz val="11"/>
        <rFont val="Arial"/>
        <family val="0"/>
        <charset val="1"/>
      </rPr>
      <t xml:space="preserve">3D, </t>
    </r>
    <r>
      <rPr>
        <sz val="11"/>
        <rFont val="Noto Sans CJK SC"/>
        <family val="2"/>
      </rPr>
      <t xml:space="preserve">레벨 수는 적어도 됨</t>
    </r>
  </si>
  <si>
    <r>
      <rPr>
        <sz val="11"/>
        <rFont val="Noto Sans CJK SC"/>
        <family val="2"/>
      </rPr>
      <t xml:space="preserve">액션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슈팅</t>
    </r>
  </si>
  <si>
    <t xml:space="preserve">배틀로얄</t>
  </si>
  <si>
    <r>
      <rPr>
        <sz val="11"/>
        <rFont val="Noto Sans CJK SC"/>
        <family val="2"/>
      </rPr>
      <t xml:space="preserve">실시간 대규모 대전 서버</t>
    </r>
    <r>
      <rPr>
        <sz val="11"/>
        <rFont val="Arial"/>
        <family val="0"/>
        <charset val="1"/>
      </rPr>
      <t xml:space="preserve">, 3D </t>
    </r>
    <r>
      <rPr>
        <sz val="11"/>
        <rFont val="Noto Sans CJK SC"/>
        <family val="2"/>
      </rPr>
      <t xml:space="preserve">맵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무기</t>
    </r>
  </si>
  <si>
    <t xml:space="preserve">빙고</t>
  </si>
  <si>
    <r>
      <rPr>
        <sz val="11"/>
        <rFont val="Noto Sans CJK SC"/>
        <family val="2"/>
      </rPr>
      <t xml:space="preserve">여럿이 함께하는 방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이벤트 운영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도박 모사로 분류될 수 있음</t>
    </r>
  </si>
  <si>
    <t xml:space="preserve">솔리테어</t>
  </si>
  <si>
    <r>
      <rPr>
        <sz val="11"/>
        <rFont val="Noto Sans CJK SC"/>
        <family val="2"/>
      </rPr>
      <t xml:space="preserve">카드 배치 자동 생성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오프라인 가능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매출형은 맵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수집 메타가 붙음</t>
    </r>
  </si>
  <si>
    <t xml:space="preserve">블록</t>
  </si>
  <si>
    <r>
      <rPr>
        <sz val="11"/>
        <rFont val="Noto Sans CJK SC"/>
        <family val="2"/>
      </rPr>
      <t xml:space="preserve">끝없는 모드 중심이라 레벨 제작이 거의 없음</t>
    </r>
    <r>
      <rPr>
        <sz val="11"/>
        <rFont val="Arial"/>
        <family val="0"/>
        <charset val="1"/>
      </rPr>
      <t xml:space="preserve">. 2D </t>
    </r>
    <r>
      <rPr>
        <sz val="11"/>
        <rFont val="Noto Sans CJK SC"/>
        <family val="2"/>
      </rPr>
      <t xml:space="preserve">블록 그래픽</t>
    </r>
  </si>
  <si>
    <t xml:space="preserve">수집형 오픈월드</t>
  </si>
  <si>
    <r>
      <rPr>
        <sz val="11"/>
        <rFont val="Noto Sans CJK SC"/>
        <family val="2"/>
      </rPr>
      <t xml:space="preserve">대형 </t>
    </r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세계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캐릭터 — 대형 스튜디오 규모</t>
    </r>
  </si>
  <si>
    <t xml:space="preserve">시뮬레이션</t>
  </si>
  <si>
    <r>
      <rPr>
        <sz val="11"/>
        <rFont val="Noto Sans CJK SC"/>
        <family val="2"/>
      </rPr>
      <t xml:space="preserve">농장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타운 빌딩</t>
    </r>
  </si>
  <si>
    <r>
      <rPr>
        <sz val="11"/>
        <rFont val="Noto Sans CJK SC"/>
        <family val="2"/>
      </rPr>
      <t xml:space="preserve">건물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아이템 수백 개와 꾸준한 이벤트</t>
    </r>
  </si>
  <si>
    <t xml:space="preserve">샌드박스</t>
  </si>
  <si>
    <r>
      <rPr>
        <sz val="11"/>
        <rFont val="Noto Sans CJK SC"/>
        <family val="2"/>
      </rPr>
      <t xml:space="preserve">블록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복셀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그래픽은 단순하지만 만들기 도구 범위가 넓음</t>
    </r>
  </si>
  <si>
    <t xml:space="preserve">트레이딩 카드</t>
  </si>
  <si>
    <r>
      <rPr>
        <sz val="11"/>
        <rFont val="Noto Sans CJK SC"/>
        <family val="2"/>
      </rPr>
      <t xml:space="preserve">카드 그림 수백 장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대전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거래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확률형 뽑기 서버</t>
    </r>
  </si>
  <si>
    <r>
      <rPr>
        <sz val="11"/>
        <rFont val="Noto Sans CJK SC"/>
        <family val="2"/>
      </rPr>
      <t xml:space="preserve">로직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두뇌 트릭</t>
    </r>
  </si>
  <si>
    <r>
      <rPr>
        <sz val="11"/>
        <rFont val="Noto Sans CJK SC"/>
        <family val="2"/>
      </rPr>
      <t xml:space="preserve">스도쿠류는 자동 생성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두뇌 트릭류는 판마다 아이디어를 손으로 만들어야 함</t>
    </r>
  </si>
  <si>
    <t xml:space="preserve">워드</t>
  </si>
  <si>
    <r>
      <rPr>
        <sz val="11"/>
        <rFont val="Noto Sans CJK SC"/>
        <family val="2"/>
      </rPr>
      <t xml:space="preserve">단어 데이터가 콘텐츠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나라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언어마다 단어 목록을 새로 만들어야 함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현지화 부담</t>
    </r>
    <r>
      <rPr>
        <sz val="11"/>
        <rFont val="Arial"/>
        <family val="0"/>
        <charset val="1"/>
      </rPr>
      <t xml:space="preserve">)</t>
    </r>
  </si>
  <si>
    <t xml:space="preserve">탭 탈출</t>
  </si>
  <si>
    <r>
      <rPr>
        <sz val="11"/>
        <rFont val="Noto Sans CJK SC"/>
        <family val="2"/>
      </rPr>
      <t xml:space="preserve">화살표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블록을 탭해 빼내는 규칙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레벨 자동 생성 쉬움</t>
    </r>
    <r>
      <rPr>
        <sz val="11"/>
        <rFont val="Arial"/>
        <family val="0"/>
        <charset val="1"/>
      </rPr>
      <t xml:space="preserve">, 2D </t>
    </r>
    <r>
      <rPr>
        <sz val="11"/>
        <rFont val="Noto Sans CJK SC"/>
        <family val="2"/>
      </rPr>
      <t xml:space="preserve">위주</t>
    </r>
  </si>
  <si>
    <t xml:space="preserve">하이브리드 캐주얼</t>
  </si>
  <si>
    <r>
      <rPr>
        <sz val="11"/>
        <rFont val="Noto Sans CJK SC"/>
        <family val="2"/>
      </rPr>
      <t xml:space="preserve">간단한 핵심 놀이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성장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업그레이드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메타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메타 설계 분량이 중간</t>
    </r>
  </si>
  <si>
    <t xml:space="preserve">확인 불가</t>
  </si>
  <si>
    <t xml:space="preserve">-</t>
  </si>
  <si>
    <t xml:space="preserve">장르를 확인하지 못한 게임 — 판단 보류</t>
  </si>
  <si>
    <r>
      <rPr>
        <sz val="11"/>
        <rFont val="Noto Sans CJK SC"/>
        <family val="2"/>
      </rPr>
      <t xml:space="preserve">오프라인 진행은 가능하지만 캐릭터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성장 경제 설계 분량이 큼</t>
    </r>
  </si>
  <si>
    <t xml:space="preserve">위치기반 수집</t>
  </si>
  <si>
    <r>
      <rPr>
        <sz val="11"/>
        <rFont val="Noto Sans CJK SC"/>
        <family val="2"/>
      </rPr>
      <t xml:space="preserve">지도 데이터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위치 서버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안전 정책</t>
    </r>
  </si>
  <si>
    <r>
      <rPr>
        <sz val="11"/>
        <rFont val="Noto Sans CJK SC"/>
        <family val="2"/>
      </rPr>
      <t xml:space="preserve">기타</t>
    </r>
    <r>
      <rPr>
        <sz val="11"/>
        <rFont val="Arial"/>
        <family val="0"/>
        <charset val="1"/>
      </rPr>
      <t xml:space="preserve">(UGC·</t>
    </r>
    <r>
      <rPr>
        <sz val="11"/>
        <rFont val="Noto Sans CJK SC"/>
        <family val="2"/>
      </rPr>
      <t xml:space="preserve">리워드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</si>
  <si>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UGC </t>
    </r>
    <r>
      <rPr>
        <sz val="11"/>
        <rFont val="Noto Sans CJK SC"/>
        <family val="2"/>
      </rPr>
      <t xml:space="preserve">플랫폼</t>
    </r>
  </si>
  <si>
    <r>
      <rPr>
        <sz val="11"/>
        <rFont val="Noto Sans CJK SC"/>
        <family val="2"/>
      </rPr>
      <t xml:space="preserve">플랫폼 자체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사용자 제작 도구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서버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심사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라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인 범위 밖</t>
    </r>
  </si>
  <si>
    <t xml:space="preserve">스포츠</t>
  </si>
  <si>
    <t xml:space="preserve">골프</t>
  </si>
  <si>
    <r>
      <rPr>
        <sz val="11"/>
        <rFont val="Noto Sans CJK SC"/>
        <family val="2"/>
      </rPr>
      <t xml:space="preserve">물리 손맛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코스 </t>
    </r>
    <r>
      <rPr>
        <sz val="11"/>
        <rFont val="Arial"/>
        <family val="0"/>
        <charset val="1"/>
      </rPr>
      <t xml:space="preserve">3D. </t>
    </r>
    <r>
      <rPr>
        <sz val="11"/>
        <rFont val="Noto Sans CJK SC"/>
        <family val="2"/>
      </rPr>
      <t xml:space="preserve">상위작은 </t>
    </r>
    <r>
      <rPr>
        <sz val="11"/>
        <rFont val="Arial"/>
        <family val="0"/>
        <charset val="1"/>
      </rPr>
      <t xml:space="preserve">1:1 </t>
    </r>
    <r>
      <rPr>
        <sz val="11"/>
        <rFont val="Noto Sans CJK SC"/>
        <family val="2"/>
      </rPr>
      <t xml:space="preserve">대전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서버</t>
    </r>
    <r>
      <rPr>
        <sz val="11"/>
        <rFont val="Arial"/>
        <family val="0"/>
        <charset val="1"/>
      </rPr>
      <t xml:space="preserve">)</t>
    </r>
  </si>
  <si>
    <t xml:space="preserve">축구</t>
  </si>
  <si>
    <r>
      <rPr>
        <sz val="11"/>
        <rFont val="Noto Sans CJK SC"/>
        <family val="2"/>
      </rPr>
      <t xml:space="preserve">선수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리그 라이선스와 </t>
    </r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애니메이션</t>
    </r>
  </si>
  <si>
    <t xml:space="preserve">스나이퍼</t>
  </si>
  <si>
    <r>
      <rPr>
        <sz val="11"/>
        <rFont val="Noto Sans CJK SC"/>
        <family val="2"/>
      </rPr>
      <t xml:space="preserve">혼자 하는 미션형이면 서버 부담은 적지만 </t>
    </r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아트가 필요</t>
    </r>
  </si>
  <si>
    <t xml:space="preserve">팀 대전 슈터</t>
  </si>
  <si>
    <r>
      <rPr>
        <sz val="11"/>
        <rFont val="Noto Sans CJK SC"/>
        <family val="2"/>
      </rPr>
      <t xml:space="preserve">실시간 대전 서버</t>
    </r>
    <r>
      <rPr>
        <sz val="11"/>
        <rFont val="Arial"/>
        <family val="0"/>
        <charset val="1"/>
      </rPr>
      <t xml:space="preserve">, 3D </t>
    </r>
    <r>
      <rPr>
        <sz val="11"/>
        <rFont val="Noto Sans CJK SC"/>
        <family val="2"/>
      </rPr>
      <t xml:space="preserve">캐릭터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맵</t>
    </r>
  </si>
  <si>
    <t xml:space="preserve">실시간 카드 배틀</t>
  </si>
  <si>
    <t xml:space="preserve">실시간 대전 서버와 밸런스 패치가 필수</t>
  </si>
  <si>
    <t xml:space="preserve">클래식 보드</t>
  </si>
  <si>
    <r>
      <rPr>
        <sz val="11"/>
        <rFont val="Noto Sans CJK SC"/>
        <family val="2"/>
      </rPr>
      <t xml:space="preserve">규칙은 이미 있음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온라인 대전이 핵심이면 서버 필요</t>
    </r>
    <r>
      <rPr>
        <sz val="11"/>
        <rFont val="Arial"/>
        <family val="0"/>
        <charset val="1"/>
      </rPr>
      <t xml:space="preserve">(2</t>
    </r>
    <r>
      <rPr>
        <sz val="11"/>
        <rFont val="Noto Sans CJK SC"/>
        <family val="2"/>
      </rPr>
      <t xml:space="preserve">점</t>
    </r>
    <r>
      <rPr>
        <sz val="11"/>
        <rFont val="Arial"/>
        <family val="0"/>
        <charset val="1"/>
      </rPr>
      <t xml:space="preserve">) — AI </t>
    </r>
    <r>
      <rPr>
        <sz val="11"/>
        <rFont val="Noto Sans CJK SC"/>
        <family val="2"/>
      </rPr>
      <t xml:space="preserve">상대로 줄이면 </t>
    </r>
    <r>
      <rPr>
        <sz val="11"/>
        <rFont val="Arial"/>
        <family val="0"/>
        <charset val="1"/>
      </rPr>
      <t xml:space="preserve">MVP </t>
    </r>
    <r>
      <rPr>
        <sz val="11"/>
        <rFont val="Noto Sans CJK SC"/>
        <family val="2"/>
      </rPr>
      <t xml:space="preserve">가능</t>
    </r>
  </si>
  <si>
    <t xml:space="preserve">포커</t>
  </si>
  <si>
    <r>
      <rPr>
        <sz val="11"/>
        <rFont val="Noto Sans CJK SC"/>
        <family val="2"/>
      </rPr>
      <t xml:space="preserve">실시간 대전 서버 필수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도박 모사 규제</t>
    </r>
  </si>
  <si>
    <r>
      <rPr>
        <sz val="11"/>
        <rFont val="Noto Sans CJK SC"/>
        <family val="2"/>
      </rPr>
      <t xml:space="preserve">파티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음악</t>
    </r>
  </si>
  <si>
    <t xml:space="preserve">밈 챌린지</t>
  </si>
  <si>
    <r>
      <rPr>
        <sz val="11"/>
        <rFont val="Noto Sans CJK SC"/>
        <family val="2"/>
      </rPr>
      <t xml:space="preserve">유행 밈을 계속 바꿔야 함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운영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밈 저작권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초상권 위험</t>
    </r>
  </si>
  <si>
    <t xml:space="preserve">기타 퍼즐</t>
  </si>
  <si>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기타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로 묶인 장르라 한 번에 판단 불가 — 게임별 확인 필요</t>
    </r>
  </si>
  <si>
    <t xml:space="preserve">숨은그림</t>
  </si>
  <si>
    <t xml:space="preserve">판마다 큰 그림을 새로 그려야 해서 아트 부담이 가장 큼</t>
  </si>
  <si>
    <r>
      <rPr>
        <sz val="11"/>
        <rFont val="Noto Sans CJK SC"/>
        <family val="2"/>
      </rPr>
      <t xml:space="preserve">픽셀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컬러 아트</t>
    </r>
  </si>
  <si>
    <r>
      <rPr>
        <sz val="11"/>
        <rFont val="Noto Sans CJK SC"/>
        <family val="2"/>
      </rPr>
      <t xml:space="preserve">그림 자료가 곧 콘텐츠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그림을 자동 변환하면 양은 줄일 수 있음</t>
    </r>
  </si>
  <si>
    <r>
      <rPr>
        <sz val="11"/>
        <rFont val="Noto Sans CJK SC"/>
        <family val="2"/>
      </rPr>
      <t xml:space="preserve">군중 러너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디펜스</t>
    </r>
  </si>
  <si>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군중 표현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성능 최적화가 필요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레벨은 반복 구조</t>
    </r>
  </si>
  <si>
    <r>
      <rPr>
        <b val="true"/>
        <sz val="12"/>
        <rFont val="Arial"/>
        <family val="0"/>
        <charset val="1"/>
      </rPr>
      <t xml:space="preserve">② 2</t>
    </r>
    <r>
      <rPr>
        <b val="true"/>
        <sz val="12"/>
        <rFont val="Noto Sans CJK SC"/>
        <family val="2"/>
      </rPr>
      <t xml:space="preserve">인 개발 추천 후보 — 게임 선택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역할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기간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꼭 넣을 것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주의점은 모두 분석자 제안</t>
    </r>
    <r>
      <rPr>
        <b val="true"/>
        <sz val="12"/>
        <rFont val="Arial"/>
        <family val="0"/>
        <charset val="1"/>
      </rPr>
      <t xml:space="preserve">/</t>
    </r>
    <r>
      <rPr>
        <b val="true"/>
        <sz val="12"/>
        <rFont val="Noto Sans CJK SC"/>
        <family val="2"/>
      </rPr>
      <t xml:space="preserve">추정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점수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순위는 수식으로 가져옴</t>
    </r>
    <r>
      <rPr>
        <b val="true"/>
        <sz val="12"/>
        <rFont val="Arial"/>
        <family val="0"/>
        <charset val="1"/>
      </rPr>
      <t xml:space="preserve">)</t>
    </r>
  </si>
  <si>
    <t xml:space="preserve">게임명</t>
  </si>
  <si>
    <r>
      <rPr>
        <b val="true"/>
        <sz val="11"/>
        <color rgb="FFFFFFFF"/>
        <rFont val="Noto Sans CJK SC"/>
        <family val="2"/>
      </rPr>
      <t xml:space="preserve">세부 장르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</si>
  <si>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매출 순위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</si>
  <si>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무료 순위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</si>
  <si>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점수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</si>
  <si>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3-3 </t>
    </r>
    <r>
      <rPr>
        <b val="true"/>
        <sz val="11"/>
        <color rgb="FFFFFFFF"/>
        <rFont val="Noto Sans CJK SC"/>
        <family val="2"/>
      </rPr>
      <t xml:space="preserve">유형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</si>
  <si>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인 역할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분석자 가정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</si>
  <si>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MVP </t>
    </r>
    <r>
      <rPr>
        <b val="true"/>
        <sz val="11"/>
        <color rgb="FFFFFFFF"/>
        <rFont val="Noto Sans CJK SC"/>
        <family val="2"/>
      </rPr>
      <t xml:space="preserve">기간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분석자 추정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</si>
  <si>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MVP</t>
    </r>
    <r>
      <rPr>
        <b val="true"/>
        <sz val="11"/>
        <color rgb="FFFFFFFF"/>
        <rFont val="Noto Sans CJK SC"/>
        <family val="2"/>
      </rPr>
      <t xml:space="preserve">에 꼭 넣을 것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분석자 제안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</si>
  <si>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주의점</t>
  </si>
  <si>
    <r>
      <rPr>
        <sz val="11"/>
        <rFont val="Noto Sans CJK SC"/>
        <family val="2"/>
      </rPr>
      <t xml:space="preserve">개발 </t>
    </r>
    <r>
      <rPr>
        <sz val="11"/>
        <rFont val="Arial"/>
        <family val="0"/>
        <charset val="1"/>
      </rPr>
      <t xml:space="preserve">1 + </t>
    </r>
    <r>
      <rPr>
        <sz val="11"/>
        <rFont val="Noto Sans CJK SC"/>
        <family val="2"/>
      </rPr>
      <t xml:space="preserve">기획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아트 </t>
    </r>
    <r>
      <rPr>
        <sz val="11"/>
        <rFont val="Arial"/>
        <family val="0"/>
        <charset val="1"/>
      </rPr>
      <t xml:space="preserve">1</t>
    </r>
  </si>
  <si>
    <r>
      <rPr>
        <sz val="11"/>
        <rFont val="Noto Sans CJK SC"/>
        <family val="2"/>
      </rPr>
      <t xml:space="preserve">약 </t>
    </r>
    <r>
      <rPr>
        <sz val="11"/>
        <rFont val="Arial"/>
        <family val="0"/>
        <charset val="1"/>
      </rPr>
      <t xml:space="preserve">2~3</t>
    </r>
    <r>
      <rPr>
        <sz val="11"/>
        <rFont val="Noto Sans CJK SC"/>
        <family val="2"/>
      </rPr>
      <t xml:space="preserve">개월</t>
    </r>
  </si>
  <si>
    <r>
      <rPr>
        <sz val="11"/>
        <rFont val="Noto Sans CJK SC"/>
        <family val="2"/>
      </rPr>
      <t xml:space="preserve">물 색 정렬 규칙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레벨 자동 생성기와 난이도 곡선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보상형 광고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되돌리기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병 추가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</si>
  <si>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Liftoff 2025 </t>
    </r>
    <r>
      <rPr>
        <sz val="11"/>
        <rFont val="Noto Sans CJK SC"/>
        <family val="2"/>
      </rPr>
      <t xml:space="preserve">보고서가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물 정렬 퍼즐 첫 하이브리드 캐주얼 성공작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으로 소개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같은 규칙 경쟁작이 많아 차별점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개가 필요</t>
    </r>
  </si>
  <si>
    <t xml:space="preserve">Match Factory!</t>
  </si>
  <si>
    <r>
      <rPr>
        <sz val="11"/>
        <rFont val="Noto Sans CJK SC"/>
        <family val="2"/>
      </rPr>
      <t xml:space="preserve">개발 </t>
    </r>
    <r>
      <rPr>
        <sz val="11"/>
        <rFont val="Arial"/>
        <family val="0"/>
        <charset val="1"/>
      </rPr>
      <t xml:space="preserve">1 + 3D </t>
    </r>
    <r>
      <rPr>
        <sz val="11"/>
        <rFont val="Noto Sans CJK SC"/>
        <family val="2"/>
      </rPr>
      <t xml:space="preserve">아트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기획 </t>
    </r>
    <r>
      <rPr>
        <sz val="11"/>
        <rFont val="Arial"/>
        <family val="0"/>
        <charset val="1"/>
      </rPr>
      <t xml:space="preserve">1</t>
    </r>
  </si>
  <si>
    <r>
      <rPr>
        <sz val="11"/>
        <rFont val="Noto Sans CJK SC"/>
        <family val="2"/>
      </rPr>
      <t xml:space="preserve">약 </t>
    </r>
    <r>
      <rPr>
        <sz val="11"/>
        <rFont val="Arial"/>
        <family val="0"/>
        <charset val="1"/>
      </rPr>
      <t xml:space="preserve">3~4</t>
    </r>
    <r>
      <rPr>
        <sz val="11"/>
        <rFont val="Noto Sans CJK SC"/>
        <family val="2"/>
      </rPr>
      <t xml:space="preserve">개월</t>
    </r>
  </si>
  <si>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물건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개 모으기 규칙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물건 모델 세트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에셋 구매 검토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시간 제한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부스터</t>
    </r>
  </si>
  <si>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물건 아트가 가장 큰 일 — 에셋 구매 여부가 기간을 좌우</t>
    </r>
  </si>
  <si>
    <t xml:space="preserve">Cube Land Puzzle Game</t>
  </si>
  <si>
    <r>
      <rPr>
        <sz val="11"/>
        <rFont val="Noto Sans CJK SC"/>
        <family val="2"/>
      </rPr>
      <t xml:space="preserve">블록 놓기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줄 지우기 규칙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점수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콤보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끝없는 모드와 광고</t>
    </r>
  </si>
  <si>
    <r>
      <rPr>
        <sz val="11"/>
        <rFont val="Arial"/>
        <family val="0"/>
        <charset val="1"/>
      </rPr>
      <t xml:space="preserve">Block Blast!·Woodoku Blast </t>
    </r>
    <r>
      <rPr>
        <sz val="11"/>
        <rFont val="Noto Sans CJK SC"/>
        <family val="2"/>
      </rPr>
      <t xml:space="preserve">같은 강자가 무료 상위에 있음</t>
    </r>
    <r>
      <rPr>
        <sz val="11"/>
        <rFont val="Arial"/>
        <family val="0"/>
        <charset val="1"/>
      </rPr>
      <t xml:space="preserve">(1-2) — </t>
    </r>
    <r>
      <rPr>
        <sz val="11"/>
        <rFont val="Noto Sans CJK SC"/>
        <family val="2"/>
      </rPr>
      <t xml:space="preserve">테마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연출 차별화 필요</t>
    </r>
  </si>
  <si>
    <t xml:space="preserve">Tiki Solitaire TriPeaks</t>
  </si>
  <si>
    <r>
      <rPr>
        <sz val="11"/>
        <rFont val="Noto Sans CJK SC"/>
        <family val="2"/>
      </rPr>
      <t xml:space="preserve">트라이픽스 규칙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카드 배치 자동 생성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테마 배경 몇 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부스터</t>
    </r>
  </si>
  <si>
    <r>
      <rPr>
        <sz val="11"/>
        <rFont val="Noto Sans CJK SC"/>
        <family val="2"/>
      </rPr>
      <t xml:space="preserve">매출 상위 솔리테어는 맵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수집 메타가 있음 — </t>
    </r>
    <r>
      <rPr>
        <sz val="11"/>
        <rFont val="Arial"/>
        <family val="0"/>
        <charset val="1"/>
      </rPr>
      <t xml:space="preserve">MVP </t>
    </r>
    <r>
      <rPr>
        <sz val="11"/>
        <rFont val="Noto Sans CJK SC"/>
        <family val="2"/>
      </rPr>
      <t xml:space="preserve">뒤에 메타를 붙이는 순서</t>
    </r>
  </si>
  <si>
    <t xml:space="preserve">Royal Smash! - Physics Puzzle</t>
  </si>
  <si>
    <r>
      <rPr>
        <sz val="11"/>
        <rFont val="Noto Sans CJK SC"/>
        <family val="2"/>
      </rPr>
      <t xml:space="preserve">물리 파괴 손맛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짧은 레벨 묶음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보상형 광고</t>
    </r>
  </si>
  <si>
    <r>
      <rPr>
        <sz val="11"/>
        <rFont val="Noto Sans CJK SC"/>
        <family val="2"/>
      </rPr>
      <t xml:space="preserve">물리 튜닝과 </t>
    </r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저폴리 아트가 개발 부담의 중심</t>
    </r>
  </si>
  <si>
    <t xml:space="preserve">Arrow Puzzle: Tap Puzzle Games</t>
  </si>
  <si>
    <r>
      <rPr>
        <sz val="11"/>
        <rFont val="Noto Sans CJK SC"/>
        <family val="2"/>
      </rPr>
      <t xml:space="preserve">약 </t>
    </r>
    <r>
      <rPr>
        <sz val="11"/>
        <rFont val="Arial"/>
        <family val="0"/>
        <charset val="1"/>
      </rPr>
      <t xml:space="preserve">1.5~2.5</t>
    </r>
    <r>
      <rPr>
        <sz val="11"/>
        <rFont val="Noto Sans CJK SC"/>
        <family val="2"/>
      </rPr>
      <t xml:space="preserve">개월</t>
    </r>
  </si>
  <si>
    <r>
      <rPr>
        <sz val="11"/>
        <rFont val="Noto Sans CJK SC"/>
        <family val="2"/>
      </rPr>
      <t xml:space="preserve">화살표 방향대로 탭해서 빼내기 규칙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레벨 생성기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힌트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광고 보고 받기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</si>
  <si>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매출 </t>
    </r>
    <r>
      <rPr>
        <sz val="11"/>
        <rFont val="Arial"/>
        <family val="0"/>
        <charset val="1"/>
      </rPr>
      <t xml:space="preserve">Top100 </t>
    </r>
    <r>
      <rPr>
        <sz val="11"/>
        <rFont val="Noto Sans CJK SC"/>
        <family val="2"/>
      </rPr>
      <t xml:space="preserve">밖</t>
    </r>
    <r>
      <rPr>
        <sz val="11"/>
        <rFont val="Arial"/>
        <family val="0"/>
        <charset val="1"/>
      </rPr>
      <t xml:space="preserve">(③ </t>
    </r>
    <r>
      <rPr>
        <sz val="11"/>
        <rFont val="Noto Sans CJK SC"/>
        <family val="2"/>
      </rPr>
      <t xml:space="preserve">유형</t>
    </r>
    <r>
      <rPr>
        <sz val="11"/>
        <rFont val="Arial"/>
        <family val="0"/>
        <charset val="1"/>
      </rPr>
      <t xml:space="preserve">) → </t>
    </r>
    <r>
      <rPr>
        <sz val="11"/>
        <rFont val="Noto Sans CJK SC"/>
        <family val="2"/>
      </rPr>
      <t xml:space="preserve">광고 수익형일 가능성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결제 매출 기대는 낮게</t>
    </r>
  </si>
  <si>
    <t xml:space="preserve">Solitaire Associations Journey</t>
  </si>
  <si>
    <r>
      <rPr>
        <sz val="11"/>
        <rFont val="Noto Sans CJK SC"/>
        <family val="2"/>
      </rPr>
      <t xml:space="preserve">단어 묶음 카드 규칙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영어 단어 데이터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하루 한 판 퍼즐</t>
    </r>
  </si>
  <si>
    <r>
      <rPr>
        <sz val="11"/>
        <rFont val="Noto Sans CJK SC"/>
        <family val="2"/>
      </rPr>
      <t xml:space="preserve">언어마다 단어 데이터를 새로 만들어야 함 — 처음엔 영어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만</t>
    </r>
  </si>
  <si>
    <r>
      <rPr>
        <i val="true"/>
        <sz val="11"/>
        <color rgb="FF595959"/>
        <rFont val="Noto Sans CJK SC"/>
        <family val="2"/>
      </rPr>
      <t xml:space="preserve">이 표는 </t>
    </r>
    <r>
      <rPr>
        <i val="true"/>
        <sz val="11"/>
        <color rgb="FF595959"/>
        <rFont val="Arial"/>
        <family val="0"/>
        <charset val="1"/>
      </rPr>
      <t xml:space="preserve">'2</t>
    </r>
    <r>
      <rPr>
        <i val="true"/>
        <sz val="11"/>
        <color rgb="FF595959"/>
        <rFont val="Noto Sans CJK SC"/>
        <family val="2"/>
      </rPr>
      <t xml:space="preserve">명이 </t>
    </r>
    <r>
      <rPr>
        <i val="true"/>
        <sz val="11"/>
        <color rgb="FF595959"/>
        <rFont val="Arial"/>
        <family val="0"/>
        <charset val="1"/>
      </rPr>
      <t xml:space="preserve">MVP(</t>
    </r>
    <r>
      <rPr>
        <i val="true"/>
        <sz val="11"/>
        <color rgb="FF595959"/>
        <rFont val="Noto Sans CJK SC"/>
        <family val="2"/>
      </rPr>
      <t xml:space="preserve">최소 기능 제품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를 만들 수 있나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만 봅니다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돈을 벌 수 있는지는 매출 순위</t>
    </r>
    <r>
      <rPr>
        <i val="true"/>
        <sz val="11"/>
        <color rgb="FF595959"/>
        <rFont val="Arial"/>
        <family val="0"/>
        <charset val="1"/>
      </rPr>
      <t xml:space="preserve">(4-5)·</t>
    </r>
    <r>
      <rPr>
        <i val="true"/>
        <sz val="11"/>
        <color rgb="FF595959"/>
        <rFont val="Noto Sans CJK SC"/>
        <family val="2"/>
      </rPr>
      <t xml:space="preserve">광고 대비 유입</t>
    </r>
    <r>
      <rPr>
        <i val="true"/>
        <sz val="11"/>
        <color rgb="FF595959"/>
        <rFont val="Arial"/>
        <family val="0"/>
        <charset val="1"/>
      </rPr>
      <t xml:space="preserve">(3-1)·</t>
    </r>
    <r>
      <rPr>
        <i val="true"/>
        <sz val="11"/>
        <color rgb="FF595959"/>
        <rFont val="Noto Sans CJK SC"/>
        <family val="2"/>
      </rPr>
      <t xml:space="preserve">마케팅 실행안</t>
    </r>
    <r>
      <rPr>
        <i val="true"/>
        <sz val="11"/>
        <color rgb="FF595959"/>
        <rFont val="Arial"/>
        <family val="0"/>
        <charset val="1"/>
      </rPr>
      <t xml:space="preserve">(3-4, </t>
    </r>
    <r>
      <rPr>
        <i val="true"/>
        <sz val="11"/>
        <color rgb="FF595959"/>
        <rFont val="Noto Sans CJK SC"/>
        <family val="2"/>
      </rPr>
      <t xml:space="preserve">다음 단계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에서 따로 봅니다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</si>
  <si>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후보 </t>
    </r>
    <r>
      <rPr>
        <i val="true"/>
        <sz val="11"/>
        <color rgb="FF595959"/>
        <rFont val="Arial"/>
        <family val="0"/>
        <charset val="1"/>
      </rPr>
      <t xml:space="preserve">= </t>
    </r>
    <r>
      <rPr>
        <i val="true"/>
        <sz val="11"/>
        <color rgb="FF595959"/>
        <rFont val="Noto Sans CJK SC"/>
        <family val="2"/>
      </rPr>
      <t xml:space="preserve">매출 </t>
    </r>
    <r>
      <rPr>
        <i val="true"/>
        <sz val="11"/>
        <color rgb="FF595959"/>
        <rFont val="Arial"/>
        <family val="0"/>
        <charset val="1"/>
      </rPr>
      <t xml:space="preserve">Top100 </t>
    </r>
    <r>
      <rPr>
        <i val="true"/>
        <sz val="11"/>
        <color rgb="FF595959"/>
        <rFont val="Noto Sans CJK SC"/>
        <family val="2"/>
      </rPr>
      <t xml:space="preserve">안 게임 </t>
    </r>
    <r>
      <rPr>
        <i val="true"/>
        <sz val="11"/>
        <color rgb="FF595959"/>
        <rFont val="Arial"/>
        <family val="0"/>
        <charset val="1"/>
      </rPr>
      <t xml:space="preserve">+ 3-3 </t>
    </r>
    <r>
      <rPr>
        <i val="true"/>
        <sz val="11"/>
        <color rgb="FF595959"/>
        <rFont val="Noto Sans CJK SC"/>
        <family val="2"/>
      </rPr>
      <t xml:space="preserve">분류가 </t>
    </r>
    <r>
      <rPr>
        <i val="true"/>
        <sz val="11"/>
        <color rgb="FF595959"/>
        <rFont val="Arial"/>
        <family val="0"/>
        <charset val="1"/>
      </rPr>
      <t xml:space="preserve">'③ </t>
    </r>
    <r>
      <rPr>
        <i val="true"/>
        <sz val="11"/>
        <color rgb="FF595959"/>
        <rFont val="Noto Sans CJK SC"/>
        <family val="2"/>
      </rPr>
      <t xml:space="preserve">다운로드만 높음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인 게임 </t>
    </r>
    <r>
      <rPr>
        <i val="true"/>
        <sz val="11"/>
        <color rgb="FF595959"/>
        <rFont val="Arial"/>
        <family val="0"/>
        <charset val="1"/>
      </rPr>
      <t xml:space="preserve">(G</t>
    </r>
    <r>
      <rPr>
        <i val="true"/>
        <sz val="11"/>
        <color rgb="FF595959"/>
        <rFont val="Noto Sans CJK SC"/>
        <family val="2"/>
      </rPr>
      <t xml:space="preserve">열 수식</t>
    </r>
    <r>
      <rPr>
        <i val="true"/>
        <sz val="11"/>
        <color rgb="FF595959"/>
        <rFont val="Arial"/>
        <family val="0"/>
        <charset val="1"/>
      </rPr>
      <t xml:space="preserve">). '4-6 </t>
    </r>
    <r>
      <rPr>
        <i val="true"/>
        <sz val="11"/>
        <color rgb="FF595959"/>
        <rFont val="Noto Sans CJK SC"/>
        <family val="2"/>
      </rPr>
      <t xml:space="preserve">매출</t>
    </r>
    <r>
      <rPr>
        <i val="true"/>
        <sz val="11"/>
        <color rgb="FF595959"/>
        <rFont val="Arial"/>
        <family val="0"/>
        <charset val="1"/>
      </rPr>
      <t xml:space="preserve">-</t>
    </r>
    <r>
      <rPr>
        <i val="true"/>
        <sz val="11"/>
        <color rgb="FF595959"/>
        <rFont val="Noto Sans CJK SC"/>
        <family val="2"/>
      </rPr>
      <t xml:space="preserve">다운로드 비교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참조</t>
    </r>
    <r>
      <rPr>
        <i val="true"/>
        <sz val="11"/>
        <color rgb="FF595959"/>
        <rFont val="Arial"/>
        <family val="0"/>
        <charset val="1"/>
      </rPr>
      <t xml:space="preserve">)'</t>
    </r>
    <r>
      <rPr>
        <i val="true"/>
        <sz val="11"/>
        <color rgb="FF595959"/>
        <rFont val="Noto Sans CJK SC"/>
        <family val="2"/>
      </rPr>
      <t xml:space="preserve">의 </t>
    </r>
    <r>
      <rPr>
        <i val="true"/>
        <sz val="11"/>
        <color rgb="FF595959"/>
        <rFont val="Arial"/>
        <family val="0"/>
        <charset val="1"/>
      </rPr>
      <t xml:space="preserve">B2·B3 </t>
    </r>
    <r>
      <rPr>
        <i val="true"/>
        <sz val="11"/>
        <color rgb="FF595959"/>
        <rFont val="Noto Sans CJK SC"/>
        <family val="2"/>
      </rPr>
      <t xml:space="preserve">기준값을 바꾸면 ③ 후보도 함께 바뀝니다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</si>
  <si>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세부 장르는 </t>
    </r>
    <r>
      <rPr>
        <i val="true"/>
        <sz val="11"/>
        <color rgb="FF595959"/>
        <rFont val="Arial"/>
        <family val="0"/>
        <charset val="1"/>
      </rPr>
      <t xml:space="preserve">'4-5 </t>
    </r>
    <r>
      <rPr>
        <i val="true"/>
        <sz val="11"/>
        <color rgb="FF595959"/>
        <rFont val="Noto Sans CJK SC"/>
        <family val="2"/>
      </rPr>
      <t xml:space="preserve">매출 </t>
    </r>
    <r>
      <rPr>
        <i val="true"/>
        <sz val="11"/>
        <color rgb="FF595959"/>
        <rFont val="Arial"/>
        <family val="0"/>
        <charset val="1"/>
      </rPr>
      <t xml:space="preserve">Top100(</t>
    </r>
    <r>
      <rPr>
        <i val="true"/>
        <sz val="11"/>
        <color rgb="FF595959"/>
        <rFont val="Noto Sans CJK SC"/>
        <family val="2"/>
      </rPr>
      <t xml:space="preserve">참조</t>
    </r>
    <r>
      <rPr>
        <i val="true"/>
        <sz val="11"/>
        <color rgb="FF595959"/>
        <rFont val="Arial"/>
        <family val="0"/>
        <charset val="1"/>
      </rPr>
      <t xml:space="preserve">)' → </t>
    </r>
    <r>
      <rPr>
        <i val="true"/>
        <sz val="11"/>
        <color rgb="FF595959"/>
        <rFont val="Noto Sans CJK SC"/>
        <family val="2"/>
      </rPr>
      <t xml:space="preserve">없으면 </t>
    </r>
    <r>
      <rPr>
        <i val="true"/>
        <sz val="11"/>
        <color rgb="FF595959"/>
        <rFont val="Arial"/>
        <family val="0"/>
        <charset val="1"/>
      </rPr>
      <t xml:space="preserve">'4-4 Google Play Top100(</t>
    </r>
    <r>
      <rPr>
        <i val="true"/>
        <sz val="11"/>
        <color rgb="FF595959"/>
        <rFont val="Noto Sans CJK SC"/>
        <family val="2"/>
      </rPr>
      <t xml:space="preserve">참조</t>
    </r>
    <r>
      <rPr>
        <i val="true"/>
        <sz val="11"/>
        <color rgb="FF595959"/>
        <rFont val="Arial"/>
        <family val="0"/>
        <charset val="1"/>
      </rPr>
      <t xml:space="preserve">)'</t>
    </r>
    <r>
      <rPr>
        <i val="true"/>
        <sz val="11"/>
        <color rgb="FF595959"/>
        <rFont val="Noto Sans CJK SC"/>
        <family val="2"/>
      </rPr>
      <t xml:space="preserve">에서 찾습니다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수식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세 시트 모두 시장조사</t>
    </r>
    <r>
      <rPr>
        <i val="true"/>
        <sz val="11"/>
        <color rgb="FF595959"/>
        <rFont val="Arial"/>
        <family val="0"/>
        <charset val="1"/>
      </rPr>
      <t xml:space="preserve">.xlsx</t>
    </r>
    <r>
      <rPr>
        <i val="true"/>
        <sz val="11"/>
        <color rgb="FF595959"/>
        <rFont val="Noto Sans CJK SC"/>
        <family val="2"/>
      </rPr>
      <t xml:space="preserve">의 참조용 복사본입니다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</si>
  <si>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세부 장르 점수</t>
    </r>
    <r>
      <rPr>
        <i val="true"/>
        <sz val="11"/>
        <color rgb="FF595959"/>
        <rFont val="Arial"/>
        <family val="0"/>
        <charset val="1"/>
      </rPr>
      <t xml:space="preserve">(C~G</t>
    </r>
    <r>
      <rPr>
        <i val="true"/>
        <sz val="11"/>
        <color rgb="FF595959"/>
        <rFont val="Noto Sans CJK SC"/>
        <family val="2"/>
      </rPr>
      <t xml:space="preserve">열</t>
    </r>
    <r>
      <rPr>
        <i val="true"/>
        <sz val="11"/>
        <color rgb="FF595959"/>
        <rFont val="Arial"/>
        <family val="0"/>
        <charset val="1"/>
      </rPr>
      <t xml:space="preserve">)·</t>
    </r>
    <r>
      <rPr>
        <i val="true"/>
        <sz val="11"/>
        <color rgb="FF595959"/>
        <rFont val="Noto Sans CJK SC"/>
        <family val="2"/>
      </rPr>
      <t xml:space="preserve">역할</t>
    </r>
    <r>
      <rPr>
        <i val="true"/>
        <sz val="11"/>
        <color rgb="FF595959"/>
        <rFont val="Arial"/>
        <family val="0"/>
        <charset val="1"/>
      </rPr>
      <t xml:space="preserve">·MVP </t>
    </r>
    <r>
      <rPr>
        <i val="true"/>
        <sz val="11"/>
        <color rgb="FF595959"/>
        <rFont val="Noto Sans CJK SC"/>
        <family val="2"/>
      </rPr>
      <t xml:space="preserve">기간은 분석자 판단</t>
    </r>
    <r>
      <rPr>
        <i val="true"/>
        <sz val="11"/>
        <color rgb="FF595959"/>
        <rFont val="Arial"/>
        <family val="0"/>
        <charset val="1"/>
      </rPr>
      <t xml:space="preserve">/</t>
    </r>
    <r>
      <rPr>
        <i val="true"/>
        <sz val="11"/>
        <color rgb="FF595959"/>
        <rFont val="Noto Sans CJK SC"/>
        <family val="2"/>
      </rPr>
      <t xml:space="preserve">추정이며 근거 수치가 없습니다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실제 게임별 개발 인원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기간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개발비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매출액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비공개 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공개 자료로 확인 불가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</si>
  <si>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i val="true"/>
        <sz val="11"/>
        <color rgb="FF595959"/>
        <rFont val="Noto Sans CJK SC"/>
        <family val="2"/>
      </rPr>
      <t xml:space="preserve">공개 자료로 대신 쓸 수 있는 지표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매출 순위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무료 순위</t>
    </r>
    <r>
      <rPr>
        <i val="true"/>
        <sz val="11"/>
        <color rgb="FF595959"/>
        <rFont val="Arial"/>
        <family val="0"/>
        <charset val="1"/>
      </rPr>
      <t xml:space="preserve">(AppBrain, 2026-10-04), AppBrain </t>
    </r>
    <r>
      <rPr>
        <i val="true"/>
        <sz val="11"/>
        <color rgb="FF595959"/>
        <rFont val="Noto Sans CJK SC"/>
        <family val="2"/>
      </rPr>
      <t xml:space="preserve">추정 누적 설치 수</t>
    </r>
    <r>
      <rPr>
        <i val="true"/>
        <sz val="11"/>
        <color rgb="FF595959"/>
        <rFont val="Arial"/>
        <family val="0"/>
        <charset val="1"/>
      </rPr>
      <t xml:space="preserve">(3-3 D</t>
    </r>
    <r>
      <rPr>
        <i val="true"/>
        <sz val="11"/>
        <color rgb="FF595959"/>
        <rFont val="Noto Sans CJK SC"/>
        <family val="2"/>
      </rPr>
      <t xml:space="preserve">열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추정</t>
    </r>
    <r>
      <rPr>
        <i val="true"/>
        <sz val="11"/>
        <color rgb="FF595959"/>
        <rFont val="Arial"/>
        <family val="0"/>
        <charset val="1"/>
      </rPr>
      <t xml:space="preserve">), </t>
    </r>
    <r>
      <rPr>
        <i val="true"/>
        <sz val="11"/>
        <color rgb="FF595959"/>
        <rFont val="Noto Sans CJK SC"/>
        <family val="2"/>
      </rPr>
      <t xml:space="preserve">스토어 출시일</t>
    </r>
    <r>
      <rPr>
        <i val="true"/>
        <sz val="11"/>
        <color rgb="FF595959"/>
        <rFont val="Arial"/>
        <family val="0"/>
        <charset val="1"/>
      </rPr>
      <t xml:space="preserve">(3-3 G</t>
    </r>
    <r>
      <rPr>
        <i val="true"/>
        <sz val="11"/>
        <color rgb="FF595959"/>
        <rFont val="Noto Sans CJK SC"/>
        <family val="2"/>
      </rPr>
      <t xml:space="preserve">열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대부분 미조사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</si>
  <si>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i val="true"/>
        <sz val="11"/>
        <color rgb="FF595959"/>
        <rFont val="Arial"/>
        <family val="0"/>
        <charset val="1"/>
      </rPr>
      <t xml:space="preserve">'1</t>
    </r>
    <r>
      <rPr>
        <i val="true"/>
        <sz val="11"/>
        <color rgb="FF595959"/>
        <rFont val="Noto Sans CJK SC"/>
        <family val="2"/>
      </rPr>
      <t xml:space="preserve">점 항목이 있으면 어려움</t>
    </r>
    <r>
      <rPr>
        <i val="true"/>
        <sz val="11"/>
        <color rgb="FF595959"/>
        <rFont val="Arial"/>
        <family val="0"/>
        <charset val="1"/>
      </rPr>
      <t xml:space="preserve">' </t>
    </r>
    <r>
      <rPr>
        <i val="true"/>
        <sz val="11"/>
        <color rgb="FF595959"/>
        <rFont val="Noto Sans CJK SC"/>
        <family val="2"/>
      </rPr>
      <t xml:space="preserve">규칙</t>
    </r>
    <r>
      <rPr>
        <i val="true"/>
        <sz val="11"/>
        <color rgb="FF595959"/>
        <rFont val="Arial"/>
        <family val="0"/>
        <charset val="1"/>
      </rPr>
      <t xml:space="preserve">(E14)</t>
    </r>
    <r>
      <rPr>
        <i val="true"/>
        <sz val="11"/>
        <color rgb="FF595959"/>
        <rFont val="Noto Sans CJK SC"/>
        <family val="2"/>
      </rPr>
      <t xml:space="preserve">은 실시간 서버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대형 콘텐츠처럼 하나만 있어도 </t>
    </r>
    <r>
      <rPr>
        <i val="true"/>
        <sz val="11"/>
        <color rgb="FF595959"/>
        <rFont val="Arial"/>
        <family val="0"/>
        <charset val="1"/>
      </rPr>
      <t xml:space="preserve">2</t>
    </r>
    <r>
      <rPr>
        <i val="true"/>
        <sz val="11"/>
        <color rgb="FF595959"/>
        <rFont val="Noto Sans CJK SC"/>
        <family val="2"/>
      </rPr>
      <t xml:space="preserve">명이 감당하기 어려운 경우를 거르려는 분석자 제안입니다</t>
    </r>
    <r>
      <rPr>
        <i val="true"/>
        <sz val="11"/>
        <color rgb="FF595959"/>
        <rFont val="Arial"/>
        <family val="0"/>
        <charset val="1"/>
      </rPr>
      <t xml:space="preserve">. '</t>
    </r>
    <r>
      <rPr>
        <i val="true"/>
        <sz val="11"/>
        <color rgb="FF595959"/>
        <rFont val="Noto Sans CJK SC"/>
        <family val="2"/>
      </rPr>
      <t xml:space="preserve">아니오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로 바꾸면 점수만으로 판정합니다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</si>
  <si>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아래 ③ 전체 목록은 </t>
    </r>
    <r>
      <rPr>
        <i val="true"/>
        <sz val="11"/>
        <color rgb="FF595959"/>
        <rFont val="Arial"/>
        <family val="0"/>
        <charset val="1"/>
      </rPr>
      <t xml:space="preserve">3-3</t>
    </r>
    <r>
      <rPr>
        <i val="true"/>
        <sz val="11"/>
        <color rgb="FF595959"/>
        <rFont val="Noto Sans CJK SC"/>
        <family val="2"/>
      </rPr>
      <t xml:space="preserve">의 </t>
    </r>
    <r>
      <rPr>
        <i val="true"/>
        <sz val="11"/>
        <color rgb="FF595959"/>
        <rFont val="Arial"/>
        <family val="0"/>
        <charset val="1"/>
      </rPr>
      <t xml:space="preserve">172</t>
    </r>
    <r>
      <rPr>
        <i val="true"/>
        <sz val="11"/>
        <color rgb="FF595959"/>
        <rFont val="Noto Sans CJK SC"/>
        <family val="2"/>
      </rPr>
      <t xml:space="preserve">개 게임 전부이며</t>
    </r>
    <r>
      <rPr>
        <i val="true"/>
        <sz val="11"/>
        <color rgb="FF595959"/>
        <rFont val="Arial"/>
        <family val="0"/>
        <charset val="1"/>
      </rPr>
      <t xml:space="preserve">, '</t>
    </r>
    <r>
      <rPr>
        <i val="true"/>
        <sz val="11"/>
        <color rgb="FF595959"/>
        <rFont val="Noto Sans CJK SC"/>
        <family val="2"/>
      </rPr>
      <t xml:space="preserve">후보 아님</t>
    </r>
    <r>
      <rPr>
        <i val="true"/>
        <sz val="11"/>
        <color rgb="FF595959"/>
        <rFont val="Arial"/>
        <family val="0"/>
        <charset val="1"/>
      </rPr>
      <t xml:space="preserve">' </t>
    </r>
    <r>
      <rPr>
        <i val="true"/>
        <sz val="11"/>
        <color rgb="FF595959"/>
        <rFont val="Noto Sans CJK SC"/>
        <family val="2"/>
      </rPr>
      <t xml:space="preserve">줄은 점수를 매기지 않습니다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맨 위 머리 줄의 필터로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후보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만 골라 볼 수 있습니다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</si>
  <si>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b val="true"/>
        <sz val="12"/>
        <rFont val="Noto Sans CJK SC"/>
        <family val="2"/>
      </rPr>
      <t xml:space="preserve">③ 전체 게임 목록 </t>
    </r>
    <r>
      <rPr>
        <b val="true"/>
        <sz val="12"/>
        <rFont val="Arial"/>
        <family val="0"/>
        <charset val="1"/>
      </rPr>
      <t xml:space="preserve">(3-3</t>
    </r>
    <r>
      <rPr>
        <b val="true"/>
        <sz val="12"/>
        <rFont val="Noto Sans CJK SC"/>
        <family val="2"/>
      </rPr>
      <t xml:space="preserve">의 </t>
    </r>
    <r>
      <rPr>
        <b val="true"/>
        <sz val="12"/>
        <rFont val="Arial"/>
        <family val="0"/>
        <charset val="1"/>
      </rPr>
      <t xml:space="preserve">172</t>
    </r>
    <r>
      <rPr>
        <b val="true"/>
        <sz val="12"/>
        <rFont val="Noto Sans CJK SC"/>
        <family val="2"/>
      </rPr>
      <t xml:space="preserve">개</t>
    </r>
    <r>
      <rPr>
        <b val="true"/>
        <sz val="12"/>
        <rFont val="Arial"/>
        <family val="0"/>
        <charset val="1"/>
      </rPr>
      <t xml:space="preserve">) — </t>
    </r>
    <r>
      <rPr>
        <b val="true"/>
        <sz val="12"/>
        <rFont val="Noto Sans CJK SC"/>
        <family val="2"/>
      </rPr>
      <t xml:space="preserve">장르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순위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유형은 참조 시트에서 수식으로 가져옴</t>
    </r>
  </si>
  <si>
    <r>
      <rPr>
        <b val="true"/>
        <sz val="11"/>
        <color rgb="FFFFFFFF"/>
        <rFont val="Noto Sans CJK SC"/>
        <family val="2"/>
      </rPr>
      <t xml:space="preserve">대분류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</si>
  <si>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후보 여부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</si>
  <si>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Roblox</t>
  </si>
  <si>
    <t xml:space="preserve">Gossip Harbor: Merge &amp; Story</t>
  </si>
  <si>
    <t xml:space="preserve">Township</t>
  </si>
  <si>
    <t xml:space="preserve">Last War:Survival Game</t>
  </si>
  <si>
    <t xml:space="preserve">DRAGON BALL Z DOKKAN BATTLE</t>
  </si>
  <si>
    <t xml:space="preserve">Toon Blast</t>
  </si>
  <si>
    <t xml:space="preserve">Total Battle: War Strategy</t>
  </si>
  <si>
    <t xml:space="preserve">Last Z: Survival Shooter</t>
  </si>
  <si>
    <t xml:space="preserve">Evony: The King's Return</t>
  </si>
  <si>
    <t xml:space="preserve">RAID: Shadow Legends</t>
  </si>
  <si>
    <t xml:space="preserve">Gardenscapes</t>
  </si>
  <si>
    <t xml:space="preserve">Bingo Blitz - Bingo Games</t>
  </si>
  <si>
    <t xml:space="preserve">Jackpot Party Casino Slots</t>
  </si>
  <si>
    <t xml:space="preserve">Last Asylum: Plague</t>
  </si>
  <si>
    <t xml:space="preserve">Fishdom</t>
  </si>
  <si>
    <t xml:space="preserve">Cashman Casino Slots Games</t>
  </si>
  <si>
    <t xml:space="preserve">Free Fire x NARUTO SHIPPUDEN</t>
  </si>
  <si>
    <t xml:space="preserve">Tasty Travels: Merge Game</t>
  </si>
  <si>
    <t xml:space="preserve">Clash of Clans</t>
  </si>
  <si>
    <t xml:space="preserve">Candy Crush Soda Saga</t>
  </si>
  <si>
    <t xml:space="preserve">Lightning Link Casino Slots</t>
  </si>
  <si>
    <t xml:space="preserve">Sword x Staff</t>
  </si>
  <si>
    <t xml:space="preserve">Pixel Flow!</t>
  </si>
  <si>
    <t xml:space="preserve">Lotsa Slots - Casino Games</t>
  </si>
  <si>
    <t xml:space="preserve">Homescapes</t>
  </si>
  <si>
    <t xml:space="preserve">Dark War Survival</t>
  </si>
  <si>
    <t xml:space="preserve">Yarn Loop</t>
  </si>
  <si>
    <t xml:space="preserve">Honkai: Star Rail</t>
  </si>
  <si>
    <t xml:space="preserve">Solitaire Grand Harvest</t>
  </si>
  <si>
    <t xml:space="preserve">Wuthering Waves</t>
  </si>
  <si>
    <t xml:space="preserve">Disney Solitaire</t>
  </si>
  <si>
    <t xml:space="preserve">Coin Master - Board Adventure</t>
  </si>
  <si>
    <t xml:space="preserve">Mystery Town: Merge Games</t>
  </si>
  <si>
    <t xml:space="preserve">Cash Frenzy - Casino Slots</t>
  </si>
  <si>
    <t xml:space="preserve">Puzzles &amp; Survival</t>
  </si>
  <si>
    <t xml:space="preserve">All in Hole: Black Hole Games</t>
  </si>
  <si>
    <t xml:space="preserve">Z Route: Redemption</t>
  </si>
  <si>
    <t xml:space="preserve">Slots: Heart of Vegas Casino</t>
  </si>
  <si>
    <t xml:space="preserve">Flambé: Merge &amp; Cook</t>
  </si>
  <si>
    <t xml:space="preserve">Merge Cooking</t>
  </si>
  <si>
    <t xml:space="preserve">Matching Story - Puzzle Games</t>
  </si>
  <si>
    <t xml:space="preserve">Hay Day</t>
  </si>
  <si>
    <t xml:space="preserve">June's Journey: Hidden Objects</t>
  </si>
  <si>
    <t xml:space="preserve">Magic: The Gathering Arena</t>
  </si>
  <si>
    <t xml:space="preserve">Quick Hit Casino Slots Games</t>
  </si>
  <si>
    <t xml:space="preserve">Travel Town - Merge Adventure</t>
  </si>
  <si>
    <t xml:space="preserve">PUBG MOBILE</t>
  </si>
  <si>
    <t xml:space="preserve">Puzzles &amp; Chaos: Frozen Castle</t>
  </si>
  <si>
    <t xml:space="preserve">GODDESS OF VICTORY: NIKKE</t>
  </si>
  <si>
    <t xml:space="preserve">Bingo Voyage - Live Bingo Game</t>
  </si>
  <si>
    <t xml:space="preserve">Colony Flow!</t>
  </si>
  <si>
    <t xml:space="preserve">Lordrush</t>
  </si>
  <si>
    <t xml:space="preserve">eFootball</t>
  </si>
  <si>
    <t xml:space="preserve">Minecraft: Dream it, Build it!</t>
  </si>
  <si>
    <t xml:space="preserve">Hollywood Merge</t>
  </si>
  <si>
    <t xml:space="preserve">Piggy Kingdom</t>
  </si>
  <si>
    <t xml:space="preserve">MARVEL Strike Force: Squad RPG</t>
  </si>
  <si>
    <t xml:space="preserve">Golf Clash - Golfing Simulator</t>
  </si>
  <si>
    <t xml:space="preserve">Bingo Frenzy-Live Bingo Games</t>
  </si>
  <si>
    <t xml:space="preserve">Clash of Critters</t>
  </si>
  <si>
    <t xml:space="preserve">WSOP Poker: Texas Holdem Game</t>
  </si>
  <si>
    <t xml:space="preserve">Toy Blast</t>
  </si>
  <si>
    <t xml:space="preserve">Jackpot World - Slots Casino</t>
  </si>
  <si>
    <t xml:space="preserve">Yalla Ludo - Ludo&amp;Jackaroo</t>
  </si>
  <si>
    <t xml:space="preserve">Hole Stars: Puzzle Game</t>
  </si>
  <si>
    <t xml:space="preserve">Hunting Sniper</t>
  </si>
  <si>
    <t xml:space="preserve">Color Block Jam</t>
  </si>
  <si>
    <t xml:space="preserve">Star Wars: Galaxy of Heroes</t>
  </si>
  <si>
    <t xml:space="preserve">Fate/Grand Order (English)</t>
  </si>
  <si>
    <t xml:space="preserve">Yahtzee With Buddies: Dice</t>
  </si>
  <si>
    <t xml:space="preserve">Hero Wars: Alliance RPG Legend</t>
  </si>
  <si>
    <t xml:space="preserve">Police Chief</t>
  </si>
  <si>
    <t xml:space="preserve">Bus Traffic Fever!</t>
  </si>
  <si>
    <t xml:space="preserve">Rise of Kingdoms: Lost Crusade</t>
  </si>
  <si>
    <t xml:space="preserve">Star Trek Fleet Command</t>
  </si>
  <si>
    <t xml:space="preserve">Seaside Escape: Merge &amp; Story</t>
  </si>
  <si>
    <t xml:space="preserve">Loop Sort</t>
  </si>
  <si>
    <t xml:space="preserve">Angry Birds 2</t>
  </si>
  <si>
    <t xml:space="preserve">Match Masters</t>
  </si>
  <si>
    <t xml:space="preserve">Genshin Impact 6th Anniversary</t>
  </si>
  <si>
    <t xml:space="preserve">Meowdoku: Brain Puzzle Games</t>
  </si>
  <si>
    <t xml:space="preserve">Smash Land!</t>
  </si>
  <si>
    <t xml:space="preserve">MemeMix Challenge: Funny Party</t>
  </si>
  <si>
    <t xml:space="preserve">Brain Puzzle 3: Crazy Mind</t>
  </si>
  <si>
    <t xml:space="preserve">Woodoku Blast</t>
  </si>
  <si>
    <t xml:space="preserve">Amaze GO!</t>
  </si>
  <si>
    <t xml:space="preserve">Block Craft 3D: Building Game</t>
  </si>
  <si>
    <t xml:space="preserve">Word Search Explorer</t>
  </si>
  <si>
    <t xml:space="preserve">Fish Sort Puzzle</t>
  </si>
  <si>
    <t xml:space="preserve">Mahjong Blast</t>
  </si>
  <si>
    <t xml:space="preserve">Pocket Sort: Coin Merge Puzzle</t>
  </si>
  <si>
    <t xml:space="preserve">Castle Busters</t>
  </si>
  <si>
    <t xml:space="preserve">Bulldozer Master: Crush &amp; Mine</t>
  </si>
  <si>
    <t xml:space="preserve">Mob Control</t>
  </si>
  <si>
    <t xml:space="preserve">CubeAway - 3DPuzzle</t>
  </si>
  <si>
    <t xml:space="preserve">Paper.io 2</t>
  </si>
  <si>
    <t xml:space="preserve">Magic Tiles 3 - Piano Game</t>
  </si>
  <si>
    <t xml:space="preserve">Arrows – Puzzle Escape</t>
  </si>
  <si>
    <t xml:space="preserve">8 Ball Pool</t>
  </si>
  <si>
    <t xml:space="preserve">Sled Surfers</t>
  </si>
  <si>
    <t xml:space="preserve">Jigsawcard Solitaire Puzzle</t>
  </si>
  <si>
    <t xml:space="preserve">Color by Number: Coloring Games</t>
  </si>
  <si>
    <t xml:space="preserve">Warline: Sniper Strike</t>
  </si>
  <si>
    <t xml:space="preserve">Color Block: Combo Blast</t>
  </si>
  <si>
    <t xml:space="preserve">Brainy Escape Quest</t>
  </si>
  <si>
    <t xml:space="preserve">CarLoop</t>
  </si>
  <si>
    <t xml:space="preserve">Solitaire - Classic Card Games</t>
  </si>
  <si>
    <t xml:space="preserve">Slow Mo Strike: Knives in Time</t>
  </si>
  <si>
    <t xml:space="preserve">Idle Cat Gunner: Shooter RPG</t>
  </si>
  <si>
    <t xml:space="preserve">Subway Surfers</t>
  </si>
  <si>
    <t xml:space="preserve">Word Tiles - Relaxing Puzzle</t>
  </si>
  <si>
    <t xml:space="preserve">Geometry Dash Lite</t>
  </si>
  <si>
    <t xml:space="preserve">Mahjong Master: Daily Match</t>
  </si>
  <si>
    <t xml:space="preserve">Search It - Hidden Objects</t>
  </si>
  <si>
    <t xml:space="preserve">Happy Color: Color by Number</t>
  </si>
  <si>
    <t xml:space="preserve">Apex Sniper: Animal Hunt</t>
  </si>
  <si>
    <t xml:space="preserve">Toca Boca World</t>
  </si>
  <si>
    <t xml:space="preserve">Among Us</t>
  </si>
  <si>
    <t xml:space="preserve">Ball Sort Puzzle - Color Game</t>
  </si>
  <si>
    <t xml:space="preserve">EA SPORTS FC Soccer Mobile 27</t>
  </si>
  <si>
    <t xml:space="preserve">Hidden Object Games: Seek It</t>
  </si>
  <si>
    <t xml:space="preserve">Aniimo</t>
  </si>
  <si>
    <t xml:space="preserve">Tiki Smash!</t>
  </si>
  <si>
    <t xml:space="preserve">Block Crush!</t>
  </si>
  <si>
    <t xml:space="preserve">Word Connect Association</t>
  </si>
  <si>
    <t xml:space="preserve">Melon Sandbox</t>
  </si>
  <si>
    <t xml:space="preserve">Double Tile!</t>
  </si>
  <si>
    <t xml:space="preserve">Brain Puzzle 2: Logic Twist</t>
  </si>
  <si>
    <t xml:space="preserve">Frost Valley: Merge &amp; Story</t>
  </si>
  <si>
    <t xml:space="preserve">Solitaire</t>
  </si>
  <si>
    <t xml:space="preserve">Food Hunt: Pixel Puzzle</t>
  </si>
  <si>
    <t xml:space="preserve">Angry Smash</t>
  </si>
  <si>
    <t xml:space="preserve">Screw Out 3D: Nut Sort Jam</t>
  </si>
  <si>
    <t xml:space="preserve">Crossword Go!</t>
  </si>
  <si>
    <t xml:space="preserve">Treasure Master</t>
  </si>
  <si>
    <t xml:space="preserve">Car Evolve</t>
  </si>
  <si>
    <t xml:space="preserve">Offline Games - No Wifi Games</t>
  </si>
  <si>
    <t xml:space="preserve">Loop Master: Color Jam Sort</t>
  </si>
  <si>
    <t xml:space="preserve">Freddy Playground Sandbox</t>
  </si>
  <si>
    <t xml:space="preserve">Wordscapes Search: Word Games</t>
  </si>
  <si>
    <t xml:space="preserve">Last Extract</t>
  </si>
  <si>
    <t xml:space="preserve">Vigor Mahjong</t>
  </si>
  <si>
    <t xml:space="preserve">Solar Smash</t>
  </si>
  <si>
    <t xml:space="preserve">GOGO! Blast</t>
  </si>
  <si>
    <t xml:space="preserve">Annoying Uncle Punch Game</t>
  </si>
  <si>
    <t xml:space="preserve">Food Sort: Puzzle Game</t>
  </si>
  <si>
    <t xml:space="preserve">Fast Cash Farkle</t>
  </si>
  <si>
    <t xml:space="preserve">Bloons Blitz</t>
  </si>
  <si>
    <r>
      <rPr>
        <b val="true"/>
        <sz val="12"/>
        <rFont val="Noto Sans CJK SC"/>
        <family val="2"/>
      </rPr>
      <t xml:space="preserve">광고 대비 유입 — 광고비 → 설치 수 → </t>
    </r>
    <r>
      <rPr>
        <b val="true"/>
        <sz val="12"/>
        <rFont val="Arial"/>
        <family val="0"/>
        <charset val="1"/>
      </rPr>
      <t xml:space="preserve">D1·D7·D30</t>
    </r>
    <r>
      <rPr>
        <b val="true"/>
        <sz val="12"/>
        <rFont val="Noto Sans CJK SC"/>
        <family val="2"/>
      </rPr>
      <t xml:space="preserve">에 다시 오는 사람 수</t>
    </r>
  </si>
  <si>
    <r>
      <rPr>
        <i val="true"/>
        <sz val="11"/>
        <color rgb="FF595959"/>
        <rFont val="Noto Sans CJK SC"/>
        <family val="2"/>
      </rPr>
      <t xml:space="preserve">읽는 법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광고비 </t>
    </r>
    <r>
      <rPr>
        <i val="true"/>
        <sz val="11"/>
        <color rgb="FF595959"/>
        <rFont val="Arial"/>
        <family val="0"/>
        <charset val="1"/>
      </rPr>
      <t xml:space="preserve">÷ CPI(</t>
    </r>
    <r>
      <rPr>
        <i val="true"/>
        <sz val="11"/>
        <color rgb="FF595959"/>
        <rFont val="Noto Sans CJK SC"/>
        <family val="2"/>
      </rPr>
      <t xml:space="preserve">설치 </t>
    </r>
    <r>
      <rPr>
        <i val="true"/>
        <sz val="11"/>
        <color rgb="FF595959"/>
        <rFont val="Arial"/>
        <family val="0"/>
        <charset val="1"/>
      </rPr>
      <t xml:space="preserve">1</t>
    </r>
    <r>
      <rPr>
        <i val="true"/>
        <sz val="11"/>
        <color rgb="FF595959"/>
        <rFont val="Noto Sans CJK SC"/>
        <family val="2"/>
      </rPr>
      <t xml:space="preserve">번에 드는 광고비</t>
    </r>
    <r>
      <rPr>
        <i val="true"/>
        <sz val="11"/>
        <color rgb="FF595959"/>
        <rFont val="Arial"/>
        <family val="0"/>
        <charset val="1"/>
      </rPr>
      <t xml:space="preserve">) = </t>
    </r>
    <r>
      <rPr>
        <i val="true"/>
        <sz val="11"/>
        <color rgb="FF595959"/>
        <rFont val="Noto Sans CJK SC"/>
        <family val="2"/>
      </rPr>
      <t xml:space="preserve">설치 수 → 설치 수 </t>
    </r>
    <r>
      <rPr>
        <i val="true"/>
        <sz val="11"/>
        <color rgb="FF595959"/>
        <rFont val="Arial"/>
        <family val="0"/>
        <charset val="1"/>
      </rPr>
      <t xml:space="preserve">× </t>
    </r>
    <r>
      <rPr>
        <i val="true"/>
        <sz val="11"/>
        <color rgb="FF595959"/>
        <rFont val="Noto Sans CJK SC"/>
        <family val="2"/>
      </rPr>
      <t xml:space="preserve">리텐션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며칠 뒤 다시 오는 비율</t>
    </r>
    <r>
      <rPr>
        <i val="true"/>
        <sz val="11"/>
        <color rgb="FF595959"/>
        <rFont val="Arial"/>
        <family val="0"/>
        <charset val="1"/>
      </rPr>
      <t xml:space="preserve">) = </t>
    </r>
    <r>
      <rPr>
        <i val="true"/>
        <sz val="11"/>
        <color rgb="FF595959"/>
        <rFont val="Noto Sans CJK SC"/>
        <family val="2"/>
      </rPr>
      <t xml:space="preserve">그날 남는 사람 수</t>
    </r>
    <r>
      <rPr>
        <i val="true"/>
        <sz val="11"/>
        <color rgb="FF595959"/>
        <rFont val="Arial"/>
        <family val="0"/>
        <charset val="1"/>
      </rPr>
      <t xml:space="preserve">.  </t>
    </r>
    <r>
      <rPr>
        <i val="true"/>
        <sz val="11"/>
        <color rgb="FF595959"/>
        <rFont val="Noto Sans CJK SC"/>
        <family val="2"/>
      </rPr>
      <t xml:space="preserve">파란 글씨 </t>
    </r>
    <r>
      <rPr>
        <i val="true"/>
        <sz val="11"/>
        <color rgb="FF595959"/>
        <rFont val="Arial"/>
        <family val="0"/>
        <charset val="1"/>
      </rPr>
      <t xml:space="preserve">= </t>
    </r>
    <r>
      <rPr>
        <i val="true"/>
        <sz val="11"/>
        <color rgb="FF595959"/>
        <rFont val="Noto Sans CJK SC"/>
        <family val="2"/>
      </rPr>
      <t xml:space="preserve">바꿀 수 있는 가정값</t>
    </r>
    <r>
      <rPr>
        <i val="true"/>
        <sz val="11"/>
        <color rgb="FF595959"/>
        <rFont val="Arial"/>
        <family val="0"/>
        <charset val="1"/>
      </rPr>
      <t xml:space="preserve">,  </t>
    </r>
    <r>
      <rPr>
        <i val="true"/>
        <sz val="11"/>
        <color rgb="FF595959"/>
        <rFont val="Noto Sans CJK SC"/>
        <family val="2"/>
      </rPr>
      <t xml:space="preserve">노란 칸 </t>
    </r>
    <r>
      <rPr>
        <i val="true"/>
        <sz val="11"/>
        <color rgb="FF595959"/>
        <rFont val="Arial"/>
        <family val="0"/>
        <charset val="1"/>
      </rPr>
      <t xml:space="preserve">= 2</t>
    </r>
    <r>
      <rPr>
        <i val="true"/>
        <sz val="11"/>
        <color rgb="FF595959"/>
        <rFont val="Noto Sans CJK SC"/>
        <family val="2"/>
      </rPr>
      <t xml:space="preserve">차 인용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섞인 가정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확인 불가</t>
    </r>
  </si>
  <si>
    <r>
      <rPr>
        <b val="true"/>
        <sz val="11"/>
        <rFont val="Noto Sans CJK SC"/>
        <family val="2"/>
      </rPr>
      <t xml:space="preserve">꼭 읽을 주의점 </t>
    </r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가지</t>
    </r>
  </si>
  <si>
    <r>
      <rPr>
        <sz val="11"/>
        <rFont val="Noto Sans CJK SC"/>
        <family val="2"/>
      </rPr>
      <t xml:space="preserve">① 출처마다 </t>
    </r>
    <r>
      <rPr>
        <sz val="11"/>
        <rFont val="Arial"/>
        <family val="0"/>
        <charset val="1"/>
      </rPr>
      <t xml:space="preserve">CPI</t>
    </r>
    <r>
      <rPr>
        <sz val="11"/>
        <rFont val="Noto Sans CJK SC"/>
        <family val="2"/>
      </rPr>
      <t xml:space="preserve">가 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배 넘게 달라요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예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같은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캐주얼 게임 </t>
    </r>
    <r>
      <rPr>
        <sz val="11"/>
        <rFont val="Arial"/>
        <family val="0"/>
        <charset val="1"/>
      </rPr>
      <t xml:space="preserve">Android'</t>
    </r>
    <r>
      <rPr>
        <sz val="11"/>
        <rFont val="Noto Sans CJK SC"/>
        <family val="2"/>
      </rPr>
      <t xml:space="preserve">가 </t>
    </r>
    <r>
      <rPr>
        <sz val="11"/>
        <rFont val="Arial"/>
        <family val="0"/>
        <charset val="1"/>
      </rPr>
      <t xml:space="preserve">Liftoff </t>
    </r>
    <r>
      <rPr>
        <sz val="11"/>
        <rFont val="Noto Sans CJK SC"/>
        <family val="2"/>
      </rPr>
      <t xml:space="preserve">원문은 </t>
    </r>
    <r>
      <rPr>
        <sz val="11"/>
        <rFont val="Arial"/>
        <family val="0"/>
        <charset val="1"/>
      </rPr>
      <t xml:space="preserve">$0.14</t>
    </r>
    <r>
      <rPr>
        <sz val="11"/>
        <rFont val="Noto Sans CJK SC"/>
        <family val="2"/>
      </rPr>
      <t xml:space="preserve">인데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 </t>
    </r>
    <r>
      <rPr>
        <sz val="11"/>
        <rFont val="Arial"/>
        <family val="0"/>
        <charset val="1"/>
      </rPr>
      <t xml:space="preserve">2026</t>
    </r>
    <r>
      <rPr>
        <sz val="11"/>
        <rFont val="Noto Sans CJK SC"/>
        <family val="2"/>
      </rPr>
      <t xml:space="preserve">년 블로그</t>
    </r>
    <r>
      <rPr>
        <sz val="11"/>
        <rFont val="Arial"/>
        <family val="0"/>
        <charset val="1"/>
      </rPr>
      <t xml:space="preserve">(digitalapplied.com)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$1.12</t>
    </r>
    <r>
      <rPr>
        <sz val="11"/>
        <rFont val="Noto Sans CJK SC"/>
        <family val="2"/>
      </rPr>
      <t xml:space="preserve">로 적음 — 그 블로그는 여러 보고서를 섞어 원문 확인이 안 돼 쓰지 않음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이 표는 원문을 확인한 값만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원문</t>
    </r>
    <r>
      <rPr>
        <sz val="11"/>
        <rFont val="Arial"/>
        <family val="0"/>
        <charset val="1"/>
      </rPr>
      <t xml:space="preserve">', </t>
    </r>
    <r>
      <rPr>
        <sz val="11"/>
        <rFont val="Noto Sans CJK SC"/>
        <family val="2"/>
      </rPr>
      <t xml:space="preserve">블로그 등을 거친 값은 </t>
    </r>
    <r>
      <rPr>
        <sz val="11"/>
        <rFont val="Arial"/>
        <family val="0"/>
        <charset val="1"/>
      </rPr>
      <t xml:space="preserve">'2</t>
    </r>
    <r>
      <rPr>
        <sz val="11"/>
        <rFont val="Noto Sans CJK SC"/>
        <family val="2"/>
      </rPr>
      <t xml:space="preserve">차 인용</t>
    </r>
    <r>
      <rPr>
        <sz val="11"/>
        <rFont val="Arial"/>
        <family val="0"/>
        <charset val="1"/>
      </rPr>
      <t xml:space="preserve">'(</t>
    </r>
    <r>
      <rPr>
        <sz val="11"/>
        <rFont val="Noto Sans CJK SC"/>
        <family val="2"/>
      </rPr>
      <t xml:space="preserve">노란 칸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으로 나눔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</si>
  <si>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② 시장 전체 값이 아니에요</t>
    </r>
    <r>
      <rPr>
        <sz val="11"/>
        <rFont val="Arial"/>
        <family val="0"/>
        <charset val="1"/>
      </rPr>
      <t xml:space="preserve">. Liftoff </t>
    </r>
    <r>
      <rPr>
        <sz val="11"/>
        <rFont val="Noto Sans CJK SC"/>
        <family val="2"/>
      </rPr>
      <t xml:space="preserve">보고서의 </t>
    </r>
    <r>
      <rPr>
        <sz val="11"/>
        <rFont val="Arial"/>
        <family val="0"/>
        <charset val="1"/>
      </rPr>
      <t xml:space="preserve">CPI</t>
    </r>
    <r>
      <rPr>
        <sz val="11"/>
        <rFont val="Noto Sans CJK SC"/>
        <family val="2"/>
      </rPr>
      <t xml:space="preserve">는 측정 회사 </t>
    </r>
    <r>
      <rPr>
        <sz val="11"/>
        <rFont val="Arial"/>
        <family val="0"/>
        <charset val="1"/>
      </rPr>
      <t xml:space="preserve">Singular</t>
    </r>
    <r>
      <rPr>
        <sz val="11"/>
        <rFont val="Noto Sans CJK SC"/>
        <family val="2"/>
      </rPr>
      <t xml:space="preserve">의 데이터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노출 </t>
    </r>
    <r>
      <rPr>
        <sz val="11"/>
        <rFont val="Arial"/>
        <family val="0"/>
        <charset val="1"/>
      </rPr>
      <t xml:space="preserve">1.1</t>
    </r>
    <r>
      <rPr>
        <sz val="11"/>
        <rFont val="Noto Sans CJK SC"/>
        <family val="2"/>
      </rPr>
      <t xml:space="preserve">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설치 </t>
    </r>
    <r>
      <rPr>
        <sz val="11"/>
        <rFont val="Arial"/>
        <family val="0"/>
        <charset val="1"/>
      </rPr>
      <t xml:space="preserve">24</t>
    </r>
    <r>
      <rPr>
        <sz val="11"/>
        <rFont val="Noto Sans CJK SC"/>
        <family val="2"/>
      </rPr>
      <t xml:space="preserve">억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광고비 </t>
    </r>
    <r>
      <rPr>
        <sz val="11"/>
        <rFont val="Arial"/>
        <family val="0"/>
        <charset val="1"/>
      </rPr>
      <t xml:space="preserve">$119</t>
    </r>
    <r>
      <rPr>
        <sz val="11"/>
        <rFont val="Noto Sans CJK SC"/>
        <family val="2"/>
      </rPr>
      <t xml:space="preserve">억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이고</t>
    </r>
    <r>
      <rPr>
        <sz val="11"/>
        <rFont val="Arial"/>
        <family val="0"/>
        <charset val="1"/>
      </rPr>
      <t xml:space="preserve">, Adjust </t>
    </r>
    <r>
      <rPr>
        <sz val="11"/>
        <rFont val="Noto Sans CJK SC"/>
        <family val="2"/>
      </rPr>
      <t xml:space="preserve">값은 </t>
    </r>
    <r>
      <rPr>
        <sz val="11"/>
        <rFont val="Arial"/>
        <family val="0"/>
        <charset val="1"/>
      </rPr>
      <t xml:space="preserve">Adjust</t>
    </r>
    <r>
      <rPr>
        <sz val="11"/>
        <rFont val="Noto Sans CJK SC"/>
        <family val="2"/>
      </rPr>
      <t xml:space="preserve">가 추적하는 앱만의 값이에요</t>
    </r>
    <r>
      <rPr>
        <sz val="11"/>
        <rFont val="Arial"/>
        <family val="0"/>
        <charset val="1"/>
      </rPr>
      <t xml:space="preserve">(Adjust </t>
    </r>
    <r>
      <rPr>
        <sz val="11"/>
        <rFont val="Noto Sans CJK SC"/>
        <family val="2"/>
      </rPr>
      <t xml:space="preserve">스스로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전체 시장을 반영하지 않을 수 있다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고 밝힘</t>
    </r>
    <r>
      <rPr>
        <sz val="11"/>
        <rFont val="Arial"/>
        <family val="0"/>
        <charset val="1"/>
      </rPr>
      <t xml:space="preserve">, p.8).</t>
    </r>
  </si>
  <si>
    <r>
      <rPr>
        <sz val="11"/>
        <rFont val="Arial"/>
        <family val="0"/>
        <charset val="1"/>
      </rPr>
      <t xml:space="preserve">③ '</t>
    </r>
    <r>
      <rPr>
        <sz val="11"/>
        <rFont val="Noto Sans CJK SC"/>
        <family val="2"/>
      </rPr>
      <t xml:space="preserve">지역 </t>
    </r>
    <r>
      <rPr>
        <sz val="11"/>
        <rFont val="Arial"/>
        <family val="0"/>
        <charset val="1"/>
      </rPr>
      <t xml:space="preserve">× OS × </t>
    </r>
    <r>
      <rPr>
        <sz val="11"/>
        <rFont val="Noto Sans CJK SC"/>
        <family val="2"/>
      </rPr>
      <t xml:space="preserve">장르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를 모두 나눈 공개 값은 없어요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지역별 값은 </t>
    </r>
    <r>
      <rPr>
        <sz val="11"/>
        <rFont val="Arial"/>
        <family val="0"/>
        <charset val="1"/>
      </rPr>
      <t xml:space="preserve">Adjust(iOS+Android </t>
    </r>
    <r>
      <rPr>
        <sz val="11"/>
        <rFont val="Noto Sans CJK SC"/>
        <family val="2"/>
      </rPr>
      <t xml:space="preserve">합산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게임 전체</t>
    </r>
    <r>
      <rPr>
        <sz val="11"/>
        <rFont val="Arial"/>
        <family val="0"/>
        <charset val="1"/>
      </rPr>
      <t xml:space="preserve">), OS·</t>
    </r>
    <r>
      <rPr>
        <sz val="11"/>
        <rFont val="Noto Sans CJK SC"/>
        <family val="2"/>
      </rPr>
      <t xml:space="preserve">장르별 값은 </t>
    </r>
    <r>
      <rPr>
        <sz val="11"/>
        <rFont val="Arial"/>
        <family val="0"/>
        <charset val="1"/>
      </rPr>
      <t xml:space="preserve">Liftoff(</t>
    </r>
    <r>
      <rPr>
        <sz val="11"/>
        <rFont val="Noto Sans CJK SC"/>
        <family val="2"/>
      </rPr>
      <t xml:space="preserve">전 세계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뿐이라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둘을 섞은 시나리오</t>
    </r>
    <r>
      <rPr>
        <sz val="11"/>
        <rFont val="Arial"/>
        <family val="0"/>
        <charset val="1"/>
      </rPr>
      <t xml:space="preserve">(S5~S8)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섞인 가정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이에요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블로그에 도는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미드코어 북미 </t>
    </r>
    <r>
      <rPr>
        <sz val="11"/>
        <rFont val="Arial"/>
        <family val="0"/>
        <charset val="1"/>
      </rPr>
      <t xml:space="preserve">$5.45·</t>
    </r>
    <r>
      <rPr>
        <sz val="11"/>
        <rFont val="Noto Sans CJK SC"/>
        <family val="2"/>
      </rPr>
      <t xml:space="preserve">남미 </t>
    </r>
    <r>
      <rPr>
        <sz val="11"/>
        <rFont val="Arial"/>
        <family val="0"/>
        <charset val="1"/>
      </rPr>
      <t xml:space="preserve">$0.27'</t>
    </r>
    <r>
      <rPr>
        <sz val="11"/>
        <rFont val="Noto Sans CJK SC"/>
        <family val="2"/>
      </rPr>
      <t xml:space="preserve">은 원문을 찾지 못해 쓰지 않음</t>
    </r>
    <r>
      <rPr>
        <sz val="11"/>
        <rFont val="Arial"/>
        <family val="0"/>
        <charset val="1"/>
      </rPr>
      <t xml:space="preserve">.</t>
    </r>
  </si>
  <si>
    <r>
      <rPr>
        <b val="true"/>
        <sz val="12"/>
        <rFont val="Arial"/>
        <family val="0"/>
        <charset val="1"/>
      </rPr>
      <t xml:space="preserve">① CPI </t>
    </r>
    <r>
      <rPr>
        <b val="true"/>
        <sz val="12"/>
        <rFont val="Noto Sans CJK SC"/>
        <family val="2"/>
      </rPr>
      <t xml:space="preserve">출처표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설치 </t>
    </r>
    <r>
      <rPr>
        <b val="true"/>
        <sz val="12"/>
        <rFont val="Arial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번에 드는 광고비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미국 달러</t>
    </r>
    <r>
      <rPr>
        <b val="true"/>
        <sz val="12"/>
        <rFont val="Arial"/>
        <family val="0"/>
        <charset val="1"/>
      </rPr>
      <t xml:space="preserve">)</t>
    </r>
  </si>
  <si>
    <t xml:space="preserve">ID</t>
  </si>
  <si>
    <t xml:space="preserve">지역</t>
  </si>
  <si>
    <t xml:space="preserve">OS</t>
  </si>
  <si>
    <t xml:space="preserve">CPI ($)</t>
  </si>
  <si>
    <t xml:space="preserve">데이터 기간</t>
  </si>
  <si>
    <t xml:space="preserve">자료 등급</t>
  </si>
  <si>
    <r>
      <rPr>
        <b val="true"/>
        <sz val="11"/>
        <color rgb="FFFFFFFF"/>
        <rFont val="Noto Sans CJK SC"/>
        <family val="2"/>
      </rPr>
      <t xml:space="preserve">출처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이름 </t>
    </r>
    <r>
      <rPr>
        <b val="true"/>
        <sz val="11"/>
        <color rgb="FFFFFFFF"/>
        <rFont val="Arial"/>
        <family val="0"/>
        <charset val="1"/>
      </rPr>
      <t xml:space="preserve">· URL)</t>
    </r>
  </si>
  <si>
    <t xml:space="preserve">C01</t>
  </si>
  <si>
    <t xml:space="preserve">전 세계</t>
  </si>
  <si>
    <r>
      <rPr>
        <sz val="11"/>
        <rFont val="Arial"/>
        <family val="0"/>
        <charset val="1"/>
      </rPr>
      <t xml:space="preserve">iOS+Android </t>
    </r>
    <r>
      <rPr>
        <sz val="11"/>
        <rFont val="Noto Sans CJK SC"/>
        <family val="2"/>
      </rPr>
      <t xml:space="preserve">합산</t>
    </r>
  </si>
  <si>
    <t xml:space="preserve">게임 전체</t>
  </si>
  <si>
    <r>
      <rPr>
        <sz val="11"/>
        <rFont val="Arial"/>
        <family val="0"/>
        <charset val="1"/>
      </rPr>
      <t xml:space="preserve">2025</t>
    </r>
    <r>
      <rPr>
        <sz val="11"/>
        <rFont val="Noto Sans CJK SC"/>
        <family val="2"/>
      </rPr>
      <t xml:space="preserve">년</t>
    </r>
  </si>
  <si>
    <t xml:space="preserve">원문</t>
  </si>
  <si>
    <r>
      <rPr>
        <sz val="11"/>
        <rFont val="Arial"/>
        <family val="0"/>
        <charset val="1"/>
      </rPr>
      <t xml:space="preserve">2024</t>
    </r>
    <r>
      <rPr>
        <sz val="11"/>
        <rFont val="Noto Sans CJK SC"/>
        <family val="2"/>
      </rPr>
      <t xml:space="preserve">년 대비 </t>
    </r>
    <r>
      <rPr>
        <sz val="11"/>
        <rFont val="Arial"/>
        <family val="0"/>
        <charset val="1"/>
      </rPr>
      <t xml:space="preserve">+30%</t>
    </r>
  </si>
  <si>
    <r>
      <rPr>
        <sz val="11"/>
        <rFont val="Arial"/>
        <family val="0"/>
        <charset val="1"/>
      </rPr>
      <t xml:space="preserve">Adjust, The gaming app insights report: 2026 edition, p.28~29 (Adjust </t>
    </r>
    <r>
      <rPr>
        <sz val="11"/>
        <rFont val="Noto Sans CJK SC"/>
        <family val="2"/>
      </rPr>
      <t xml:space="preserve">추적 앱 집계</t>
    </r>
    <r>
      <rPr>
        <sz val="11"/>
        <rFont val="Arial"/>
        <family val="0"/>
        <charset val="1"/>
      </rPr>
      <t xml:space="preserve">, 2024-01~2026-01) — </t>
    </r>
    <r>
      <rPr>
        <sz val="11"/>
        <rFont val="Noto Sans CJK SC"/>
        <family val="2"/>
      </rPr>
      <t xml:space="preserve">원문 </t>
    </r>
    <r>
      <rPr>
        <sz val="11"/>
        <rFont val="Arial"/>
        <family val="0"/>
        <charset val="1"/>
      </rPr>
      <t xml:space="preserve">PDF </t>
    </r>
    <r>
      <rPr>
        <sz val="11"/>
        <rFont val="Noto Sans CJK SC"/>
        <family val="2"/>
      </rPr>
      <t xml:space="preserve">게시본 </t>
    </r>
    <r>
      <rPr>
        <sz val="11"/>
        <rFont val="Arial"/>
        <family val="0"/>
        <charset val="1"/>
      </rPr>
      <t xml:space="preserve">https://investgame.net/wp-content/uploads/2026/03/2026-03-26-gaming-app-insights-report-2026_wp.pdf (2026-10-05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</si>
  <si>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t xml:space="preserve">C02</t>
  </si>
  <si>
    <r>
      <rPr>
        <sz val="11"/>
        <rFont val="Arial"/>
        <family val="0"/>
        <charset val="1"/>
      </rPr>
      <t xml:space="preserve">2024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$1.28</t>
    </r>
  </si>
  <si>
    <t xml:space="preserve">C03</t>
  </si>
  <si>
    <r>
      <rPr>
        <sz val="11"/>
        <rFont val="Arial"/>
        <family val="0"/>
        <charset val="1"/>
      </rPr>
      <t xml:space="preserve">2024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$1.31</t>
    </r>
  </si>
  <si>
    <t xml:space="preserve">C04</t>
  </si>
  <si>
    <r>
      <rPr>
        <sz val="11"/>
        <rFont val="Noto Sans CJK SC"/>
        <family val="2"/>
      </rPr>
      <t xml:space="preserve">남미 </t>
    </r>
    <r>
      <rPr>
        <sz val="11"/>
        <rFont val="Arial"/>
        <family val="0"/>
        <charset val="1"/>
      </rPr>
      <t xml:space="preserve">(LATAM)</t>
    </r>
  </si>
  <si>
    <r>
      <rPr>
        <sz val="11"/>
        <rFont val="Arial"/>
        <family val="0"/>
        <charset val="1"/>
      </rPr>
      <t xml:space="preserve">2024</t>
    </r>
    <r>
      <rPr>
        <sz val="11"/>
        <rFont val="Noto Sans CJK SC"/>
        <family val="2"/>
      </rPr>
      <t xml:space="preserve">년 대비 </t>
    </r>
    <r>
      <rPr>
        <sz val="11"/>
        <rFont val="Arial"/>
        <family val="0"/>
        <charset val="1"/>
      </rPr>
      <t xml:space="preserve">+40%</t>
    </r>
  </si>
  <si>
    <t xml:space="preserve">C05</t>
  </si>
  <si>
    <r>
      <rPr>
        <sz val="11"/>
        <rFont val="Noto Sans CJK SC"/>
        <family val="2"/>
      </rPr>
      <t xml:space="preserve">아시아태평양 </t>
    </r>
    <r>
      <rPr>
        <sz val="11"/>
        <rFont val="Arial"/>
        <family val="0"/>
        <charset val="1"/>
      </rPr>
      <t xml:space="preserve">(APAC)</t>
    </r>
  </si>
  <si>
    <r>
      <rPr>
        <sz val="11"/>
        <rFont val="Arial"/>
        <family val="0"/>
        <charset val="1"/>
      </rPr>
      <t xml:space="preserve">2024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$0.21. </t>
    </r>
    <r>
      <rPr>
        <sz val="11"/>
        <rFont val="Noto Sans CJK SC"/>
        <family val="2"/>
      </rPr>
      <t xml:space="preserve">일본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한국 등 나라별 값은 그래프에만 있어 확인 불가</t>
    </r>
  </si>
  <si>
    <t xml:space="preserve">C06</t>
  </si>
  <si>
    <t xml:space="preserve">유럽</t>
  </si>
  <si>
    <r>
      <rPr>
        <sz val="11"/>
        <rFont val="Arial"/>
        <family val="0"/>
        <charset val="1"/>
      </rPr>
      <t xml:space="preserve">2024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$0.36</t>
    </r>
  </si>
  <si>
    <t xml:space="preserve">C07</t>
  </si>
  <si>
    <t xml:space="preserve">슬롯</t>
  </si>
  <si>
    <r>
      <rPr>
        <sz val="11"/>
        <rFont val="Arial"/>
        <family val="0"/>
        <charset val="1"/>
      </rPr>
      <t xml:space="preserve">2025</t>
    </r>
    <r>
      <rPr>
        <sz val="11"/>
        <rFont val="Noto Sans CJK SC"/>
        <family val="2"/>
      </rPr>
      <t xml:space="preserve">년 장르 중 가장 비쌈</t>
    </r>
  </si>
  <si>
    <t xml:space="preserve">C08</t>
  </si>
  <si>
    <t xml:space="preserve">C09</t>
  </si>
  <si>
    <t xml:space="preserve">C10</t>
  </si>
  <si>
    <t xml:space="preserve">iOS</t>
  </si>
  <si>
    <r>
      <rPr>
        <sz val="11"/>
        <rFont val="Noto Sans CJK SC"/>
        <family val="2"/>
      </rPr>
      <t xml:space="preserve">캐주얼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하이퍼캐주얼 포함</t>
    </r>
    <r>
      <rPr>
        <sz val="11"/>
        <rFont val="Arial"/>
        <family val="0"/>
        <charset val="1"/>
      </rPr>
      <t xml:space="preserve">)</t>
    </r>
  </si>
  <si>
    <t xml:space="preserve">2024-02~2025-02</t>
  </si>
  <si>
    <r>
      <rPr>
        <sz val="11"/>
        <rFont val="Arial"/>
        <family val="0"/>
        <charset val="1"/>
      </rPr>
      <t xml:space="preserve">Liftoff·Singular, 2025 Casual Gaming Apps Report — 'CPI by genre by platform' (Singular </t>
    </r>
    <r>
      <rPr>
        <sz val="11"/>
        <rFont val="Noto Sans CJK SC"/>
        <family val="2"/>
      </rPr>
      <t xml:space="preserve">데이터 </t>
    </r>
    <r>
      <rPr>
        <sz val="11"/>
        <rFont val="Arial"/>
        <family val="0"/>
        <charset val="1"/>
      </rPr>
      <t xml:space="preserve">2024-02~2025-02) https://liftoff.ai/2025-casual-gaming-apps-report/ (2026-10-05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</si>
  <si>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t xml:space="preserve">C11</t>
  </si>
  <si>
    <t xml:space="preserve">Android</t>
  </si>
  <si>
    <t xml:space="preserve">C12</t>
  </si>
  <si>
    <t xml:space="preserve">카지노</t>
  </si>
  <si>
    <t xml:space="preserve">C13</t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</si>
  <si>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차 인용</t>
    </r>
  </si>
  <si>
    <t xml:space="preserve">원문은 그래프 이미지라 직접 확인 못 함</t>
  </si>
  <si>
    <r>
      <rPr>
        <sz val="11"/>
        <rFont val="Arial"/>
        <family val="0"/>
        <charset val="1"/>
      </rPr>
      <t xml:space="preserve">Mistplay </t>
    </r>
    <r>
      <rPr>
        <sz val="11"/>
        <rFont val="Noto Sans CJK SC"/>
        <family val="2"/>
      </rPr>
      <t xml:space="preserve">블로그</t>
    </r>
    <r>
      <rPr>
        <sz val="11"/>
        <rFont val="Arial"/>
        <family val="0"/>
        <charset val="1"/>
      </rPr>
      <t xml:space="preserve">, How much does mobile user acquisition cost in 2026? (Liftoff 2025 </t>
    </r>
    <r>
      <rPr>
        <sz val="11"/>
        <rFont val="Noto Sans CJK SC"/>
        <family val="2"/>
      </rPr>
      <t xml:space="preserve">보고서 인용</t>
    </r>
    <r>
      <rPr>
        <sz val="11"/>
        <rFont val="Arial"/>
        <family val="0"/>
        <charset val="1"/>
      </rPr>
      <t xml:space="preserve">) https://business.mistplay.com/resources/user-acquisition-cost</t>
    </r>
  </si>
  <si>
    <t xml:space="preserve">C14</t>
  </si>
  <si>
    <r>
      <rPr>
        <sz val="11"/>
        <rFont val="Arial"/>
        <family val="0"/>
        <charset val="1"/>
      </rPr>
      <t xml:space="preserve">Statista </t>
    </r>
    <r>
      <rPr>
        <sz val="11"/>
        <rFont val="Noto Sans CJK SC"/>
        <family val="2"/>
      </rPr>
      <t xml:space="preserve">표의 열 이름이 안 보여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같은 표 캐주얼 줄</t>
    </r>
    <r>
      <rPr>
        <sz val="11"/>
        <rFont val="Arial"/>
        <family val="0"/>
        <charset val="1"/>
      </rPr>
      <t xml:space="preserve">(0.14·1.41)</t>
    </r>
    <r>
      <rPr>
        <sz val="11"/>
        <rFont val="Noto Sans CJK SC"/>
        <family val="2"/>
      </rPr>
      <t xml:space="preserve">이 원문 </t>
    </r>
    <r>
      <rPr>
        <sz val="11"/>
        <rFont val="Arial"/>
        <family val="0"/>
        <charset val="1"/>
      </rPr>
      <t xml:space="preserve">Android·iOS </t>
    </r>
    <r>
      <rPr>
        <sz val="11"/>
        <rFont val="Noto Sans CJK SC"/>
        <family val="2"/>
      </rPr>
      <t xml:space="preserve">값과 같은 것으로 열 순서를 판단</t>
    </r>
  </si>
  <si>
    <r>
      <rPr>
        <sz val="11"/>
        <rFont val="Arial"/>
        <family val="0"/>
        <charset val="1"/>
      </rPr>
      <t xml:space="preserve">Statista, Cost per install (CPI) of gaming apps worldwide Feb 2024–Feb 2025, by genre and platform (</t>
    </r>
    <r>
      <rPr>
        <sz val="11"/>
        <rFont val="Noto Sans CJK SC"/>
        <family val="2"/>
      </rPr>
      <t xml:space="preserve">출처 표기</t>
    </r>
    <r>
      <rPr>
        <sz val="11"/>
        <rFont val="Arial"/>
        <family val="0"/>
        <charset val="1"/>
      </rPr>
      <t xml:space="preserve">: Liftoff, 2025-04-29) https://www.statista.com/statistics/1241651/global-cpi-gaming-apps-genre-platform/</t>
    </r>
  </si>
  <si>
    <t xml:space="preserve">C15</t>
  </si>
  <si>
    <r>
      <rPr>
        <sz val="11"/>
        <rFont val="Arial"/>
        <family val="0"/>
        <charset val="1"/>
      </rPr>
      <t xml:space="preserve">C14</t>
    </r>
    <r>
      <rPr>
        <sz val="11"/>
        <rFont val="Noto Sans CJK SC"/>
        <family val="2"/>
      </rPr>
      <t xml:space="preserve">와 같은 방법으로 열 순서 판단</t>
    </r>
  </si>
  <si>
    <t xml:space="preserve">C16</t>
  </si>
  <si>
    <r>
      <rPr>
        <sz val="11"/>
        <rFont val="Noto Sans CJK SC"/>
        <family val="2"/>
      </rPr>
      <t xml:space="preserve">요약 글에만 있음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원문 그래프 이미지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</si>
  <si>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GameDev Reports, Liftoff &amp; Singular: Casual Games in 2025 (</t>
    </r>
    <r>
      <rPr>
        <sz val="11"/>
        <rFont val="Noto Sans CJK SC"/>
        <family val="2"/>
      </rPr>
      <t xml:space="preserve">요약</t>
    </r>
    <r>
      <rPr>
        <sz val="11"/>
        <rFont val="Arial"/>
        <family val="0"/>
        <charset val="1"/>
      </rPr>
      <t xml:space="preserve">) https://gamedevreports.substack.com/p/liftoff-and-singular-casual-games</t>
    </r>
  </si>
  <si>
    <t xml:space="preserve">C17</t>
  </si>
  <si>
    <r>
      <rPr>
        <sz val="11"/>
        <rFont val="Noto Sans CJK SC"/>
        <family val="2"/>
      </rPr>
      <t xml:space="preserve">북미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남미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아시아 각각</t>
    </r>
  </si>
  <si>
    <r>
      <rPr>
        <sz val="11"/>
        <rFont val="Arial"/>
        <family val="0"/>
        <charset val="1"/>
      </rPr>
      <t xml:space="preserve">iOS / Android </t>
    </r>
    <r>
      <rPr>
        <sz val="11"/>
        <rFont val="Noto Sans CJK SC"/>
        <family val="2"/>
      </rPr>
      <t xml:space="preserve">각각</t>
    </r>
  </si>
  <si>
    <t xml:space="preserve">퍼즐 등 장르 각각</t>
  </si>
  <si>
    <t xml:space="preserve">세 가지를 모두 나눈 공개 원문 값을 찾지 못함</t>
  </si>
  <si>
    <r>
      <rPr>
        <b val="true"/>
        <sz val="12"/>
        <rFont val="Noto Sans CJK SC"/>
        <family val="2"/>
      </rPr>
      <t xml:space="preserve">② 계산표 — 시나리오 조합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광고비는 분석자 가정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파란 글씨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바꿔 쓰는 칸</t>
    </r>
    <r>
      <rPr>
        <b val="true"/>
        <sz val="12"/>
        <rFont val="Arial"/>
        <family val="0"/>
        <charset val="1"/>
      </rPr>
      <t xml:space="preserve">). </t>
    </r>
    <r>
      <rPr>
        <b val="true"/>
        <sz val="12"/>
        <rFont val="Noto Sans CJK SC"/>
        <family val="2"/>
      </rPr>
      <t xml:space="preserve">리텐션은 </t>
    </r>
    <r>
      <rPr>
        <b val="true"/>
        <sz val="12"/>
        <rFont val="Arial"/>
        <family val="0"/>
        <charset val="1"/>
      </rPr>
      <t xml:space="preserve">'4-1 </t>
    </r>
    <r>
      <rPr>
        <b val="true"/>
        <sz val="12"/>
        <rFont val="Noto Sans CJK SC"/>
        <family val="2"/>
      </rPr>
      <t xml:space="preserve">지역 벤치마크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참조</t>
    </r>
    <r>
      <rPr>
        <b val="true"/>
        <sz val="12"/>
        <rFont val="Arial"/>
        <family val="0"/>
        <charset val="1"/>
      </rPr>
      <t xml:space="preserve">)'</t>
    </r>
    <r>
      <rPr>
        <b val="true"/>
        <sz val="12"/>
        <rFont val="Noto Sans CJK SC"/>
        <family val="2"/>
      </rPr>
      <t xml:space="preserve">에서 수식으로 가져옴</t>
    </r>
  </si>
  <si>
    <t xml:space="preserve">시나리오</t>
  </si>
  <si>
    <r>
      <rPr>
        <b val="true"/>
        <sz val="11"/>
        <color rgb="FFFFFFFF"/>
        <rFont val="Noto Sans CJK SC"/>
        <family val="2"/>
      </rPr>
      <t xml:space="preserve">광고비 </t>
    </r>
    <r>
      <rPr>
        <b val="true"/>
        <sz val="11"/>
        <color rgb="FFFFFFFF"/>
        <rFont val="Arial"/>
        <family val="0"/>
        <charset val="1"/>
      </rPr>
      <t xml:space="preserve">($)</t>
    </r>
  </si>
  <si>
    <r>
      <rPr>
        <b val="true"/>
        <sz val="11"/>
        <color rgb="FFFFFFFF"/>
        <rFont val="Arial"/>
        <family val="0"/>
        <charset val="1"/>
      </rPr>
      <t xml:space="preserve">CPI </t>
    </r>
    <r>
      <rPr>
        <b val="true"/>
        <sz val="11"/>
        <color rgb="FFFFFFFF"/>
        <rFont val="Noto Sans CJK SC"/>
        <family val="2"/>
      </rPr>
      <t xml:space="preserve">출처 </t>
    </r>
    <r>
      <rPr>
        <b val="true"/>
        <sz val="11"/>
        <color rgb="FFFFFFFF"/>
        <rFont val="Arial"/>
        <family val="0"/>
        <charset val="1"/>
      </rPr>
      <t xml:space="preserve">ID (A</t>
    </r>
    <r>
      <rPr>
        <b val="true"/>
        <sz val="11"/>
        <color rgb="FFFFFFFF"/>
        <rFont val="Noto Sans CJK SC"/>
        <family val="2"/>
      </rPr>
      <t xml:space="preserve">열에서 선택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</si>
  <si>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출처 </t>
    </r>
    <r>
      <rPr>
        <b val="true"/>
        <sz val="11"/>
        <color rgb="FFFFFFFF"/>
        <rFont val="Arial"/>
        <family val="0"/>
        <charset val="1"/>
      </rPr>
      <t xml:space="preserve">CPI ($)</t>
    </r>
  </si>
  <si>
    <r>
      <rPr>
        <b val="true"/>
        <sz val="11"/>
        <color rgb="FFFFFFFF"/>
        <rFont val="Noto Sans CJK SC"/>
        <family val="2"/>
      </rPr>
      <t xml:space="preserve">직접 입력 </t>
    </r>
    <r>
      <rPr>
        <b val="true"/>
        <sz val="11"/>
        <color rgb="FFFFFFFF"/>
        <rFont val="Arial"/>
        <family val="0"/>
        <charset val="1"/>
      </rPr>
      <t xml:space="preserve">CPI ($) (</t>
    </r>
    <r>
      <rPr>
        <b val="true"/>
        <sz val="11"/>
        <color rgb="FFFFFFFF"/>
        <rFont val="Noto Sans CJK SC"/>
        <family val="2"/>
      </rPr>
      <t xml:space="preserve">비우면 출처값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</si>
  <si>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쓰는 </t>
    </r>
    <r>
      <rPr>
        <b val="true"/>
        <sz val="11"/>
        <color rgb="FFFFFFFF"/>
        <rFont val="Arial"/>
        <family val="0"/>
        <charset val="1"/>
      </rPr>
      <t xml:space="preserve">CPI ($)</t>
    </r>
  </si>
  <si>
    <t xml:space="preserve">설치 수</t>
  </si>
  <si>
    <t xml:space="preserve">리텐션 지역</t>
  </si>
  <si>
    <t xml:space="preserve">리텐션 구간</t>
  </si>
  <si>
    <r>
      <rPr>
        <b val="true"/>
        <sz val="11"/>
        <color rgb="FFFFFFFF"/>
        <rFont val="Arial"/>
        <family val="0"/>
        <charset val="1"/>
      </rPr>
      <t xml:space="preserve">D1</t>
    </r>
    <r>
      <rPr>
        <b val="true"/>
        <sz val="11"/>
        <color rgb="FFFFFFFF"/>
        <rFont val="Noto Sans CJK SC"/>
        <family val="2"/>
      </rPr>
      <t xml:space="preserve">에 남는 사람</t>
    </r>
  </si>
  <si>
    <r>
      <rPr>
        <b val="true"/>
        <sz val="11"/>
        <color rgb="FFFFFFFF"/>
        <rFont val="Arial"/>
        <family val="0"/>
        <charset val="1"/>
      </rPr>
      <t xml:space="preserve">D7</t>
    </r>
    <r>
      <rPr>
        <b val="true"/>
        <sz val="11"/>
        <color rgb="FFFFFFFF"/>
        <rFont val="Noto Sans CJK SC"/>
        <family val="2"/>
      </rPr>
      <t xml:space="preserve">에 남는 사람</t>
    </r>
  </si>
  <si>
    <r>
      <rPr>
        <b val="true"/>
        <sz val="11"/>
        <color rgb="FFFFFFFF"/>
        <rFont val="Arial"/>
        <family val="0"/>
        <charset val="1"/>
      </rPr>
      <t xml:space="preserve">D30</t>
    </r>
    <r>
      <rPr>
        <b val="true"/>
        <sz val="11"/>
        <color rgb="FFFFFFFF"/>
        <rFont val="Noto Sans CJK SC"/>
        <family val="2"/>
      </rPr>
      <t xml:space="preserve">에 남는 사람</t>
    </r>
  </si>
  <si>
    <r>
      <rPr>
        <b val="true"/>
        <sz val="11"/>
        <color rgb="FFFFFFFF"/>
        <rFont val="Arial"/>
        <family val="0"/>
        <charset val="1"/>
      </rPr>
      <t xml:space="preserve">D7</t>
    </r>
    <r>
      <rPr>
        <b val="true"/>
        <sz val="11"/>
        <color rgb="FFFFFFFF"/>
        <rFont val="Noto Sans CJK SC"/>
        <family val="2"/>
      </rPr>
      <t xml:space="preserve">에 </t>
    </r>
    <r>
      <rPr>
        <b val="true"/>
        <sz val="11"/>
        <color rgb="FFFFFFFF"/>
        <rFont val="Arial"/>
        <family val="0"/>
        <charset val="1"/>
      </rPr>
      <t xml:space="preserve">100</t>
    </r>
    <r>
      <rPr>
        <b val="true"/>
        <sz val="11"/>
        <color rgb="FFFFFFFF"/>
        <rFont val="Noto Sans CJK SC"/>
        <family val="2"/>
      </rPr>
      <t xml:space="preserve">명 남기려면 필요한 광고비 </t>
    </r>
    <r>
      <rPr>
        <b val="true"/>
        <sz val="11"/>
        <color rgb="FFFFFFFF"/>
        <rFont val="Arial"/>
        <family val="0"/>
        <charset val="1"/>
      </rPr>
      <t xml:space="preserve">($)</t>
    </r>
  </si>
  <si>
    <t xml:space="preserve">S1</t>
  </si>
  <si>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게임 전체 평균 </t>
    </r>
    <r>
      <rPr>
        <sz val="11"/>
        <rFont val="Arial"/>
        <family val="0"/>
        <charset val="1"/>
      </rPr>
      <t xml:space="preserve">CPI · </t>
    </r>
    <r>
      <rPr>
        <sz val="11"/>
        <rFont val="Noto Sans CJK SC"/>
        <family val="2"/>
      </rPr>
      <t xml:space="preserve">보통 게임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중앙값 </t>
    </r>
    <r>
      <rPr>
        <sz val="11"/>
        <rFont val="Arial"/>
        <family val="0"/>
        <charset val="1"/>
      </rPr>
      <t xml:space="preserve">P50) </t>
    </r>
    <r>
      <rPr>
        <sz val="11"/>
        <rFont val="Noto Sans CJK SC"/>
        <family val="2"/>
      </rPr>
      <t xml:space="preserve">리텐션</t>
    </r>
  </si>
  <si>
    <t xml:space="preserve">P50</t>
  </si>
  <si>
    <t xml:space="preserve">S2</t>
  </si>
  <si>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게임 전체 평균 </t>
    </r>
    <r>
      <rPr>
        <sz val="11"/>
        <rFont val="Arial"/>
        <family val="0"/>
        <charset val="1"/>
      </rPr>
      <t xml:space="preserve">CPI · </t>
    </r>
    <r>
      <rPr>
        <sz val="11"/>
        <rFont val="Noto Sans CJK SC"/>
        <family val="2"/>
      </rPr>
      <t xml:space="preserve">상위 </t>
    </r>
    <r>
      <rPr>
        <sz val="11"/>
        <rFont val="Arial"/>
        <family val="0"/>
        <charset val="1"/>
      </rPr>
      <t xml:space="preserve">10%(P90) </t>
    </r>
    <r>
      <rPr>
        <sz val="11"/>
        <rFont val="Noto Sans CJK SC"/>
        <family val="2"/>
      </rPr>
      <t xml:space="preserve">리텐션 — 잘 만든 게임 목표</t>
    </r>
  </si>
  <si>
    <t xml:space="preserve">P90</t>
  </si>
  <si>
    <t xml:space="preserve">S3</t>
  </si>
  <si>
    <r>
      <rPr>
        <sz val="11"/>
        <rFont val="Noto Sans CJK SC"/>
        <family val="2"/>
      </rPr>
      <t xml:space="preserve">남미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게임 전체 평균 </t>
    </r>
    <r>
      <rPr>
        <sz val="11"/>
        <rFont val="Arial"/>
        <family val="0"/>
        <charset val="1"/>
      </rPr>
      <t xml:space="preserve">CPI · P50 </t>
    </r>
    <r>
      <rPr>
        <sz val="11"/>
        <rFont val="Noto Sans CJK SC"/>
        <family val="2"/>
      </rPr>
      <t xml:space="preserve">리텐션</t>
    </r>
  </si>
  <si>
    <t xml:space="preserve">S4</t>
  </si>
  <si>
    <r>
      <rPr>
        <sz val="11"/>
        <rFont val="Noto Sans CJK SC"/>
        <family val="2"/>
      </rPr>
      <t xml:space="preserve">아시아태평양 </t>
    </r>
    <r>
      <rPr>
        <sz val="11"/>
        <rFont val="Arial"/>
        <family val="0"/>
        <charset val="1"/>
      </rPr>
      <t xml:space="preserve">CPI · </t>
    </r>
    <r>
      <rPr>
        <sz val="11"/>
        <rFont val="Noto Sans CJK SC"/>
        <family val="2"/>
      </rPr>
      <t xml:space="preserve">아시아 </t>
    </r>
    <r>
      <rPr>
        <sz val="11"/>
        <rFont val="Arial"/>
        <family val="0"/>
        <charset val="1"/>
      </rPr>
      <t xml:space="preserve">P50 </t>
    </r>
    <r>
      <rPr>
        <sz val="11"/>
        <rFont val="Noto Sans CJK SC"/>
        <family val="2"/>
      </rPr>
      <t xml:space="preserve">리텐션 </t>
    </r>
    <r>
      <rPr>
        <sz val="11"/>
        <rFont val="Arial"/>
        <family val="0"/>
        <charset val="1"/>
      </rPr>
      <t xml:space="preserve">(APAC</t>
    </r>
    <r>
      <rPr>
        <sz val="11"/>
        <rFont val="Noto Sans CJK SC"/>
        <family val="2"/>
      </rPr>
      <t xml:space="preserve">과 </t>
    </r>
    <r>
      <rPr>
        <sz val="11"/>
        <rFont val="Arial"/>
        <family val="0"/>
        <charset val="1"/>
      </rPr>
      <t xml:space="preserve">GameAnalytics '</t>
    </r>
    <r>
      <rPr>
        <sz val="11"/>
        <rFont val="Noto Sans CJK SC"/>
        <family val="2"/>
      </rPr>
      <t xml:space="preserve">아시아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는 범위가 조금 다름</t>
    </r>
    <r>
      <rPr>
        <sz val="11"/>
        <rFont val="Arial"/>
        <family val="0"/>
        <charset val="1"/>
      </rPr>
      <t xml:space="preserve">)</t>
    </r>
  </si>
  <si>
    <t xml:space="preserve">S5</t>
  </si>
  <si>
    <r>
      <rPr>
        <sz val="11"/>
        <rFont val="Arial"/>
        <family val="0"/>
        <charset val="1"/>
      </rPr>
      <t xml:space="preserve">iOS </t>
    </r>
    <r>
      <rPr>
        <sz val="11"/>
        <rFont val="Noto Sans CJK SC"/>
        <family val="2"/>
      </rPr>
      <t xml:space="preserve">캐주얼 </t>
    </r>
    <r>
      <rPr>
        <sz val="11"/>
        <rFont val="Arial"/>
        <family val="0"/>
        <charset val="1"/>
      </rPr>
      <t xml:space="preserve">CPI(</t>
    </r>
    <r>
      <rPr>
        <sz val="11"/>
        <rFont val="Noto Sans CJK SC"/>
        <family val="2"/>
      </rPr>
      <t xml:space="preserve">전 세계</t>
    </r>
    <r>
      <rPr>
        <sz val="11"/>
        <rFont val="Arial"/>
        <family val="0"/>
        <charset val="1"/>
      </rPr>
      <t xml:space="preserve">) + </t>
    </r>
    <r>
      <rPr>
        <sz val="11"/>
        <rFont val="Noto Sans CJK SC"/>
        <family val="2"/>
      </rPr>
      <t xml:space="preserve">북미 </t>
    </r>
    <r>
      <rPr>
        <sz val="11"/>
        <rFont val="Arial"/>
        <family val="0"/>
        <charset val="1"/>
      </rPr>
      <t xml:space="preserve">P50 </t>
    </r>
    <r>
      <rPr>
        <sz val="11"/>
        <rFont val="Noto Sans CJK SC"/>
        <family val="2"/>
      </rPr>
      <t xml:space="preserve">리텐션 — 섞인 가정</t>
    </r>
  </si>
  <si>
    <t xml:space="preserve">S6</t>
  </si>
  <si>
    <r>
      <rPr>
        <sz val="11"/>
        <rFont val="Arial"/>
        <family val="0"/>
        <charset val="1"/>
      </rPr>
      <t xml:space="preserve">Android </t>
    </r>
    <r>
      <rPr>
        <sz val="11"/>
        <rFont val="Noto Sans CJK SC"/>
        <family val="2"/>
      </rPr>
      <t xml:space="preserve">캐주얼 </t>
    </r>
    <r>
      <rPr>
        <sz val="11"/>
        <rFont val="Arial"/>
        <family val="0"/>
        <charset val="1"/>
      </rPr>
      <t xml:space="preserve">CPI(</t>
    </r>
    <r>
      <rPr>
        <sz val="11"/>
        <rFont val="Noto Sans CJK SC"/>
        <family val="2"/>
      </rPr>
      <t xml:space="preserve">전 세계</t>
    </r>
    <r>
      <rPr>
        <sz val="11"/>
        <rFont val="Arial"/>
        <family val="0"/>
        <charset val="1"/>
      </rPr>
      <t xml:space="preserve">) + </t>
    </r>
    <r>
      <rPr>
        <sz val="11"/>
        <rFont val="Noto Sans CJK SC"/>
        <family val="2"/>
      </rPr>
      <t xml:space="preserve">북미 </t>
    </r>
    <r>
      <rPr>
        <sz val="11"/>
        <rFont val="Arial"/>
        <family val="0"/>
        <charset val="1"/>
      </rPr>
      <t xml:space="preserve">P50 </t>
    </r>
    <r>
      <rPr>
        <sz val="11"/>
        <rFont val="Noto Sans CJK SC"/>
        <family val="2"/>
      </rPr>
      <t xml:space="preserve">리텐션 — 섞인 가정</t>
    </r>
  </si>
  <si>
    <t xml:space="preserve">S7</t>
  </si>
  <si>
    <r>
      <rPr>
        <sz val="11"/>
        <rFont val="Arial"/>
        <family val="0"/>
        <charset val="1"/>
      </rPr>
      <t xml:space="preserve">iOS </t>
    </r>
    <r>
      <rPr>
        <sz val="11"/>
        <rFont val="Noto Sans CJK SC"/>
        <family val="2"/>
      </rPr>
      <t xml:space="preserve">퍼즐 </t>
    </r>
    <r>
      <rPr>
        <sz val="11"/>
        <rFont val="Arial"/>
        <family val="0"/>
        <charset val="1"/>
      </rPr>
      <t xml:space="preserve">CPI(</t>
    </r>
    <r>
      <rPr>
        <sz val="11"/>
        <rFont val="Noto Sans CJK SC"/>
        <family val="2"/>
      </rPr>
      <t xml:space="preserve">전 세계</t>
    </r>
    <r>
      <rPr>
        <sz val="11"/>
        <rFont val="Arial"/>
        <family val="0"/>
        <charset val="1"/>
      </rPr>
      <t xml:space="preserve">, 2</t>
    </r>
    <r>
      <rPr>
        <sz val="11"/>
        <rFont val="Noto Sans CJK SC"/>
        <family val="2"/>
      </rPr>
      <t xml:space="preserve">차 인용</t>
    </r>
    <r>
      <rPr>
        <sz val="11"/>
        <rFont val="Arial"/>
        <family val="0"/>
        <charset val="1"/>
      </rPr>
      <t xml:space="preserve">) + </t>
    </r>
    <r>
      <rPr>
        <sz val="11"/>
        <rFont val="Noto Sans CJK SC"/>
        <family val="2"/>
      </rPr>
      <t xml:space="preserve">북미 </t>
    </r>
    <r>
      <rPr>
        <sz val="11"/>
        <rFont val="Arial"/>
        <family val="0"/>
        <charset val="1"/>
      </rPr>
      <t xml:space="preserve">P50 </t>
    </r>
    <r>
      <rPr>
        <sz val="11"/>
        <rFont val="Noto Sans CJK SC"/>
        <family val="2"/>
      </rPr>
      <t xml:space="preserve">리텐션 — 섞인 가정</t>
    </r>
  </si>
  <si>
    <t xml:space="preserve">S8</t>
  </si>
  <si>
    <r>
      <rPr>
        <sz val="11"/>
        <rFont val="Arial"/>
        <family val="0"/>
        <charset val="1"/>
      </rPr>
      <t xml:space="preserve">Android </t>
    </r>
    <r>
      <rPr>
        <sz val="11"/>
        <rFont val="Noto Sans CJK SC"/>
        <family val="2"/>
      </rPr>
      <t xml:space="preserve">퍼즐 </t>
    </r>
    <r>
      <rPr>
        <sz val="11"/>
        <rFont val="Arial"/>
        <family val="0"/>
        <charset val="1"/>
      </rPr>
      <t xml:space="preserve">CPI(</t>
    </r>
    <r>
      <rPr>
        <sz val="11"/>
        <rFont val="Noto Sans CJK SC"/>
        <family val="2"/>
      </rPr>
      <t xml:space="preserve">전 세계</t>
    </r>
    <r>
      <rPr>
        <sz val="11"/>
        <rFont val="Arial"/>
        <family val="0"/>
        <charset val="1"/>
      </rPr>
      <t xml:space="preserve">, 2</t>
    </r>
    <r>
      <rPr>
        <sz val="11"/>
        <rFont val="Noto Sans CJK SC"/>
        <family val="2"/>
      </rPr>
      <t xml:space="preserve">차 인용</t>
    </r>
    <r>
      <rPr>
        <sz val="11"/>
        <rFont val="Arial"/>
        <family val="0"/>
        <charset val="1"/>
      </rPr>
      <t xml:space="preserve">) + </t>
    </r>
    <r>
      <rPr>
        <sz val="11"/>
        <rFont val="Noto Sans CJK SC"/>
        <family val="2"/>
      </rPr>
      <t xml:space="preserve">북미 </t>
    </r>
    <r>
      <rPr>
        <sz val="11"/>
        <rFont val="Arial"/>
        <family val="0"/>
        <charset val="1"/>
      </rPr>
      <t xml:space="preserve">P50 </t>
    </r>
    <r>
      <rPr>
        <sz val="11"/>
        <rFont val="Noto Sans CJK SC"/>
        <family val="2"/>
      </rPr>
      <t xml:space="preserve">리텐션 — 섞인 가정</t>
    </r>
  </si>
  <si>
    <r>
      <rPr>
        <i val="true"/>
        <sz val="11"/>
        <color rgb="FF595959"/>
        <rFont val="Noto Sans CJK SC"/>
        <family val="2"/>
      </rPr>
      <t xml:space="preserve">리텐션</t>
    </r>
    <r>
      <rPr>
        <i val="true"/>
        <sz val="11"/>
        <color rgb="FF595959"/>
        <rFont val="Arial"/>
        <family val="0"/>
        <charset val="1"/>
      </rPr>
      <t xml:space="preserve">: '4-1 </t>
    </r>
    <r>
      <rPr>
        <i val="true"/>
        <sz val="11"/>
        <color rgb="FF595959"/>
        <rFont val="Noto Sans CJK SC"/>
        <family val="2"/>
      </rPr>
      <t xml:space="preserve">지역 벤치마크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참조</t>
    </r>
    <r>
      <rPr>
        <i val="true"/>
        <sz val="11"/>
        <color rgb="FF595959"/>
        <rFont val="Arial"/>
        <family val="0"/>
        <charset val="1"/>
      </rPr>
      <t xml:space="preserve">)' = GameAnalytics 2026 </t>
    </r>
    <r>
      <rPr>
        <i val="true"/>
        <sz val="11"/>
        <color rgb="FF595959"/>
        <rFont val="Noto Sans CJK SC"/>
        <family val="2"/>
      </rPr>
      <t xml:space="preserve">보고서 지역 표</t>
    </r>
    <r>
      <rPr>
        <i val="true"/>
        <sz val="11"/>
        <color rgb="FF595959"/>
        <rFont val="Arial"/>
        <family val="0"/>
        <charset val="1"/>
      </rPr>
      <t xml:space="preserve">(2025</t>
    </r>
    <r>
      <rPr>
        <i val="true"/>
        <sz val="11"/>
        <color rgb="FF595959"/>
        <rFont val="Noto Sans CJK SC"/>
        <family val="2"/>
      </rPr>
      <t xml:space="preserve">년 주간 데이터의 연평균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전 장르 합산</t>
    </r>
    <r>
      <rPr>
        <i val="true"/>
        <sz val="11"/>
        <color rgb="FF595959"/>
        <rFont val="Arial"/>
        <family val="0"/>
        <charset val="1"/>
      </rPr>
      <t xml:space="preserve">). P50 = </t>
    </r>
    <r>
      <rPr>
        <i val="true"/>
        <sz val="11"/>
        <color rgb="FF595959"/>
        <rFont val="Noto Sans CJK SC"/>
        <family val="2"/>
      </rPr>
      <t xml:space="preserve">중앙값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보통 게임</t>
    </r>
    <r>
      <rPr>
        <i val="true"/>
        <sz val="11"/>
        <color rgb="FF595959"/>
        <rFont val="Arial"/>
        <family val="0"/>
        <charset val="1"/>
      </rPr>
      <t xml:space="preserve">), P90 = </t>
    </r>
    <r>
      <rPr>
        <i val="true"/>
        <sz val="11"/>
        <color rgb="FF595959"/>
        <rFont val="Noto Sans CJK SC"/>
        <family val="2"/>
      </rPr>
      <t xml:space="preserve">상위 </t>
    </r>
    <r>
      <rPr>
        <i val="true"/>
        <sz val="11"/>
        <color rgb="FF595959"/>
        <rFont val="Arial"/>
        <family val="0"/>
        <charset val="1"/>
      </rPr>
      <t xml:space="preserve">10%, P99 = </t>
    </r>
    <r>
      <rPr>
        <i val="true"/>
        <sz val="11"/>
        <color rgb="FF595959"/>
        <rFont val="Noto Sans CJK SC"/>
        <family val="2"/>
      </rPr>
      <t xml:space="preserve">상위 </t>
    </r>
    <r>
      <rPr>
        <i val="true"/>
        <sz val="11"/>
        <color rgb="FF595959"/>
        <rFont val="Arial"/>
        <family val="0"/>
        <charset val="1"/>
      </rPr>
      <t xml:space="preserve">1%. </t>
    </r>
    <r>
      <rPr>
        <i val="true"/>
        <sz val="11"/>
        <color rgb="FF595959"/>
        <rFont val="Noto Sans CJK SC"/>
        <family val="2"/>
      </rPr>
      <t xml:space="preserve">동남아는 이 표에 없음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시장조사 </t>
    </r>
    <r>
      <rPr>
        <i val="true"/>
        <sz val="11"/>
        <color rgb="FF595959"/>
        <rFont val="Arial"/>
        <family val="0"/>
        <charset val="1"/>
      </rPr>
      <t xml:space="preserve">2-7 </t>
    </r>
    <r>
      <rPr>
        <i val="true"/>
        <sz val="11"/>
        <color rgb="FF595959"/>
        <rFont val="Noto Sans CJK SC"/>
        <family val="2"/>
      </rPr>
      <t xml:space="preserve">참고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</si>
  <si>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i val="true"/>
        <sz val="11"/>
        <color rgb="FF595959"/>
        <rFont val="Arial"/>
        <family val="0"/>
        <charset val="1"/>
      </rPr>
      <t xml:space="preserve">D30: 4-1(</t>
    </r>
    <r>
      <rPr>
        <i val="true"/>
        <sz val="11"/>
        <color rgb="FF595959"/>
        <rFont val="Noto Sans CJK SC"/>
        <family val="2"/>
      </rPr>
      <t xml:space="preserve">참조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의 </t>
    </r>
    <r>
      <rPr>
        <i val="true"/>
        <sz val="11"/>
        <color rgb="FF595959"/>
        <rFont val="Arial"/>
        <family val="0"/>
        <charset val="1"/>
      </rPr>
      <t xml:space="preserve">GameAnalytics 2026 </t>
    </r>
    <r>
      <rPr>
        <i val="true"/>
        <sz val="11"/>
        <color rgb="FF595959"/>
        <rFont val="Noto Sans CJK SC"/>
        <family val="2"/>
      </rPr>
      <t xml:space="preserve">값은 </t>
    </r>
    <r>
      <rPr>
        <i val="true"/>
        <sz val="11"/>
        <color rgb="FF595959"/>
        <rFont val="Arial"/>
        <family val="0"/>
        <charset val="1"/>
      </rPr>
      <t xml:space="preserve">D30</t>
    </r>
    <r>
      <rPr>
        <i val="true"/>
        <sz val="11"/>
        <color rgb="FF595959"/>
        <rFont val="Noto Sans CJK SC"/>
        <family val="2"/>
      </rPr>
      <t xml:space="preserve">이라 그대로 씀</t>
    </r>
    <r>
      <rPr>
        <i val="true"/>
        <sz val="11"/>
        <color rgb="FF595959"/>
        <rFont val="Arial"/>
        <family val="0"/>
        <charset val="1"/>
      </rPr>
      <t xml:space="preserve">. 2025 </t>
    </r>
    <r>
      <rPr>
        <i val="true"/>
        <sz val="11"/>
        <color rgb="FF595959"/>
        <rFont val="Noto Sans CJK SC"/>
        <family val="2"/>
      </rPr>
      <t xml:space="preserve">보고서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첨부 </t>
    </r>
    <r>
      <rPr>
        <i val="true"/>
        <sz val="11"/>
        <color rgb="FF595959"/>
        <rFont val="Arial"/>
        <family val="0"/>
        <charset val="1"/>
      </rPr>
      <t xml:space="preserve">PDF)</t>
    </r>
    <r>
      <rPr>
        <i val="true"/>
        <sz val="11"/>
        <color rgb="FF595959"/>
        <rFont val="Noto Sans CJK SC"/>
        <family val="2"/>
      </rPr>
      <t xml:space="preserve">는 </t>
    </r>
    <r>
      <rPr>
        <i val="true"/>
        <sz val="11"/>
        <color rgb="FF595959"/>
        <rFont val="Arial"/>
        <family val="0"/>
        <charset val="1"/>
      </rPr>
      <t xml:space="preserve">D28</t>
    </r>
    <r>
      <rPr>
        <i val="true"/>
        <sz val="11"/>
        <color rgb="FF595959"/>
        <rFont val="Noto Sans CJK SC"/>
        <family val="2"/>
      </rPr>
      <t xml:space="preserve">을 써서 직접 비교에 주의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</si>
  <si>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장르별 리텐션은 이 표에 섞지 않음 — </t>
    </r>
    <r>
      <rPr>
        <i val="true"/>
        <sz val="11"/>
        <color rgb="FF595959"/>
        <rFont val="Arial"/>
        <family val="0"/>
        <charset val="1"/>
      </rPr>
      <t xml:space="preserve">'4-3 </t>
    </r>
    <r>
      <rPr>
        <i val="true"/>
        <sz val="11"/>
        <color rgb="FF595959"/>
        <rFont val="Noto Sans CJK SC"/>
        <family val="2"/>
      </rPr>
      <t xml:space="preserve">장르 판독 요약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참조</t>
    </r>
    <r>
      <rPr>
        <i val="true"/>
        <sz val="11"/>
        <color rgb="FF595959"/>
        <rFont val="Arial"/>
        <family val="0"/>
        <charset val="1"/>
      </rPr>
      <t xml:space="preserve">)'</t>
    </r>
    <r>
      <rPr>
        <i val="true"/>
        <sz val="11"/>
        <color rgb="FF595959"/>
        <rFont val="Noto Sans CJK SC"/>
        <family val="2"/>
      </rPr>
      <t xml:space="preserve">의 판독값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차트를 눈으로 읽은 값</t>
    </r>
    <r>
      <rPr>
        <i val="true"/>
        <sz val="11"/>
        <color rgb="FF595959"/>
        <rFont val="Arial"/>
        <family val="0"/>
        <charset val="1"/>
      </rPr>
      <t xml:space="preserve">) </t>
    </r>
    <r>
      <rPr>
        <i val="true"/>
        <sz val="11"/>
        <color rgb="FF595959"/>
        <rFont val="Noto Sans CJK SC"/>
        <family val="2"/>
      </rPr>
      <t xml:space="preserve">참고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</si>
  <si>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광고 없이 들어오는 사람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오가닉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은 계산에 넣지 않음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참고</t>
    </r>
    <r>
      <rPr>
        <i val="true"/>
        <sz val="11"/>
        <color rgb="FF595959"/>
        <rFont val="Arial"/>
        <family val="0"/>
        <charset val="1"/>
      </rPr>
      <t xml:space="preserve">: Adjust 2025 </t>
    </r>
    <r>
      <rPr>
        <i val="true"/>
        <sz val="11"/>
        <color rgb="FF595959"/>
        <rFont val="Noto Sans CJK SC"/>
        <family val="2"/>
      </rPr>
      <t xml:space="preserve">게임 유료</t>
    </r>
    <r>
      <rPr>
        <i val="true"/>
        <sz val="11"/>
        <color rgb="FF595959"/>
        <rFont val="Arial"/>
        <family val="0"/>
        <charset val="1"/>
      </rPr>
      <t xml:space="preserve">:</t>
    </r>
    <r>
      <rPr>
        <i val="true"/>
        <sz val="11"/>
        <color rgb="FF595959"/>
        <rFont val="Noto Sans CJK SC"/>
        <family val="2"/>
      </rPr>
      <t xml:space="preserve">오가닉 설치 비율 전 세계 중앙값 </t>
    </r>
    <r>
      <rPr>
        <i val="true"/>
        <sz val="11"/>
        <color rgb="FF595959"/>
        <rFont val="Arial"/>
        <family val="0"/>
        <charset val="1"/>
      </rPr>
      <t xml:space="preserve">3.33 (2024</t>
    </r>
    <r>
      <rPr>
        <i val="true"/>
        <sz val="11"/>
        <color rgb="FF595959"/>
        <rFont val="Noto Sans CJK SC"/>
        <family val="2"/>
      </rPr>
      <t xml:space="preserve">년 </t>
    </r>
    <r>
      <rPr>
        <i val="true"/>
        <sz val="11"/>
        <color rgb="FF595959"/>
        <rFont val="Arial"/>
        <family val="0"/>
        <charset val="1"/>
      </rPr>
      <t xml:space="preserve">2.07, p.16) — </t>
    </r>
    <r>
      <rPr>
        <i val="true"/>
        <sz val="11"/>
        <color rgb="FF595959"/>
        <rFont val="Noto Sans CJK SC"/>
        <family val="2"/>
      </rPr>
      <t xml:space="preserve">이 비율을 우리 게임에 그대로 쓸 근거는 없음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</si>
  <si>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참고 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투자 회수</t>
    </r>
    <r>
      <rPr>
        <i val="true"/>
        <sz val="11"/>
        <color rgb="FF595959"/>
        <rFont val="Arial"/>
        <family val="0"/>
        <charset val="1"/>
      </rPr>
      <t xml:space="preserve">): Liftoff 2025 — </t>
    </r>
    <r>
      <rPr>
        <i val="true"/>
        <sz val="11"/>
        <color rgb="FF595959"/>
        <rFont val="Noto Sans CJK SC"/>
        <family val="2"/>
      </rPr>
      <t xml:space="preserve">캐주얼 게임의 </t>
    </r>
    <r>
      <rPr>
        <i val="true"/>
        <sz val="11"/>
        <color rgb="FF595959"/>
        <rFont val="Arial"/>
        <family val="0"/>
        <charset val="1"/>
      </rPr>
      <t xml:space="preserve">30</t>
    </r>
    <r>
      <rPr>
        <i val="true"/>
        <sz val="11"/>
        <color rgb="FF595959"/>
        <rFont val="Noto Sans CJK SC"/>
        <family val="2"/>
      </rPr>
      <t xml:space="preserve">일 광고비 회수율</t>
    </r>
    <r>
      <rPr>
        <i val="true"/>
        <sz val="11"/>
        <color rgb="FF595959"/>
        <rFont val="Arial"/>
        <family val="0"/>
        <charset val="1"/>
      </rPr>
      <t xml:space="preserve">(D30 ROAS) </t>
    </r>
    <r>
      <rPr>
        <i val="true"/>
        <sz val="11"/>
        <color rgb="FF595959"/>
        <rFont val="Noto Sans CJK SC"/>
        <family val="2"/>
      </rPr>
      <t xml:space="preserve">평균 </t>
    </r>
    <r>
      <rPr>
        <i val="true"/>
        <sz val="11"/>
        <color rgb="FF595959"/>
        <rFont val="Arial"/>
        <family val="0"/>
        <charset val="1"/>
      </rPr>
      <t xml:space="preserve">iOS 47%, Android 15%. </t>
    </r>
    <r>
      <rPr>
        <i val="true"/>
        <sz val="11"/>
        <color rgb="FF595959"/>
        <rFont val="Noto Sans CJK SC"/>
        <family val="2"/>
      </rPr>
      <t xml:space="preserve">즉 보통은 </t>
    </r>
    <r>
      <rPr>
        <i val="true"/>
        <sz val="11"/>
        <color rgb="FF595959"/>
        <rFont val="Arial"/>
        <family val="0"/>
        <charset val="1"/>
      </rPr>
      <t xml:space="preserve">30</t>
    </r>
    <r>
      <rPr>
        <i val="true"/>
        <sz val="11"/>
        <color rgb="FF595959"/>
        <rFont val="Noto Sans CJK SC"/>
        <family val="2"/>
      </rPr>
      <t xml:space="preserve">일 안에 광고비를 다 되찾지 못함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</si>
  <si>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광고비 </t>
    </r>
    <r>
      <rPr>
        <i val="true"/>
        <sz val="11"/>
        <color rgb="FF595959"/>
        <rFont val="Arial"/>
        <family val="0"/>
        <charset val="1"/>
      </rPr>
      <t xml:space="preserve">$1,000</t>
    </r>
    <r>
      <rPr>
        <i val="true"/>
        <sz val="11"/>
        <color rgb="FF595959"/>
        <rFont val="Noto Sans CJK SC"/>
        <family val="2"/>
      </rPr>
      <t xml:space="preserve">과 시나리오 조합은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같은 돈으로 비교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하려는 분석자 가정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실제 </t>
    </r>
    <r>
      <rPr>
        <i val="true"/>
        <sz val="11"/>
        <color rgb="FF595959"/>
        <rFont val="Arial"/>
        <family val="0"/>
        <charset val="1"/>
      </rPr>
      <t xml:space="preserve">CPI</t>
    </r>
    <r>
      <rPr>
        <i val="true"/>
        <sz val="11"/>
        <color rgb="FF595959"/>
        <rFont val="Noto Sans CJK SC"/>
        <family val="2"/>
      </rPr>
      <t xml:space="preserve">는 우리 게임 광고를 소액으로 돌려 보면 가장 정확하게 알 수 있음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</si>
  <si>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실제 게임별 광고비</t>
    </r>
    <r>
      <rPr>
        <i val="true"/>
        <sz val="11"/>
        <color rgb="FF595959"/>
        <rFont val="Arial"/>
        <family val="0"/>
        <charset val="1"/>
      </rPr>
      <t xml:space="preserve">·CPI·</t>
    </r>
    <r>
      <rPr>
        <i val="true"/>
        <sz val="11"/>
        <color rgb="FF595959"/>
        <rFont val="Noto Sans CJK SC"/>
        <family val="2"/>
      </rPr>
      <t xml:space="preserve">설치 수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비공개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대신 쓸 수 있는 공개 지표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위 </t>
    </r>
    <r>
      <rPr>
        <i val="true"/>
        <sz val="11"/>
        <color rgb="FF595959"/>
        <rFont val="Arial"/>
        <family val="0"/>
        <charset val="1"/>
      </rPr>
      <t xml:space="preserve">CPI </t>
    </r>
    <r>
      <rPr>
        <i val="true"/>
        <sz val="11"/>
        <color rgb="FF595959"/>
        <rFont val="Noto Sans CJK SC"/>
        <family val="2"/>
      </rPr>
      <t xml:space="preserve">출처표</t>
    </r>
    <r>
      <rPr>
        <i val="true"/>
        <sz val="11"/>
        <color rgb="FF595959"/>
        <rFont val="Arial"/>
        <family val="0"/>
        <charset val="1"/>
      </rPr>
      <t xml:space="preserve">, 4-1(</t>
    </r>
    <r>
      <rPr>
        <i val="true"/>
        <sz val="11"/>
        <color rgb="FF595959"/>
        <rFont val="Noto Sans CJK SC"/>
        <family val="2"/>
      </rPr>
      <t xml:space="preserve">참조</t>
    </r>
    <r>
      <rPr>
        <i val="true"/>
        <sz val="11"/>
        <color rgb="FF595959"/>
        <rFont val="Arial"/>
        <family val="0"/>
        <charset val="1"/>
      </rPr>
      <t xml:space="preserve">) </t>
    </r>
    <r>
      <rPr>
        <i val="true"/>
        <sz val="11"/>
        <color rgb="FF595959"/>
        <rFont val="Noto Sans CJK SC"/>
        <family val="2"/>
      </rPr>
      <t xml:space="preserve">리텐션 구간</t>
    </r>
    <r>
      <rPr>
        <i val="true"/>
        <sz val="11"/>
        <color rgb="FF595959"/>
        <rFont val="Arial"/>
        <family val="0"/>
        <charset val="1"/>
      </rPr>
      <t xml:space="preserve">, 3-3 AppBrain </t>
    </r>
    <r>
      <rPr>
        <i val="true"/>
        <sz val="11"/>
        <color rgb="FF595959"/>
        <rFont val="Noto Sans CJK SC"/>
        <family val="2"/>
      </rPr>
      <t xml:space="preserve">추정 설치 수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추정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</si>
  <si>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b val="true"/>
        <sz val="12"/>
        <rFont val="Noto Sans CJK SC"/>
        <family val="2"/>
      </rPr>
      <t xml:space="preserve">광고 채널 분석 — 유튜브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인스타그램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페이스북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틱톡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인플루언서 </t>
    </r>
    <r>
      <rPr>
        <b val="true"/>
        <sz val="12"/>
        <rFont val="Arial"/>
        <family val="0"/>
        <charset val="1"/>
      </rPr>
      <t xml:space="preserve">(+ </t>
    </r>
    <r>
      <rPr>
        <b val="true"/>
        <sz val="12"/>
        <rFont val="Noto Sans CJK SC"/>
        <family val="2"/>
      </rPr>
      <t xml:space="preserve">분석자가 추가한 </t>
    </r>
    <r>
      <rPr>
        <b val="true"/>
        <sz val="12"/>
        <rFont val="Arial"/>
        <family val="0"/>
        <charset val="1"/>
      </rPr>
      <t xml:space="preserve">2</t>
    </r>
    <r>
      <rPr>
        <b val="true"/>
        <sz val="12"/>
        <rFont val="Noto Sans CJK SC"/>
        <family val="2"/>
      </rPr>
      <t xml:space="preserve">개 채널</t>
    </r>
    <r>
      <rPr>
        <b val="true"/>
        <sz val="12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</si>
  <si>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읽는 법</t>
    </r>
    <r>
      <rPr>
        <i val="true"/>
        <sz val="11"/>
        <color rgb="FF595959"/>
        <rFont val="Arial"/>
        <family val="0"/>
        <charset val="1"/>
      </rPr>
      <t xml:space="preserve">: ① </t>
    </r>
    <r>
      <rPr>
        <i val="true"/>
        <sz val="11"/>
        <color rgb="FF595959"/>
        <rFont val="Noto Sans CJK SC"/>
        <family val="2"/>
      </rPr>
      <t xml:space="preserve">공개 자료로 확인한 사실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도달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성과 순위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과 ② </t>
    </r>
    <r>
      <rPr>
        <i val="true"/>
        <sz val="11"/>
        <color rgb="FF595959"/>
        <rFont val="Arial"/>
        <family val="0"/>
        <charset val="1"/>
      </rPr>
      <t xml:space="preserve">2</t>
    </r>
    <r>
      <rPr>
        <i val="true"/>
        <sz val="11"/>
        <color rgb="FF595959"/>
        <rFont val="Noto Sans CJK SC"/>
        <family val="2"/>
      </rPr>
      <t xml:space="preserve">인 팀 기준 점수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분석자 판단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를 나눠 둠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파란 글씨 </t>
    </r>
    <r>
      <rPr>
        <i val="true"/>
        <sz val="11"/>
        <color rgb="FF595959"/>
        <rFont val="Arial"/>
        <family val="0"/>
        <charset val="1"/>
      </rPr>
      <t xml:space="preserve">= </t>
    </r>
    <r>
      <rPr>
        <i val="true"/>
        <sz val="11"/>
        <color rgb="FF595959"/>
        <rFont val="Noto Sans CJK SC"/>
        <family val="2"/>
      </rPr>
      <t xml:space="preserve">바꿀 수 있는 가중치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노란 칸 </t>
    </r>
    <r>
      <rPr>
        <i val="true"/>
        <sz val="11"/>
        <color rgb="FF595959"/>
        <rFont val="Arial"/>
        <family val="0"/>
        <charset val="1"/>
      </rPr>
      <t xml:space="preserve">= 2</t>
    </r>
    <r>
      <rPr>
        <i val="true"/>
        <sz val="11"/>
        <color rgb="FF595959"/>
        <rFont val="Noto Sans CJK SC"/>
        <family val="2"/>
      </rPr>
      <t xml:space="preserve">차 인용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분석자 판단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확인 불가</t>
    </r>
  </si>
  <si>
    <r>
      <rPr>
        <b val="true"/>
        <sz val="12"/>
        <rFont val="Noto Sans CJK SC"/>
        <family val="2"/>
      </rPr>
      <t xml:space="preserve">① 채널별 공개 자료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사실</t>
    </r>
    <r>
      <rPr>
        <b val="true"/>
        <sz val="12"/>
        <rFont val="Arial"/>
        <family val="0"/>
        <charset val="1"/>
      </rPr>
      <t xml:space="preserve">) — </t>
    </r>
    <r>
      <rPr>
        <b val="true"/>
        <sz val="12"/>
        <rFont val="Noto Sans CJK SC"/>
        <family val="2"/>
      </rPr>
      <t xml:space="preserve">게임 광고 비용</t>
    </r>
    <r>
      <rPr>
        <b val="true"/>
        <sz val="12"/>
        <rFont val="Arial"/>
        <family val="0"/>
        <charset val="1"/>
      </rPr>
      <t xml:space="preserve">(CPI)</t>
    </r>
    <r>
      <rPr>
        <b val="true"/>
        <sz val="12"/>
        <rFont val="Noto Sans CJK SC"/>
        <family val="2"/>
      </rPr>
      <t xml:space="preserve">은 채널별 공개 원문이 없어 </t>
    </r>
    <r>
      <rPr>
        <b val="true"/>
        <sz val="12"/>
        <rFont val="Arial"/>
        <family val="0"/>
        <charset val="1"/>
      </rPr>
      <t xml:space="preserve">'</t>
    </r>
    <r>
      <rPr>
        <b val="true"/>
        <sz val="12"/>
        <rFont val="Noto Sans CJK SC"/>
        <family val="2"/>
      </rPr>
      <t xml:space="preserve">확인 불가</t>
    </r>
    <r>
      <rPr>
        <b val="true"/>
        <sz val="12"/>
        <rFont val="Arial"/>
        <family val="0"/>
        <charset val="1"/>
      </rPr>
      <t xml:space="preserve">'. </t>
    </r>
    <r>
      <rPr>
        <b val="true"/>
        <sz val="12"/>
        <rFont val="Noto Sans CJK SC"/>
        <family val="2"/>
      </rPr>
      <t xml:space="preserve">지역</t>
    </r>
    <r>
      <rPr>
        <b val="true"/>
        <sz val="12"/>
        <rFont val="Arial"/>
        <family val="0"/>
        <charset val="1"/>
      </rPr>
      <t xml:space="preserve">·OS</t>
    </r>
    <r>
      <rPr>
        <b val="true"/>
        <sz val="12"/>
        <rFont val="Noto Sans CJK SC"/>
        <family val="2"/>
      </rPr>
      <t xml:space="preserve">별 </t>
    </r>
    <r>
      <rPr>
        <b val="true"/>
        <sz val="12"/>
        <rFont val="Arial"/>
        <family val="0"/>
        <charset val="1"/>
      </rPr>
      <t xml:space="preserve">CPI</t>
    </r>
    <r>
      <rPr>
        <b val="true"/>
        <sz val="12"/>
        <rFont val="Noto Sans CJK SC"/>
        <family val="2"/>
      </rPr>
      <t xml:space="preserve">는 </t>
    </r>
    <r>
      <rPr>
        <b val="true"/>
        <sz val="12"/>
        <rFont val="Arial"/>
        <family val="0"/>
        <charset val="1"/>
      </rPr>
      <t xml:space="preserve">3-1 </t>
    </r>
    <r>
      <rPr>
        <b val="true"/>
        <sz val="12"/>
        <rFont val="Noto Sans CJK SC"/>
        <family val="2"/>
      </rPr>
      <t xml:space="preserve">시트 참고</t>
    </r>
  </si>
  <si>
    <t xml:space="preserve">채널</t>
  </si>
  <si>
    <t xml:space="preserve">광고를 사는 곳</t>
  </si>
  <si>
    <r>
      <rPr>
        <b val="true"/>
        <sz val="11"/>
        <color rgb="FFFFFFFF"/>
        <rFont val="Noto Sans CJK SC"/>
        <family val="2"/>
      </rPr>
      <t xml:space="preserve">광고 도달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사람 수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</si>
  <si>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도달 자료 등급</t>
  </si>
  <si>
    <r>
      <rPr>
        <b val="true"/>
        <sz val="11"/>
        <color rgb="FFFFFFFF"/>
        <rFont val="Noto Sans CJK SC"/>
        <family val="2"/>
      </rPr>
      <t xml:space="preserve">게임 광고 성과 근거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공개 순위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</si>
  <si>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장르 근거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공개 자료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</si>
  <si>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게임 광고 비용 지표</t>
  </si>
  <si>
    <t xml:space="preserve">출처</t>
  </si>
  <si>
    <t xml:space="preserve">유튜브</t>
  </si>
  <si>
    <r>
      <rPr>
        <sz val="11"/>
        <rFont val="Arial"/>
        <family val="0"/>
        <charset val="1"/>
      </rPr>
      <t xml:space="preserve">Google Ads </t>
    </r>
    <r>
      <rPr>
        <sz val="11"/>
        <rFont val="Noto Sans CJK SC"/>
        <family val="2"/>
      </rPr>
      <t xml:space="preserve">앱 캠페인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유튜브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검색</t>
    </r>
    <r>
      <rPr>
        <sz val="11"/>
        <rFont val="Arial"/>
        <family val="0"/>
        <charset val="1"/>
      </rPr>
      <t xml:space="preserve">·Play </t>
    </r>
    <r>
      <rPr>
        <sz val="11"/>
        <rFont val="Noto Sans CJK SC"/>
        <family val="2"/>
      </rPr>
      <t xml:space="preserve">등에 함께 노출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</si>
  <si>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약 </t>
    </r>
    <r>
      <rPr>
        <sz val="11"/>
        <rFont val="Arial"/>
        <family val="0"/>
        <charset val="1"/>
      </rPr>
      <t xml:space="preserve">26.5</t>
    </r>
    <r>
      <rPr>
        <sz val="11"/>
        <rFont val="Noto Sans CJK SC"/>
        <family val="2"/>
      </rPr>
      <t xml:space="preserve">억 명</t>
    </r>
  </si>
  <si>
    <r>
      <rPr>
        <sz val="11"/>
        <rFont val="Arial"/>
        <family val="0"/>
        <charset val="1"/>
      </rPr>
      <t xml:space="preserve">AppsFlyer 2025: Android </t>
    </r>
    <r>
      <rPr>
        <sz val="11"/>
        <rFont val="Noto Sans CJK SC"/>
        <family val="2"/>
      </rPr>
      <t xml:space="preserve">게임 매체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위는 </t>
    </r>
    <r>
      <rPr>
        <sz val="11"/>
        <rFont val="Arial"/>
        <family val="0"/>
        <charset val="1"/>
      </rPr>
      <t xml:space="preserve">Google Ads (</t>
    </r>
    <r>
      <rPr>
        <sz val="11"/>
        <rFont val="Noto Sans CJK SC"/>
        <family val="2"/>
      </rPr>
      <t xml:space="preserve">유튜브는 </t>
    </r>
    <r>
      <rPr>
        <sz val="11"/>
        <rFont val="Arial"/>
        <family val="0"/>
        <charset val="1"/>
      </rPr>
      <t xml:space="preserve">Google Ads </t>
    </r>
    <r>
      <rPr>
        <sz val="11"/>
        <rFont val="Noto Sans CJK SC"/>
        <family val="2"/>
      </rPr>
      <t xml:space="preserve">안에 묶여 따로 순위 없음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</si>
  <si>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Google Ads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Android</t>
    </r>
    <r>
      <rPr>
        <sz val="11"/>
        <rFont val="Noto Sans CJK SC"/>
        <family val="2"/>
      </rPr>
      <t xml:space="preserve">에서 카지노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테이블탑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퍼즐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레이싱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액션 장르에서 특히 강함 </t>
    </r>
    <r>
      <rPr>
        <sz val="11"/>
        <rFont val="Arial"/>
        <family val="0"/>
        <charset val="1"/>
      </rPr>
      <t xml:space="preserve">(PocketGamer </t>
    </r>
    <r>
      <rPr>
        <sz val="11"/>
        <rFont val="Noto Sans CJK SC"/>
        <family val="2"/>
      </rPr>
      <t xml:space="preserve">요약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</si>
  <si>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확인 불가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채널별 게임 </t>
    </r>
    <r>
      <rPr>
        <sz val="11"/>
        <rFont val="Arial"/>
        <family val="0"/>
        <charset val="1"/>
      </rPr>
      <t xml:space="preserve">CPI </t>
    </r>
    <r>
      <rPr>
        <sz val="11"/>
        <rFont val="Noto Sans CJK SC"/>
        <family val="2"/>
      </rPr>
      <t xml:space="preserve">원문 없음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</si>
  <si>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SQ Magazine, Social Media Advertising Statistics 2026 (DataReportal 2026-04 Global Statshot </t>
    </r>
    <r>
      <rPr>
        <sz val="11"/>
        <rFont val="Noto Sans CJK SC"/>
        <family val="2"/>
      </rPr>
      <t xml:space="preserve">인용</t>
    </r>
    <r>
      <rPr>
        <sz val="11"/>
        <rFont val="Arial"/>
        <family val="0"/>
        <charset val="1"/>
      </rPr>
      <t xml:space="preserve">) https://sqmagazine.co.uk/social-media-advertising-statistics/ / AppsFlyer, 2025 Performance Index </t>
    </r>
    <r>
      <rPr>
        <sz val="11"/>
        <rFont val="Noto Sans CJK SC"/>
        <family val="2"/>
      </rPr>
      <t xml:space="preserve">보도자료 </t>
    </r>
    <r>
      <rPr>
        <sz val="11"/>
        <rFont val="Arial"/>
        <family val="0"/>
        <charset val="1"/>
      </rPr>
      <t xml:space="preserve">(2025-12-03, 88</t>
    </r>
    <r>
      <rPr>
        <sz val="11"/>
        <rFont val="Noto Sans CJK SC"/>
        <family val="2"/>
      </rPr>
      <t xml:space="preserve">개 매체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설치 </t>
    </r>
    <r>
      <rPr>
        <sz val="11"/>
        <rFont val="Arial"/>
        <family val="0"/>
        <charset val="1"/>
      </rPr>
      <t xml:space="preserve">162</t>
    </r>
    <r>
      <rPr>
        <sz val="11"/>
        <rFont val="Noto Sans CJK SC"/>
        <family val="2"/>
      </rPr>
      <t xml:space="preserve">억 건</t>
    </r>
    <r>
      <rPr>
        <sz val="11"/>
        <rFont val="Arial"/>
        <family val="0"/>
        <charset val="1"/>
      </rPr>
      <t xml:space="preserve">) https://www.appsflyer.com/company/newsroom/pr/performance-index-2025/ / PocketGamer.biz, AppsFlyer Performance Index 2025 </t>
    </r>
    <r>
      <rPr>
        <sz val="11"/>
        <rFont val="Noto Sans CJK SC"/>
        <family val="2"/>
      </rPr>
      <t xml:space="preserve">장르별 요약 </t>
    </r>
    <r>
      <rPr>
        <sz val="11"/>
        <rFont val="Arial"/>
        <family val="0"/>
        <charset val="1"/>
      </rPr>
      <t xml:space="preserve">(2025-12-04) https://www.pocketgamer.biz/apple-and-google-continue-to-lead-in-mobile-game-ads-but-applovin-wins-over-select-genres/</t>
    </r>
  </si>
  <si>
    <t xml:space="preserve">인스타그램</t>
  </si>
  <si>
    <r>
      <rPr>
        <sz val="11"/>
        <rFont val="Arial"/>
        <family val="0"/>
        <charset val="1"/>
      </rPr>
      <t xml:space="preserve">Meta Ads (</t>
    </r>
    <r>
      <rPr>
        <sz val="11"/>
        <rFont val="Noto Sans CJK SC"/>
        <family val="2"/>
      </rPr>
      <t xml:space="preserve">페이스북과 같은 광고 도구로 함께 집행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</si>
  <si>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14.4</t>
    </r>
    <r>
      <rPr>
        <sz val="11"/>
        <rFont val="Noto Sans CJK SC"/>
        <family val="2"/>
      </rPr>
      <t xml:space="preserve">억 명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인도 제외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원문</t>
    </r>
    <r>
      <rPr>
        <sz val="11"/>
        <rFont val="Arial"/>
        <family val="0"/>
        <charset val="1"/>
      </rPr>
      <t xml:space="preserve">) / </t>
    </r>
    <r>
      <rPr>
        <sz val="11"/>
        <rFont val="Noto Sans CJK SC"/>
        <family val="2"/>
      </rPr>
      <t xml:space="preserve">약 </t>
    </r>
    <r>
      <rPr>
        <sz val="11"/>
        <rFont val="Arial"/>
        <family val="0"/>
        <charset val="1"/>
      </rPr>
      <t xml:space="preserve">19.9</t>
    </r>
    <r>
      <rPr>
        <sz val="11"/>
        <rFont val="Noto Sans CJK SC"/>
        <family val="2"/>
      </rPr>
      <t xml:space="preserve">억 명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전체</t>
    </r>
    <r>
      <rPr>
        <sz val="11"/>
        <rFont val="Arial"/>
        <family val="0"/>
        <charset val="1"/>
      </rPr>
      <t xml:space="preserve">, 2</t>
    </r>
    <r>
      <rPr>
        <sz val="11"/>
        <rFont val="Noto Sans CJK SC"/>
        <family val="2"/>
      </rPr>
      <t xml:space="preserve">차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</si>
  <si>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원문 </t>
    </r>
    <r>
      <rPr>
        <sz val="11"/>
        <rFont val="Arial"/>
        <family val="0"/>
        <charset val="1"/>
      </rPr>
      <t xml:space="preserve">+ 2</t>
    </r>
    <r>
      <rPr>
        <sz val="11"/>
        <rFont val="Noto Sans CJK SC"/>
        <family val="2"/>
      </rPr>
      <t xml:space="preserve">차</t>
    </r>
  </si>
  <si>
    <r>
      <rPr>
        <sz val="11"/>
        <rFont val="Arial"/>
        <family val="0"/>
        <charset val="1"/>
      </rPr>
      <t xml:space="preserve">AppsFlyer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Meta Ads</t>
    </r>
    <r>
      <rPr>
        <sz val="11"/>
        <rFont val="Noto Sans CJK SC"/>
        <family val="2"/>
      </rPr>
      <t xml:space="preserve">로 묶어 순위를 매김 → 인스타그램 단독 순위는 확인 불가</t>
    </r>
  </si>
  <si>
    <r>
      <rPr>
        <sz val="11"/>
        <rFont val="Arial"/>
        <family val="0"/>
        <charset val="1"/>
      </rPr>
      <t xml:space="preserve">Meta Ads: 2024</t>
    </r>
    <r>
      <rPr>
        <sz val="11"/>
        <rFont val="Noto Sans CJK SC"/>
        <family val="2"/>
      </rPr>
      <t xml:space="preserve">년 상반기 </t>
    </r>
    <r>
      <rPr>
        <sz val="11"/>
        <rFont val="Arial"/>
        <family val="0"/>
        <charset val="1"/>
      </rPr>
      <t xml:space="preserve">Android </t>
    </r>
    <r>
      <rPr>
        <sz val="11"/>
        <rFont val="Noto Sans CJK SC"/>
        <family val="2"/>
      </rPr>
      <t xml:space="preserve">게임에서 카지노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미드코어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스포츠</t>
    </r>
    <r>
      <rPr>
        <sz val="11"/>
        <rFont val="Arial"/>
        <family val="0"/>
        <charset val="1"/>
      </rPr>
      <t xml:space="preserve">&amp;</t>
    </r>
    <r>
      <rPr>
        <sz val="11"/>
        <rFont val="Noto Sans CJK SC"/>
        <family val="2"/>
      </rPr>
      <t xml:space="preserve">레이싱 상위 </t>
    </r>
    <r>
      <rPr>
        <sz val="11"/>
        <rFont val="Arial"/>
        <family val="0"/>
        <charset val="1"/>
      </rPr>
      <t xml:space="preserve">(2024 </t>
    </r>
    <r>
      <rPr>
        <sz val="11"/>
        <rFont val="Noto Sans CJK SC"/>
        <family val="2"/>
      </rPr>
      <t xml:space="preserve">데이터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</si>
  <si>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DataReportal, Digital 2026 Mid-Year Global Update Report (18</t>
    </r>
    <r>
      <rPr>
        <sz val="11"/>
        <rFont val="Noto Sans CJK SC"/>
        <family val="2"/>
      </rPr>
      <t xml:space="preserve">세 이상 광고 도달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인도 제외</t>
    </r>
    <r>
      <rPr>
        <sz val="11"/>
        <rFont val="Arial"/>
        <family val="0"/>
        <charset val="1"/>
      </rPr>
      <t xml:space="preserve">) https://datareportal.com/reports/digital-2026-mid-year-global-update-report / SQ Magazine, Social Media Advertising Statistics 2026 (DataReportal 2026-04 Global Statshot </t>
    </r>
    <r>
      <rPr>
        <sz val="11"/>
        <rFont val="Noto Sans CJK SC"/>
        <family val="2"/>
      </rPr>
      <t xml:space="preserve">인용</t>
    </r>
    <r>
      <rPr>
        <sz val="11"/>
        <rFont val="Arial"/>
        <family val="0"/>
        <charset val="1"/>
      </rPr>
      <t xml:space="preserve">) https://sqmagazine.co.uk/social-media-advertising-statistics/ / AppsFlyer, 17th Performance Index </t>
    </r>
    <r>
      <rPr>
        <sz val="11"/>
        <rFont val="Noto Sans CJK SC"/>
        <family val="2"/>
      </rPr>
      <t xml:space="preserve">보도자료 </t>
    </r>
    <r>
      <rPr>
        <sz val="11"/>
        <rFont val="Arial"/>
        <family val="0"/>
        <charset val="1"/>
      </rPr>
      <t xml:space="preserve">(2024-10-14, 2024</t>
    </r>
    <r>
      <rPr>
        <sz val="11"/>
        <rFont val="Noto Sans CJK SC"/>
        <family val="2"/>
      </rPr>
      <t xml:space="preserve">년 상반기 데이터</t>
    </r>
    <r>
      <rPr>
        <sz val="11"/>
        <rFont val="Arial"/>
        <family val="0"/>
        <charset val="1"/>
      </rPr>
      <t xml:space="preserve">) https://www.appsflyer.com/company/newsroom/pr/performance-index-17-released/</t>
    </r>
  </si>
  <si>
    <t xml:space="preserve">페이스북</t>
  </si>
  <si>
    <r>
      <rPr>
        <sz val="11"/>
        <rFont val="Arial"/>
        <family val="0"/>
        <charset val="1"/>
      </rPr>
      <t xml:space="preserve">Meta Ads (</t>
    </r>
    <r>
      <rPr>
        <sz val="11"/>
        <rFont val="Noto Sans CJK SC"/>
        <family val="2"/>
      </rPr>
      <t xml:space="preserve">인스타그램과 같은 광고 도구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</si>
  <si>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약 </t>
    </r>
    <r>
      <rPr>
        <sz val="11"/>
        <rFont val="Arial"/>
        <family val="0"/>
        <charset val="1"/>
      </rPr>
      <t xml:space="preserve">23.9</t>
    </r>
    <r>
      <rPr>
        <sz val="11"/>
        <rFont val="Noto Sans CJK SC"/>
        <family val="2"/>
      </rPr>
      <t xml:space="preserve">억 명</t>
    </r>
  </si>
  <si>
    <r>
      <rPr>
        <sz val="11"/>
        <rFont val="Noto Sans CJK SC"/>
        <family val="2"/>
      </rPr>
      <t xml:space="preserve">인스타그램과 같음 </t>
    </r>
    <r>
      <rPr>
        <sz val="11"/>
        <rFont val="Arial"/>
        <family val="0"/>
        <charset val="1"/>
      </rPr>
      <t xml:space="preserve">(Meta Ads </t>
    </r>
    <r>
      <rPr>
        <sz val="11"/>
        <rFont val="Noto Sans CJK SC"/>
        <family val="2"/>
      </rPr>
      <t xml:space="preserve">한 묶음</t>
    </r>
    <r>
      <rPr>
        <sz val="11"/>
        <rFont val="Arial"/>
        <family val="0"/>
        <charset val="1"/>
      </rPr>
      <t xml:space="preserve">). 2025</t>
    </r>
    <r>
      <rPr>
        <sz val="11"/>
        <rFont val="Noto Sans CJK SC"/>
        <family val="2"/>
      </rPr>
      <t xml:space="preserve">년에는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격차를 좁힌 매체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로 언급</t>
    </r>
  </si>
  <si>
    <t xml:space="preserve">인스타그램과 같음</t>
  </si>
  <si>
    <r>
      <rPr>
        <sz val="11"/>
        <rFont val="Arial"/>
        <family val="0"/>
        <charset val="1"/>
      </rPr>
      <t xml:space="preserve">SQ Magazine, Social Media Advertising Statistics 2026 (DataReportal 2026-04 Global Statshot </t>
    </r>
    <r>
      <rPr>
        <sz val="11"/>
        <rFont val="Noto Sans CJK SC"/>
        <family val="2"/>
      </rPr>
      <t xml:space="preserve">인용</t>
    </r>
    <r>
      <rPr>
        <sz val="11"/>
        <rFont val="Arial"/>
        <family val="0"/>
        <charset val="1"/>
      </rPr>
      <t xml:space="preserve">) https://sqmagazine.co.uk/social-media-advertising-statistics/ / AppsFlyer, 2025 Performance Index </t>
    </r>
    <r>
      <rPr>
        <sz val="11"/>
        <rFont val="Noto Sans CJK SC"/>
        <family val="2"/>
      </rPr>
      <t xml:space="preserve">보도자료 </t>
    </r>
    <r>
      <rPr>
        <sz val="11"/>
        <rFont val="Arial"/>
        <family val="0"/>
        <charset val="1"/>
      </rPr>
      <t xml:space="preserve">(2025-12-03, 88</t>
    </r>
    <r>
      <rPr>
        <sz val="11"/>
        <rFont val="Noto Sans CJK SC"/>
        <family val="2"/>
      </rPr>
      <t xml:space="preserve">개 매체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설치 </t>
    </r>
    <r>
      <rPr>
        <sz val="11"/>
        <rFont val="Arial"/>
        <family val="0"/>
        <charset val="1"/>
      </rPr>
      <t xml:space="preserve">162</t>
    </r>
    <r>
      <rPr>
        <sz val="11"/>
        <rFont val="Noto Sans CJK SC"/>
        <family val="2"/>
      </rPr>
      <t xml:space="preserve">억 건</t>
    </r>
    <r>
      <rPr>
        <sz val="11"/>
        <rFont val="Arial"/>
        <family val="0"/>
        <charset val="1"/>
      </rPr>
      <t xml:space="preserve">) https://www.appsflyer.com/company/newsroom/pr/performance-index-2025/ / AppsFlyer, 17th Performance Index </t>
    </r>
    <r>
      <rPr>
        <sz val="11"/>
        <rFont val="Noto Sans CJK SC"/>
        <family val="2"/>
      </rPr>
      <t xml:space="preserve">보도자료 </t>
    </r>
    <r>
      <rPr>
        <sz val="11"/>
        <rFont val="Arial"/>
        <family val="0"/>
        <charset val="1"/>
      </rPr>
      <t xml:space="preserve">(2024-10-14, 2024</t>
    </r>
    <r>
      <rPr>
        <sz val="11"/>
        <rFont val="Noto Sans CJK SC"/>
        <family val="2"/>
      </rPr>
      <t xml:space="preserve">년 상반기 데이터</t>
    </r>
    <r>
      <rPr>
        <sz val="11"/>
        <rFont val="Arial"/>
        <family val="0"/>
        <charset val="1"/>
      </rPr>
      <t xml:space="preserve">) https://www.appsflyer.com/company/newsroom/pr/performance-index-17-released/</t>
    </r>
  </si>
  <si>
    <t xml:space="preserve">틱톡</t>
  </si>
  <si>
    <t xml:space="preserve">TikTok for Business (TikTok Ads Manager)</t>
  </si>
  <si>
    <r>
      <rPr>
        <sz val="11"/>
        <rFont val="Arial"/>
        <family val="0"/>
        <charset val="1"/>
      </rPr>
      <t xml:space="preserve">22.1</t>
    </r>
    <r>
      <rPr>
        <sz val="11"/>
        <rFont val="Noto Sans CJK SC"/>
        <family val="2"/>
      </rPr>
      <t xml:space="preserve">억 명 </t>
    </r>
    <r>
      <rPr>
        <sz val="11"/>
        <rFont val="Arial"/>
        <family val="0"/>
        <charset val="1"/>
      </rPr>
      <t xml:space="preserve">(18</t>
    </r>
    <r>
      <rPr>
        <sz val="11"/>
        <rFont val="Noto Sans CJK SC"/>
        <family val="2"/>
      </rPr>
      <t xml:space="preserve">세 이상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인도 제외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</si>
  <si>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AppsFlyer 2025: Google·Apple</t>
    </r>
    <r>
      <rPr>
        <sz val="11"/>
        <rFont val="Noto Sans CJK SC"/>
        <family val="2"/>
      </rPr>
      <t xml:space="preserve">과의 격차를 좁힌 매체로 언급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게임 부문 구체 순위는 보도자료에 없음 → 확인 불가</t>
    </r>
  </si>
  <si>
    <r>
      <rPr>
        <sz val="11"/>
        <rFont val="Noto Sans CJK SC"/>
        <family val="2"/>
      </rPr>
      <t xml:space="preserve">확인 불가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게임 장르별 공개 원문을 찾지 못함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</si>
  <si>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DataReportal, Digital 2026 Mid-Year Global Update Report (18</t>
    </r>
    <r>
      <rPr>
        <sz val="11"/>
        <rFont val="Noto Sans CJK SC"/>
        <family val="2"/>
      </rPr>
      <t xml:space="preserve">세 이상 광고 도달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인도 제외</t>
    </r>
    <r>
      <rPr>
        <sz val="11"/>
        <rFont val="Arial"/>
        <family val="0"/>
        <charset val="1"/>
      </rPr>
      <t xml:space="preserve">) https://datareportal.com/reports/digital-2026-mid-year-global-update-report / AppsFlyer, 2025 Performance Index </t>
    </r>
    <r>
      <rPr>
        <sz val="11"/>
        <rFont val="Noto Sans CJK SC"/>
        <family val="2"/>
      </rPr>
      <t xml:space="preserve">보도자료 </t>
    </r>
    <r>
      <rPr>
        <sz val="11"/>
        <rFont val="Arial"/>
        <family val="0"/>
        <charset val="1"/>
      </rPr>
      <t xml:space="preserve">(2025-12-03, 88</t>
    </r>
    <r>
      <rPr>
        <sz val="11"/>
        <rFont val="Noto Sans CJK SC"/>
        <family val="2"/>
      </rPr>
      <t xml:space="preserve">개 매체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설치 </t>
    </r>
    <r>
      <rPr>
        <sz val="11"/>
        <rFont val="Arial"/>
        <family val="0"/>
        <charset val="1"/>
      </rPr>
      <t xml:space="preserve">162</t>
    </r>
    <r>
      <rPr>
        <sz val="11"/>
        <rFont val="Noto Sans CJK SC"/>
        <family val="2"/>
      </rPr>
      <t xml:space="preserve">억 건</t>
    </r>
    <r>
      <rPr>
        <sz val="11"/>
        <rFont val="Arial"/>
        <family val="0"/>
        <charset val="1"/>
      </rPr>
      <t xml:space="preserve">) https://www.appsflyer.com/company/newsroom/pr/performance-index-2025/</t>
    </r>
  </si>
  <si>
    <t xml:space="preserve">인플루언서</t>
  </si>
  <si>
    <r>
      <rPr>
        <sz val="11"/>
        <rFont val="Noto Sans CJK SC"/>
        <family val="2"/>
      </rPr>
      <t xml:space="preserve">크리에이터에게 직접 의뢰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유튜브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틱톡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인스타 채널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</si>
  <si>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크리에이터마다 다름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확인 불가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</si>
  <si>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게임 설치 성과에 대한 공개 순위 없음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확인 불가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참고</t>
    </r>
    <r>
      <rPr>
        <sz val="11"/>
        <rFont val="Arial"/>
        <family val="0"/>
        <charset val="1"/>
      </rPr>
      <t xml:space="preserve">: 2026</t>
    </r>
    <r>
      <rPr>
        <sz val="11"/>
        <rFont val="Noto Sans CJK SC"/>
        <family val="2"/>
      </rPr>
      <t xml:space="preserve">년 브랜드 투자 계획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순위 플랫폼은 틱톡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선택 </t>
    </r>
    <r>
      <rPr>
        <sz val="11"/>
        <rFont val="Arial"/>
        <family val="0"/>
        <charset val="1"/>
      </rPr>
      <t xml:space="preserve">31%, </t>
    </r>
    <r>
      <rPr>
        <sz val="11"/>
        <rFont val="Noto Sans CJK SC"/>
        <family val="2"/>
      </rPr>
      <t xml:space="preserve">전 업종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</si>
  <si>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전 업종 기준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인스타 </t>
    </r>
    <r>
      <rPr>
        <sz val="11"/>
        <rFont val="Arial"/>
        <family val="0"/>
        <charset val="1"/>
      </rPr>
      <t xml:space="preserve">57.1% · </t>
    </r>
    <r>
      <rPr>
        <sz val="11"/>
        <rFont val="Noto Sans CJK SC"/>
        <family val="2"/>
      </rPr>
      <t xml:space="preserve">틱톡 </t>
    </r>
    <r>
      <rPr>
        <sz val="11"/>
        <rFont val="Arial"/>
        <family val="0"/>
        <charset val="1"/>
      </rPr>
      <t xml:space="preserve">51.6% · </t>
    </r>
    <r>
      <rPr>
        <sz val="11"/>
        <rFont val="Noto Sans CJK SC"/>
        <family val="2"/>
      </rPr>
      <t xml:space="preserve">유튜브 </t>
    </r>
    <r>
      <rPr>
        <sz val="11"/>
        <rFont val="Arial"/>
        <family val="0"/>
        <charset val="1"/>
      </rPr>
      <t xml:space="preserve">36.7% · </t>
    </r>
    <r>
      <rPr>
        <sz val="11"/>
        <rFont val="Noto Sans CJK SC"/>
        <family val="2"/>
      </rPr>
      <t xml:space="preserve">페이스북 </t>
    </r>
    <r>
      <rPr>
        <sz val="11"/>
        <rFont val="Arial"/>
        <family val="0"/>
        <charset val="1"/>
      </rPr>
      <t xml:space="preserve">28.4%</t>
    </r>
    <r>
      <rPr>
        <sz val="11"/>
        <rFont val="Noto Sans CJK SC"/>
        <family val="2"/>
      </rPr>
      <t xml:space="preserve">가 인플루언서 마케팅에 사용 </t>
    </r>
    <r>
      <rPr>
        <sz val="11"/>
        <rFont val="Arial"/>
        <family val="0"/>
        <charset val="1"/>
      </rPr>
      <t xml:space="preserve">(2025, 2</t>
    </r>
    <r>
      <rPr>
        <sz val="11"/>
        <rFont val="Noto Sans CJK SC"/>
        <family val="2"/>
      </rPr>
      <t xml:space="preserve">차 인용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</si>
  <si>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참고</t>
    </r>
    <r>
      <rPr>
        <sz val="11"/>
        <rFont val="Arial"/>
        <family val="0"/>
        <charset val="1"/>
      </rPr>
      <t xml:space="preserve">(2</t>
    </r>
    <r>
      <rPr>
        <sz val="11"/>
        <rFont val="Noto Sans CJK SC"/>
        <family val="2"/>
      </rPr>
      <t xml:space="preserve">차 집계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전 업종 크리에이터 콘텐츠</t>
    </r>
    <r>
      <rPr>
        <sz val="11"/>
        <rFont val="Arial"/>
        <family val="0"/>
        <charset val="1"/>
      </rPr>
      <t xml:space="preserve">): 1,000</t>
    </r>
    <r>
      <rPr>
        <sz val="11"/>
        <rFont val="Noto Sans CJK SC"/>
        <family val="2"/>
      </rPr>
      <t xml:space="preserve">회 노출당 틱톡 </t>
    </r>
    <r>
      <rPr>
        <sz val="11"/>
        <rFont val="Arial"/>
        <family val="0"/>
        <charset val="1"/>
      </rPr>
      <t xml:space="preserve">$4.63 · </t>
    </r>
    <r>
      <rPr>
        <sz val="11"/>
        <rFont val="Noto Sans CJK SC"/>
        <family val="2"/>
      </rPr>
      <t xml:space="preserve">인스타 릴스 </t>
    </r>
    <r>
      <rPr>
        <sz val="11"/>
        <rFont val="Arial"/>
        <family val="0"/>
        <charset val="1"/>
      </rPr>
      <t xml:space="preserve">$8.50 · </t>
    </r>
    <r>
      <rPr>
        <sz val="11"/>
        <rFont val="Noto Sans CJK SC"/>
        <family val="2"/>
      </rPr>
      <t xml:space="preserve">유튜브 </t>
    </r>
    <r>
      <rPr>
        <sz val="11"/>
        <rFont val="Arial"/>
        <family val="0"/>
        <charset val="1"/>
      </rPr>
      <t xml:space="preserve">$15</t>
    </r>
  </si>
  <si>
    <r>
      <rPr>
        <sz val="11"/>
        <rFont val="Arial"/>
        <family val="0"/>
        <charset val="1"/>
      </rPr>
      <t xml:space="preserve">Influencer Marketing Hub, Influencer Marketing Benchmark Report 2026 (</t>
    </r>
    <r>
      <rPr>
        <sz val="11"/>
        <rFont val="Noto Sans CJK SC"/>
        <family val="2"/>
      </rPr>
      <t xml:space="preserve">전 업종 브랜드 설문</t>
    </r>
    <r>
      <rPr>
        <sz val="11"/>
        <rFont val="Arial"/>
        <family val="0"/>
        <charset val="1"/>
      </rPr>
      <t xml:space="preserve">) https://influencermarketinghub.com/influencer-marketing-benchmark-report/ / archive.com </t>
    </r>
    <r>
      <rPr>
        <sz val="11"/>
        <rFont val="Noto Sans CJK SC"/>
        <family val="2"/>
      </rPr>
      <t xml:space="preserve">블로그 </t>
    </r>
    <r>
      <rPr>
        <sz val="11"/>
        <rFont val="Arial"/>
        <family val="0"/>
        <charset val="1"/>
      </rPr>
      <t xml:space="preserve">(Influencer Marketing Hub Benchmark Report 2025 </t>
    </r>
    <r>
      <rPr>
        <sz val="11"/>
        <rFont val="Noto Sans CJK SC"/>
        <family val="2"/>
      </rPr>
      <t xml:space="preserve">인용</t>
    </r>
    <r>
      <rPr>
        <sz val="11"/>
        <rFont val="Arial"/>
        <family val="0"/>
        <charset val="1"/>
      </rPr>
      <t xml:space="preserve">) https://archive.com/blog/social-media-platform-specific-influencer / Hubfluence, 2026 Influencer Marketing Benchmark Report (</t>
    </r>
    <r>
      <rPr>
        <sz val="11"/>
        <rFont val="Noto Sans CJK SC"/>
        <family val="2"/>
      </rPr>
      <t xml:space="preserve">여러 출처 집계</t>
    </r>
    <r>
      <rPr>
        <sz val="11"/>
        <rFont val="Arial"/>
        <family val="0"/>
        <charset val="1"/>
      </rPr>
      <t xml:space="preserve">, 2026-06 </t>
    </r>
    <r>
      <rPr>
        <sz val="11"/>
        <rFont val="Noto Sans CJK SC"/>
        <family val="2"/>
      </rPr>
      <t xml:space="preserve">기준</t>
    </r>
    <r>
      <rPr>
        <sz val="11"/>
        <rFont val="Arial"/>
        <family val="0"/>
        <charset val="1"/>
      </rPr>
      <t xml:space="preserve">) https://www.hubfluence.io/resources/influencer-marketing-report-2026</t>
    </r>
  </si>
  <si>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Noto Sans CJK SC"/>
        <family val="2"/>
      </rPr>
      <t xml:space="preserve">분석자 추가</t>
    </r>
    <r>
      <rPr>
        <b val="true"/>
        <sz val="11"/>
        <rFont val="Arial"/>
        <family val="0"/>
        <charset val="1"/>
      </rPr>
      <t xml:space="preserve">] Apple Ads</t>
    </r>
  </si>
  <si>
    <r>
      <rPr>
        <sz val="11"/>
        <rFont val="Arial"/>
        <family val="0"/>
        <charset val="1"/>
      </rPr>
      <t xml:space="preserve">App Store </t>
    </r>
    <r>
      <rPr>
        <sz val="11"/>
        <rFont val="Noto Sans CJK SC"/>
        <family val="2"/>
      </rPr>
      <t xml:space="preserve">검색 광고 </t>
    </r>
    <r>
      <rPr>
        <sz val="11"/>
        <rFont val="Arial"/>
        <family val="0"/>
        <charset val="1"/>
      </rPr>
      <t xml:space="preserve">(iOS </t>
    </r>
    <r>
      <rPr>
        <sz val="11"/>
        <rFont val="Noto Sans CJK SC"/>
        <family val="2"/>
      </rPr>
      <t xml:space="preserve">전용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</si>
  <si>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확인 불가 </t>
    </r>
    <r>
      <rPr>
        <sz val="11"/>
        <rFont val="Arial"/>
        <family val="0"/>
        <charset val="1"/>
      </rPr>
      <t xml:space="preserve">(App Store </t>
    </r>
    <r>
      <rPr>
        <sz val="11"/>
        <rFont val="Noto Sans CJK SC"/>
        <family val="2"/>
      </rPr>
      <t xml:space="preserve">사용자 수 공개 기준 다름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</si>
  <si>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AppsFlyer 2025: iOS </t>
    </r>
    <r>
      <rPr>
        <sz val="11"/>
        <rFont val="Noto Sans CJK SC"/>
        <family val="2"/>
      </rPr>
      <t xml:space="preserve">게임 매체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북미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서유럽에서는 </t>
    </r>
    <r>
      <rPr>
        <sz val="11"/>
        <rFont val="Arial"/>
        <family val="0"/>
        <charset val="1"/>
      </rPr>
      <t xml:space="preserve">AppLovin</t>
    </r>
    <r>
      <rPr>
        <sz val="11"/>
        <rFont val="Noto Sans CJK SC"/>
        <family val="2"/>
      </rPr>
      <t xml:space="preserve">이 앞섬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</si>
  <si>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iOS </t>
    </r>
    <r>
      <rPr>
        <sz val="11"/>
        <rFont val="Noto Sans CJK SC"/>
        <family val="2"/>
      </rPr>
      <t xml:space="preserve">게임 장르 중 하이퍼캐주얼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테이블탑을 뺀 모든 장르에서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위 </t>
    </r>
    <r>
      <rPr>
        <sz val="11"/>
        <rFont val="Arial"/>
        <family val="0"/>
        <charset val="1"/>
      </rPr>
      <t xml:space="preserve">(PocketGamer </t>
    </r>
    <r>
      <rPr>
        <sz val="11"/>
        <rFont val="Noto Sans CJK SC"/>
        <family val="2"/>
      </rPr>
      <t xml:space="preserve">요약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</si>
  <si>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AppsFlyer, 2025 Performance Index </t>
    </r>
    <r>
      <rPr>
        <sz val="11"/>
        <rFont val="Noto Sans CJK SC"/>
        <family val="2"/>
      </rPr>
      <t xml:space="preserve">보도자료 </t>
    </r>
    <r>
      <rPr>
        <sz val="11"/>
        <rFont val="Arial"/>
        <family val="0"/>
        <charset val="1"/>
      </rPr>
      <t xml:space="preserve">(2025-12-03, 88</t>
    </r>
    <r>
      <rPr>
        <sz val="11"/>
        <rFont val="Noto Sans CJK SC"/>
        <family val="2"/>
      </rPr>
      <t xml:space="preserve">개 매체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설치 </t>
    </r>
    <r>
      <rPr>
        <sz val="11"/>
        <rFont val="Arial"/>
        <family val="0"/>
        <charset val="1"/>
      </rPr>
      <t xml:space="preserve">162</t>
    </r>
    <r>
      <rPr>
        <sz val="11"/>
        <rFont val="Noto Sans CJK SC"/>
        <family val="2"/>
      </rPr>
      <t xml:space="preserve">억 건</t>
    </r>
    <r>
      <rPr>
        <sz val="11"/>
        <rFont val="Arial"/>
        <family val="0"/>
        <charset val="1"/>
      </rPr>
      <t xml:space="preserve">) https://www.appsflyer.com/company/newsroom/pr/performance-index-2025/ / PocketGamer.biz, AppsFlyer Performance Index 2025 </t>
    </r>
    <r>
      <rPr>
        <sz val="11"/>
        <rFont val="Noto Sans CJK SC"/>
        <family val="2"/>
      </rPr>
      <t xml:space="preserve">장르별 요약 </t>
    </r>
    <r>
      <rPr>
        <sz val="11"/>
        <rFont val="Arial"/>
        <family val="0"/>
        <charset val="1"/>
      </rPr>
      <t xml:space="preserve">(2025-12-04) https://www.pocketgamer.biz/apple-and-google-continue-to-lead-in-mobile-game-ads-but-applovin-wins-over-select-genres/</t>
    </r>
  </si>
  <si>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Noto Sans CJK SC"/>
        <family val="2"/>
      </rPr>
      <t xml:space="preserve">분석자 추가</t>
    </r>
    <r>
      <rPr>
        <b val="true"/>
        <sz val="11"/>
        <rFont val="Arial"/>
        <family val="0"/>
        <charset val="1"/>
      </rPr>
      <t xml:space="preserve">] </t>
    </r>
    <r>
      <rPr>
        <b val="true"/>
        <sz val="11"/>
        <rFont val="Noto Sans CJK SC"/>
        <family val="2"/>
      </rPr>
      <t xml:space="preserve">광고 네트워크 </t>
    </r>
    <r>
      <rPr>
        <b val="true"/>
        <sz val="11"/>
        <rFont val="Arial"/>
        <family val="0"/>
        <charset val="1"/>
      </rPr>
      <t xml:space="preserve">(AppLovin·Mintegral·Unity·Liftoff </t>
    </r>
    <r>
      <rPr>
        <b val="true"/>
        <sz val="11"/>
        <rFont val="Noto Sans CJK SC"/>
        <family val="2"/>
      </rPr>
      <t xml:space="preserve">등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다른 앱 안 광고</t>
    </r>
    <r>
      <rPr>
        <b val="true"/>
        <sz val="11"/>
        <rFont val="Arial"/>
        <family val="0"/>
        <charset val="1"/>
      </rPr>
      <t xml:space="preserve">)</t>
    </r>
  </si>
  <si>
    <t xml:space="preserve">각 네트워크 광고 도구</t>
  </si>
  <si>
    <r>
      <rPr>
        <sz val="11"/>
        <rFont val="Arial"/>
        <family val="0"/>
        <charset val="1"/>
      </rPr>
      <t xml:space="preserve">AppsFlyer 2025: AppLovin</t>
    </r>
    <r>
      <rPr>
        <sz val="11"/>
        <rFont val="Noto Sans CJK SC"/>
        <family val="2"/>
      </rPr>
      <t xml:space="preserve">이 </t>
    </r>
    <r>
      <rPr>
        <sz val="11"/>
        <rFont val="Arial"/>
        <family val="0"/>
        <charset val="1"/>
      </rPr>
      <t xml:space="preserve">iOS </t>
    </r>
    <r>
      <rPr>
        <sz val="11"/>
        <rFont val="Noto Sans CJK SC"/>
        <family val="2"/>
      </rPr>
      <t xml:space="preserve">게임에서 북미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서유럽 선두</t>
    </r>
    <r>
      <rPr>
        <sz val="11"/>
        <rFont val="Arial"/>
        <family val="0"/>
        <charset val="1"/>
      </rPr>
      <t xml:space="preserve">, Android</t>
    </r>
    <r>
      <rPr>
        <sz val="11"/>
        <rFont val="Noto Sans CJK SC"/>
        <family val="2"/>
      </rPr>
      <t xml:space="preserve">에서 </t>
    </r>
    <r>
      <rPr>
        <sz val="11"/>
        <rFont val="Arial"/>
        <family val="0"/>
        <charset val="1"/>
      </rPr>
      <t xml:space="preserve">AppLovin·Mintegral </t>
    </r>
    <r>
      <rPr>
        <sz val="11"/>
        <rFont val="Noto Sans CJK SC"/>
        <family val="2"/>
      </rPr>
      <t xml:space="preserve">상승</t>
    </r>
  </si>
  <si>
    <r>
      <rPr>
        <sz val="11"/>
        <rFont val="Noto Sans CJK SC"/>
        <family val="2"/>
      </rPr>
      <t xml:space="preserve">캐주얼 게임 설치의 약 절반은 하이퍼캐주얼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퍼즐 게임 안 광고에서 옴 </t>
    </r>
    <r>
      <rPr>
        <sz val="11"/>
        <rFont val="Arial"/>
        <family val="0"/>
        <charset val="1"/>
      </rPr>
      <t xml:space="preserve">(Liftoff, </t>
    </r>
    <r>
      <rPr>
        <sz val="11"/>
        <rFont val="Noto Sans CJK SC"/>
        <family val="2"/>
      </rPr>
      <t xml:space="preserve">게임 퍼블리셔 기준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</si>
  <si>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AppsFlyer, 2025 Performance Index </t>
    </r>
    <r>
      <rPr>
        <sz val="11"/>
        <rFont val="Noto Sans CJK SC"/>
        <family val="2"/>
      </rPr>
      <t xml:space="preserve">보도자료 </t>
    </r>
    <r>
      <rPr>
        <sz val="11"/>
        <rFont val="Arial"/>
        <family val="0"/>
        <charset val="1"/>
      </rPr>
      <t xml:space="preserve">(2025-12-03, 88</t>
    </r>
    <r>
      <rPr>
        <sz val="11"/>
        <rFont val="Noto Sans CJK SC"/>
        <family val="2"/>
      </rPr>
      <t xml:space="preserve">개 매체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설치 </t>
    </r>
    <r>
      <rPr>
        <sz val="11"/>
        <rFont val="Arial"/>
        <family val="0"/>
        <charset val="1"/>
      </rPr>
      <t xml:space="preserve">162</t>
    </r>
    <r>
      <rPr>
        <sz val="11"/>
        <rFont val="Noto Sans CJK SC"/>
        <family val="2"/>
      </rPr>
      <t xml:space="preserve">억 건</t>
    </r>
    <r>
      <rPr>
        <sz val="11"/>
        <rFont val="Arial"/>
        <family val="0"/>
        <charset val="1"/>
      </rPr>
      <t xml:space="preserve">) https://www.appsflyer.com/company/newsroom/pr/performance-index-2025/ / Liftoff·Singular, 2025 Casual Gaming Apps Report — 'Where Casual Games Find Their Players' (Liftoff </t>
    </r>
    <r>
      <rPr>
        <sz val="11"/>
        <rFont val="Noto Sans CJK SC"/>
        <family val="2"/>
      </rPr>
      <t xml:space="preserve">데이터 </t>
    </r>
    <r>
      <rPr>
        <sz val="11"/>
        <rFont val="Arial"/>
        <family val="0"/>
        <charset val="1"/>
      </rPr>
      <t xml:space="preserve">2024-02~2025-02) https://liftoff.ai/2025-casual-gaming-apps-report/</t>
    </r>
  </si>
  <si>
    <r>
      <rPr>
        <b val="true"/>
        <sz val="12"/>
        <rFont val="Arial"/>
        <family val="0"/>
        <charset val="1"/>
      </rPr>
      <t xml:space="preserve">② 2</t>
    </r>
    <r>
      <rPr>
        <b val="true"/>
        <sz val="12"/>
        <rFont val="Noto Sans CJK SC"/>
        <family val="2"/>
      </rPr>
      <t xml:space="preserve">인 팀 채널 점수 — 점수</t>
    </r>
    <r>
      <rPr>
        <b val="true"/>
        <sz val="12"/>
        <rFont val="Arial"/>
        <family val="0"/>
        <charset val="1"/>
      </rPr>
      <t xml:space="preserve">(1~5, 5 = </t>
    </r>
    <r>
      <rPr>
        <b val="true"/>
        <sz val="12"/>
        <rFont val="Noto Sans CJK SC"/>
        <family val="2"/>
      </rPr>
      <t xml:space="preserve">좋음</t>
    </r>
    <r>
      <rPr>
        <b val="true"/>
        <sz val="12"/>
        <rFont val="Arial"/>
        <family val="0"/>
        <charset val="1"/>
      </rPr>
      <t xml:space="preserve">)</t>
    </r>
    <r>
      <rPr>
        <b val="true"/>
        <sz val="12"/>
        <rFont val="Noto Sans CJK SC"/>
        <family val="2"/>
      </rPr>
      <t xml:space="preserve">는 위 ① 사실을 바탕으로 한 분석자 판단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노란 칸</t>
    </r>
    <r>
      <rPr>
        <b val="true"/>
        <sz val="12"/>
        <rFont val="Arial"/>
        <family val="0"/>
        <charset val="1"/>
      </rPr>
      <t xml:space="preserve">). </t>
    </r>
    <r>
      <rPr>
        <b val="true"/>
        <sz val="12"/>
        <rFont val="Noto Sans CJK SC"/>
        <family val="2"/>
      </rPr>
      <t xml:space="preserve">가중치는 파란 글씨로 바꿀 수 있음</t>
    </r>
  </si>
  <si>
    <t xml:space="preserve">광고 도달 크기</t>
  </si>
  <si>
    <t xml:space="preserve">게임 광고 성과 근거</t>
  </si>
  <si>
    <r>
      <rPr>
        <b val="true"/>
        <sz val="11"/>
        <color rgb="FFFFFFFF"/>
        <rFont val="Noto Sans CJK SC"/>
        <family val="2"/>
      </rPr>
      <t xml:space="preserve">우리 후보 장르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퍼즐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캐주얼</t>
    </r>
    <r>
      <rPr>
        <b val="true"/>
        <sz val="11"/>
        <color rgb="FFFFFFFF"/>
        <rFont val="Arial"/>
        <family val="0"/>
        <charset val="1"/>
      </rPr>
      <t xml:space="preserve">) </t>
    </r>
    <r>
      <rPr>
        <b val="true"/>
        <sz val="11"/>
        <color rgb="FFFFFFFF"/>
        <rFont val="Noto Sans CJK SC"/>
        <family val="2"/>
      </rPr>
      <t xml:space="preserve">적합</t>
    </r>
  </si>
  <si>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인 팀 운영 쉬움</t>
    </r>
  </si>
  <si>
    <t xml:space="preserve">작은 예산으로 시작</t>
  </si>
  <si>
    <r>
      <rPr>
        <b val="true"/>
        <sz val="11"/>
        <color rgb="FFFFFFFF"/>
        <rFont val="Noto Sans CJK SC"/>
        <family val="2"/>
      </rPr>
      <t xml:space="preserve">순위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</si>
  <si>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점수 이유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분석자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</si>
  <si>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가중치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합계 </t>
    </r>
    <r>
      <rPr>
        <b val="true"/>
        <sz val="11"/>
        <rFont val="Arial"/>
        <family val="0"/>
        <charset val="1"/>
      </rPr>
      <t xml:space="preserve">100%) →</t>
    </r>
  </si>
  <si>
    <t xml:space="preserve">← 가중치는 분석자 제안</t>
  </si>
  <si>
    <r>
      <rPr>
        <b val="true"/>
        <sz val="11"/>
        <rFont val="Noto Sans CJK SC"/>
        <family val="2"/>
      </rPr>
      <t xml:space="preserve">유튜브 </t>
    </r>
    <r>
      <rPr>
        <b val="true"/>
        <sz val="11"/>
        <rFont val="Arial"/>
        <family val="0"/>
        <charset val="1"/>
      </rPr>
      <t xml:space="preserve">(Google Ads)</t>
    </r>
  </si>
  <si>
    <r>
      <rPr>
        <sz val="11"/>
        <rFont val="Noto Sans CJK SC"/>
        <family val="2"/>
      </rPr>
      <t xml:space="preserve">도달 최대</t>
    </r>
    <r>
      <rPr>
        <sz val="11"/>
        <rFont val="Arial"/>
        <family val="0"/>
        <charset val="1"/>
      </rPr>
      <t xml:space="preserve">(2</t>
    </r>
    <r>
      <rPr>
        <sz val="11"/>
        <rFont val="Noto Sans CJK SC"/>
        <family val="2"/>
      </rPr>
      <t xml:space="preserve">차</t>
    </r>
    <r>
      <rPr>
        <sz val="11"/>
        <rFont val="Arial"/>
        <family val="0"/>
        <charset val="1"/>
      </rPr>
      <t xml:space="preserve">), Android </t>
    </r>
    <r>
      <rPr>
        <sz val="11"/>
        <rFont val="Noto Sans CJK SC"/>
        <family val="2"/>
      </rPr>
      <t xml:space="preserve">게임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위 매체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퍼즐 장르 강세 언급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앱 캠페인은 소재만 넣으면 자동 최적화라 운영이 비교적 쉬움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분석자 판단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</si>
  <si>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인스타그램 </t>
    </r>
    <r>
      <rPr>
        <b val="true"/>
        <sz val="11"/>
        <rFont val="Arial"/>
        <family val="0"/>
        <charset val="1"/>
      </rPr>
      <t xml:space="preserve">(Meta Ads)</t>
    </r>
  </si>
  <si>
    <r>
      <rPr>
        <sz val="11"/>
        <rFont val="Noto Sans CJK SC"/>
        <family val="2"/>
      </rPr>
      <t xml:space="preserve">도달 큼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게임 성과 근거는 카지노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미드코어 쪽</t>
    </r>
    <r>
      <rPr>
        <sz val="11"/>
        <rFont val="Arial"/>
        <family val="0"/>
        <charset val="1"/>
      </rPr>
      <t xml:space="preserve">(2024). </t>
    </r>
    <r>
      <rPr>
        <sz val="11"/>
        <rFont val="Noto Sans CJK SC"/>
        <family val="2"/>
      </rPr>
      <t xml:space="preserve">소재를 자주 바꿔야 해서 운영 중간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분석자 판단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</si>
  <si>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페이스북 </t>
    </r>
    <r>
      <rPr>
        <b val="true"/>
        <sz val="11"/>
        <rFont val="Arial"/>
        <family val="0"/>
        <charset val="1"/>
      </rPr>
      <t xml:space="preserve">(Meta Ads)</t>
    </r>
  </si>
  <si>
    <r>
      <rPr>
        <sz val="11"/>
        <rFont val="Noto Sans CJK SC"/>
        <family val="2"/>
      </rPr>
      <t xml:space="preserve">인스타그램과 같은 광고 도구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도달은 더 큼</t>
    </r>
    <r>
      <rPr>
        <sz val="11"/>
        <rFont val="Arial"/>
        <family val="0"/>
        <charset val="1"/>
      </rPr>
      <t xml:space="preserve">(2</t>
    </r>
    <r>
      <rPr>
        <sz val="11"/>
        <rFont val="Noto Sans CJK SC"/>
        <family val="2"/>
      </rPr>
      <t xml:space="preserve">차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</si>
  <si>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도달 큼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원문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게임 장르별 성과 원문은 확인 불가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세로 영상 소재를 계속 새로 만들어야 해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인 팀 부담이 큼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분석자 판단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</si>
  <si>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게임 설치 성과 공개 자료 없음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섭외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계약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확인에 사람 손이 많이 듦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분석자 판단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</si>
  <si>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iOS </t>
    </r>
    <r>
      <rPr>
        <sz val="11"/>
        <rFont val="Noto Sans CJK SC"/>
        <family val="2"/>
      </rPr>
      <t xml:space="preserve">게임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위 매체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검색 키워드 광고라 영상 소재 부담이 적음</t>
    </r>
    <r>
      <rPr>
        <sz val="11"/>
        <rFont val="Arial"/>
        <family val="0"/>
        <charset val="1"/>
      </rPr>
      <t xml:space="preserve">. iOS</t>
    </r>
    <r>
      <rPr>
        <sz val="11"/>
        <rFont val="Noto Sans CJK SC"/>
        <family val="2"/>
      </rPr>
      <t xml:space="preserve">에만 해당</t>
    </r>
  </si>
  <si>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Noto Sans CJK SC"/>
        <family val="2"/>
      </rPr>
      <t xml:space="preserve">분석자 추가</t>
    </r>
    <r>
      <rPr>
        <b val="true"/>
        <sz val="11"/>
        <rFont val="Arial"/>
        <family val="0"/>
        <charset val="1"/>
      </rPr>
      <t xml:space="preserve">] </t>
    </r>
    <r>
      <rPr>
        <b val="true"/>
        <sz val="11"/>
        <rFont val="Noto Sans CJK SC"/>
        <family val="2"/>
      </rPr>
      <t xml:space="preserve">광고 네트워크</t>
    </r>
  </si>
  <si>
    <r>
      <rPr>
        <sz val="11"/>
        <rFont val="Noto Sans CJK SC"/>
        <family val="2"/>
      </rPr>
      <t xml:space="preserve">퍼즐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캐주얼 설치가 많이 나오는 곳</t>
    </r>
    <r>
      <rPr>
        <sz val="11"/>
        <rFont val="Arial"/>
        <family val="0"/>
        <charset val="1"/>
      </rPr>
      <t xml:space="preserve">(Liftoff). </t>
    </r>
    <r>
      <rPr>
        <sz val="11"/>
        <rFont val="Noto Sans CJK SC"/>
        <family val="2"/>
      </rPr>
      <t xml:space="preserve">플레이어블 광고 소재가 필요하고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최소 예산 조건은 확인 불가</t>
    </r>
  </si>
  <si>
    <r>
      <rPr>
        <i val="true"/>
        <sz val="11"/>
        <color rgb="FF595959"/>
        <rFont val="Noto Sans CJK SC"/>
        <family val="2"/>
      </rPr>
      <t xml:space="preserve">인스타그램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페이스북은 같은 </t>
    </r>
    <r>
      <rPr>
        <i val="true"/>
        <sz val="11"/>
        <color rgb="FF595959"/>
        <rFont val="Arial"/>
        <family val="0"/>
        <charset val="1"/>
      </rPr>
      <t xml:space="preserve">Meta Ads</t>
    </r>
    <r>
      <rPr>
        <i val="true"/>
        <sz val="11"/>
        <color rgb="FF595959"/>
        <rFont val="Noto Sans CJK SC"/>
        <family val="2"/>
      </rPr>
      <t xml:space="preserve">로 사고</t>
    </r>
    <r>
      <rPr>
        <i val="true"/>
        <sz val="11"/>
        <color rgb="FF595959"/>
        <rFont val="Arial"/>
        <family val="0"/>
        <charset val="1"/>
      </rPr>
      <t xml:space="preserve">, AppsFlyer</t>
    </r>
    <r>
      <rPr>
        <i val="true"/>
        <sz val="11"/>
        <color rgb="FF595959"/>
        <rFont val="Noto Sans CJK SC"/>
        <family val="2"/>
      </rPr>
      <t xml:space="preserve">도 </t>
    </r>
    <r>
      <rPr>
        <i val="true"/>
        <sz val="11"/>
        <color rgb="FF595959"/>
        <rFont val="Arial"/>
        <family val="0"/>
        <charset val="1"/>
      </rPr>
      <t xml:space="preserve">'Meta Ads' </t>
    </r>
    <r>
      <rPr>
        <i val="true"/>
        <sz val="11"/>
        <color rgb="FF595959"/>
        <rFont val="Noto Sans CJK SC"/>
        <family val="2"/>
      </rPr>
      <t xml:space="preserve">하나로 순위를 매겨 두 채널을 따로 비교한 공개 성과 자료는 확인 불가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</si>
  <si>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유튜브는 </t>
    </r>
    <r>
      <rPr>
        <i val="true"/>
        <sz val="11"/>
        <color rgb="FF595959"/>
        <rFont val="Arial"/>
        <family val="0"/>
        <charset val="1"/>
      </rPr>
      <t xml:space="preserve">Google Ads </t>
    </r>
    <r>
      <rPr>
        <i val="true"/>
        <sz val="11"/>
        <color rgb="FF595959"/>
        <rFont val="Noto Sans CJK SC"/>
        <family val="2"/>
      </rPr>
      <t xml:space="preserve">앱 캠페인 안에 함께 묶여 집행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순위가 나옴 → 유튜브만의 게임 성과 순위는 확인 불가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</si>
  <si>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도달 숫자는 각 플랫폼 광고 도구가 알려 주는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광고가 닿을 수 있는 사람 수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라 실제 사용자 수와 다를 수 있음</t>
    </r>
    <r>
      <rPr>
        <i val="true"/>
        <sz val="11"/>
        <color rgb="FF595959"/>
        <rFont val="Arial"/>
        <family val="0"/>
        <charset val="1"/>
      </rPr>
      <t xml:space="preserve">(DataReportal</t>
    </r>
    <r>
      <rPr>
        <i val="true"/>
        <sz val="11"/>
        <color rgb="FF595959"/>
        <rFont val="Noto Sans CJK SC"/>
        <family val="2"/>
      </rPr>
      <t xml:space="preserve">도 같은 주의를 붙임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출처 기준이 달라 직접 비교는 대략적으로만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</si>
  <si>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인플루언서 수치는 게임이 아닌 전 업종 브랜드 설문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집계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게임 설치 성과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비용은 비공개 → 대신 쓸 수 있는 공개 지표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크리에이터 영상 조회수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참여율</t>
    </r>
    <r>
      <rPr>
        <i val="true"/>
        <sz val="11"/>
        <color rgb="FF595959"/>
        <rFont val="Arial"/>
        <family val="0"/>
        <charset val="1"/>
      </rPr>
      <t xml:space="preserve">(vidIQ </t>
    </r>
    <r>
      <rPr>
        <i val="true"/>
        <sz val="11"/>
        <color rgb="FF595959"/>
        <rFont val="Noto Sans CJK SC"/>
        <family val="2"/>
      </rPr>
      <t xml:space="preserve">등 도구로 확인 가능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</si>
  <si>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i val="true"/>
        <sz val="11"/>
        <color rgb="FF595959"/>
        <rFont val="Noto Sans CJK SC"/>
        <family val="2"/>
      </rPr>
      <t xml:space="preserve">채널별 실제 게임 광고비</t>
    </r>
    <r>
      <rPr>
        <i val="true"/>
        <sz val="11"/>
        <color rgb="FF595959"/>
        <rFont val="Arial"/>
        <family val="0"/>
        <charset val="1"/>
      </rPr>
      <t xml:space="preserve">·CPI·</t>
    </r>
    <r>
      <rPr>
        <i val="true"/>
        <sz val="11"/>
        <color rgb="FF595959"/>
        <rFont val="Noto Sans CJK SC"/>
        <family val="2"/>
      </rPr>
      <t xml:space="preserve">설치 수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비공개</t>
    </r>
    <r>
      <rPr>
        <i val="true"/>
        <sz val="11"/>
        <color rgb="FF595959"/>
        <rFont val="Arial"/>
        <family val="0"/>
        <charset val="1"/>
      </rPr>
      <t xml:space="preserve">. 3-1 </t>
    </r>
    <r>
      <rPr>
        <i val="true"/>
        <sz val="11"/>
        <color rgb="FF595959"/>
        <rFont val="Noto Sans CJK SC"/>
        <family val="2"/>
      </rPr>
      <t xml:space="preserve">시트의 지역</t>
    </r>
    <r>
      <rPr>
        <i val="true"/>
        <sz val="11"/>
        <color rgb="FF595959"/>
        <rFont val="Arial"/>
        <family val="0"/>
        <charset val="1"/>
      </rPr>
      <t xml:space="preserve">·OS·</t>
    </r>
    <r>
      <rPr>
        <i val="true"/>
        <sz val="11"/>
        <color rgb="FF595959"/>
        <rFont val="Noto Sans CJK SC"/>
        <family val="2"/>
      </rPr>
      <t xml:space="preserve">장르별 </t>
    </r>
    <r>
      <rPr>
        <i val="true"/>
        <sz val="11"/>
        <color rgb="FF595959"/>
        <rFont val="Arial"/>
        <family val="0"/>
        <charset val="1"/>
      </rPr>
      <t xml:space="preserve">CPI</t>
    </r>
    <r>
      <rPr>
        <i val="true"/>
        <sz val="11"/>
        <color rgb="FF595959"/>
        <rFont val="Noto Sans CJK SC"/>
        <family val="2"/>
      </rPr>
      <t xml:space="preserve">를 대신 쓰고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실제 값은 소액 테스트로 확인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</si>
  <si>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Arial"/>
        <family val="0"/>
        <charset val="1"/>
      </rPr>
      <t xml:space="preserve">Apple Ads·</t>
    </r>
    <r>
      <rPr>
        <i val="true"/>
        <sz val="11"/>
        <color rgb="FF595959"/>
        <rFont val="Noto Sans CJK SC"/>
        <family val="2"/>
      </rPr>
      <t xml:space="preserve">광고 네트워크 </t>
    </r>
    <r>
      <rPr>
        <i val="true"/>
        <sz val="11"/>
        <color rgb="FF595959"/>
        <rFont val="Arial"/>
        <family val="0"/>
        <charset val="1"/>
      </rPr>
      <t xml:space="preserve">2</t>
    </r>
    <r>
      <rPr>
        <i val="true"/>
        <sz val="11"/>
        <color rgb="FF595959"/>
        <rFont val="Noto Sans CJK SC"/>
        <family val="2"/>
      </rPr>
      <t xml:space="preserve">줄은 요청 목록 밖이지만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게임 광고 매체 순위 상위라 비교를 위해 분석자가 추가함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</si>
  <si>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Arial"/>
        <family val="0"/>
        <charset val="1"/>
      </rPr>
      <t xml:space="preserve">3-3 </t>
    </r>
    <r>
      <rPr>
        <i val="true"/>
        <sz val="11"/>
        <color rgb="FF595959"/>
        <rFont val="Noto Sans CJK SC"/>
        <family val="2"/>
      </rPr>
      <t xml:space="preserve">후킹 영상 분석과 </t>
    </r>
    <r>
      <rPr>
        <i val="true"/>
        <sz val="11"/>
        <color rgb="FF595959"/>
        <rFont val="Arial"/>
        <family val="0"/>
        <charset val="1"/>
      </rPr>
      <t xml:space="preserve">3-4 </t>
    </r>
    <r>
      <rPr>
        <i val="true"/>
        <sz val="11"/>
        <color rgb="FF595959"/>
        <rFont val="Noto Sans CJK SC"/>
        <family val="2"/>
      </rPr>
      <t xml:space="preserve">마케팅 실행안은 이 점수표를 근거로 씀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다음 단계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</si>
  <si>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b val="true"/>
        <sz val="12"/>
        <rFont val="Noto Sans CJK SC"/>
        <family val="2"/>
      </rPr>
      <t xml:space="preserve">후킹 영상 분석 — 광고 첫 마디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후킹</t>
    </r>
    <r>
      <rPr>
        <b val="true"/>
        <sz val="12"/>
        <rFont val="Arial"/>
        <family val="0"/>
        <charset val="1"/>
      </rPr>
      <t xml:space="preserve">) </t>
    </r>
    <r>
      <rPr>
        <b val="true"/>
        <sz val="12"/>
        <rFont val="Noto Sans CJK SC"/>
        <family val="2"/>
      </rPr>
      <t xml:space="preserve">유형별 빈도</t>
    </r>
    <r>
      <rPr>
        <b val="true"/>
        <sz val="12"/>
        <rFont val="Arial"/>
        <family val="0"/>
        <charset val="1"/>
      </rPr>
      <t xml:space="preserve">: Royal Match · MONOPOLY GO! · Magic Sort!</t>
    </r>
  </si>
  <si>
    <r>
      <rPr>
        <i val="true"/>
        <sz val="11"/>
        <color rgb="FF595959"/>
        <rFont val="Noto Sans CJK SC"/>
        <family val="2"/>
      </rPr>
      <t xml:space="preserve">읽는 법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후킹 유형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형식은 </t>
    </r>
    <r>
      <rPr>
        <i val="true"/>
        <sz val="11"/>
        <color rgb="FF595959"/>
        <rFont val="Arial"/>
        <family val="0"/>
        <charset val="1"/>
      </rPr>
      <t xml:space="preserve">AdWhispr</t>
    </r>
    <r>
      <rPr>
        <i val="true"/>
        <sz val="11"/>
        <color rgb="FF595959"/>
        <rFont val="Noto Sans CJK SC"/>
        <family val="2"/>
      </rPr>
      <t xml:space="preserve">가 </t>
    </r>
    <r>
      <rPr>
        <i val="true"/>
        <sz val="11"/>
        <color rgb="FF595959"/>
        <rFont val="Arial"/>
        <family val="0"/>
        <charset val="1"/>
      </rPr>
      <t xml:space="preserve">AI</t>
    </r>
    <r>
      <rPr>
        <i val="true"/>
        <sz val="11"/>
        <color rgb="FF595959"/>
        <rFont val="Noto Sans CJK SC"/>
        <family val="2"/>
      </rPr>
      <t xml:space="preserve">로 분류한 값</t>
    </r>
    <r>
      <rPr>
        <i val="true"/>
        <sz val="11"/>
        <color rgb="FF595959"/>
        <rFont val="Arial"/>
        <family val="0"/>
        <charset val="1"/>
      </rPr>
      <t xml:space="preserve">('AdWhispr </t>
    </r>
    <r>
      <rPr>
        <i val="true"/>
        <sz val="11"/>
        <color rgb="FF595959"/>
        <rFont val="Noto Sans CJK SC"/>
        <family val="2"/>
      </rPr>
      <t xml:space="preserve">분류</t>
    </r>
    <r>
      <rPr>
        <i val="true"/>
        <sz val="11"/>
        <color rgb="FF595959"/>
        <rFont val="Arial"/>
        <family val="0"/>
        <charset val="1"/>
      </rPr>
      <t xml:space="preserve">'). </t>
    </r>
    <r>
      <rPr>
        <i val="true"/>
        <sz val="11"/>
        <color rgb="FF595959"/>
        <rFont val="Noto Sans CJK SC"/>
        <family val="2"/>
      </rPr>
      <t xml:space="preserve">숫자는 </t>
    </r>
    <r>
      <rPr>
        <i val="true"/>
        <sz val="11"/>
        <color rgb="FF595959"/>
        <rFont val="Arial"/>
        <family val="0"/>
        <charset val="1"/>
      </rPr>
      <t xml:space="preserve">2026-10-05</t>
    </r>
    <r>
      <rPr>
        <i val="true"/>
        <sz val="11"/>
        <color rgb="FF595959"/>
        <rFont val="Noto Sans CJK SC"/>
        <family val="2"/>
      </rPr>
      <t xml:space="preserve">에 조회한 그대로이며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비율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합계는 수식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처음 </t>
    </r>
    <r>
      <rPr>
        <i val="true"/>
        <sz val="11"/>
        <color rgb="FF595959"/>
        <rFont val="Arial"/>
        <family val="0"/>
        <charset val="1"/>
      </rPr>
      <t xml:space="preserve">3</t>
    </r>
    <r>
      <rPr>
        <i val="true"/>
        <sz val="11"/>
        <color rgb="FF595959"/>
        <rFont val="Noto Sans CJK SC"/>
        <family val="2"/>
      </rPr>
      <t xml:space="preserve">초 화면은 메타 광고 라이브러리에서 영상을 직접 재생해 본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분석자 판독</t>
    </r>
    <r>
      <rPr>
        <i val="true"/>
        <sz val="11"/>
        <color rgb="FF595959"/>
        <rFont val="Arial"/>
        <family val="0"/>
        <charset val="1"/>
      </rPr>
      <t xml:space="preserve">'(⑤, </t>
    </r>
    <r>
      <rPr>
        <i val="true"/>
        <sz val="11"/>
        <color rgb="FF595959"/>
        <rFont val="Noto Sans CJK SC"/>
        <family val="2"/>
      </rPr>
      <t xml:space="preserve">노란 칸</t>
    </r>
    <r>
      <rPr>
        <i val="true"/>
        <sz val="11"/>
        <color rgb="FF595959"/>
        <rFont val="Arial"/>
        <family val="0"/>
        <charset val="1"/>
      </rPr>
      <t xml:space="preserve">)</t>
    </r>
  </si>
  <si>
    <r>
      <rPr>
        <b val="true"/>
        <sz val="12"/>
        <rFont val="Noto Sans CJK SC"/>
        <family val="2"/>
      </rPr>
      <t xml:space="preserve">① 게임별 광고 현황 </t>
    </r>
    <r>
      <rPr>
        <b val="true"/>
        <sz val="12"/>
        <rFont val="Arial"/>
        <family val="0"/>
        <charset val="1"/>
      </rPr>
      <t xml:space="preserve">(AdWhispr </t>
    </r>
    <r>
      <rPr>
        <b val="true"/>
        <sz val="12"/>
        <rFont val="Noto Sans CJK SC"/>
        <family val="2"/>
      </rPr>
      <t xml:space="preserve">브랜드 통계</t>
    </r>
    <r>
      <rPr>
        <b val="true"/>
        <sz val="12"/>
        <rFont val="Arial"/>
        <family val="0"/>
        <charset val="1"/>
      </rPr>
      <t xml:space="preserve">)</t>
    </r>
  </si>
  <si>
    <t xml:space="preserve">지금 집행 중인 광고 수</t>
  </si>
  <si>
    <r>
      <rPr>
        <b val="true"/>
        <sz val="11"/>
        <color rgb="FFFFFFFF"/>
        <rFont val="Arial"/>
        <family val="0"/>
        <charset val="1"/>
      </rPr>
      <t xml:space="preserve">AdWhispr</t>
    </r>
    <r>
      <rPr>
        <b val="true"/>
        <sz val="11"/>
        <color rgb="FFFFFFFF"/>
        <rFont val="Noto Sans CJK SC"/>
        <family val="2"/>
      </rPr>
      <t xml:space="preserve">가 추적하는 광고 수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</si>
  <si>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분류가 끝난 표본 수</t>
    </r>
  </si>
  <si>
    <r>
      <rPr>
        <b val="true"/>
        <sz val="11"/>
        <color rgb="FFFFFFFF"/>
        <rFont val="Noto Sans CJK SC"/>
        <family val="2"/>
      </rPr>
      <t xml:space="preserve">가장 오래 집행한 광고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일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</si>
  <si>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AdWhispr </t>
    </r>
    <r>
      <rPr>
        <b val="true"/>
        <sz val="11"/>
        <color rgb="FFFFFFFF"/>
        <rFont val="Noto Sans CJK SC"/>
        <family val="2"/>
      </rPr>
      <t xml:space="preserve">추정 광고비 범위 </t>
    </r>
    <r>
      <rPr>
        <b val="true"/>
        <sz val="11"/>
        <color rgb="FFFFFFFF"/>
        <rFont val="Arial"/>
        <family val="0"/>
        <charset val="1"/>
      </rPr>
      <t xml:space="preserve">($)</t>
    </r>
  </si>
  <si>
    <t xml:space="preserve">66,599 ~ 123,703</t>
  </si>
  <si>
    <r>
      <rPr>
        <sz val="11"/>
        <rFont val="Noto Sans CJK SC"/>
        <family val="2"/>
      </rPr>
      <t xml:space="preserve">추정 광고비의 기간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계산 방법은 확인 불가 </t>
    </r>
    <r>
      <rPr>
        <sz val="11"/>
        <rFont val="Arial"/>
        <family val="0"/>
        <charset val="1"/>
      </rPr>
      <t xml:space="preserve">(AdWhispr 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</si>
  <si>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t xml:space="preserve">292,532 ~ 543,274</t>
  </si>
  <si>
    <t xml:space="preserve">66,143 ~ 122,820</t>
  </si>
  <si>
    <r>
      <rPr>
        <b val="true"/>
        <sz val="12"/>
        <rFont val="Noto Sans CJK SC"/>
        <family val="2"/>
      </rPr>
      <t xml:space="preserve">② 후킹 유형별 빈도 — </t>
    </r>
    <r>
      <rPr>
        <b val="true"/>
        <sz val="12"/>
        <rFont val="Arial"/>
        <family val="0"/>
        <charset val="1"/>
      </rPr>
      <t xml:space="preserve">AdWhispr </t>
    </r>
    <r>
      <rPr>
        <b val="true"/>
        <sz val="12"/>
        <rFont val="Noto Sans CJK SC"/>
        <family val="2"/>
      </rPr>
      <t xml:space="preserve">분류 표본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게임당 </t>
    </r>
    <r>
      <rPr>
        <b val="true"/>
        <sz val="12"/>
        <rFont val="Arial"/>
        <family val="0"/>
        <charset val="1"/>
      </rPr>
      <t xml:space="preserve">25</t>
    </r>
    <r>
      <rPr>
        <b val="true"/>
        <sz val="12"/>
        <rFont val="Noto Sans CJK SC"/>
        <family val="2"/>
      </rPr>
      <t xml:space="preserve">개</t>
    </r>
    <r>
      <rPr>
        <b val="true"/>
        <sz val="12"/>
        <rFont val="Arial"/>
        <family val="0"/>
        <charset val="1"/>
      </rPr>
      <t xml:space="preserve">) </t>
    </r>
    <r>
      <rPr>
        <b val="true"/>
        <sz val="12"/>
        <rFont val="Noto Sans CJK SC"/>
        <family val="2"/>
      </rPr>
      <t xml:space="preserve">기준</t>
    </r>
  </si>
  <si>
    <r>
      <rPr>
        <b val="true"/>
        <sz val="11"/>
        <color rgb="FFFFFFFF"/>
        <rFont val="Noto Sans CJK SC"/>
        <family val="2"/>
      </rPr>
      <t xml:space="preserve">후킹 유형 </t>
    </r>
    <r>
      <rPr>
        <b val="true"/>
        <sz val="11"/>
        <color rgb="FFFFFFFF"/>
        <rFont val="Arial"/>
        <family val="0"/>
        <charset val="1"/>
      </rPr>
      <t xml:space="preserve">(AdWhispr </t>
    </r>
    <r>
      <rPr>
        <b val="true"/>
        <sz val="11"/>
        <color rgb="FFFFFFFF"/>
        <rFont val="Noto Sans CJK SC"/>
        <family val="2"/>
      </rPr>
      <t xml:space="preserve">라벨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</si>
  <si>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쉬운 뜻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분석자 번역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</si>
  <si>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합계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</si>
  <si>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비율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</si>
  <si>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direct_offer</t>
  </si>
  <si>
    <r>
      <rPr>
        <sz val="11"/>
        <rFont val="Noto Sans CJK SC"/>
        <family val="2"/>
      </rPr>
      <t xml:space="preserve">직접 제안형 —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무료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광고 없음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지금 해 봐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처럼 혜택을 바로 말함</t>
    </r>
  </si>
  <si>
    <t xml:space="preserve">curiosity_gap</t>
  </si>
  <si>
    <r>
      <rPr>
        <sz val="11"/>
        <rFont val="Noto Sans CJK SC"/>
        <family val="2"/>
      </rPr>
      <t xml:space="preserve">호기심형 — </t>
    </r>
    <r>
      <rPr>
        <sz val="11"/>
        <rFont val="Arial"/>
        <family val="0"/>
        <charset val="1"/>
      </rPr>
      <t xml:space="preserve">'1%</t>
    </r>
    <r>
      <rPr>
        <sz val="11"/>
        <rFont val="Noto Sans CJK SC"/>
        <family val="2"/>
      </rPr>
      <t xml:space="preserve">만 풀 수 있다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처럼 궁금하게 만듦</t>
    </r>
  </si>
  <si>
    <t xml:space="preserve">problem_agitation</t>
  </si>
  <si>
    <r>
      <rPr>
        <sz val="11"/>
        <rFont val="Noto Sans CJK SC"/>
        <family val="2"/>
      </rPr>
      <t xml:space="preserve">문제 자극형 — 답답함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불편함을 먼저 보여 줌</t>
    </r>
  </si>
  <si>
    <t xml:space="preserve">story</t>
  </si>
  <si>
    <t xml:space="preserve">이야기형 — 짧은 이야기로 시작</t>
  </si>
  <si>
    <r>
      <rPr>
        <b val="true"/>
        <sz val="12"/>
        <rFont val="Noto Sans CJK SC"/>
        <family val="2"/>
      </rPr>
      <t xml:space="preserve">③ 광고 형식별 빈도 — </t>
    </r>
    <r>
      <rPr>
        <b val="true"/>
        <sz val="12"/>
        <rFont val="Arial"/>
        <family val="0"/>
        <charset val="1"/>
      </rPr>
      <t xml:space="preserve">AdWhispr </t>
    </r>
    <r>
      <rPr>
        <b val="true"/>
        <sz val="12"/>
        <rFont val="Noto Sans CJK SC"/>
        <family val="2"/>
      </rPr>
      <t xml:space="preserve">분류 표본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게임당 </t>
    </r>
    <r>
      <rPr>
        <b val="true"/>
        <sz val="12"/>
        <rFont val="Arial"/>
        <family val="0"/>
        <charset val="1"/>
      </rPr>
      <t xml:space="preserve">25</t>
    </r>
    <r>
      <rPr>
        <b val="true"/>
        <sz val="12"/>
        <rFont val="Noto Sans CJK SC"/>
        <family val="2"/>
      </rPr>
      <t xml:space="preserve">개</t>
    </r>
    <r>
      <rPr>
        <b val="true"/>
        <sz val="12"/>
        <rFont val="Arial"/>
        <family val="0"/>
        <charset val="1"/>
      </rPr>
      <t xml:space="preserve">) </t>
    </r>
    <r>
      <rPr>
        <b val="true"/>
        <sz val="12"/>
        <rFont val="Noto Sans CJK SC"/>
        <family val="2"/>
      </rPr>
      <t xml:space="preserve">기준</t>
    </r>
  </si>
  <si>
    <r>
      <rPr>
        <b val="true"/>
        <sz val="11"/>
        <color rgb="FFFFFFFF"/>
        <rFont val="Noto Sans CJK SC"/>
        <family val="2"/>
      </rPr>
      <t xml:space="preserve">형식 </t>
    </r>
    <r>
      <rPr>
        <b val="true"/>
        <sz val="11"/>
        <color rgb="FFFFFFFF"/>
        <rFont val="Arial"/>
        <family val="0"/>
        <charset val="1"/>
      </rPr>
      <t xml:space="preserve">(AdWhispr </t>
    </r>
    <r>
      <rPr>
        <b val="true"/>
        <sz val="11"/>
        <color rgb="FFFFFFFF"/>
        <rFont val="Noto Sans CJK SC"/>
        <family val="2"/>
      </rPr>
      <t xml:space="preserve">라벨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</si>
  <si>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animation</t>
  </si>
  <si>
    <r>
      <rPr>
        <sz val="11"/>
        <rFont val="Noto Sans CJK SC"/>
        <family val="2"/>
      </rPr>
      <t xml:space="preserve">애니메이션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게임 장면을 만든 영상</t>
    </r>
    <r>
      <rPr>
        <sz val="11"/>
        <rFont val="Arial"/>
        <family val="0"/>
        <charset val="1"/>
      </rPr>
      <t xml:space="preserve">)</t>
    </r>
  </si>
  <si>
    <t xml:space="preserve">ugc_talking_head</t>
  </si>
  <si>
    <t xml:space="preserve">일반인이 화면에 나와 말함</t>
  </si>
  <si>
    <t xml:space="preserve">ugc_lifestyle</t>
  </si>
  <si>
    <t xml:space="preserve">일반인이 일상에서 게임하는 모습</t>
  </si>
  <si>
    <t xml:space="preserve">text_overlay</t>
  </si>
  <si>
    <t xml:space="preserve">큰 글자가 중심</t>
  </si>
  <si>
    <t xml:space="preserve">screenshot</t>
  </si>
  <si>
    <t xml:space="preserve">게임 화면 캡처</t>
  </si>
  <si>
    <t xml:space="preserve">studio_product</t>
  </si>
  <si>
    <t xml:space="preserve">제품 촬영형</t>
  </si>
  <si>
    <r>
      <rPr>
        <b val="true"/>
        <sz val="12"/>
        <rFont val="Noto Sans CJK SC"/>
        <family val="2"/>
      </rPr>
      <t xml:space="preserve">④ 게임별 영상 광고 </t>
    </r>
    <r>
      <rPr>
        <b val="true"/>
        <sz val="12"/>
        <rFont val="Arial"/>
        <family val="0"/>
        <charset val="1"/>
      </rPr>
      <t xml:space="preserve">10</t>
    </r>
    <r>
      <rPr>
        <b val="true"/>
        <sz val="12"/>
        <rFont val="Noto Sans CJK SC"/>
        <family val="2"/>
      </rPr>
      <t xml:space="preserve">개씩 </t>
    </r>
    <r>
      <rPr>
        <b val="true"/>
        <sz val="12"/>
        <rFont val="Arial"/>
        <family val="0"/>
        <charset val="1"/>
      </rPr>
      <t xml:space="preserve">(AdWhispr </t>
    </r>
    <r>
      <rPr>
        <b val="true"/>
        <sz val="12"/>
        <rFont val="Noto Sans CJK SC"/>
        <family val="2"/>
      </rPr>
      <t xml:space="preserve">광고 목록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오래 집행한 순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집행 중</t>
    </r>
    <r>
      <rPr>
        <b val="true"/>
        <sz val="12"/>
        <rFont val="Arial"/>
        <family val="0"/>
        <charset val="1"/>
      </rPr>
      <t xml:space="preserve">) — </t>
    </r>
    <r>
      <rPr>
        <b val="true"/>
        <sz val="12"/>
        <rFont val="Noto Sans CJK SC"/>
        <family val="2"/>
      </rPr>
      <t xml:space="preserve">문구는 광고 원문 그대로</t>
    </r>
  </si>
  <si>
    <r>
      <rPr>
        <b val="true"/>
        <sz val="11"/>
        <color rgb="FFFFFFFF"/>
        <rFont val="Arial"/>
        <family val="0"/>
        <charset val="1"/>
      </rPr>
      <t xml:space="preserve">Meta </t>
    </r>
    <r>
      <rPr>
        <b val="true"/>
        <sz val="11"/>
        <color rgb="FFFFFFFF"/>
        <rFont val="Noto Sans CJK SC"/>
        <family val="2"/>
      </rPr>
      <t xml:space="preserve">광고 라이브러리 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</si>
  <si>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집행 일수</t>
  </si>
  <si>
    <r>
      <rPr>
        <b val="true"/>
        <sz val="11"/>
        <color rgb="FFFFFFFF"/>
        <rFont val="Noto Sans CJK SC"/>
        <family val="2"/>
      </rPr>
      <t xml:space="preserve">후킹 유형 </t>
    </r>
    <r>
      <rPr>
        <b val="true"/>
        <sz val="11"/>
        <color rgb="FFFFFFFF"/>
        <rFont val="Arial"/>
        <family val="0"/>
        <charset val="1"/>
      </rPr>
      <t xml:space="preserve">(AdWhispr)</t>
    </r>
  </si>
  <si>
    <r>
      <rPr>
        <b val="true"/>
        <sz val="11"/>
        <color rgb="FFFFFFFF"/>
        <rFont val="Noto Sans CJK SC"/>
        <family val="2"/>
      </rPr>
      <t xml:space="preserve">형식 </t>
    </r>
    <r>
      <rPr>
        <b val="true"/>
        <sz val="11"/>
        <color rgb="FFFFFFFF"/>
        <rFont val="Arial"/>
        <family val="0"/>
        <charset val="1"/>
      </rPr>
      <t xml:space="preserve">(AdWhispr)</t>
    </r>
  </si>
  <si>
    <r>
      <rPr>
        <b val="true"/>
        <sz val="11"/>
        <color rgb="FFFFFFFF"/>
        <rFont val="Noto Sans CJK SC"/>
        <family val="2"/>
      </rPr>
      <t xml:space="preserve">톤 </t>
    </r>
    <r>
      <rPr>
        <b val="true"/>
        <sz val="11"/>
        <color rgb="FFFFFFFF"/>
        <rFont val="Arial"/>
        <family val="0"/>
        <charset val="1"/>
      </rPr>
      <t xml:space="preserve">(AdWhispr)</t>
    </r>
  </si>
  <si>
    <r>
      <rPr>
        <b val="true"/>
        <sz val="11"/>
        <color rgb="FFFFFFFF"/>
        <rFont val="Noto Sans CJK SC"/>
        <family val="2"/>
      </rPr>
      <t xml:space="preserve">오퍼 </t>
    </r>
    <r>
      <rPr>
        <b val="true"/>
        <sz val="11"/>
        <color rgb="FFFFFFFF"/>
        <rFont val="Arial"/>
        <family val="0"/>
        <charset val="1"/>
      </rPr>
      <t xml:space="preserve">(AdWhispr)</t>
    </r>
  </si>
  <si>
    <r>
      <rPr>
        <b val="true"/>
        <sz val="11"/>
        <color rgb="FFFFFFFF"/>
        <rFont val="Noto Sans CJK SC"/>
        <family val="2"/>
      </rPr>
      <t xml:space="preserve">광고 문구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첫 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</si>
  <si>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후킹 유형</t>
  </si>
  <si>
    <r>
      <rPr>
        <b val="true"/>
        <sz val="11"/>
        <color rgb="FFFFFFFF"/>
        <rFont val="Arial"/>
        <family val="0"/>
        <charset val="1"/>
      </rPr>
      <t xml:space="preserve">30</t>
    </r>
    <r>
      <rPr>
        <b val="true"/>
        <sz val="11"/>
        <color rgb="FFFFFFFF"/>
        <rFont val="Noto Sans CJK SC"/>
        <family val="2"/>
      </rPr>
      <t xml:space="preserve">개 중 개수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</si>
  <si>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1726316855083037</t>
  </si>
  <si>
    <t xml:space="preserve">excitement</t>
  </si>
  <si>
    <t xml:space="preserve">no_explicit_offer</t>
  </si>
  <si>
    <t xml:space="preserve">NO ADS. NO WIFI. PURE FUN.</t>
  </si>
  <si>
    <t xml:space="preserve">1089702293564432</t>
  </si>
  <si>
    <t xml:space="preserve">1411165037532310</t>
  </si>
  <si>
    <t xml:space="preserve">curiosity</t>
  </si>
  <si>
    <t xml:space="preserve">No ADS</t>
  </si>
  <si>
    <t xml:space="preserve">4630787260485910</t>
  </si>
  <si>
    <t xml:space="preserve">28734790306122605</t>
  </si>
  <si>
    <t xml:space="preserve">No ADS and FREE</t>
  </si>
  <si>
    <t xml:space="preserve">1360608269119654</t>
  </si>
  <si>
    <t xml:space="preserve">1098005362662932</t>
  </si>
  <si>
    <t xml:space="preserve">1309645668892427</t>
  </si>
  <si>
    <t xml:space="preserve">2192760164630774</t>
  </si>
  <si>
    <t xml:space="preserve">1392560629687289</t>
  </si>
  <si>
    <t xml:space="preserve">1674823853701845</t>
  </si>
  <si>
    <t xml:space="preserve">Libera gli animaletti!</t>
  </si>
  <si>
    <t xml:space="preserve">796330853023057</t>
  </si>
  <si>
    <t xml:space="preserve">free_trial</t>
  </si>
  <si>
    <t xml:space="preserve">Gioca gratis a Monopoly GO!</t>
  </si>
  <si>
    <t xml:space="preserve">1309942491068984</t>
  </si>
  <si>
    <t xml:space="preserve">2424531614685734</t>
  </si>
  <si>
    <t xml:space="preserve">Don't miss The Simpsons GO!</t>
  </si>
  <si>
    <t xml:space="preserve">1559166695787060</t>
  </si>
  <si>
    <t xml:space="preserve">new_launch</t>
  </si>
  <si>
    <t xml:space="preserve">¡No te pierdas The Simpson GO!</t>
  </si>
  <si>
    <t xml:space="preserve">1316376480460608</t>
  </si>
  <si>
    <t xml:space="preserve">1012642531160291</t>
  </si>
  <si>
    <t xml:space="preserve">The Simpson GO! está en curso</t>
  </si>
  <si>
    <t xml:space="preserve">1357761026259464</t>
  </si>
  <si>
    <t xml:space="preserve">The Simpsons GO! is live!</t>
  </si>
  <si>
    <t xml:space="preserve">1501392118334017</t>
  </si>
  <si>
    <t xml:space="preserve">983924064252944</t>
  </si>
  <si>
    <t xml:space="preserve">Non perderti The Simpsons GO!</t>
  </si>
  <si>
    <t xml:space="preserve">3985548428413528</t>
  </si>
  <si>
    <t xml:space="preserve">Magical journey of sorting!</t>
  </si>
  <si>
    <t xml:space="preserve">1573783297425746</t>
  </si>
  <si>
    <t xml:space="preserve">1896160021343579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</si>
  <si>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문구 없음</t>
    </r>
    <r>
      <rPr>
        <sz val="11"/>
        <rFont val="Arial"/>
        <family val="0"/>
        <charset val="1"/>
      </rPr>
      <t xml:space="preserve">)</t>
    </r>
  </si>
  <si>
    <t xml:space="preserve">1065385889771960</t>
  </si>
  <si>
    <t xml:space="preserve">Magic Sort</t>
  </si>
  <si>
    <t xml:space="preserve">900245332631697</t>
  </si>
  <si>
    <t xml:space="preserve">1060580849761773</t>
  </si>
  <si>
    <t xml:space="preserve">2477486662759105</t>
  </si>
  <si>
    <t xml:space="preserve">1032627419485915</t>
  </si>
  <si>
    <t xml:space="preserve">1556811082584487</t>
  </si>
  <si>
    <t xml:space="preserve">Only 1% can solve this puzzle.</t>
  </si>
  <si>
    <t xml:space="preserve">1834079867955631</t>
  </si>
  <si>
    <r>
      <rPr>
        <b val="true"/>
        <sz val="12"/>
        <rFont val="Noto Sans CJK SC"/>
        <family val="2"/>
      </rPr>
      <t xml:space="preserve">⑤ 처음 </t>
    </r>
    <r>
      <rPr>
        <b val="true"/>
        <sz val="12"/>
        <rFont val="Arial"/>
        <family val="0"/>
        <charset val="1"/>
      </rPr>
      <t xml:space="preserve">3</t>
    </r>
    <r>
      <rPr>
        <b val="true"/>
        <sz val="12"/>
        <rFont val="Noto Sans CJK SC"/>
        <family val="2"/>
      </rPr>
      <t xml:space="preserve">초 화면 유형 — 분석자 판독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메타 광고 라이브러리에서 영상을 재생해 </t>
    </r>
    <r>
      <rPr>
        <b val="true"/>
        <sz val="12"/>
        <rFont val="Arial"/>
        <family val="0"/>
        <charset val="1"/>
      </rPr>
      <t xml:space="preserve">0</t>
    </r>
    <r>
      <rPr>
        <b val="true"/>
        <sz val="12"/>
        <rFont val="Noto Sans CJK SC"/>
        <family val="2"/>
      </rPr>
      <t xml:space="preserve">초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약 </t>
    </r>
    <r>
      <rPr>
        <b val="true"/>
        <sz val="12"/>
        <rFont val="Arial"/>
        <family val="0"/>
        <charset val="1"/>
      </rPr>
      <t xml:space="preserve">2</t>
    </r>
    <r>
      <rPr>
        <b val="true"/>
        <sz val="12"/>
        <rFont val="Noto Sans CJK SC"/>
        <family val="2"/>
      </rPr>
      <t xml:space="preserve">초 화면을 캡처해 봄</t>
    </r>
    <r>
      <rPr>
        <b val="true"/>
        <sz val="12"/>
        <rFont val="Arial"/>
        <family val="0"/>
        <charset val="1"/>
      </rPr>
      <t xml:space="preserve">, 2026-10-05). </t>
    </r>
    <r>
      <rPr>
        <b val="true"/>
        <sz val="12"/>
        <rFont val="Noto Sans CJK SC"/>
        <family val="2"/>
      </rPr>
      <t xml:space="preserve">노란 칸 </t>
    </r>
    <r>
      <rPr>
        <b val="true"/>
        <sz val="12"/>
        <rFont val="Arial"/>
        <family val="0"/>
        <charset val="1"/>
      </rPr>
      <t xml:space="preserve">= </t>
    </r>
    <r>
      <rPr>
        <b val="true"/>
        <sz val="12"/>
        <rFont val="Noto Sans CJK SC"/>
        <family val="2"/>
      </rPr>
      <t xml:space="preserve">분석자 판독</t>
    </r>
  </si>
  <si>
    <r>
      <rPr>
        <b val="true"/>
        <sz val="11"/>
        <color rgb="FFFFFFFF"/>
        <rFont val="Noto Sans CJK SC"/>
        <family val="2"/>
      </rPr>
      <t xml:space="preserve">처음 </t>
    </r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초 화면 유형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분석자 판독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</si>
  <si>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요청 유형으로 묶기</t>
  </si>
  <si>
    <r>
      <rPr>
        <b val="true"/>
        <sz val="11"/>
        <color rgb="FFFFFFFF"/>
        <rFont val="Noto Sans CJK SC"/>
        <family val="2"/>
      </rPr>
      <t xml:space="preserve">장면 설명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분석자 판독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</si>
  <si>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같은 영상 묶음</t>
  </si>
  <si>
    <r>
      <rPr>
        <b val="true"/>
        <sz val="11"/>
        <color rgb="FFFFFFFF"/>
        <rFont val="Noto Sans CJK SC"/>
        <family val="2"/>
      </rPr>
      <t xml:space="preserve">처음 </t>
    </r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초 화면 유형</t>
    </r>
  </si>
  <si>
    <r>
      <rPr>
        <sz val="11"/>
        <rFont val="Noto Sans CJK SC"/>
        <family val="2"/>
      </rPr>
      <t xml:space="preserve">위기 장면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캐릭터가 위험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</si>
  <si>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실패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위기 장면</t>
    </r>
  </si>
  <si>
    <t xml:space="preserve">왕이 둥근 방에 갇혀 있고 핀 옆으로 물이 흘러듦</t>
  </si>
  <si>
    <r>
      <rPr>
        <sz val="11"/>
        <rFont val="Noto Sans CJK SC"/>
        <family val="2"/>
      </rPr>
      <t xml:space="preserve">왕이 물살에 휩쓸려 미끄러진 뒤 물이 찬 칸에 갇힘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아래는 매치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판</t>
    </r>
  </si>
  <si>
    <r>
      <rPr>
        <sz val="11"/>
        <rFont val="Noto Sans CJK SC"/>
        <family val="2"/>
      </rPr>
      <t xml:space="preserve">선택지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어느 핀을 뽑을까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</si>
  <si>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실사 손 연출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녹이기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씻기</t>
    </r>
    <r>
      <rPr>
        <sz val="11"/>
        <rFont val="Arial"/>
        <family val="0"/>
        <charset val="1"/>
      </rPr>
      <t xml:space="preserve">)</t>
    </r>
  </si>
  <si>
    <t xml:space="preserve">기타</t>
  </si>
  <si>
    <t xml:space="preserve">실제 사람 손이 토치로 얼음을 녹임</t>
  </si>
  <si>
    <r>
      <rPr>
        <sz val="11"/>
        <rFont val="Noto Sans CJK SC"/>
        <family val="2"/>
      </rPr>
      <t xml:space="preserve">왕이 자갈 아래 칸에 갇힘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실제 사람 손이 도구를 듦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아래는 매치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판</t>
    </r>
  </si>
  <si>
    <t xml:space="preserve">게임 플레이 화면</t>
  </si>
  <si>
    <r>
      <rPr>
        <sz val="11"/>
        <rFont val="Noto Sans CJK SC"/>
        <family val="2"/>
      </rPr>
      <t xml:space="preserve">지그재그 통로 위에서 자갈이 쏟아질 듯한 칸에 왕이 있음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매치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블록</t>
    </r>
  </si>
  <si>
    <r>
      <rPr>
        <sz val="11"/>
        <rFont val="Noto Sans CJK SC"/>
        <family val="2"/>
      </rPr>
      <t xml:space="preserve">실사 도전 장면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사람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팻말</t>
    </r>
    <r>
      <rPr>
        <sz val="11"/>
        <rFont val="Arial"/>
        <family val="0"/>
        <charset val="1"/>
      </rPr>
      <t xml:space="preserve">)</t>
    </r>
  </si>
  <si>
    <t xml:space="preserve">선택지</t>
  </si>
  <si>
    <r>
      <rPr>
        <sz val="11"/>
        <rFont val="Noto Sans CJK SC"/>
        <family val="2"/>
      </rPr>
      <t xml:space="preserve">핀 여러 개 중 하나를 실제 손가락이 당김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왕 위에 블록</t>
    </r>
  </si>
  <si>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연출 장면</t>
    </r>
  </si>
  <si>
    <r>
      <rPr>
        <sz val="11"/>
        <rFont val="Noto Sans CJK SC"/>
        <family val="2"/>
      </rPr>
      <t xml:space="preserve">물이 찬 구불구불한 수로에 상어 같은 물체와 왕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아래는 매치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판</t>
    </r>
  </si>
  <si>
    <r>
      <rPr>
        <sz val="11"/>
        <rFont val="Arial"/>
        <family val="0"/>
        <charset val="1"/>
      </rPr>
      <t xml:space="preserve">IP·</t>
    </r>
    <r>
      <rPr>
        <sz val="11"/>
        <rFont val="Noto Sans CJK SC"/>
        <family val="2"/>
      </rPr>
      <t xml:space="preserve">캐릭터 등장</t>
    </r>
  </si>
  <si>
    <t xml:space="preserve">진흙 속 왕을 실제 손이 호스로 씻어 냄</t>
  </si>
  <si>
    <t xml:space="preserve">실사 배우 연기</t>
  </si>
  <si>
    <r>
      <rPr>
        <sz val="11"/>
        <rFont val="Noto Sans CJK SC"/>
        <family val="2"/>
      </rPr>
      <t xml:space="preserve">왕 아래 자갈 더미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옆에 매치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실제 손 등장</t>
    </r>
  </si>
  <si>
    <r>
      <rPr>
        <sz val="11"/>
        <rFont val="Noto Sans CJK SC"/>
        <family val="2"/>
      </rPr>
      <t xml:space="preserve">블록이 움직이다 무너지며 자갈이 쏟아짐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판독 애매</t>
    </r>
    <r>
      <rPr>
        <sz val="11"/>
        <rFont val="Arial"/>
        <family val="0"/>
        <charset val="1"/>
      </rPr>
      <t xml:space="preserve">)</t>
    </r>
  </si>
  <si>
    <t xml:space="preserve">동물 조각상 클로즈업 → 철창 앞 실제 배우가 놀라는 장면</t>
  </si>
  <si>
    <t xml:space="preserve">요청 유형</t>
  </si>
  <si>
    <r>
      <rPr>
        <sz val="11"/>
        <rFont val="Noto Sans CJK SC"/>
        <family val="2"/>
      </rPr>
      <t xml:space="preserve">모노폴리 판 위 </t>
    </r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도시 → 미스터 모노폴리 캐릭터 클로즈업</t>
    </r>
  </si>
  <si>
    <t xml:space="preserve">MG-A</t>
  </si>
  <si>
    <r>
      <rPr>
        <sz val="11"/>
        <rFont val="Arial"/>
        <family val="0"/>
        <charset val="1"/>
      </rPr>
      <t xml:space="preserve">796330853023057</t>
    </r>
    <r>
      <rPr>
        <sz val="11"/>
        <rFont val="Noto Sans CJK SC"/>
        <family val="2"/>
      </rPr>
      <t xml:space="preserve">과 같은 장면</t>
    </r>
  </si>
  <si>
    <r>
      <rPr>
        <sz val="11"/>
        <rFont val="Noto Sans CJK SC"/>
        <family val="2"/>
      </rPr>
      <t xml:space="preserve">심슨 집 거실을 위에서 비추고 바트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개가 뛰어다님</t>
    </r>
  </si>
  <si>
    <t xml:space="preserve">MG-B</t>
  </si>
  <si>
    <t xml:space="preserve">전후 비교</t>
  </si>
  <si>
    <r>
      <rPr>
        <sz val="11"/>
        <rFont val="Arial"/>
        <family val="0"/>
        <charset val="1"/>
      </rPr>
      <t xml:space="preserve">2424531614685734</t>
    </r>
    <r>
      <rPr>
        <sz val="11"/>
        <rFont val="Noto Sans CJK SC"/>
        <family val="2"/>
      </rPr>
      <t xml:space="preserve">와 같은 장면</t>
    </r>
  </si>
  <si>
    <t xml:space="preserve">미스터 모노폴리와 호머 심슨이 함께 등장</t>
  </si>
  <si>
    <r>
      <rPr>
        <i val="true"/>
        <sz val="11"/>
        <color rgb="FF595959"/>
        <rFont val="Noto Sans CJK SC"/>
        <family val="2"/>
      </rPr>
      <t xml:space="preserve">같은 영상 묶음</t>
    </r>
    <r>
      <rPr>
        <i val="true"/>
        <sz val="11"/>
        <color rgb="FF595959"/>
        <rFont val="Arial"/>
        <family val="0"/>
        <charset val="1"/>
      </rPr>
      <t xml:space="preserve">(F</t>
    </r>
    <r>
      <rPr>
        <i val="true"/>
        <sz val="11"/>
        <color rgb="FF595959"/>
        <rFont val="Noto Sans CJK SC"/>
        <family val="2"/>
      </rPr>
      <t xml:space="preserve">열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을 하나로 치면 서로 다른 영상은 </t>
    </r>
    <r>
      <rPr>
        <i val="true"/>
        <sz val="11"/>
        <color rgb="FF595959"/>
        <rFont val="Arial"/>
        <family val="0"/>
        <charset val="1"/>
      </rPr>
      <t xml:space="preserve">26</t>
    </r>
    <r>
      <rPr>
        <i val="true"/>
        <sz val="11"/>
        <color rgb="FF595959"/>
        <rFont val="Noto Sans CJK SC"/>
        <family val="2"/>
      </rPr>
      <t xml:space="preserve">개 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분석자 판독</t>
    </r>
    <r>
      <rPr>
        <i val="true"/>
        <sz val="11"/>
        <color rgb="FF595959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</si>
  <si>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만화식 싸움 구름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협업 로고</t>
    </r>
  </si>
  <si>
    <t xml:space="preserve">심슨 그림체의 배 두 척 장면</t>
  </si>
  <si>
    <r>
      <rPr>
        <sz val="11"/>
        <rFont val="Noto Sans CJK SC"/>
        <family val="2"/>
      </rPr>
      <t xml:space="preserve">스프링필드 마을 전경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협업 로고</t>
    </r>
  </si>
  <si>
    <t xml:space="preserve">병이 가득한 정렬 화면에서 손가락 아이콘이 병을 옮김</t>
  </si>
  <si>
    <r>
      <rPr>
        <sz val="11"/>
        <rFont val="Noto Sans CJK SC"/>
        <family val="2"/>
      </rPr>
      <t xml:space="preserve">병 정렬 플레이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색 액체를 옮김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</si>
  <si>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병 정렬 플레이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어두운 배경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</si>
  <si>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실사풍 병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개 → 뒤쪽 병들이 깨지며 흩어짐</t>
    </r>
  </si>
  <si>
    <t xml:space="preserve">거의 정리된 병 화면에서 하나씩 옮김</t>
  </si>
  <si>
    <r>
      <rPr>
        <sz val="11"/>
        <rFont val="Noto Sans CJK SC"/>
        <family val="2"/>
      </rPr>
      <t xml:space="preserve">병 정렬 플레이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나무 선반</t>
    </r>
    <r>
      <rPr>
        <sz val="11"/>
        <rFont val="Arial"/>
        <family val="0"/>
        <charset val="1"/>
      </rPr>
      <t xml:space="preserve">)</t>
    </r>
  </si>
  <si>
    <t xml:space="preserve">빈 병을 손가락 아이콘이 옮기는 안내형 화면</t>
  </si>
  <si>
    <t xml:space="preserve">색 블록이 꽉 찬 정렬 화면</t>
  </si>
  <si>
    <r>
      <rPr>
        <sz val="11"/>
        <rFont val="Noto Sans CJK SC"/>
        <family val="2"/>
      </rPr>
      <t xml:space="preserve">길거리에서 </t>
    </r>
    <r>
      <rPr>
        <sz val="11"/>
        <rFont val="Arial"/>
        <family val="0"/>
        <charset val="1"/>
      </rPr>
      <t xml:space="preserve">'Only 1% can solve this puzzle' </t>
    </r>
    <r>
      <rPr>
        <sz val="11"/>
        <rFont val="Noto Sans CJK SC"/>
        <family val="2"/>
      </rPr>
      <t xml:space="preserve">팻말 앞 여성이 실물 퍼즐에 도전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사람들이 구경</t>
    </r>
  </si>
  <si>
    <t xml:space="preserve">MS-A</t>
  </si>
  <si>
    <r>
      <rPr>
        <sz val="11"/>
        <rFont val="Arial"/>
        <family val="0"/>
        <charset val="1"/>
      </rPr>
      <t xml:space="preserve">1556811082584487</t>
    </r>
    <r>
      <rPr>
        <sz val="11"/>
        <rFont val="Noto Sans CJK SC"/>
        <family val="2"/>
      </rPr>
      <t xml:space="preserve">과 같은 장면</t>
    </r>
  </si>
  <si>
    <r>
      <rPr>
        <b val="true"/>
        <sz val="12"/>
        <rFont val="Noto Sans CJK SC"/>
        <family val="2"/>
      </rPr>
      <t xml:space="preserve">⑥ 발견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광고 문구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라벨 기준 — 영상 화면을 본 판독 아님</t>
    </r>
    <r>
      <rPr>
        <b val="true"/>
        <sz val="12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</si>
  <si>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Royal Match: </t>
    </r>
    <r>
      <rPr>
        <sz val="11"/>
        <rFont val="Noto Sans CJK SC"/>
        <family val="2"/>
      </rPr>
      <t xml:space="preserve">영상 광고 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개 중 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개 문구가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광고 없음</t>
    </r>
    <r>
      <rPr>
        <sz val="11"/>
        <rFont val="Arial"/>
        <family val="0"/>
        <charset val="1"/>
      </rPr>
      <t xml:space="preserve">(No ADS)'·'</t>
    </r>
    <r>
      <rPr>
        <sz val="11"/>
        <rFont val="Noto Sans CJK SC"/>
        <family val="2"/>
      </rPr>
      <t xml:space="preserve">와이파이 없어도 됨</t>
    </r>
    <r>
      <rPr>
        <sz val="11"/>
        <rFont val="Arial"/>
        <family val="0"/>
        <charset val="1"/>
      </rPr>
      <t xml:space="preserve">'·'</t>
    </r>
    <r>
      <rPr>
        <sz val="11"/>
        <rFont val="Noto Sans CJK SC"/>
        <family val="2"/>
      </rPr>
      <t xml:space="preserve">무료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를 앞세움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위 ④ </t>
    </r>
    <r>
      <rPr>
        <sz val="11"/>
        <rFont val="Arial"/>
        <family val="0"/>
        <charset val="1"/>
      </rPr>
      <t xml:space="preserve">H</t>
    </r>
    <r>
      <rPr>
        <sz val="11"/>
        <rFont val="Noto Sans CJK SC"/>
        <family val="2"/>
      </rPr>
      <t xml:space="preserve">열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분류 표본 </t>
    </r>
    <r>
      <rPr>
        <sz val="11"/>
        <rFont val="Arial"/>
        <family val="0"/>
        <charset val="1"/>
      </rPr>
      <t xml:space="preserve">25</t>
    </r>
    <r>
      <rPr>
        <sz val="11"/>
        <rFont val="Noto Sans CJK SC"/>
        <family val="2"/>
      </rPr>
      <t xml:space="preserve">개 중 </t>
    </r>
    <r>
      <rPr>
        <sz val="11"/>
        <rFont val="Arial"/>
        <family val="0"/>
        <charset val="1"/>
      </rPr>
      <t xml:space="preserve">24</t>
    </r>
    <r>
      <rPr>
        <sz val="11"/>
        <rFont val="Noto Sans CJK SC"/>
        <family val="2"/>
      </rPr>
      <t xml:space="preserve">개가 직접 제안형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</si>
  <si>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MONOPOLY GO!: </t>
    </r>
    <r>
      <rPr>
        <sz val="11"/>
        <rFont val="Noto Sans CJK SC"/>
        <family val="2"/>
      </rPr>
      <t xml:space="preserve">영상 광고 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개 중 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개가 </t>
    </r>
    <r>
      <rPr>
        <sz val="11"/>
        <rFont val="Arial"/>
        <family val="0"/>
        <charset val="1"/>
      </rPr>
      <t xml:space="preserve">'The Simpsons GO!' </t>
    </r>
    <r>
      <rPr>
        <sz val="11"/>
        <rFont val="Noto Sans CJK SC"/>
        <family val="2"/>
      </rPr>
      <t xml:space="preserve">협업 이벤트 알림 </t>
    </r>
    <r>
      <rPr>
        <sz val="11"/>
        <rFont val="Arial"/>
        <family val="0"/>
        <charset val="1"/>
      </rPr>
      <t xml:space="preserve">(④ H</t>
    </r>
    <r>
      <rPr>
        <sz val="11"/>
        <rFont val="Noto Sans CJK SC"/>
        <family val="2"/>
      </rPr>
      <t xml:space="preserve">열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가장 오래 집행한 광고는 </t>
    </r>
    <r>
      <rPr>
        <sz val="11"/>
        <rFont val="Arial"/>
        <family val="0"/>
        <charset val="1"/>
      </rPr>
      <t xml:space="preserve">204</t>
    </r>
    <r>
      <rPr>
        <sz val="11"/>
        <rFont val="Noto Sans CJK SC"/>
        <family val="2"/>
      </rPr>
      <t xml:space="preserve">일 — 같은 소재를 오래 씀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</si>
  <si>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Magic Sort!: </t>
    </r>
    <r>
      <rPr>
        <sz val="11"/>
        <rFont val="Noto Sans CJK SC"/>
        <family val="2"/>
      </rPr>
      <t xml:space="preserve">분류 표본 </t>
    </r>
    <r>
      <rPr>
        <sz val="11"/>
        <rFont val="Arial"/>
        <family val="0"/>
        <charset val="1"/>
      </rPr>
      <t xml:space="preserve">25</t>
    </r>
    <r>
      <rPr>
        <sz val="11"/>
        <rFont val="Noto Sans CJK SC"/>
        <family val="2"/>
      </rPr>
      <t xml:space="preserve">개 중 호기심형 </t>
    </r>
    <r>
      <rPr>
        <sz val="11"/>
        <rFont val="Arial"/>
        <family val="0"/>
        <charset val="1"/>
      </rPr>
      <t xml:space="preserve">14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형식은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일반인이 말하기</t>
    </r>
    <r>
      <rPr>
        <sz val="11"/>
        <rFont val="Arial"/>
        <family val="0"/>
        <charset val="1"/>
      </rPr>
      <t xml:space="preserve">'(UGC) 13</t>
    </r>
    <r>
      <rPr>
        <sz val="11"/>
        <rFont val="Noto Sans CJK SC"/>
        <family val="2"/>
      </rPr>
      <t xml:space="preserve">개로 가장 많음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대표 문구 </t>
    </r>
    <r>
      <rPr>
        <sz val="11"/>
        <rFont val="Arial"/>
        <family val="0"/>
        <charset val="1"/>
      </rPr>
      <t xml:space="preserve">'Only 1% can solve this puzzle.'</t>
    </r>
  </si>
  <si>
    <r>
      <rPr>
        <sz val="11"/>
        <rFont val="Noto Sans CJK SC"/>
        <family val="2"/>
      </rPr>
      <t xml:space="preserve">처음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초 </t>
    </r>
    <r>
      <rPr>
        <sz val="11"/>
        <rFont val="Arial"/>
        <family val="0"/>
        <charset val="1"/>
      </rPr>
      <t xml:space="preserve">(⑤, </t>
    </r>
    <r>
      <rPr>
        <sz val="11"/>
        <rFont val="Noto Sans CJK SC"/>
        <family val="2"/>
      </rPr>
      <t xml:space="preserve">분석자 판독</t>
    </r>
    <r>
      <rPr>
        <sz val="11"/>
        <rFont val="Arial"/>
        <family val="0"/>
        <charset val="1"/>
      </rPr>
      <t xml:space="preserve">): Royal Match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개 중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개가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왕이 위험에 빠진 장면</t>
    </r>
    <r>
      <rPr>
        <sz val="11"/>
        <rFont val="Arial"/>
        <family val="0"/>
        <charset val="1"/>
      </rPr>
      <t xml:space="preserve">'(</t>
    </r>
    <r>
      <rPr>
        <sz val="11"/>
        <rFont val="Noto Sans CJK SC"/>
        <family val="2"/>
      </rPr>
      <t xml:space="preserve">실패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위기</t>
    </r>
    <r>
      <rPr>
        <sz val="11"/>
        <rFont val="Arial"/>
        <family val="0"/>
        <charset val="1"/>
      </rPr>
      <t xml:space="preserve">), 2</t>
    </r>
    <r>
      <rPr>
        <sz val="11"/>
        <rFont val="Noto Sans CJK SC"/>
        <family val="2"/>
      </rPr>
      <t xml:space="preserve">개는 실제 사람 손이 녹이기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씻기를 하는 장면</t>
    </r>
    <r>
      <rPr>
        <sz val="11"/>
        <rFont val="Arial"/>
        <family val="0"/>
        <charset val="1"/>
      </rPr>
      <t xml:space="preserve">. MONOPOLY GO!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개 중 </t>
    </r>
    <r>
      <rPr>
        <sz val="11"/>
        <rFont val="Arial"/>
        <family val="0"/>
        <charset val="1"/>
      </rPr>
      <t xml:space="preserve">9</t>
    </r>
    <r>
      <rPr>
        <sz val="11"/>
        <rFont val="Noto Sans CJK SC"/>
        <family val="2"/>
      </rPr>
      <t xml:space="preserve">개가 </t>
    </r>
    <r>
      <rPr>
        <sz val="11"/>
        <rFont val="Arial"/>
        <family val="0"/>
        <charset val="1"/>
      </rPr>
      <t xml:space="preserve">IP·</t>
    </r>
    <r>
      <rPr>
        <sz val="11"/>
        <rFont val="Noto Sans CJK SC"/>
        <family val="2"/>
      </rPr>
      <t xml:space="preserve">캐릭터 등장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심슨 협업 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). Magic Sort!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개 중 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개가 게임 플레이 화면 그대로</t>
    </r>
    <r>
      <rPr>
        <sz val="11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</si>
  <si>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흥미로운 점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분석자 해석</t>
    </r>
    <r>
      <rPr>
        <i val="true"/>
        <sz val="11"/>
        <color rgb="FF595959"/>
        <rFont val="Arial"/>
        <family val="0"/>
        <charset val="1"/>
      </rPr>
      <t xml:space="preserve">): AdWhispr </t>
    </r>
    <r>
      <rPr>
        <i val="true"/>
        <sz val="11"/>
        <color rgb="FF595959"/>
        <rFont val="Noto Sans CJK SC"/>
        <family val="2"/>
      </rPr>
      <t xml:space="preserve">형식 라벨로는 </t>
    </r>
    <r>
      <rPr>
        <i val="true"/>
        <sz val="11"/>
        <color rgb="FF595959"/>
        <rFont val="Arial"/>
        <family val="0"/>
        <charset val="1"/>
      </rPr>
      <t xml:space="preserve">Magic Sort!</t>
    </r>
    <r>
      <rPr>
        <i val="true"/>
        <sz val="11"/>
        <color rgb="FF595959"/>
        <rFont val="Noto Sans CJK SC"/>
        <family val="2"/>
      </rPr>
      <t xml:space="preserve">가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일반인 말하기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가 많았지만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실제 처음 </t>
    </r>
    <r>
      <rPr>
        <i val="true"/>
        <sz val="11"/>
        <color rgb="FF595959"/>
        <rFont val="Arial"/>
        <family val="0"/>
        <charset val="1"/>
      </rPr>
      <t xml:space="preserve">3</t>
    </r>
    <r>
      <rPr>
        <i val="true"/>
        <sz val="11"/>
        <color rgb="FF595959"/>
        <rFont val="Noto Sans CJK SC"/>
        <family val="2"/>
      </rPr>
      <t xml:space="preserve">초는 대부분 게임 화면이었음 — 사람이 나오는 부분은 </t>
    </r>
    <r>
      <rPr>
        <i val="true"/>
        <sz val="11"/>
        <color rgb="FF595959"/>
        <rFont val="Arial"/>
        <family val="0"/>
        <charset val="1"/>
      </rPr>
      <t xml:space="preserve">3</t>
    </r>
    <r>
      <rPr>
        <i val="true"/>
        <sz val="11"/>
        <color rgb="FF595959"/>
        <rFont val="Noto Sans CJK SC"/>
        <family val="2"/>
      </rPr>
      <t xml:space="preserve">초 뒤에 있거나 라벨이 영상 전체 기준일 수 있음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</si>
  <si>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전후 비교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형 첫 장면은 </t>
    </r>
    <r>
      <rPr>
        <i val="true"/>
        <sz val="11"/>
        <color rgb="FF595959"/>
        <rFont val="Arial"/>
        <family val="0"/>
        <charset val="1"/>
      </rPr>
      <t xml:space="preserve">30</t>
    </r>
    <r>
      <rPr>
        <i val="true"/>
        <sz val="11"/>
        <color rgb="FF595959"/>
        <rFont val="Noto Sans CJK SC"/>
        <family val="2"/>
      </rPr>
      <t xml:space="preserve">개 중 </t>
    </r>
    <r>
      <rPr>
        <i val="true"/>
        <sz val="11"/>
        <color rgb="FF595959"/>
        <rFont val="Arial"/>
        <family val="0"/>
        <charset val="1"/>
      </rPr>
      <t xml:space="preserve">0</t>
    </r>
    <r>
      <rPr>
        <i val="true"/>
        <sz val="11"/>
        <color rgb="FF595959"/>
        <rFont val="Noto Sans CJK SC"/>
        <family val="2"/>
      </rPr>
      <t xml:space="preserve">개</t>
    </r>
    <r>
      <rPr>
        <i val="true"/>
        <sz val="11"/>
        <color rgb="FF595959"/>
        <rFont val="Arial"/>
        <family val="0"/>
        <charset val="1"/>
      </rPr>
      <t xml:space="preserve">. Royal Match</t>
    </r>
    <r>
      <rPr>
        <i val="true"/>
        <sz val="11"/>
        <color rgb="FF595959"/>
        <rFont val="Noto Sans CJK SC"/>
        <family val="2"/>
      </rPr>
      <t xml:space="preserve">의 위기 장면은 실제 매치</t>
    </r>
    <r>
      <rPr>
        <i val="true"/>
        <sz val="11"/>
        <color rgb="FF595959"/>
        <rFont val="Arial"/>
        <family val="0"/>
        <charset val="1"/>
      </rPr>
      <t xml:space="preserve">3 </t>
    </r>
    <r>
      <rPr>
        <i val="true"/>
        <sz val="11"/>
        <color rgb="FF595959"/>
        <rFont val="Noto Sans CJK SC"/>
        <family val="2"/>
      </rPr>
      <t xml:space="preserve">판과 함께 나오는 경우가 많음 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보여 준 장면이 실제 게임에 있는지는 확인 불가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</si>
  <si>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i val="true"/>
        <sz val="11"/>
        <color rgb="FF595959"/>
        <rFont val="Noto Sans CJK SC"/>
        <family val="2"/>
      </rPr>
      <t xml:space="preserve">주의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수집된 광고 일부는 유럽 대상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이탈리아어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스페인어 문구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이라 미국 광고만 따로 거르지 못함</t>
    </r>
    <r>
      <rPr>
        <i val="true"/>
        <sz val="11"/>
        <color rgb="FF595959"/>
        <rFont val="Arial"/>
        <family val="0"/>
        <charset val="1"/>
      </rPr>
      <t xml:space="preserve">. AdWhispr </t>
    </r>
    <r>
      <rPr>
        <i val="true"/>
        <sz val="11"/>
        <color rgb="FF595959"/>
        <rFont val="Noto Sans CJK SC"/>
        <family val="2"/>
      </rPr>
      <t xml:space="preserve">분류는 게임당 </t>
    </r>
    <r>
      <rPr>
        <i val="true"/>
        <sz val="11"/>
        <color rgb="FF595959"/>
        <rFont val="Arial"/>
        <family val="0"/>
        <charset val="1"/>
      </rPr>
      <t xml:space="preserve">25</t>
    </r>
    <r>
      <rPr>
        <i val="true"/>
        <sz val="11"/>
        <color rgb="FF595959"/>
        <rFont val="Noto Sans CJK SC"/>
        <family val="2"/>
      </rPr>
      <t xml:space="preserve">개 표본이며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나머지 광고 분류는 조회 시점에 진행 중이었음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</si>
  <si>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실제 광고 성과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조회수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설치 수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광고비</t>
    </r>
    <r>
      <rPr>
        <i val="true"/>
        <sz val="11"/>
        <color rgb="FF595959"/>
        <rFont val="Arial"/>
        <family val="0"/>
        <charset val="1"/>
      </rPr>
      <t xml:space="preserve">): </t>
    </r>
    <r>
      <rPr>
        <i val="true"/>
        <sz val="11"/>
        <color rgb="FF595959"/>
        <rFont val="Noto Sans CJK SC"/>
        <family val="2"/>
      </rPr>
      <t xml:space="preserve">비공개</t>
    </r>
    <r>
      <rPr>
        <i val="true"/>
        <sz val="11"/>
        <color rgb="FF595959"/>
        <rFont val="Arial"/>
        <family val="0"/>
        <charset val="1"/>
      </rPr>
      <t xml:space="preserve">. AdWhispr '</t>
    </r>
    <r>
      <rPr>
        <i val="true"/>
        <sz val="11"/>
        <color rgb="FF595959"/>
        <rFont val="Noto Sans CJK SC"/>
        <family val="2"/>
      </rPr>
      <t xml:space="preserve">추정 광고비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는 계산 방법이 공개되지 않은 추정치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</si>
  <si>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출처</t>
    </r>
    <r>
      <rPr>
        <i val="true"/>
        <sz val="11"/>
        <color rgb="FF595959"/>
        <rFont val="Arial"/>
        <family val="0"/>
        <charset val="1"/>
      </rPr>
      <t xml:space="preserve">: AdWhispr (Meta </t>
    </r>
    <r>
      <rPr>
        <i val="true"/>
        <sz val="11"/>
        <color rgb="FF595959"/>
        <rFont val="Noto Sans CJK SC"/>
        <family val="2"/>
      </rPr>
      <t xml:space="preserve">광고 라이브러리 수집</t>
    </r>
    <r>
      <rPr>
        <i val="true"/>
        <sz val="11"/>
        <color rgb="FF595959"/>
        <rFont val="Arial"/>
        <family val="0"/>
        <charset val="1"/>
      </rPr>
      <t xml:space="preserve">·AI </t>
    </r>
    <r>
      <rPr>
        <i val="true"/>
        <sz val="11"/>
        <color rgb="FF595959"/>
        <rFont val="Noto Sans CJK SC"/>
        <family val="2"/>
      </rPr>
      <t xml:space="preserve">분류</t>
    </r>
    <r>
      <rPr>
        <i val="true"/>
        <sz val="11"/>
        <color rgb="FF595959"/>
        <rFont val="Arial"/>
        <family val="0"/>
        <charset val="1"/>
      </rPr>
      <t xml:space="preserve">), </t>
    </r>
    <r>
      <rPr>
        <i val="true"/>
        <sz val="11"/>
        <color rgb="FF595959"/>
        <rFont val="Noto Sans CJK SC"/>
        <family val="2"/>
      </rPr>
      <t xml:space="preserve">브랜드 통계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광고 목록 조회 </t>
    </r>
    <r>
      <rPr>
        <i val="true"/>
        <sz val="11"/>
        <color rgb="FF595959"/>
        <rFont val="Arial"/>
        <family val="0"/>
        <charset val="1"/>
      </rPr>
      <t xml:space="preserve">2026-10-05</t>
    </r>
  </si>
  <si>
    <r>
      <rPr>
        <b val="true"/>
        <sz val="12"/>
        <rFont val="Noto Sans CJK SC"/>
        <family val="2"/>
      </rPr>
      <t xml:space="preserve">마케팅 실행안 — 우리 </t>
    </r>
    <r>
      <rPr>
        <b val="true"/>
        <sz val="12"/>
        <rFont val="Arial"/>
        <family val="0"/>
        <charset val="1"/>
      </rPr>
      <t xml:space="preserve">MVP(2</t>
    </r>
    <r>
      <rPr>
        <b val="true"/>
        <sz val="12"/>
        <rFont val="Noto Sans CJK SC"/>
        <family val="2"/>
      </rPr>
      <t xml:space="preserve">인 개발</t>
    </r>
    <r>
      <rPr>
        <b val="true"/>
        <sz val="12"/>
        <rFont val="Arial"/>
        <family val="0"/>
        <charset val="1"/>
      </rPr>
      <t xml:space="preserve">)</t>
    </r>
    <r>
      <rPr>
        <b val="true"/>
        <sz val="12"/>
        <rFont val="Noto Sans CJK SC"/>
        <family val="2"/>
      </rPr>
      <t xml:space="preserve">용</t>
    </r>
    <r>
      <rPr>
        <b val="true"/>
        <sz val="12"/>
        <rFont val="Arial"/>
        <family val="0"/>
        <charset val="1"/>
      </rPr>
      <t xml:space="preserve">. </t>
    </r>
    <r>
      <rPr>
        <b val="true"/>
        <sz val="12"/>
        <rFont val="Noto Sans CJK SC"/>
        <family val="2"/>
      </rPr>
      <t xml:space="preserve">이 시트의 판단은 모두 </t>
    </r>
    <r>
      <rPr>
        <b val="true"/>
        <sz val="12"/>
        <rFont val="Arial"/>
        <family val="0"/>
        <charset val="1"/>
      </rPr>
      <t xml:space="preserve">'</t>
    </r>
    <r>
      <rPr>
        <b val="true"/>
        <sz val="12"/>
        <rFont val="Noto Sans CJK SC"/>
        <family val="2"/>
      </rPr>
      <t xml:space="preserve">분석자 제안</t>
    </r>
    <r>
      <rPr>
        <b val="true"/>
        <sz val="12"/>
        <rFont val="Arial"/>
        <family val="0"/>
        <charset val="1"/>
      </rPr>
      <t xml:space="preserve">'</t>
    </r>
    <r>
      <rPr>
        <b val="true"/>
        <sz val="12"/>
        <rFont val="Noto Sans CJK SC"/>
        <family val="2"/>
      </rPr>
      <t xml:space="preserve">이며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숫자는 근거 시트에서 수식으로 가져옴</t>
    </r>
  </si>
  <si>
    <r>
      <rPr>
        <i val="true"/>
        <sz val="11"/>
        <color rgb="FF595959"/>
        <rFont val="Noto Sans CJK SC"/>
        <family val="2"/>
      </rPr>
      <t xml:space="preserve">파란 글씨 </t>
    </r>
    <r>
      <rPr>
        <i val="true"/>
        <sz val="11"/>
        <color rgb="FF595959"/>
        <rFont val="Arial"/>
        <family val="0"/>
        <charset val="1"/>
      </rPr>
      <t xml:space="preserve">= </t>
    </r>
    <r>
      <rPr>
        <i val="true"/>
        <sz val="11"/>
        <color rgb="FF595959"/>
        <rFont val="Noto Sans CJK SC"/>
        <family val="2"/>
      </rPr>
      <t xml:space="preserve">바꿀 수 있는 가정값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예산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후보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지역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노란 칸 </t>
    </r>
    <r>
      <rPr>
        <i val="true"/>
        <sz val="11"/>
        <color rgb="FF595959"/>
        <rFont val="Arial"/>
        <family val="0"/>
        <charset val="1"/>
      </rPr>
      <t xml:space="preserve">= </t>
    </r>
    <r>
      <rPr>
        <i val="true"/>
        <sz val="11"/>
        <color rgb="FF595959"/>
        <rFont val="Noto Sans CJK SC"/>
        <family val="2"/>
      </rPr>
      <t xml:space="preserve">분석자 제안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근거 열에 시트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칸을 적어 둠</t>
    </r>
  </si>
  <si>
    <r>
      <rPr>
        <b val="true"/>
        <sz val="11"/>
        <rFont val="Arial"/>
        <family val="0"/>
        <charset val="1"/>
      </rPr>
      <t xml:space="preserve">MVP </t>
    </r>
    <r>
      <rPr>
        <b val="true"/>
        <sz val="11"/>
        <rFont val="Noto Sans CJK SC"/>
        <family val="2"/>
      </rPr>
      <t xml:space="preserve">후보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분석자 제안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바꿀 수 있음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</si>
  <si>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근거</t>
    </r>
    <r>
      <rPr>
        <sz val="11"/>
        <rFont val="Arial"/>
        <family val="0"/>
        <charset val="1"/>
      </rPr>
      <t xml:space="preserve">: 2-4 ②·③ (</t>
    </r>
    <r>
      <rPr>
        <sz val="11"/>
        <rFont val="Noto Sans CJK SC"/>
        <family val="2"/>
      </rPr>
      <t xml:space="preserve">점수</t>
    </r>
    <r>
      <rPr>
        <sz val="11"/>
        <rFont val="Arial"/>
        <family val="0"/>
        <charset val="1"/>
      </rPr>
      <t xml:space="preserve">), 3-3 (</t>
    </r>
    <r>
      <rPr>
        <sz val="11"/>
        <rFont val="Noto Sans CJK SC"/>
        <family val="2"/>
      </rPr>
      <t xml:space="preserve">이 게임만 광고 데이터가 있음</t>
    </r>
    <r>
      <rPr>
        <sz val="11"/>
        <rFont val="Arial"/>
        <family val="0"/>
        <charset val="1"/>
      </rPr>
      <t xml:space="preserve">)</t>
    </r>
  </si>
  <si>
    <r>
      <rPr>
        <b val="true"/>
        <sz val="12"/>
        <rFont val="Noto Sans CJK SC"/>
        <family val="2"/>
      </rPr>
      <t xml:space="preserve">① 단계별 실행 계획 — 지역</t>
    </r>
    <r>
      <rPr>
        <b val="true"/>
        <sz val="12"/>
        <rFont val="Arial"/>
        <family val="0"/>
        <charset val="1"/>
      </rPr>
      <t xml:space="preserve">·OS·</t>
    </r>
    <r>
      <rPr>
        <b val="true"/>
        <sz val="12"/>
        <rFont val="Noto Sans CJK SC"/>
        <family val="2"/>
      </rPr>
      <t xml:space="preserve">채널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예산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예상 결과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예상치는 </t>
    </r>
    <r>
      <rPr>
        <b val="true"/>
        <sz val="12"/>
        <rFont val="Arial"/>
        <family val="0"/>
        <charset val="1"/>
      </rPr>
      <t xml:space="preserve">3-1</t>
    </r>
    <r>
      <rPr>
        <b val="true"/>
        <sz val="12"/>
        <rFont val="Noto Sans CJK SC"/>
        <family val="2"/>
      </rPr>
      <t xml:space="preserve">과 같은 계산</t>
    </r>
    <r>
      <rPr>
        <b val="true"/>
        <sz val="12"/>
        <rFont val="Arial"/>
        <family val="0"/>
        <charset val="1"/>
      </rPr>
      <t xml:space="preserve">: </t>
    </r>
    <r>
      <rPr>
        <b val="true"/>
        <sz val="12"/>
        <rFont val="Noto Sans CJK SC"/>
        <family val="2"/>
      </rPr>
      <t xml:space="preserve">예산 </t>
    </r>
    <r>
      <rPr>
        <b val="true"/>
        <sz val="12"/>
        <rFont val="Arial"/>
        <family val="0"/>
        <charset val="1"/>
      </rPr>
      <t xml:space="preserve">÷ CPI × </t>
    </r>
    <r>
      <rPr>
        <b val="true"/>
        <sz val="12"/>
        <rFont val="Noto Sans CJK SC"/>
        <family val="2"/>
      </rPr>
      <t xml:space="preserve">리텐션</t>
    </r>
    <r>
      <rPr>
        <b val="true"/>
        <sz val="12"/>
        <rFont val="Arial"/>
        <family val="0"/>
        <charset val="1"/>
      </rPr>
      <t xml:space="preserve">)</t>
    </r>
  </si>
  <si>
    <t xml:space="preserve">단계</t>
  </si>
  <si>
    <r>
      <rPr>
        <b val="true"/>
        <sz val="11"/>
        <color rgb="FFFFFFFF"/>
        <rFont val="Noto Sans CJK SC"/>
        <family val="2"/>
      </rPr>
      <t xml:space="preserve">언제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분석자 제안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</si>
  <si>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OS 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: 4-7 OS </t>
    </r>
    <r>
      <rPr>
        <b val="true"/>
        <sz val="11"/>
        <color rgb="FFFFFFFF"/>
        <rFont val="Noto Sans CJK SC"/>
        <family val="2"/>
      </rPr>
      <t xml:space="preserve">우선순위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</si>
  <si>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채널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분석자 제안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</si>
  <si>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채널 순위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: 3-2)</t>
    </r>
  </si>
  <si>
    <r>
      <rPr>
        <b val="true"/>
        <sz val="11"/>
        <color rgb="FFFFFFFF"/>
        <rFont val="Noto Sans CJK SC"/>
        <family val="2"/>
      </rPr>
      <t xml:space="preserve">예산 </t>
    </r>
    <r>
      <rPr>
        <b val="true"/>
        <sz val="11"/>
        <color rgb="FFFFFFFF"/>
        <rFont val="Arial"/>
        <family val="0"/>
        <charset val="1"/>
      </rPr>
      <t xml:space="preserve">($)</t>
    </r>
  </si>
  <si>
    <t xml:space="preserve">CPI ID (3-1)</t>
  </si>
  <si>
    <r>
      <rPr>
        <b val="true"/>
        <sz val="11"/>
        <color rgb="FFFFFFFF"/>
        <rFont val="Arial"/>
        <family val="0"/>
        <charset val="1"/>
      </rPr>
      <t xml:space="preserve">CPI ($, 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</si>
  <si>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예상 설치 수</t>
  </si>
  <si>
    <r>
      <rPr>
        <b val="true"/>
        <sz val="11"/>
        <color rgb="FFFFFFFF"/>
        <rFont val="Arial"/>
        <family val="0"/>
        <charset val="1"/>
      </rPr>
      <t xml:space="preserve">D7 </t>
    </r>
    <r>
      <rPr>
        <b val="true"/>
        <sz val="11"/>
        <color rgb="FFFFFFFF"/>
        <rFont val="Noto Sans CJK SC"/>
        <family val="2"/>
      </rPr>
      <t xml:space="preserve">남는 사람 </t>
    </r>
    <r>
      <rPr>
        <b val="true"/>
        <sz val="11"/>
        <color rgb="FFFFFFFF"/>
        <rFont val="Arial"/>
        <family val="0"/>
        <charset val="1"/>
      </rPr>
      <t xml:space="preserve">(P50)</t>
    </r>
  </si>
  <si>
    <r>
      <rPr>
        <b val="true"/>
        <sz val="11"/>
        <color rgb="FFFFFFFF"/>
        <rFont val="Noto Sans CJK SC"/>
        <family val="2"/>
      </rPr>
      <t xml:space="preserve">합격 기준 </t>
    </r>
    <r>
      <rPr>
        <b val="true"/>
        <sz val="11"/>
        <color rgb="FFFFFFFF"/>
        <rFont val="Arial"/>
        <family val="0"/>
        <charset val="1"/>
      </rPr>
      <t xml:space="preserve">(2-2)</t>
    </r>
  </si>
  <si>
    <r>
      <rPr>
        <b val="true"/>
        <sz val="11"/>
        <rFont val="Arial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준비</t>
    </r>
  </si>
  <si>
    <r>
      <rPr>
        <sz val="11"/>
        <rFont val="Noto Sans CJK SC"/>
        <family val="2"/>
      </rPr>
      <t xml:space="preserve">출시 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주 전</t>
    </r>
  </si>
  <si>
    <r>
      <rPr>
        <sz val="11"/>
        <rFont val="Noto Sans CJK SC"/>
        <family val="2"/>
      </rPr>
      <t xml:space="preserve">스토어 페이지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광고 소재 준비 </t>
    </r>
    <r>
      <rPr>
        <sz val="11"/>
        <rFont val="Arial"/>
        <family val="0"/>
        <charset val="1"/>
      </rPr>
      <t xml:space="preserve">(② </t>
    </r>
    <r>
      <rPr>
        <sz val="11"/>
        <rFont val="Noto Sans CJK SC"/>
        <family val="2"/>
      </rPr>
      <t xml:space="preserve">중 </t>
    </r>
    <r>
      <rPr>
        <sz val="11"/>
        <rFont val="Arial"/>
        <family val="0"/>
        <charset val="1"/>
      </rPr>
      <t xml:space="preserve">D·A·B </t>
    </r>
    <r>
      <rPr>
        <sz val="11"/>
        <rFont val="Noto Sans CJK SC"/>
        <family val="2"/>
      </rPr>
      <t xml:space="preserve">먼저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</si>
  <si>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광고 없음 — 소재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스토어 페이지만 준비</t>
    </r>
  </si>
  <si>
    <t xml:space="preserve">3-3 ⑥</t>
  </si>
  <si>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소프트런치</t>
    </r>
  </si>
  <si>
    <r>
      <rPr>
        <sz val="11"/>
        <rFont val="Noto Sans CJK SC"/>
        <family val="2"/>
      </rPr>
      <t xml:space="preserve">출시 </t>
    </r>
    <r>
      <rPr>
        <sz val="11"/>
        <rFont val="Arial"/>
        <family val="0"/>
        <charset val="1"/>
      </rPr>
      <t xml:space="preserve">1~4</t>
    </r>
    <r>
      <rPr>
        <sz val="11"/>
        <rFont val="Noto Sans CJK SC"/>
        <family val="2"/>
      </rPr>
      <t xml:space="preserve">주</t>
    </r>
  </si>
  <si>
    <r>
      <rPr>
        <sz val="11"/>
        <rFont val="Noto Sans CJK SC"/>
        <family val="2"/>
      </rPr>
      <t xml:space="preserve">유튜브 </t>
    </r>
    <r>
      <rPr>
        <sz val="11"/>
        <rFont val="Arial"/>
        <family val="0"/>
        <charset val="1"/>
      </rPr>
      <t xml:space="preserve">(Google Ads)</t>
    </r>
  </si>
  <si>
    <r>
      <rPr>
        <sz val="11"/>
        <rFont val="Arial"/>
        <family val="0"/>
        <charset val="1"/>
      </rPr>
      <t xml:space="preserve">D1·D7</t>
    </r>
    <r>
      <rPr>
        <sz val="11"/>
        <rFont val="Noto Sans CJK SC"/>
        <family val="2"/>
      </rPr>
      <t xml:space="preserve">이 남미 중앙값 이상이면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단계로</t>
    </r>
  </si>
  <si>
    <r>
      <rPr>
        <sz val="11"/>
        <rFont val="Arial"/>
        <family val="0"/>
        <charset val="1"/>
      </rPr>
      <t xml:space="preserve">CPI</t>
    </r>
    <r>
      <rPr>
        <sz val="11"/>
        <rFont val="Noto Sans CJK SC"/>
        <family val="2"/>
      </rPr>
      <t xml:space="preserve">가 가장 싼 남미에서 리텐션부터 확인 — </t>
    </r>
    <r>
      <rPr>
        <sz val="11"/>
        <rFont val="Arial"/>
        <family val="0"/>
        <charset val="1"/>
      </rPr>
      <t xml:space="preserve">3-1 S3, 2-6/4-7 </t>
    </r>
    <r>
      <rPr>
        <sz val="11"/>
        <rFont val="Noto Sans CJK SC"/>
        <family val="2"/>
      </rPr>
      <t xml:space="preserve">브라질 </t>
    </r>
    <r>
      <rPr>
        <sz val="11"/>
        <rFont val="Arial"/>
        <family val="0"/>
        <charset val="1"/>
      </rPr>
      <t xml:space="preserve">Android </t>
    </r>
    <r>
      <rPr>
        <sz val="11"/>
        <rFont val="Noto Sans CJK SC"/>
        <family val="2"/>
      </rPr>
      <t xml:space="preserve">먼저</t>
    </r>
  </si>
  <si>
    <r>
      <rPr>
        <b val="true"/>
        <sz val="11"/>
        <rFont val="Arial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아시아 테스트</t>
    </r>
  </si>
  <si>
    <r>
      <rPr>
        <sz val="11"/>
        <rFont val="Noto Sans CJK SC"/>
        <family val="2"/>
      </rPr>
      <t xml:space="preserve">출시 </t>
    </r>
    <r>
      <rPr>
        <sz val="11"/>
        <rFont val="Arial"/>
        <family val="0"/>
        <charset val="1"/>
      </rPr>
      <t xml:space="preserve">5~8</t>
    </r>
    <r>
      <rPr>
        <sz val="11"/>
        <rFont val="Noto Sans CJK SC"/>
        <family val="2"/>
      </rPr>
      <t xml:space="preserve">주</t>
    </r>
  </si>
  <si>
    <t xml:space="preserve">인도네시아</t>
  </si>
  <si>
    <r>
      <rPr>
        <sz val="11"/>
        <rFont val="Arial"/>
        <family val="0"/>
        <charset val="1"/>
      </rPr>
      <t xml:space="preserve">D1·D7</t>
    </r>
    <r>
      <rPr>
        <sz val="11"/>
        <rFont val="Noto Sans CJK SC"/>
        <family val="2"/>
      </rPr>
      <t xml:space="preserve">이 아시아 중앙값 이상</t>
    </r>
  </si>
  <si>
    <r>
      <rPr>
        <sz val="11"/>
        <rFont val="Noto Sans CJK SC"/>
        <family val="2"/>
      </rPr>
      <t xml:space="preserve">아시아태평양 </t>
    </r>
    <r>
      <rPr>
        <sz val="11"/>
        <rFont val="Arial"/>
        <family val="0"/>
        <charset val="1"/>
      </rPr>
      <t xml:space="preserve">CPI $0.27 (3-1 C05). </t>
    </r>
    <r>
      <rPr>
        <sz val="11"/>
        <rFont val="Noto Sans CJK SC"/>
        <family val="2"/>
      </rPr>
      <t xml:space="preserve">인도네시아는 </t>
    </r>
    <r>
      <rPr>
        <sz val="11"/>
        <rFont val="Arial"/>
        <family val="0"/>
        <charset val="1"/>
      </rPr>
      <t xml:space="preserve">2-7 </t>
    </r>
    <r>
      <rPr>
        <sz val="11"/>
        <rFont val="Noto Sans CJK SC"/>
        <family val="2"/>
      </rPr>
      <t xml:space="preserve">동남아 분석 지역</t>
    </r>
  </si>
  <si>
    <r>
      <rPr>
        <b val="true"/>
        <sz val="11"/>
        <rFont val="Arial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미국 출시</t>
    </r>
  </si>
  <si>
    <r>
      <rPr>
        <sz val="11"/>
        <rFont val="Noto Sans CJK SC"/>
        <family val="2"/>
      </rPr>
      <t xml:space="preserve">출시 </t>
    </r>
    <r>
      <rPr>
        <sz val="11"/>
        <rFont val="Arial"/>
        <family val="0"/>
        <charset val="1"/>
      </rPr>
      <t xml:space="preserve">9~16</t>
    </r>
    <r>
      <rPr>
        <sz val="11"/>
        <rFont val="Noto Sans CJK SC"/>
        <family val="2"/>
      </rPr>
      <t xml:space="preserve">주</t>
    </r>
  </si>
  <si>
    <r>
      <rPr>
        <sz val="11"/>
        <rFont val="Noto Sans CJK SC"/>
        <family val="2"/>
      </rPr>
      <t xml:space="preserve">유튜브 </t>
    </r>
    <r>
      <rPr>
        <sz val="11"/>
        <rFont val="Arial"/>
        <family val="0"/>
        <charset val="1"/>
      </rPr>
      <t xml:space="preserve">(Google Ads) + Apple Ads</t>
    </r>
  </si>
  <si>
    <r>
      <rPr>
        <sz val="11"/>
        <rFont val="Arial"/>
        <family val="0"/>
        <charset val="1"/>
      </rPr>
      <t xml:space="preserve">D1 '30% </t>
    </r>
    <r>
      <rPr>
        <sz val="11"/>
        <rFont val="Noto Sans CJK SC"/>
        <family val="2"/>
      </rPr>
      <t xml:space="preserve">약간 상회</t>
    </r>
    <r>
      <rPr>
        <sz val="11"/>
        <rFont val="Arial"/>
        <family val="0"/>
        <charset val="1"/>
      </rPr>
      <t xml:space="preserve">'(</t>
    </r>
    <r>
      <rPr>
        <sz val="11"/>
        <rFont val="Noto Sans CJK SC"/>
        <family val="2"/>
      </rPr>
      <t xml:space="preserve">전체 상위 </t>
    </r>
    <r>
      <rPr>
        <sz val="11"/>
        <rFont val="Arial"/>
        <family val="0"/>
        <charset val="1"/>
      </rPr>
      <t xml:space="preserve">25%)</t>
    </r>
    <r>
      <rPr>
        <sz val="11"/>
        <rFont val="Noto Sans CJK SC"/>
        <family val="2"/>
      </rPr>
      <t xml:space="preserve">에 가까우면 확대</t>
    </r>
  </si>
  <si>
    <r>
      <rPr>
        <sz val="11"/>
        <rFont val="Noto Sans CJK SC"/>
        <family val="2"/>
      </rPr>
      <t xml:space="preserve">미국은 </t>
    </r>
    <r>
      <rPr>
        <sz val="11"/>
        <rFont val="Arial"/>
        <family val="0"/>
        <charset val="1"/>
      </rPr>
      <t xml:space="preserve">iOS </t>
    </r>
    <r>
      <rPr>
        <sz val="11"/>
        <rFont val="Noto Sans CJK SC"/>
        <family val="2"/>
      </rPr>
      <t xml:space="preserve">먼저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또는 동시</t>
    </r>
    <r>
      <rPr>
        <sz val="11"/>
        <rFont val="Arial"/>
        <family val="0"/>
        <charset val="1"/>
      </rPr>
      <t xml:space="preserve">) — 4-7. Apple Ads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iOS </t>
    </r>
    <r>
      <rPr>
        <sz val="11"/>
        <rFont val="Noto Sans CJK SC"/>
        <family val="2"/>
      </rPr>
      <t xml:space="preserve">게임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위 매체 </t>
    </r>
    <r>
      <rPr>
        <sz val="11"/>
        <rFont val="Arial"/>
        <family val="0"/>
        <charset val="1"/>
      </rPr>
      <t xml:space="preserve">(3-2)</t>
    </r>
  </si>
  <si>
    <r>
      <rPr>
        <b val="true"/>
        <sz val="11"/>
        <rFont val="Arial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확대</t>
    </r>
  </si>
  <si>
    <r>
      <rPr>
        <sz val="11"/>
        <rFont val="Noto Sans CJK SC"/>
        <family val="2"/>
      </rPr>
      <t xml:space="preserve">출시 </t>
    </r>
    <r>
      <rPr>
        <sz val="11"/>
        <rFont val="Arial"/>
        <family val="0"/>
        <charset val="1"/>
      </rPr>
      <t xml:space="preserve">17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~</t>
    </r>
  </si>
  <si>
    <r>
      <rPr>
        <sz val="11"/>
        <rFont val="Arial"/>
        <family val="0"/>
        <charset val="1"/>
      </rPr>
      <t xml:space="preserve">Meta(</t>
    </r>
    <r>
      <rPr>
        <sz val="11"/>
        <rFont val="Noto Sans CJK SC"/>
        <family val="2"/>
      </rPr>
      <t xml:space="preserve">인스타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페이스북</t>
    </r>
    <r>
      <rPr>
        <sz val="11"/>
        <rFont val="Arial"/>
        <family val="0"/>
        <charset val="1"/>
      </rPr>
      <t xml:space="preserve">) + </t>
    </r>
    <r>
      <rPr>
        <sz val="11"/>
        <rFont val="Noto Sans CJK SC"/>
        <family val="2"/>
      </rPr>
      <t xml:space="preserve">광고 네트워크 추가</t>
    </r>
  </si>
  <si>
    <r>
      <rPr>
        <sz val="11"/>
        <rFont val="Arial"/>
        <family val="0"/>
        <charset val="1"/>
      </rPr>
      <t xml:space="preserve">D30 </t>
    </r>
    <r>
      <rPr>
        <sz val="11"/>
        <rFont val="Noto Sans CJK SC"/>
        <family val="2"/>
      </rPr>
      <t xml:space="preserve">광고비 회수율이 오르면 계속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참고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캐주얼 </t>
    </r>
    <r>
      <rPr>
        <sz val="11"/>
        <rFont val="Arial"/>
        <family val="0"/>
        <charset val="1"/>
      </rPr>
      <t xml:space="preserve">D30 ROAS iOS 47%·Android 15%, 3-1 </t>
    </r>
    <r>
      <rPr>
        <sz val="11"/>
        <rFont val="Noto Sans CJK SC"/>
        <family val="2"/>
      </rPr>
      <t xml:space="preserve">메모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</si>
  <si>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3-2 </t>
    </r>
    <r>
      <rPr>
        <sz val="11"/>
        <rFont val="Noto Sans CJK SC"/>
        <family val="2"/>
      </rPr>
      <t xml:space="preserve">점수 </t>
    </r>
    <r>
      <rPr>
        <sz val="11"/>
        <rFont val="Arial"/>
        <family val="0"/>
        <charset val="1"/>
      </rPr>
      <t xml:space="preserve">3~5</t>
    </r>
    <r>
      <rPr>
        <sz val="11"/>
        <rFont val="Noto Sans CJK SC"/>
        <family val="2"/>
      </rPr>
      <t xml:space="preserve">위 채널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틱톡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인플루언서는 소재 만들 여력이 생긴 뒤</t>
    </r>
  </si>
  <si>
    <r>
      <rPr>
        <b val="true"/>
        <sz val="12"/>
        <rFont val="Noto Sans CJK SC"/>
        <family val="2"/>
      </rPr>
      <t xml:space="preserve">② 광고 소재 </t>
    </r>
    <r>
      <rPr>
        <b val="true"/>
        <sz val="12"/>
        <rFont val="Arial"/>
        <family val="0"/>
        <charset val="1"/>
      </rPr>
      <t xml:space="preserve">5</t>
    </r>
    <r>
      <rPr>
        <b val="true"/>
        <sz val="12"/>
        <rFont val="Noto Sans CJK SC"/>
        <family val="2"/>
      </rPr>
      <t xml:space="preserve">종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분석자 제안 — </t>
    </r>
    <r>
      <rPr>
        <b val="true"/>
        <sz val="12"/>
        <rFont val="Arial"/>
        <family val="0"/>
        <charset val="1"/>
      </rPr>
      <t xml:space="preserve">3-3 </t>
    </r>
    <r>
      <rPr>
        <b val="true"/>
        <sz val="12"/>
        <rFont val="Noto Sans CJK SC"/>
        <family val="2"/>
      </rPr>
      <t xml:space="preserve">발견을 </t>
    </r>
    <r>
      <rPr>
        <b val="true"/>
        <sz val="12"/>
        <rFont val="Arial"/>
        <family val="0"/>
        <charset val="1"/>
      </rPr>
      <t xml:space="preserve">2</t>
    </r>
    <r>
      <rPr>
        <b val="true"/>
        <sz val="12"/>
        <rFont val="Noto Sans CJK SC"/>
        <family val="2"/>
      </rPr>
      <t xml:space="preserve">인 팀이 만들 수 있게 바꾼 것</t>
    </r>
    <r>
      <rPr>
        <b val="true"/>
        <sz val="12"/>
        <rFont val="Arial"/>
        <family val="0"/>
        <charset val="1"/>
      </rPr>
      <t xml:space="preserve">). </t>
    </r>
    <r>
      <rPr>
        <b val="true"/>
        <sz val="12"/>
        <rFont val="Noto Sans CJK SC"/>
        <family val="2"/>
      </rPr>
      <t xml:space="preserve">쉬운 </t>
    </r>
    <r>
      <rPr>
        <b val="true"/>
        <sz val="12"/>
        <rFont val="Arial"/>
        <family val="0"/>
        <charset val="1"/>
      </rPr>
      <t xml:space="preserve">D·A·B</t>
    </r>
    <r>
      <rPr>
        <b val="true"/>
        <sz val="12"/>
        <rFont val="Noto Sans CJK SC"/>
        <family val="2"/>
      </rPr>
      <t xml:space="preserve">부터 시작</t>
    </r>
  </si>
  <si>
    <t xml:space="preserve">소재</t>
  </si>
  <si>
    <r>
      <rPr>
        <b val="true"/>
        <sz val="11"/>
        <color rgb="FFFFFFFF"/>
        <rFont val="Noto Sans CJK SC"/>
        <family val="2"/>
      </rPr>
      <t xml:space="preserve">처음 </t>
    </r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초에 보여 줄 것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제안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</si>
  <si>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참고한 </t>
    </r>
    <r>
      <rPr>
        <b val="true"/>
        <sz val="11"/>
        <color rgb="FFFFFFFF"/>
        <rFont val="Arial"/>
        <family val="0"/>
        <charset val="1"/>
      </rPr>
      <t xml:space="preserve">3-3 </t>
    </r>
    <r>
      <rPr>
        <b val="true"/>
        <sz val="11"/>
        <color rgb="FFFFFFFF"/>
        <rFont val="Noto Sans CJK SC"/>
        <family val="2"/>
      </rPr>
      <t xml:space="preserve">근거</t>
    </r>
  </si>
  <si>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인 팀 제작 난이도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분석자 판단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</si>
  <si>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호기심형</t>
    </r>
  </si>
  <si>
    <r>
      <rPr>
        <sz val="11"/>
        <rFont val="Arial"/>
        <family val="0"/>
        <charset val="1"/>
      </rPr>
      <t xml:space="preserve">'1%</t>
    </r>
    <r>
      <rPr>
        <sz val="11"/>
        <rFont val="Noto Sans CJK SC"/>
        <family val="2"/>
      </rPr>
      <t xml:space="preserve">만 풀 수 있다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같은 글자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거의 다 푼 퍼즐 화면</t>
    </r>
  </si>
  <si>
    <r>
      <rPr>
        <sz val="11"/>
        <rFont val="Arial"/>
        <family val="0"/>
        <charset val="1"/>
      </rPr>
      <t xml:space="preserve">Magic Sort! </t>
    </r>
    <r>
      <rPr>
        <sz val="11"/>
        <rFont val="Noto Sans CJK SC"/>
        <family val="2"/>
      </rPr>
      <t xml:space="preserve">호기심형 </t>
    </r>
    <r>
      <rPr>
        <sz val="11"/>
        <rFont val="Arial"/>
        <family val="0"/>
        <charset val="1"/>
      </rPr>
      <t xml:space="preserve">14/25 (3-3 ②)</t>
    </r>
  </si>
  <si>
    <r>
      <rPr>
        <sz val="11"/>
        <rFont val="Noto Sans CJK SC"/>
        <family val="2"/>
      </rPr>
      <t xml:space="preserve">쉬움 — 게임 화면 녹화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글자</t>
    </r>
  </si>
  <si>
    <r>
      <rPr>
        <b val="true"/>
        <sz val="11"/>
        <rFont val="Arial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직접 제안형</t>
    </r>
  </si>
  <si>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무료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와이파이 없이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같은 혜택 문구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게임 화면</t>
    </r>
  </si>
  <si>
    <r>
      <rPr>
        <sz val="11"/>
        <rFont val="Arial"/>
        <family val="0"/>
        <charset val="1"/>
      </rPr>
      <t xml:space="preserve">Royal Match </t>
    </r>
    <r>
      <rPr>
        <sz val="11"/>
        <rFont val="Noto Sans CJK SC"/>
        <family val="2"/>
      </rPr>
      <t xml:space="preserve">직접 제안형 </t>
    </r>
    <r>
      <rPr>
        <sz val="11"/>
        <rFont val="Arial"/>
        <family val="0"/>
        <charset val="1"/>
      </rPr>
      <t xml:space="preserve">24/25 (3-3 ②)</t>
    </r>
  </si>
  <si>
    <t xml:space="preserve">쉬움 — 우리 게임에 실제로 맞는 혜택만 써야 함</t>
  </si>
  <si>
    <r>
      <rPr>
        <b val="true"/>
        <sz val="11"/>
        <rFont val="Arial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일반인 반응형 </t>
    </r>
    <r>
      <rPr>
        <b val="true"/>
        <sz val="11"/>
        <rFont val="Arial"/>
        <family val="0"/>
        <charset val="1"/>
      </rPr>
      <t xml:space="preserve">(UGC)</t>
    </r>
  </si>
  <si>
    <t xml:space="preserve">사람이 퍼즐을 보고 반응하는 장면</t>
  </si>
  <si>
    <r>
      <rPr>
        <sz val="11"/>
        <rFont val="Arial"/>
        <family val="0"/>
        <charset val="1"/>
      </rPr>
      <t xml:space="preserve">Magic Sort! </t>
    </r>
    <r>
      <rPr>
        <sz val="11"/>
        <rFont val="Noto Sans CJK SC"/>
        <family val="2"/>
      </rPr>
      <t xml:space="preserve">형식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일반인 말하기</t>
    </r>
    <r>
      <rPr>
        <sz val="11"/>
        <rFont val="Arial"/>
        <family val="0"/>
        <charset val="1"/>
      </rPr>
      <t xml:space="preserve">' 13/25 (3-3 ③), </t>
    </r>
    <r>
      <rPr>
        <sz val="11"/>
        <rFont val="Noto Sans CJK SC"/>
        <family val="2"/>
      </rPr>
      <t xml:space="preserve">실물 퍼즐 길거리 도전 </t>
    </r>
    <r>
      <rPr>
        <sz val="11"/>
        <rFont val="Arial"/>
        <family val="0"/>
        <charset val="1"/>
      </rPr>
      <t xml:space="preserve">2/10 (3-3 ⑤)</t>
    </r>
  </si>
  <si>
    <r>
      <rPr>
        <sz val="11"/>
        <rFont val="Noto Sans CJK SC"/>
        <family val="2"/>
      </rPr>
      <t xml:space="preserve">보통 — 출연자 섭외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촬영 필요</t>
    </r>
  </si>
  <si>
    <r>
      <rPr>
        <b val="true"/>
        <sz val="11"/>
        <rFont val="Arial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게임 화면 그대로</t>
    </r>
  </si>
  <si>
    <r>
      <rPr>
        <sz val="11"/>
        <rFont val="Noto Sans CJK SC"/>
        <family val="2"/>
      </rPr>
      <t xml:space="preserve">처음부터 실제 정렬 플레이 화면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손가락 아이콘으로 옮기는 모습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</si>
  <si>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Magic Sort! </t>
    </r>
    <r>
      <rPr>
        <sz val="11"/>
        <rFont val="Noto Sans CJK SC"/>
        <family val="2"/>
      </rPr>
      <t xml:space="preserve">처음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초 </t>
    </r>
    <r>
      <rPr>
        <sz val="11"/>
        <rFont val="Arial"/>
        <family val="0"/>
        <charset val="1"/>
      </rPr>
      <t xml:space="preserve">7/10</t>
    </r>
    <r>
      <rPr>
        <sz val="11"/>
        <rFont val="Noto Sans CJK SC"/>
        <family val="2"/>
      </rPr>
      <t xml:space="preserve">이 게임 화면 </t>
    </r>
    <r>
      <rPr>
        <sz val="11"/>
        <rFont val="Arial"/>
        <family val="0"/>
        <charset val="1"/>
      </rPr>
      <t xml:space="preserve">(3-3 ⑤)</t>
    </r>
  </si>
  <si>
    <t xml:space="preserve">가장 쉬움 — 화면 녹화만</t>
  </si>
  <si>
    <r>
      <rPr>
        <b val="true"/>
        <sz val="11"/>
        <rFont val="Arial"/>
        <family val="0"/>
        <charset val="1"/>
      </rPr>
      <t xml:space="preserve">E </t>
    </r>
    <r>
      <rPr>
        <b val="true"/>
        <sz val="11"/>
        <rFont val="Noto Sans CJK SC"/>
        <family val="2"/>
      </rPr>
      <t xml:space="preserve">위기 장면형</t>
    </r>
  </si>
  <si>
    <t xml:space="preserve">캐릭터가 위험에 빠진 장면 → 퍼즐로 구함</t>
  </si>
  <si>
    <r>
      <rPr>
        <sz val="11"/>
        <rFont val="Arial"/>
        <family val="0"/>
        <charset val="1"/>
      </rPr>
      <t xml:space="preserve">Royal Match </t>
    </r>
    <r>
      <rPr>
        <sz val="11"/>
        <rFont val="Noto Sans CJK SC"/>
        <family val="2"/>
      </rPr>
      <t xml:space="preserve">처음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초 </t>
    </r>
    <r>
      <rPr>
        <sz val="11"/>
        <rFont val="Arial"/>
        <family val="0"/>
        <charset val="1"/>
      </rPr>
      <t xml:space="preserve">6/10 (3-3 ⑤)</t>
    </r>
  </si>
  <si>
    <r>
      <rPr>
        <sz val="11"/>
        <rFont val="Noto Sans CJK SC"/>
        <family val="2"/>
      </rPr>
      <t xml:space="preserve">어려움 — 캐릭터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연출 필요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실제 게임에 있는 장면만 쓰는 것이 안전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분석자 판단</t>
    </r>
    <r>
      <rPr>
        <sz val="11"/>
        <rFont val="Arial"/>
        <family val="0"/>
        <charset val="1"/>
      </rPr>
      <t xml:space="preserve">)</t>
    </r>
  </si>
  <si>
    <r>
      <rPr>
        <b val="true"/>
        <sz val="12"/>
        <rFont val="Noto Sans CJK SC"/>
        <family val="2"/>
      </rPr>
      <t xml:space="preserve">③ 측정 지표 — 매주 볼 숫자와 비교 기준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기준값은 수식 또는 근거 시트 값</t>
    </r>
    <r>
      <rPr>
        <b val="true"/>
        <sz val="12"/>
        <rFont val="Arial"/>
        <family val="0"/>
        <charset val="1"/>
      </rPr>
      <t xml:space="preserve">)</t>
    </r>
  </si>
  <si>
    <t xml:space="preserve">지표</t>
  </si>
  <si>
    <t xml:space="preserve">비교 기준</t>
  </si>
  <si>
    <t xml:space="preserve">CPI</t>
  </si>
  <si>
    <r>
      <rPr>
        <sz val="11"/>
        <rFont val="Noto Sans CJK SC"/>
        <family val="2"/>
      </rPr>
      <t xml:space="preserve">설치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번에 쓴 광고비</t>
    </r>
  </si>
  <si>
    <t xml:space="preserve">3-1 C03 (Adjust 2026)</t>
  </si>
  <si>
    <r>
      <rPr>
        <b val="true"/>
        <sz val="11"/>
        <rFont val="Arial"/>
        <family val="0"/>
        <charset val="1"/>
      </rPr>
      <t xml:space="preserve">D1 </t>
    </r>
    <r>
      <rPr>
        <b val="true"/>
        <sz val="11"/>
        <rFont val="Noto Sans CJK SC"/>
        <family val="2"/>
      </rPr>
      <t xml:space="preserve">리텐션</t>
    </r>
  </si>
  <si>
    <t xml:space="preserve">설치 다음 날 다시 온 비율</t>
  </si>
  <si>
    <r>
      <rPr>
        <sz val="11"/>
        <rFont val="Arial"/>
        <family val="0"/>
        <charset val="1"/>
      </rPr>
      <t xml:space="preserve">4-1 </t>
    </r>
    <r>
      <rPr>
        <sz val="11"/>
        <rFont val="Noto Sans CJK SC"/>
        <family val="2"/>
      </rPr>
      <t xml:space="preserve">지역 벤치마크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참조</t>
    </r>
    <r>
      <rPr>
        <sz val="11"/>
        <rFont val="Arial"/>
        <family val="0"/>
        <charset val="1"/>
      </rPr>
      <t xml:space="preserve">), 2-2</t>
    </r>
  </si>
  <si>
    <r>
      <rPr>
        <b val="true"/>
        <sz val="11"/>
        <rFont val="Arial"/>
        <family val="0"/>
        <charset val="1"/>
      </rPr>
      <t xml:space="preserve">D7 </t>
    </r>
    <r>
      <rPr>
        <b val="true"/>
        <sz val="11"/>
        <rFont val="Noto Sans CJK SC"/>
        <family val="2"/>
      </rPr>
      <t xml:space="preserve">리텐션</t>
    </r>
  </si>
  <si>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일 뒤 다시 온 비율</t>
    </r>
  </si>
  <si>
    <r>
      <rPr>
        <b val="true"/>
        <sz val="11"/>
        <rFont val="Arial"/>
        <family val="0"/>
        <charset val="1"/>
      </rPr>
      <t xml:space="preserve">D30 </t>
    </r>
    <r>
      <rPr>
        <b val="true"/>
        <sz val="11"/>
        <rFont val="Noto Sans CJK SC"/>
        <family val="2"/>
      </rPr>
      <t xml:space="preserve">리텐션</t>
    </r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</si>
  <si>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일 뒤 다시 온 비율</t>
    </r>
  </si>
  <si>
    <r>
      <rPr>
        <b val="true"/>
        <sz val="11"/>
        <rFont val="Arial"/>
        <family val="0"/>
        <charset val="1"/>
      </rPr>
      <t xml:space="preserve">D30 </t>
    </r>
    <r>
      <rPr>
        <b val="true"/>
        <sz val="11"/>
        <rFont val="Noto Sans CJK SC"/>
        <family val="2"/>
      </rPr>
      <t xml:space="preserve">광고비 회수율 </t>
    </r>
    <r>
      <rPr>
        <b val="true"/>
        <sz val="11"/>
        <rFont val="Arial"/>
        <family val="0"/>
        <charset val="1"/>
      </rPr>
      <t xml:space="preserve">(ROAS)</t>
    </r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</si>
  <si>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일 동안 번 돈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쓴 광고비</t>
    </r>
  </si>
  <si>
    <r>
      <rPr>
        <sz val="11"/>
        <rFont val="Noto Sans CJK SC"/>
        <family val="2"/>
      </rPr>
      <t xml:space="preserve">캐주얼 평균 </t>
    </r>
    <r>
      <rPr>
        <sz val="11"/>
        <rFont val="Arial"/>
        <family val="0"/>
        <charset val="1"/>
      </rPr>
      <t xml:space="preserve">iOS 47% · Android 15%</t>
    </r>
  </si>
  <si>
    <r>
      <rPr>
        <sz val="11"/>
        <rFont val="Arial"/>
        <family val="0"/>
        <charset val="1"/>
      </rPr>
      <t xml:space="preserve">Liftoff 2025 (3-1 </t>
    </r>
    <r>
      <rPr>
        <sz val="11"/>
        <rFont val="Noto Sans CJK SC"/>
        <family val="2"/>
      </rPr>
      <t xml:space="preserve">메모</t>
    </r>
    <r>
      <rPr>
        <sz val="11"/>
        <rFont val="Arial"/>
        <family val="0"/>
        <charset val="1"/>
      </rPr>
      <t xml:space="preserve">)</t>
    </r>
  </si>
  <si>
    <t xml:space="preserve">소재별 설치 효율</t>
  </si>
  <si>
    <t xml:space="preserve">같은 돈으로 어느 소재가 설치를 더 많이 냈나</t>
  </si>
  <si>
    <r>
      <rPr>
        <sz val="11"/>
        <rFont val="Noto Sans CJK SC"/>
        <family val="2"/>
      </rPr>
      <t xml:space="preserve">공개 기준값 확인 불가 — 우리 소재 </t>
    </r>
    <r>
      <rPr>
        <sz val="11"/>
        <rFont val="Arial"/>
        <family val="0"/>
        <charset val="1"/>
      </rPr>
      <t xml:space="preserve">A~E</t>
    </r>
    <r>
      <rPr>
        <sz val="11"/>
        <rFont val="Noto Sans CJK SC"/>
        <family val="2"/>
      </rPr>
      <t xml:space="preserve">끼리 비교</t>
    </r>
  </si>
  <si>
    <t xml:space="preserve">② 소재 계획</t>
  </si>
  <si>
    <r>
      <rPr>
        <i val="true"/>
        <sz val="11"/>
        <color rgb="FF595959"/>
        <rFont val="Noto Sans CJK SC"/>
        <family val="2"/>
      </rPr>
      <t xml:space="preserve">이 시트의 단계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지역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채널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예산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소재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합격 기준은 모두 분석자 제안이며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실제 성과를 보장하지 않음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예상 설치</t>
    </r>
    <r>
      <rPr>
        <i val="true"/>
        <sz val="11"/>
        <color rgb="FF595959"/>
        <rFont val="Arial"/>
        <family val="0"/>
        <charset val="1"/>
      </rPr>
      <t xml:space="preserve">·D7 </t>
    </r>
    <r>
      <rPr>
        <i val="true"/>
        <sz val="11"/>
        <color rgb="FF595959"/>
        <rFont val="Noto Sans CJK SC"/>
        <family val="2"/>
      </rPr>
      <t xml:space="preserve">숫자는 공개 평균값으로 계산한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참고용 추정</t>
    </r>
    <r>
      <rPr>
        <i val="true"/>
        <sz val="11"/>
        <color rgb="FF595959"/>
        <rFont val="Arial"/>
        <family val="0"/>
        <charset val="1"/>
      </rPr>
      <t xml:space="preserve">'.</t>
    </r>
  </si>
  <si>
    <r>
      <rPr>
        <i val="true"/>
        <sz val="11"/>
        <color rgb="FF595959"/>
        <rFont val="Arial"/>
        <family val="0"/>
        <charset val="1"/>
      </rPr>
      <t xml:space="preserve">OS </t>
    </r>
    <r>
      <rPr>
        <i val="true"/>
        <sz val="11"/>
        <color rgb="FF595959"/>
        <rFont val="Noto Sans CJK SC"/>
        <family val="2"/>
      </rPr>
      <t xml:space="preserve">열은 </t>
    </r>
    <r>
      <rPr>
        <i val="true"/>
        <sz val="11"/>
        <color rgb="FF595959"/>
        <rFont val="Arial"/>
        <family val="0"/>
        <charset val="1"/>
      </rPr>
      <t xml:space="preserve">'4-7 </t>
    </r>
    <r>
      <rPr>
        <i val="true"/>
        <sz val="11"/>
        <color rgb="FF595959"/>
        <rFont val="Noto Sans CJK SC"/>
        <family val="2"/>
      </rPr>
      <t xml:space="preserve">대륙별 </t>
    </r>
    <r>
      <rPr>
        <i val="true"/>
        <sz val="11"/>
        <color rgb="FF595959"/>
        <rFont val="Arial"/>
        <family val="0"/>
        <charset val="1"/>
      </rPr>
      <t xml:space="preserve">OS </t>
    </r>
    <r>
      <rPr>
        <i val="true"/>
        <sz val="11"/>
        <color rgb="FF595959"/>
        <rFont val="Noto Sans CJK SC"/>
        <family val="2"/>
      </rPr>
      <t xml:space="preserve">분포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참조</t>
    </r>
    <r>
      <rPr>
        <i val="true"/>
        <sz val="11"/>
        <color rgb="FF595959"/>
        <rFont val="Arial"/>
        <family val="0"/>
        <charset val="1"/>
      </rPr>
      <t xml:space="preserve">)'</t>
    </r>
    <r>
      <rPr>
        <i val="true"/>
        <sz val="11"/>
        <color rgb="FF595959"/>
        <rFont val="Noto Sans CJK SC"/>
        <family val="2"/>
      </rPr>
      <t xml:space="preserve">의 </t>
    </r>
    <r>
      <rPr>
        <i val="true"/>
        <sz val="11"/>
        <color rgb="FF595959"/>
        <rFont val="Arial"/>
        <family val="0"/>
        <charset val="1"/>
      </rPr>
      <t xml:space="preserve">'OS </t>
    </r>
    <r>
      <rPr>
        <i val="true"/>
        <sz val="11"/>
        <color rgb="FF595959"/>
        <rFont val="Noto Sans CJK SC"/>
        <family val="2"/>
      </rPr>
      <t xml:space="preserve">출시 우선순위</t>
    </r>
    <r>
      <rPr>
        <i val="true"/>
        <sz val="11"/>
        <color rgb="FF595959"/>
        <rFont val="Arial"/>
        <family val="0"/>
        <charset val="1"/>
      </rPr>
      <t xml:space="preserve">'(</t>
    </r>
    <r>
      <rPr>
        <i val="true"/>
        <sz val="11"/>
        <color rgb="FF595959"/>
        <rFont val="Noto Sans CJK SC"/>
        <family val="2"/>
      </rPr>
      <t xml:space="preserve">분석자 제안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기준값 </t>
    </r>
    <r>
      <rPr>
        <i val="true"/>
        <sz val="11"/>
        <color rgb="FF595959"/>
        <rFont val="Arial"/>
        <family val="0"/>
        <charset val="1"/>
      </rPr>
      <t xml:space="preserve">50%)</t>
    </r>
    <r>
      <rPr>
        <i val="true"/>
        <sz val="11"/>
        <color rgb="FF595959"/>
        <rFont val="Noto Sans CJK SC"/>
        <family val="2"/>
      </rPr>
      <t xml:space="preserve">를 수식으로 가져옴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채널 순위는 </t>
    </r>
    <r>
      <rPr>
        <i val="true"/>
        <sz val="11"/>
        <color rgb="FF595959"/>
        <rFont val="Arial"/>
        <family val="0"/>
        <charset val="1"/>
      </rPr>
      <t xml:space="preserve">'3-2 </t>
    </r>
    <r>
      <rPr>
        <i val="true"/>
        <sz val="11"/>
        <color rgb="FF595959"/>
        <rFont val="Noto Sans CJK SC"/>
        <family val="2"/>
      </rPr>
      <t xml:space="preserve">광고 채널 분석</t>
    </r>
    <r>
      <rPr>
        <i val="true"/>
        <sz val="11"/>
        <color rgb="FF595959"/>
        <rFont val="Arial"/>
        <family val="0"/>
        <charset val="1"/>
      </rPr>
      <t xml:space="preserve">' </t>
    </r>
    <r>
      <rPr>
        <i val="true"/>
        <sz val="11"/>
        <color rgb="FF595959"/>
        <rFont val="Noto Sans CJK SC"/>
        <family val="2"/>
      </rPr>
      <t xml:space="preserve">점수표 순위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</si>
  <si>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Arial"/>
        <family val="0"/>
        <charset val="1"/>
      </rPr>
      <t xml:space="preserve">CPI</t>
    </r>
    <r>
      <rPr>
        <i val="true"/>
        <sz val="11"/>
        <color rgb="FF595959"/>
        <rFont val="Noto Sans CJK SC"/>
        <family val="2"/>
      </rPr>
      <t xml:space="preserve">는 </t>
    </r>
    <r>
      <rPr>
        <i val="true"/>
        <sz val="11"/>
        <color rgb="FF595959"/>
        <rFont val="Arial"/>
        <family val="0"/>
        <charset val="1"/>
      </rPr>
      <t xml:space="preserve">3-1</t>
    </r>
    <r>
      <rPr>
        <i val="true"/>
        <sz val="11"/>
        <color rgb="FF595959"/>
        <rFont val="Noto Sans CJK SC"/>
        <family val="2"/>
      </rPr>
      <t xml:space="preserve">의 지역별 값</t>
    </r>
    <r>
      <rPr>
        <i val="true"/>
        <sz val="11"/>
        <color rgb="FF595959"/>
        <rFont val="Arial"/>
        <family val="0"/>
        <charset val="1"/>
      </rPr>
      <t xml:space="preserve">(iOS+Android </t>
    </r>
    <r>
      <rPr>
        <i val="true"/>
        <sz val="11"/>
        <color rgb="FF595959"/>
        <rFont val="Noto Sans CJK SC"/>
        <family val="2"/>
      </rPr>
      <t xml:space="preserve">합산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게임 전체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을 씀 — 퍼즐</t>
    </r>
    <r>
      <rPr>
        <i val="true"/>
        <sz val="11"/>
        <color rgb="FF595959"/>
        <rFont val="Arial"/>
        <family val="0"/>
        <charset val="1"/>
      </rPr>
      <t xml:space="preserve">·OS</t>
    </r>
    <r>
      <rPr>
        <i val="true"/>
        <sz val="11"/>
        <color rgb="FF595959"/>
        <rFont val="Noto Sans CJK SC"/>
        <family val="2"/>
      </rPr>
      <t xml:space="preserve">별로 나눈 지역 값은 확인 불가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</si>
  <si>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Arial"/>
        <family val="0"/>
        <charset val="1"/>
      </rPr>
      <t xml:space="preserve">1</t>
    </r>
    <r>
      <rPr>
        <i val="true"/>
        <sz val="11"/>
        <color rgb="FF595959"/>
        <rFont val="Noto Sans CJK SC"/>
        <family val="2"/>
      </rPr>
      <t xml:space="preserve">단계를 남미로 둔 이유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분석자 제안</t>
    </r>
    <r>
      <rPr>
        <i val="true"/>
        <sz val="11"/>
        <color rgb="FF595959"/>
        <rFont val="Arial"/>
        <family val="0"/>
        <charset val="1"/>
      </rPr>
      <t xml:space="preserve">): CPI</t>
    </r>
    <r>
      <rPr>
        <i val="true"/>
        <sz val="11"/>
        <color rgb="FF595959"/>
        <rFont val="Noto Sans CJK SC"/>
        <family val="2"/>
      </rPr>
      <t xml:space="preserve">가 가장 싸서</t>
    </r>
    <r>
      <rPr>
        <i val="true"/>
        <sz val="11"/>
        <color rgb="FF595959"/>
        <rFont val="Arial"/>
        <family val="0"/>
        <charset val="1"/>
      </rPr>
      <t xml:space="preserve">(3-1) </t>
    </r>
    <r>
      <rPr>
        <i val="true"/>
        <sz val="11"/>
        <color rgb="FF595959"/>
        <rFont val="Noto Sans CJK SC"/>
        <family val="2"/>
      </rPr>
      <t xml:space="preserve">같은 돈으로 리텐션 표본을 많이 모을 수 있음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단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남미 리텐션 중앙값은 북미보다 낮음</t>
    </r>
    <r>
      <rPr>
        <i val="true"/>
        <sz val="11"/>
        <color rgb="FF595959"/>
        <rFont val="Arial"/>
        <family val="0"/>
        <charset val="1"/>
      </rPr>
      <t xml:space="preserve">(4-1) — </t>
    </r>
    <r>
      <rPr>
        <i val="true"/>
        <sz val="11"/>
        <color rgb="FF595959"/>
        <rFont val="Noto Sans CJK SC"/>
        <family val="2"/>
      </rPr>
      <t xml:space="preserve">비교는 같은 지역 기준으로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</si>
  <si>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Arial"/>
        <family val="0"/>
        <charset val="1"/>
      </rPr>
      <t xml:space="preserve">MVP </t>
    </r>
    <r>
      <rPr>
        <i val="true"/>
        <sz val="11"/>
        <color rgb="FF595959"/>
        <rFont val="Noto Sans CJK SC"/>
        <family val="2"/>
      </rPr>
      <t xml:space="preserve">후보</t>
    </r>
    <r>
      <rPr>
        <i val="true"/>
        <sz val="11"/>
        <color rgb="FF595959"/>
        <rFont val="Arial"/>
        <family val="0"/>
        <charset val="1"/>
      </rPr>
      <t xml:space="preserve">(B4)</t>
    </r>
    <r>
      <rPr>
        <i val="true"/>
        <sz val="11"/>
        <color rgb="FF595959"/>
        <rFont val="Noto Sans CJK SC"/>
        <family val="2"/>
      </rPr>
      <t xml:space="preserve">를 바꾸면 위 요약 칸이 </t>
    </r>
    <r>
      <rPr>
        <i val="true"/>
        <sz val="11"/>
        <color rgb="FF595959"/>
        <rFont val="Arial"/>
        <family val="0"/>
        <charset val="1"/>
      </rPr>
      <t xml:space="preserve">2-4</t>
    </r>
    <r>
      <rPr>
        <i val="true"/>
        <sz val="11"/>
        <color rgb="FF595959"/>
        <rFont val="Noto Sans CJK SC"/>
        <family val="2"/>
      </rPr>
      <t xml:space="preserve">에서 새로 계산됨</t>
    </r>
    <r>
      <rPr>
        <i val="true"/>
        <sz val="11"/>
        <color rgb="FF595959"/>
        <rFont val="Arial"/>
        <family val="0"/>
        <charset val="1"/>
      </rPr>
      <t xml:space="preserve">. 3-3 </t>
    </r>
    <r>
      <rPr>
        <i val="true"/>
        <sz val="11"/>
        <color rgb="FF595959"/>
        <rFont val="Noto Sans CJK SC"/>
        <family val="2"/>
      </rPr>
      <t xml:space="preserve">광고 데이터는 </t>
    </r>
    <r>
      <rPr>
        <i val="true"/>
        <sz val="11"/>
        <color rgb="FF595959"/>
        <rFont val="Arial"/>
        <family val="0"/>
        <charset val="1"/>
      </rPr>
      <t xml:space="preserve">Magic Sort!·Royal Match·MONOPOLY GO! 3</t>
    </r>
    <r>
      <rPr>
        <i val="true"/>
        <sz val="11"/>
        <color rgb="FF595959"/>
        <rFont val="Noto Sans CJK SC"/>
        <family val="2"/>
      </rPr>
      <t xml:space="preserve">개만 있음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</si>
  <si>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b val="true"/>
        <sz val="12"/>
        <rFont val="Noto Sans CJK SC"/>
        <family val="2"/>
      </rPr>
      <t xml:space="preserve">광고 소재 해부 — 게임별 </t>
    </r>
    <r>
      <rPr>
        <b val="true"/>
        <sz val="12"/>
        <rFont val="Arial"/>
        <family val="0"/>
        <charset val="1"/>
      </rPr>
      <t xml:space="preserve">4</t>
    </r>
    <r>
      <rPr>
        <b val="true"/>
        <sz val="12"/>
        <rFont val="Noto Sans CJK SC"/>
        <family val="2"/>
      </rPr>
      <t xml:space="preserve">개씩 </t>
    </r>
    <r>
      <rPr>
        <b val="true"/>
        <sz val="12"/>
        <rFont val="Arial"/>
        <family val="0"/>
        <charset val="1"/>
      </rPr>
      <t xml:space="preserve">12</t>
    </r>
    <r>
      <rPr>
        <b val="true"/>
        <sz val="12"/>
        <rFont val="Noto Sans CJK SC"/>
        <family val="2"/>
      </rPr>
      <t xml:space="preserve">개 영상</t>
    </r>
    <r>
      <rPr>
        <b val="true"/>
        <sz val="12"/>
        <rFont val="Arial"/>
        <family val="0"/>
        <charset val="1"/>
      </rPr>
      <t xml:space="preserve">: </t>
    </r>
    <r>
      <rPr>
        <b val="true"/>
        <sz val="12"/>
        <rFont val="Noto Sans CJK SC"/>
        <family val="2"/>
      </rPr>
      <t xml:space="preserve">도파민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보상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긴장</t>
    </r>
    <r>
      <rPr>
        <b val="true"/>
        <sz val="12"/>
        <rFont val="Arial"/>
        <family val="0"/>
        <charset val="1"/>
      </rPr>
      <t xml:space="preserve">) </t>
    </r>
    <r>
      <rPr>
        <b val="true"/>
        <sz val="12"/>
        <rFont val="Noto Sans CJK SC"/>
        <family val="2"/>
      </rPr>
      <t xml:space="preserve">요소 </t>
    </r>
    <r>
      <rPr>
        <b val="true"/>
        <sz val="12"/>
        <rFont val="Arial"/>
        <family val="0"/>
        <charset val="1"/>
      </rPr>
      <t xml:space="preserve">· </t>
    </r>
    <r>
      <rPr>
        <b val="true"/>
        <sz val="12"/>
        <rFont val="Noto Sans CJK SC"/>
        <family val="2"/>
      </rPr>
      <t xml:space="preserve">영상 효과 </t>
    </r>
    <r>
      <rPr>
        <b val="true"/>
        <sz val="12"/>
        <rFont val="Arial"/>
        <family val="0"/>
        <charset val="1"/>
      </rPr>
      <t xml:space="preserve">· </t>
    </r>
    <r>
      <rPr>
        <b val="true"/>
        <sz val="12"/>
        <rFont val="Noto Sans CJK SC"/>
        <family val="2"/>
      </rPr>
      <t xml:space="preserve">광고 구성 </t>
    </r>
    <r>
      <rPr>
        <b val="true"/>
        <sz val="12"/>
        <rFont val="Arial"/>
        <family val="0"/>
        <charset val="1"/>
      </rPr>
      <t xml:space="preserve">· </t>
    </r>
    <r>
      <rPr>
        <b val="true"/>
        <sz val="12"/>
        <rFont val="Noto Sans CJK SC"/>
        <family val="2"/>
      </rPr>
      <t xml:space="preserve">사운드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사용자 기입</t>
    </r>
    <r>
      <rPr>
        <b val="true"/>
        <sz val="12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</si>
  <si>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보는 법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메타 광고 라이브러리에서 영상을 열고 </t>
    </r>
    <r>
      <rPr>
        <i val="true"/>
        <sz val="11"/>
        <color rgb="FF595959"/>
        <rFont val="Arial"/>
        <family val="0"/>
        <charset val="1"/>
      </rPr>
      <t xml:space="preserve">0·1·2·3·4·6·8·10·12·15·20</t>
    </r>
    <r>
      <rPr>
        <i val="true"/>
        <sz val="11"/>
        <color rgb="FF595959"/>
        <rFont val="Noto Sans CJK SC"/>
        <family val="2"/>
      </rPr>
      <t xml:space="preserve">초와 마지막 장면</t>
    </r>
    <r>
      <rPr>
        <i val="true"/>
        <sz val="11"/>
        <color rgb="FF595959"/>
        <rFont val="Arial"/>
        <family val="0"/>
        <charset val="1"/>
      </rPr>
      <t xml:space="preserve">(12</t>
    </r>
    <r>
      <rPr>
        <i val="true"/>
        <sz val="11"/>
        <color rgb="FF595959"/>
        <rFont val="Noto Sans CJK SC"/>
        <family val="2"/>
      </rPr>
      <t xml:space="preserve">장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을 캡처해 판독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길이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크기는 영상 파일에서 잰 측정값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나머지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노란 칸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는 분석자 판독 — 캡처 사이 장면은 보지 못함</t>
    </r>
    <r>
      <rPr>
        <i val="true"/>
        <sz val="11"/>
        <color rgb="FF595959"/>
        <rFont val="Arial"/>
        <family val="0"/>
        <charset val="1"/>
      </rPr>
      <t xml:space="preserve">. T~Y</t>
    </r>
    <r>
      <rPr>
        <i val="true"/>
        <sz val="11"/>
        <color rgb="FF595959"/>
        <rFont val="Noto Sans CJK SC"/>
        <family val="2"/>
      </rPr>
      <t xml:space="preserve">열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사운드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은 사용자가 직접 듣고 고르는 칸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파란 글씨</t>
    </r>
    <r>
      <rPr>
        <i val="true"/>
        <sz val="11"/>
        <color rgb="FF595959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</si>
  <si>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길이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초</t>
    </r>
    <r>
      <rPr>
        <b val="true"/>
        <sz val="11"/>
        <color rgb="FFFFFFFF"/>
        <rFont val="Arial"/>
        <family val="0"/>
        <charset val="1"/>
      </rPr>
      <t xml:space="preserve">, </t>
    </r>
    <r>
      <rPr>
        <b val="true"/>
        <sz val="11"/>
        <color rgb="FFFFFFFF"/>
        <rFont val="Noto Sans CJK SC"/>
        <family val="2"/>
      </rPr>
      <t xml:space="preserve">측정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</si>
  <si>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가로 </t>
    </r>
    <r>
      <rPr>
        <b val="true"/>
        <sz val="11"/>
        <color rgb="FFFFFFFF"/>
        <rFont val="Arial"/>
        <family val="0"/>
        <charset val="1"/>
      </rPr>
      <t xml:space="preserve">px (</t>
    </r>
    <r>
      <rPr>
        <b val="true"/>
        <sz val="11"/>
        <color rgb="FFFFFFFF"/>
        <rFont val="Noto Sans CJK SC"/>
        <family val="2"/>
      </rPr>
      <t xml:space="preserve">측정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</si>
  <si>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세로 </t>
    </r>
    <r>
      <rPr>
        <b val="true"/>
        <sz val="11"/>
        <color rgb="FFFFFFFF"/>
        <rFont val="Arial"/>
        <family val="0"/>
        <charset val="1"/>
      </rPr>
      <t xml:space="preserve">px (</t>
    </r>
    <r>
      <rPr>
        <b val="true"/>
        <sz val="11"/>
        <color rgb="FFFFFFFF"/>
        <rFont val="Noto Sans CJK SC"/>
        <family val="2"/>
      </rPr>
      <t xml:space="preserve">측정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</si>
  <si>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화면 비율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</si>
  <si>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처음 </t>
    </r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초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판독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</si>
  <si>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위기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실패 장면</t>
    </r>
  </si>
  <si>
    <r>
      <rPr>
        <b val="true"/>
        <sz val="11"/>
        <color rgb="FFFFFFFF"/>
        <rFont val="Noto Sans CJK SC"/>
        <family val="2"/>
      </rPr>
      <t xml:space="preserve">위기 시작 → 해소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초</t>
    </r>
    <r>
      <rPr>
        <b val="true"/>
        <sz val="11"/>
        <color rgb="FFFFFFFF"/>
        <rFont val="Arial"/>
        <family val="0"/>
        <charset val="1"/>
      </rPr>
      <t xml:space="preserve">, </t>
    </r>
    <r>
      <rPr>
        <b val="true"/>
        <sz val="11"/>
        <color rgb="FFFFFFFF"/>
        <rFont val="Noto Sans CJK SC"/>
        <family val="2"/>
      </rPr>
      <t xml:space="preserve">판독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</si>
  <si>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일부러 틀리기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실패 연출</t>
    </r>
  </si>
  <si>
    <r>
      <rPr>
        <b val="true"/>
        <sz val="11"/>
        <color rgb="FFFFFFFF"/>
        <rFont val="Noto Sans CJK SC"/>
        <family val="2"/>
      </rPr>
      <t xml:space="preserve">첫 보상 연출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판독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</si>
  <si>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만족감 장면</t>
  </si>
  <si>
    <t xml:space="preserve">진행 표시</t>
  </si>
  <si>
    <r>
      <rPr>
        <b val="true"/>
        <sz val="11"/>
        <color rgb="FFFFFFFF"/>
        <rFont val="Noto Sans CJK SC"/>
        <family val="2"/>
      </rPr>
      <t xml:space="preserve">실사 사람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손</t>
    </r>
  </si>
  <si>
    <r>
      <rPr>
        <b val="true"/>
        <sz val="11"/>
        <color rgb="FFFFFFFF"/>
        <rFont val="Noto Sans CJK SC"/>
        <family val="2"/>
      </rPr>
      <t xml:space="preserve">큰 장면 전환 수 </t>
    </r>
    <r>
      <rPr>
        <b val="true"/>
        <sz val="11"/>
        <color rgb="FFFFFFFF"/>
        <rFont val="Arial"/>
        <family val="0"/>
        <charset val="1"/>
      </rPr>
      <t xml:space="preserve">(12</t>
    </r>
    <r>
      <rPr>
        <b val="true"/>
        <sz val="11"/>
        <color rgb="FFFFFFFF"/>
        <rFont val="Noto Sans CJK SC"/>
        <family val="2"/>
      </rPr>
      <t xml:space="preserve">장 기준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</si>
  <si>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눈에 띄는 영상 효과</t>
  </si>
  <si>
    <t xml:space="preserve">엔드카드</t>
  </si>
  <si>
    <t xml:space="preserve">엔드카드 내용</t>
  </si>
  <si>
    <t xml:space="preserve">메모</t>
  </si>
  <si>
    <r>
      <rPr>
        <b val="true"/>
        <sz val="11"/>
        <color rgb="FFFFFFFF"/>
        <rFont val="Arial"/>
        <family val="0"/>
        <charset val="1"/>
      </rPr>
      <t xml:space="preserve">[</t>
    </r>
    <r>
      <rPr>
        <b val="true"/>
        <sz val="11"/>
        <color rgb="FFFFFFFF"/>
        <rFont val="Noto Sans CJK SC"/>
        <family val="2"/>
      </rPr>
      <t xml:space="preserve">사운드</t>
    </r>
    <r>
      <rPr>
        <b val="true"/>
        <sz val="11"/>
        <color rgb="FFFFFFFF"/>
        <rFont val="Arial"/>
        <family val="0"/>
        <charset val="1"/>
      </rPr>
      <t xml:space="preserve">] </t>
    </r>
    <r>
      <rPr>
        <b val="true"/>
        <sz val="11"/>
        <color rgb="FFFFFFFF"/>
        <rFont val="Noto Sans CJK SC"/>
        <family val="2"/>
      </rPr>
      <t xml:space="preserve">배경음악</t>
    </r>
  </si>
  <si>
    <r>
      <rPr>
        <b val="true"/>
        <sz val="11"/>
        <color rgb="FFFFFFFF"/>
        <rFont val="Arial"/>
        <family val="0"/>
        <charset val="1"/>
      </rPr>
      <t xml:space="preserve">[</t>
    </r>
    <r>
      <rPr>
        <b val="true"/>
        <sz val="11"/>
        <color rgb="FFFFFFFF"/>
        <rFont val="Noto Sans CJK SC"/>
        <family val="2"/>
      </rPr>
      <t xml:space="preserve">사운드</t>
    </r>
    <r>
      <rPr>
        <b val="true"/>
        <sz val="11"/>
        <color rgb="FFFFFFFF"/>
        <rFont val="Arial"/>
        <family val="0"/>
        <charset val="1"/>
      </rPr>
      <t xml:space="preserve">] </t>
    </r>
    <r>
      <rPr>
        <b val="true"/>
        <sz val="11"/>
        <color rgb="FFFFFFFF"/>
        <rFont val="Noto Sans CJK SC"/>
        <family val="2"/>
      </rPr>
      <t xml:space="preserve">음악 분위기</t>
    </r>
  </si>
  <si>
    <r>
      <rPr>
        <b val="true"/>
        <sz val="11"/>
        <color rgb="FFFFFFFF"/>
        <rFont val="Arial"/>
        <family val="0"/>
        <charset val="1"/>
      </rPr>
      <t xml:space="preserve">[</t>
    </r>
    <r>
      <rPr>
        <b val="true"/>
        <sz val="11"/>
        <color rgb="FFFFFFFF"/>
        <rFont val="Noto Sans CJK SC"/>
        <family val="2"/>
      </rPr>
      <t xml:space="preserve">사운드</t>
    </r>
    <r>
      <rPr>
        <b val="true"/>
        <sz val="11"/>
        <color rgb="FFFFFFFF"/>
        <rFont val="Arial"/>
        <family val="0"/>
        <charset val="1"/>
      </rPr>
      <t xml:space="preserve">] </t>
    </r>
    <r>
      <rPr>
        <b val="true"/>
        <sz val="11"/>
        <color rgb="FFFFFFFF"/>
        <rFont val="Noto Sans CJK SC"/>
        <family val="2"/>
      </rPr>
      <t xml:space="preserve">효과음 종류</t>
    </r>
  </si>
  <si>
    <r>
      <rPr>
        <b val="true"/>
        <sz val="11"/>
        <color rgb="FFFFFFFF"/>
        <rFont val="Arial"/>
        <family val="0"/>
        <charset val="1"/>
      </rPr>
      <t xml:space="preserve">[</t>
    </r>
    <r>
      <rPr>
        <b val="true"/>
        <sz val="11"/>
        <color rgb="FFFFFFFF"/>
        <rFont val="Noto Sans CJK SC"/>
        <family val="2"/>
      </rPr>
      <t xml:space="preserve">사운드</t>
    </r>
    <r>
      <rPr>
        <b val="true"/>
        <sz val="11"/>
        <color rgb="FFFFFFFF"/>
        <rFont val="Arial"/>
        <family val="0"/>
        <charset val="1"/>
      </rPr>
      <t xml:space="preserve">] </t>
    </r>
    <r>
      <rPr>
        <b val="true"/>
        <sz val="11"/>
        <color rgb="FFFFFFFF"/>
        <rFont val="Noto Sans CJK SC"/>
        <family val="2"/>
      </rPr>
      <t xml:space="preserve">목소리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나레이션</t>
    </r>
  </si>
  <si>
    <r>
      <rPr>
        <b val="true"/>
        <sz val="11"/>
        <color rgb="FFFFFFFF"/>
        <rFont val="Arial"/>
        <family val="0"/>
        <charset val="1"/>
      </rPr>
      <t xml:space="preserve">[</t>
    </r>
    <r>
      <rPr>
        <b val="true"/>
        <sz val="11"/>
        <color rgb="FFFFFFFF"/>
        <rFont val="Noto Sans CJK SC"/>
        <family val="2"/>
      </rPr>
      <t xml:space="preserve">사운드</t>
    </r>
    <r>
      <rPr>
        <b val="true"/>
        <sz val="11"/>
        <color rgb="FFFFFFFF"/>
        <rFont val="Arial"/>
        <family val="0"/>
        <charset val="1"/>
      </rPr>
      <t xml:space="preserve">] </t>
    </r>
    <r>
      <rPr>
        <b val="true"/>
        <sz val="11"/>
        <color rgb="FFFFFFFF"/>
        <rFont val="Noto Sans CJK SC"/>
        <family val="2"/>
      </rPr>
      <t xml:space="preserve">장면 전환이 박자와 맞음</t>
    </r>
  </si>
  <si>
    <r>
      <rPr>
        <b val="true"/>
        <sz val="11"/>
        <color rgb="FFFFFFFF"/>
        <rFont val="Arial"/>
        <family val="0"/>
        <charset val="1"/>
      </rPr>
      <t xml:space="preserve">[</t>
    </r>
    <r>
      <rPr>
        <b val="true"/>
        <sz val="11"/>
        <color rgb="FFFFFFFF"/>
        <rFont val="Noto Sans CJK SC"/>
        <family val="2"/>
      </rPr>
      <t xml:space="preserve">사운드</t>
    </r>
    <r>
      <rPr>
        <b val="true"/>
        <sz val="11"/>
        <color rgb="FFFFFFFF"/>
        <rFont val="Arial"/>
        <family val="0"/>
        <charset val="1"/>
      </rPr>
      <t xml:space="preserve">] </t>
    </r>
    <r>
      <rPr>
        <b val="true"/>
        <sz val="11"/>
        <color rgb="FFFFFFFF"/>
        <rFont val="Noto Sans CJK SC"/>
        <family val="2"/>
      </rPr>
      <t xml:space="preserve">소리 없이도 이해됨</t>
    </r>
  </si>
  <si>
    <r>
      <rPr>
        <sz val="11"/>
        <rFont val="Noto Sans CJK SC"/>
        <family val="2"/>
      </rPr>
      <t xml:space="preserve">실사 손가락이 핀을 당기는 퍼즐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왕 아래는 용암</t>
    </r>
  </si>
  <si>
    <t xml:space="preserve">있음</t>
  </si>
  <si>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초 위기 → 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초 실패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블록이 왕을 맞힘</t>
    </r>
    <r>
      <rPr>
        <sz val="11"/>
        <rFont val="Arial"/>
        <family val="0"/>
        <charset val="1"/>
      </rPr>
      <t xml:space="preserve">) → 12</t>
    </r>
    <r>
      <rPr>
        <sz val="11"/>
        <rFont val="Noto Sans CJK SC"/>
        <family val="2"/>
      </rPr>
      <t xml:space="preserve">초 매치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판으로 전환</t>
    </r>
  </si>
  <si>
    <t xml:space="preserve">샘플에서 안 보임</t>
  </si>
  <si>
    <r>
      <rPr>
        <sz val="11"/>
        <rFont val="Noto Sans CJK SC"/>
        <family val="2"/>
      </rPr>
      <t xml:space="preserve">불꽃</t>
    </r>
    <r>
      <rPr>
        <sz val="11"/>
        <rFont val="Arial"/>
        <family val="0"/>
        <charset val="1"/>
      </rPr>
      <t xml:space="preserve">(6</t>
    </r>
    <r>
      <rPr>
        <sz val="11"/>
        <rFont val="Noto Sans CJK SC"/>
        <family val="2"/>
      </rPr>
      <t xml:space="preserve">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</si>
  <si>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로고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게임 화면 모음 </t>
    </r>
    <r>
      <rPr>
        <sz val="11"/>
        <rFont val="Arial"/>
        <family val="0"/>
        <charset val="1"/>
      </rPr>
      <t xml:space="preserve">+ Play Now</t>
    </r>
  </si>
  <si>
    <t xml:space="preserve">진흙 속 왕 클로즈업 → 실사 손이 호스로 씻김</t>
  </si>
  <si>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초 진흙에 묻힘 →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초 깨끗해짐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해소</t>
    </r>
    <r>
      <rPr>
        <sz val="11"/>
        <rFont val="Arial"/>
        <family val="0"/>
        <charset val="1"/>
      </rPr>
      <t xml:space="preserve">) → 8</t>
    </r>
    <r>
      <rPr>
        <sz val="11"/>
        <rFont val="Noto Sans CJK SC"/>
        <family val="2"/>
      </rPr>
      <t xml:space="preserve">초 물 찬 방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새 위기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</si>
  <si>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씻기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청소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</si>
  <si>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목표 아이콘 </t>
    </r>
    <r>
      <rPr>
        <sz val="11"/>
        <rFont val="Arial"/>
        <family val="0"/>
        <charset val="1"/>
      </rPr>
      <t xml:space="preserve">(10</t>
    </r>
    <r>
      <rPr>
        <sz val="11"/>
        <rFont val="Noto Sans CJK SC"/>
        <family val="2"/>
      </rPr>
      <t xml:space="preserve">초</t>
    </r>
    <r>
      <rPr>
        <sz val="11"/>
        <rFont val="Arial"/>
        <family val="0"/>
        <charset val="1"/>
      </rPr>
      <t xml:space="preserve">~)</t>
    </r>
  </si>
  <si>
    <r>
      <rPr>
        <sz val="11"/>
        <rFont val="Noto Sans CJK SC"/>
        <family val="2"/>
      </rPr>
      <t xml:space="preserve">흐림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카메라 이동</t>
    </r>
    <r>
      <rPr>
        <sz val="11"/>
        <rFont val="Arial"/>
        <family val="0"/>
        <charset val="1"/>
      </rPr>
      <t xml:space="preserve">(1</t>
    </r>
    <r>
      <rPr>
        <sz val="11"/>
        <rFont val="Noto Sans CJK SC"/>
        <family val="2"/>
      </rPr>
      <t xml:space="preserve">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</si>
  <si>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로고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다음 레벨 고르기 화면 </t>
    </r>
    <r>
      <rPr>
        <sz val="11"/>
        <rFont val="Arial"/>
        <family val="0"/>
        <charset val="1"/>
      </rPr>
      <t xml:space="preserve">('Choose the next level!')</t>
    </r>
  </si>
  <si>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상자가 갈리며 자갈이 쏟아짐</t>
    </r>
  </si>
  <si>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초 자갈이 왕 쪽으로 쏟아짐 → </t>
    </r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초까지 점점 차오름</t>
    </r>
  </si>
  <si>
    <r>
      <rPr>
        <sz val="11"/>
        <rFont val="Noto Sans CJK SC"/>
        <family val="2"/>
      </rPr>
      <t xml:space="preserve">부수기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쏟아지기</t>
    </r>
  </si>
  <si>
    <r>
      <rPr>
        <sz val="11"/>
        <rFont val="Noto Sans CJK SC"/>
        <family val="2"/>
      </rPr>
      <t xml:space="preserve">자갈 높이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긴장 표시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</si>
  <si>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파편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입자가 쏟아짐</t>
    </r>
  </si>
  <si>
    <t xml:space="preserve">왕이 물살에 미끄러져 물 찬 방에 갇힘</t>
  </si>
  <si>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초 미끄러짐 →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초 갇힘 → </t>
    </r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초까지 매치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로 구출 진행</t>
    </r>
  </si>
  <si>
    <t xml:space="preserve">물 흐름</t>
  </si>
  <si>
    <r>
      <rPr>
        <sz val="11"/>
        <rFont val="Noto Sans CJK SC"/>
        <family val="2"/>
      </rPr>
      <t xml:space="preserve">메타에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여러 버전이 있는 광고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로 표시 — 본 영상은 그중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개</t>
    </r>
  </si>
  <si>
    <t xml:space="preserve">동물 조각상 클로즈업 → 실사 손에 든 휴대폰 게임 화면</t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</si>
  <si>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초 철창 속 배우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코믹하게 갇힘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</si>
  <si>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큰 자막</t>
    </r>
    <r>
      <rPr>
        <sz val="11"/>
        <rFont val="Arial"/>
        <family val="0"/>
        <charset val="1"/>
      </rPr>
      <t xml:space="preserve">(8</t>
    </r>
    <r>
      <rPr>
        <sz val="11"/>
        <rFont val="Noto Sans CJK SC"/>
        <family val="2"/>
      </rPr>
      <t xml:space="preserve">초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실사 → </t>
    </r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게임 화면 전환</t>
    </r>
  </si>
  <si>
    <r>
      <rPr>
        <sz val="11"/>
        <rFont val="Noto Sans CJK SC"/>
        <family val="2"/>
      </rPr>
      <t xml:space="preserve">로고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이벤트 캐릭터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이벤트 문구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버튼 </t>
    </r>
    <r>
      <rPr>
        <sz val="11"/>
        <rFont val="Arial"/>
        <family val="0"/>
        <charset val="1"/>
      </rPr>
      <t xml:space="preserve">(14</t>
    </r>
    <r>
      <rPr>
        <sz val="11"/>
        <rFont val="Noto Sans CJK SC"/>
        <family val="2"/>
      </rPr>
      <t xml:space="preserve">초</t>
    </r>
    <r>
      <rPr>
        <sz val="11"/>
        <rFont val="Arial"/>
        <family val="0"/>
        <charset val="1"/>
      </rPr>
      <t xml:space="preserve">~, </t>
    </r>
    <r>
      <rPr>
        <sz val="11"/>
        <rFont val="Noto Sans CJK SC"/>
        <family val="2"/>
      </rPr>
      <t xml:space="preserve">약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초</t>
    </r>
    <r>
      <rPr>
        <sz val="11"/>
        <rFont val="Arial"/>
        <family val="0"/>
        <charset val="1"/>
      </rPr>
      <t xml:space="preserve">)</t>
    </r>
  </si>
  <si>
    <t xml:space="preserve">이탈리아어 문구 — 유럽 대상 광고로 보임</t>
  </si>
  <si>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보드 도시 → 미스터 모노폴리 → </t>
    </r>
    <r>
      <rPr>
        <sz val="11"/>
        <rFont val="Arial"/>
        <family val="0"/>
        <charset val="1"/>
      </rPr>
      <t xml:space="preserve">'GO TO JAIL' </t>
    </r>
    <r>
      <rPr>
        <sz val="11"/>
        <rFont val="Noto Sans CJK SC"/>
        <family val="2"/>
      </rPr>
      <t xml:space="preserve">칸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</si>
  <si>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초 감옥 </t>
    </r>
    <r>
      <rPr>
        <sz val="11"/>
        <rFont val="Arial"/>
        <family val="0"/>
        <charset val="1"/>
      </rPr>
      <t xml:space="preserve">+ '</t>
    </r>
    <r>
      <rPr>
        <sz val="11"/>
        <rFont val="Noto Sans CJK SC"/>
        <family val="2"/>
      </rPr>
      <t xml:space="preserve">도와줘</t>
    </r>
    <r>
      <rPr>
        <sz val="11"/>
        <rFont val="Arial"/>
        <family val="0"/>
        <charset val="1"/>
      </rPr>
      <t xml:space="preserve">(AIUTO!)' </t>
    </r>
    <r>
      <rPr>
        <sz val="11"/>
        <rFont val="Noto Sans CJK SC"/>
        <family val="2"/>
      </rPr>
      <t xml:space="preserve">말풍선 → </t>
    </r>
    <r>
      <rPr>
        <sz val="11"/>
        <rFont val="Arial"/>
        <family val="0"/>
        <charset val="1"/>
      </rPr>
      <t xml:space="preserve">4~20</t>
    </r>
    <r>
      <rPr>
        <sz val="11"/>
        <rFont val="Noto Sans CJK SC"/>
        <family val="2"/>
      </rPr>
      <t xml:space="preserve">초 블록 밀기 퍼즐로 열쇠 꺼내기</t>
    </r>
  </si>
  <si>
    <t xml:space="preserve">블록 밀기 퍼즐</t>
  </si>
  <si>
    <t xml:space="preserve">열쇠 위치</t>
  </si>
  <si>
    <t xml:space="preserve">없음</t>
  </si>
  <si>
    <t xml:space="preserve">말풍선 글자 팝</t>
  </si>
  <si>
    <r>
      <rPr>
        <sz val="11"/>
        <rFont val="Noto Sans CJK SC"/>
        <family val="2"/>
      </rPr>
      <t xml:space="preserve">보드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로고 </t>
    </r>
    <r>
      <rPr>
        <sz val="11"/>
        <rFont val="Arial"/>
        <family val="0"/>
        <charset val="1"/>
      </rPr>
      <t xml:space="preserve">+ 'GIOCA ORA'(</t>
    </r>
    <r>
      <rPr>
        <sz val="11"/>
        <rFont val="Noto Sans CJK SC"/>
        <family val="2"/>
      </rPr>
      <t xml:space="preserve">지금 플레이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버튼</t>
    </r>
  </si>
  <si>
    <t xml:space="preserve">광고 속 퍼즐이 실제 게임에 있는지는 확인 불가</t>
  </si>
  <si>
    <r>
      <rPr>
        <sz val="11"/>
        <rFont val="Noto Sans CJK SC"/>
        <family val="2"/>
      </rPr>
      <t xml:space="preserve">심슨 집 거실을 위에서 비추고 바트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개가 뜀</t>
    </r>
  </si>
  <si>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초 바트가 감옥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철창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에 들어감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</si>
  <si>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초 </t>
    </r>
    <r>
      <rPr>
        <sz val="11"/>
        <rFont val="Arial"/>
        <family val="0"/>
        <charset val="1"/>
      </rPr>
      <t xml:space="preserve">'7,500' </t>
    </r>
    <r>
      <rPr>
        <sz val="11"/>
        <rFont val="Noto Sans CJK SC"/>
        <family val="2"/>
      </rPr>
      <t xml:space="preserve">돈 숫자</t>
    </r>
  </si>
  <si>
    <t xml:space="preserve">보드 칸 이동</t>
  </si>
  <si>
    <t xml:space="preserve">숫자 팝업</t>
  </si>
  <si>
    <t xml:space="preserve">게임 장면으로 끝남</t>
  </si>
  <si>
    <t xml:space="preserve">미스터 모노폴리와 호머가 빨간 버튼 앞에서 놀람</t>
  </si>
  <si>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초 노란 폭발 플래시</t>
    </r>
    <r>
      <rPr>
        <sz val="11"/>
        <rFont val="Arial"/>
        <family val="0"/>
        <charset val="1"/>
      </rPr>
      <t xml:space="preserve">, 15</t>
    </r>
    <r>
      <rPr>
        <sz val="11"/>
        <rFont val="Noto Sans CJK SC"/>
        <family val="2"/>
      </rPr>
      <t xml:space="preserve">초 경고 아이콘</t>
    </r>
    <r>
      <rPr>
        <sz val="11"/>
        <rFont val="Arial"/>
        <family val="0"/>
        <charset val="1"/>
      </rPr>
      <t xml:space="preserve">, 20</t>
    </r>
    <r>
      <rPr>
        <sz val="11"/>
        <rFont val="Noto Sans CJK SC"/>
        <family val="2"/>
      </rPr>
      <t xml:space="preserve">초 감옥</t>
    </r>
  </si>
  <si>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초 </t>
    </r>
    <r>
      <rPr>
        <sz val="11"/>
        <rFont val="Arial"/>
        <family val="0"/>
        <charset val="1"/>
      </rPr>
      <t xml:space="preserve">'+150K' </t>
    </r>
    <r>
      <rPr>
        <sz val="11"/>
        <rFont val="Noto Sans CJK SC"/>
        <family val="2"/>
      </rPr>
      <t xml:space="preserve">숫자</t>
    </r>
  </si>
  <si>
    <r>
      <rPr>
        <sz val="11"/>
        <rFont val="Noto Sans CJK SC"/>
        <family val="2"/>
      </rPr>
      <t xml:space="preserve">화면 플래시</t>
    </r>
    <r>
      <rPr>
        <sz val="11"/>
        <rFont val="Arial"/>
        <family val="0"/>
        <charset val="1"/>
      </rPr>
      <t xml:space="preserve">(4</t>
    </r>
    <r>
      <rPr>
        <sz val="11"/>
        <rFont val="Noto Sans CJK SC"/>
        <family val="2"/>
      </rPr>
      <t xml:space="preserve">초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초록 연기 입자</t>
    </r>
    <r>
      <rPr>
        <sz val="11"/>
        <rFont val="Arial"/>
        <family val="0"/>
        <charset val="1"/>
      </rPr>
      <t xml:space="preserve">(6~10</t>
    </r>
    <r>
      <rPr>
        <sz val="11"/>
        <rFont val="Noto Sans CJK SC"/>
        <family val="2"/>
      </rPr>
      <t xml:space="preserve">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</si>
  <si>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로고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캐릭터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명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버튼</t>
    </r>
  </si>
  <si>
    <r>
      <rPr>
        <sz val="11"/>
        <rFont val="Noto Sans CJK SC"/>
        <family val="2"/>
      </rPr>
      <t xml:space="preserve">길거리 실물 퍼즐 도전 </t>
    </r>
    <r>
      <rPr>
        <sz val="11"/>
        <rFont val="Arial"/>
        <family val="0"/>
        <charset val="1"/>
      </rPr>
      <t xml:space="preserve">+ 'Only 1%' </t>
    </r>
    <r>
      <rPr>
        <sz val="11"/>
        <rFont val="Noto Sans CJK SC"/>
        <family val="2"/>
      </rPr>
      <t xml:space="preserve">팻말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구경꾼</t>
    </r>
  </si>
  <si>
    <r>
      <rPr>
        <sz val="11"/>
        <rFont val="Noto Sans CJK SC"/>
        <family val="2"/>
      </rPr>
      <t xml:space="preserve">액체 붓기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채우기</t>
    </r>
  </si>
  <si>
    <t xml:space="preserve">완성된 병이 늘어남</t>
  </si>
  <si>
    <r>
      <rPr>
        <sz val="11"/>
        <rFont val="Noto Sans CJK SC"/>
        <family val="2"/>
      </rPr>
      <t xml:space="preserve">실사 → 게임 화면 전환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약 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</si>
  <si>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로고 </t>
    </r>
    <r>
      <rPr>
        <sz val="11"/>
        <rFont val="Arial"/>
        <family val="0"/>
        <charset val="1"/>
      </rPr>
      <t xml:space="preserve">+ Play Now</t>
    </r>
  </si>
  <si>
    <r>
      <rPr>
        <sz val="11"/>
        <rFont val="Noto Sans CJK SC"/>
        <family val="2"/>
      </rPr>
      <t xml:space="preserve">병이 가득한 정렬 화면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손가락 아이콘</t>
    </r>
  </si>
  <si>
    <r>
      <rPr>
        <sz val="11"/>
        <rFont val="Noto Sans CJK SC"/>
        <family val="2"/>
      </rPr>
      <t xml:space="preserve">단색 병 완성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작은 보상으로 판독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</si>
  <si>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정렬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정리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</si>
  <si>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손가락 아이콘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붓기 애니메이션</t>
    </r>
  </si>
  <si>
    <t xml:space="preserve">플레이 화면으로 끝남</t>
  </si>
  <si>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초 내내 한 장면</t>
    </r>
  </si>
  <si>
    <r>
      <rPr>
        <sz val="11"/>
        <rFont val="Noto Sans CJK SC"/>
        <family val="2"/>
      </rPr>
      <t xml:space="preserve">실사풍 </t>
    </r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병에 액체 붓기 →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초 유리 깨짐</t>
    </r>
  </si>
  <si>
    <r>
      <rPr>
        <sz val="11"/>
        <rFont val="Arial"/>
        <family val="0"/>
        <charset val="1"/>
      </rPr>
      <t xml:space="preserve">2·4</t>
    </r>
    <r>
      <rPr>
        <sz val="11"/>
        <rFont val="Noto Sans CJK SC"/>
        <family val="2"/>
      </rPr>
      <t xml:space="preserve">초 병이 깨짐 → </t>
    </r>
    <r>
      <rPr>
        <sz val="11"/>
        <rFont val="Arial"/>
        <family val="0"/>
        <charset val="1"/>
      </rPr>
      <t xml:space="preserve">21</t>
    </r>
    <r>
      <rPr>
        <sz val="11"/>
        <rFont val="Noto Sans CJK SC"/>
        <family val="2"/>
      </rPr>
      <t xml:space="preserve">초 휴대폰 속 실제 게임 화면</t>
    </r>
  </si>
  <si>
    <r>
      <rPr>
        <sz val="11"/>
        <rFont val="Noto Sans CJK SC"/>
        <family val="2"/>
      </rPr>
      <t xml:space="preserve">있음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깨짐을 실패 연출로 판독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</si>
  <si>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붓기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부수기</t>
    </r>
  </si>
  <si>
    <t xml:space="preserve">유리 파편</t>
  </si>
  <si>
    <r>
      <rPr>
        <sz val="11"/>
        <rFont val="Noto Sans CJK SC"/>
        <family val="2"/>
      </rPr>
      <t xml:space="preserve">휴대폰 여러 대에 게임 화면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손가락</t>
    </r>
  </si>
  <si>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연출은 실제 게임 화면</t>
    </r>
    <r>
      <rPr>
        <sz val="11"/>
        <rFont val="Arial"/>
        <family val="0"/>
        <charset val="1"/>
      </rPr>
      <t xml:space="preserve">(2D)</t>
    </r>
    <r>
      <rPr>
        <sz val="11"/>
        <rFont val="Noto Sans CJK SC"/>
        <family val="2"/>
      </rPr>
      <t xml:space="preserve">과 다름</t>
    </r>
  </si>
  <si>
    <r>
      <rPr>
        <sz val="11"/>
        <rFont val="Noto Sans CJK SC"/>
        <family val="2"/>
      </rPr>
      <t xml:space="preserve">가운데 긴 튜브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꽉 찬 색 블록 정렬 화면</t>
    </r>
  </si>
  <si>
    <r>
      <rPr>
        <sz val="11"/>
        <rFont val="Noto Sans CJK SC"/>
        <family val="2"/>
      </rPr>
      <t xml:space="preserve">긴 튜브가 차오름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진행 보상으로 판독</t>
    </r>
    <r>
      <rPr>
        <sz val="11"/>
        <rFont val="Arial"/>
        <family val="0"/>
        <charset val="1"/>
      </rPr>
      <t xml:space="preserve">)</t>
    </r>
  </si>
  <si>
    <t xml:space="preserve">채우기</t>
  </si>
  <si>
    <t xml:space="preserve">긴 튜브 높이</t>
  </si>
  <si>
    <t xml:space="preserve">붓기 애니메이션</t>
  </si>
  <si>
    <r>
      <rPr>
        <b val="true"/>
        <sz val="12"/>
        <rFont val="Noto Sans CJK SC"/>
        <family val="2"/>
      </rPr>
      <t xml:space="preserve">요약 — 위 </t>
    </r>
    <r>
      <rPr>
        <b val="true"/>
        <sz val="12"/>
        <rFont val="Arial"/>
        <family val="0"/>
        <charset val="1"/>
      </rPr>
      <t xml:space="preserve">12</t>
    </r>
    <r>
      <rPr>
        <b val="true"/>
        <sz val="12"/>
        <rFont val="Noto Sans CJK SC"/>
        <family val="2"/>
      </rPr>
      <t xml:space="preserve">개 영상 기준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수식</t>
    </r>
    <r>
      <rPr>
        <b val="true"/>
        <sz val="12"/>
        <rFont val="Arial"/>
        <family val="0"/>
        <charset val="1"/>
      </rPr>
      <t xml:space="preserve">)</t>
    </r>
  </si>
  <si>
    <t xml:space="preserve">영상 수</t>
  </si>
  <si>
    <r>
      <rPr>
        <b val="true"/>
        <sz val="11"/>
        <color rgb="FFFFFFFF"/>
        <rFont val="Noto Sans CJK SC"/>
        <family val="2"/>
      </rPr>
      <t xml:space="preserve">평균 길이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초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</si>
  <si>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세로형 수</t>
  </si>
  <si>
    <t xml:space="preserve">정사각형 수</t>
  </si>
  <si>
    <t xml:space="preserve">가로형 수</t>
  </si>
  <si>
    <r>
      <rPr>
        <b val="true"/>
        <sz val="11"/>
        <color rgb="FFFFFFFF"/>
        <rFont val="Noto Sans CJK SC"/>
        <family val="2"/>
      </rPr>
      <t xml:space="preserve">위기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실패 장면 있음</t>
    </r>
  </si>
  <si>
    <r>
      <rPr>
        <b val="true"/>
        <sz val="11"/>
        <color rgb="FFFFFFFF"/>
        <rFont val="Noto Sans CJK SC"/>
        <family val="2"/>
      </rPr>
      <t xml:space="preserve">실사 사람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손 있음</t>
    </r>
  </si>
  <si>
    <t xml:space="preserve">평균 큰 장면 전환 수</t>
  </si>
  <si>
    <t xml:space="preserve">엔드카드 있음</t>
  </si>
  <si>
    <t xml:space="preserve">전체</t>
  </si>
  <si>
    <r>
      <rPr>
        <i val="true"/>
        <sz val="11"/>
        <color rgb="FF595959"/>
        <rFont val="Noto Sans CJK SC"/>
        <family val="2"/>
      </rPr>
      <t xml:space="preserve">고른 기준</t>
    </r>
    <r>
      <rPr>
        <i val="true"/>
        <sz val="11"/>
        <color rgb="FF595959"/>
        <rFont val="Arial"/>
        <family val="0"/>
        <charset val="1"/>
      </rPr>
      <t xml:space="preserve">: 3-3 ⑤</t>
    </r>
    <r>
      <rPr>
        <i val="true"/>
        <sz val="11"/>
        <color rgb="FF595959"/>
        <rFont val="Noto Sans CJK SC"/>
        <family val="2"/>
      </rPr>
      <t xml:space="preserve">의 처음 </t>
    </r>
    <r>
      <rPr>
        <i val="true"/>
        <sz val="11"/>
        <color rgb="FF595959"/>
        <rFont val="Arial"/>
        <family val="0"/>
        <charset val="1"/>
      </rPr>
      <t xml:space="preserve">3</t>
    </r>
    <r>
      <rPr>
        <i val="true"/>
        <sz val="11"/>
        <color rgb="FF595959"/>
        <rFont val="Noto Sans CJK SC"/>
        <family val="2"/>
      </rPr>
      <t xml:space="preserve">초 유형이 겹치지 않게 게임별 </t>
    </r>
    <r>
      <rPr>
        <i val="true"/>
        <sz val="11"/>
        <color rgb="FF595959"/>
        <rFont val="Arial"/>
        <family val="0"/>
        <charset val="1"/>
      </rPr>
      <t xml:space="preserve">4</t>
    </r>
    <r>
      <rPr>
        <i val="true"/>
        <sz val="11"/>
        <color rgb="FF595959"/>
        <rFont val="Noto Sans CJK SC"/>
        <family val="2"/>
      </rPr>
      <t xml:space="preserve">개 </t>
    </r>
    <r>
      <rPr>
        <i val="true"/>
        <sz val="11"/>
        <color rgb="FF595959"/>
        <rFont val="Arial"/>
        <family val="0"/>
        <charset val="1"/>
      </rPr>
      <t xml:space="preserve">(Royal Match: </t>
    </r>
    <r>
      <rPr>
        <i val="true"/>
        <sz val="11"/>
        <color rgb="FF595959"/>
        <rFont val="Noto Sans CJK SC"/>
        <family val="2"/>
      </rPr>
      <t xml:space="preserve">선택지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실사 손</t>
    </r>
    <r>
      <rPr>
        <i val="true"/>
        <sz val="11"/>
        <color rgb="FF595959"/>
        <rFont val="Arial"/>
        <family val="0"/>
        <charset val="1"/>
      </rPr>
      <t xml:space="preserve">·3D </t>
    </r>
    <r>
      <rPr>
        <i val="true"/>
        <sz val="11"/>
        <color rgb="FF595959"/>
        <rFont val="Noto Sans CJK SC"/>
        <family val="2"/>
      </rPr>
      <t xml:space="preserve">연출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위기 </t>
    </r>
    <r>
      <rPr>
        <i val="true"/>
        <sz val="11"/>
        <color rgb="FF595959"/>
        <rFont val="Arial"/>
        <family val="0"/>
        <charset val="1"/>
      </rPr>
      <t xml:space="preserve">/ MONOPOLY GO!: </t>
    </r>
    <r>
      <rPr>
        <i val="true"/>
        <sz val="11"/>
        <color rgb="FF595959"/>
        <rFont val="Noto Sans CJK SC"/>
        <family val="2"/>
      </rPr>
      <t xml:space="preserve">실사 배우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캐릭터 </t>
    </r>
    <r>
      <rPr>
        <i val="true"/>
        <sz val="11"/>
        <color rgb="FF595959"/>
        <rFont val="Arial"/>
        <family val="0"/>
        <charset val="1"/>
      </rPr>
      <t xml:space="preserve">2</t>
    </r>
    <r>
      <rPr>
        <i val="true"/>
        <sz val="11"/>
        <color rgb="FF595959"/>
        <rFont val="Noto Sans CJK SC"/>
        <family val="2"/>
      </rPr>
      <t xml:space="preserve">개</t>
    </r>
    <r>
      <rPr>
        <i val="true"/>
        <sz val="11"/>
        <color rgb="FF595959"/>
        <rFont val="Arial"/>
        <family val="0"/>
        <charset val="1"/>
      </rPr>
      <t xml:space="preserve">·IP / Magic Sort!: </t>
    </r>
    <r>
      <rPr>
        <i val="true"/>
        <sz val="11"/>
        <color rgb="FF595959"/>
        <rFont val="Noto Sans CJK SC"/>
        <family val="2"/>
      </rPr>
      <t xml:space="preserve">실사 도전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플레이 </t>
    </r>
    <r>
      <rPr>
        <i val="true"/>
        <sz val="11"/>
        <color rgb="FF595959"/>
        <rFont val="Arial"/>
        <family val="0"/>
        <charset val="1"/>
      </rPr>
      <t xml:space="preserve">2</t>
    </r>
    <r>
      <rPr>
        <i val="true"/>
        <sz val="11"/>
        <color rgb="FF595959"/>
        <rFont val="Noto Sans CJK SC"/>
        <family val="2"/>
      </rPr>
      <t xml:space="preserve">개</t>
    </r>
    <r>
      <rPr>
        <i val="true"/>
        <sz val="11"/>
        <color rgb="FF595959"/>
        <rFont val="Arial"/>
        <family val="0"/>
        <charset val="1"/>
      </rPr>
      <t xml:space="preserve">·3D </t>
    </r>
    <r>
      <rPr>
        <i val="true"/>
        <sz val="11"/>
        <color rgb="FF595959"/>
        <rFont val="Noto Sans CJK SC"/>
        <family val="2"/>
      </rPr>
      <t xml:space="preserve">연출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</si>
  <si>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도파민 요소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는 뇌 반응을 잰 것이 아니라 화면에 보이는 보상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긴장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만족감 연출을 센 것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분석자 판독</t>
    </r>
    <r>
      <rPr>
        <i val="true"/>
        <sz val="11"/>
        <color rgb="FF595959"/>
        <rFont val="Arial"/>
        <family val="0"/>
        <charset val="1"/>
      </rPr>
      <t xml:space="preserve">). '</t>
    </r>
    <r>
      <rPr>
        <i val="true"/>
        <sz val="11"/>
        <color rgb="FF595959"/>
        <rFont val="Noto Sans CJK SC"/>
        <family val="2"/>
      </rPr>
      <t xml:space="preserve">샘플에서 안 보임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은 없다는 뜻이 아니라 캡처한 </t>
    </r>
    <r>
      <rPr>
        <i val="true"/>
        <sz val="11"/>
        <color rgb="FF595959"/>
        <rFont val="Arial"/>
        <family val="0"/>
        <charset val="1"/>
      </rPr>
      <t xml:space="preserve">12</t>
    </r>
    <r>
      <rPr>
        <i val="true"/>
        <sz val="11"/>
        <color rgb="FF595959"/>
        <rFont val="Noto Sans CJK SC"/>
        <family val="2"/>
      </rPr>
      <t xml:space="preserve">장에 없었다는 뜻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</si>
  <si>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큰 장면 전환 수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연속한 캡처 </t>
    </r>
    <r>
      <rPr>
        <i val="true"/>
        <sz val="11"/>
        <color rgb="FF595959"/>
        <rFont val="Arial"/>
        <family val="0"/>
        <charset val="1"/>
      </rPr>
      <t xml:space="preserve">2</t>
    </r>
    <r>
      <rPr>
        <i val="true"/>
        <sz val="11"/>
        <color rgb="FF595959"/>
        <rFont val="Noto Sans CJK SC"/>
        <family val="2"/>
      </rPr>
      <t xml:space="preserve">장 사이에 장소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화면이 확 바뀐 횟수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엔드카드로 바뀜 포함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캡처 간격이 </t>
    </r>
    <r>
      <rPr>
        <i val="true"/>
        <sz val="11"/>
        <color rgb="FF595959"/>
        <rFont val="Arial"/>
        <family val="0"/>
        <charset val="1"/>
      </rPr>
      <t xml:space="preserve">1~5</t>
    </r>
    <r>
      <rPr>
        <i val="true"/>
        <sz val="11"/>
        <color rgb="FF595959"/>
        <rFont val="Noto Sans CJK SC"/>
        <family val="2"/>
      </rPr>
      <t xml:space="preserve">초라 실제 컷 수보다 적게 셀 수 있음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</si>
  <si>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사운드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이 판독 방식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화면 캡처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으로는 소리를 들을 수 없음 → </t>
    </r>
    <r>
      <rPr>
        <i val="true"/>
        <sz val="11"/>
        <color rgb="FF595959"/>
        <rFont val="Arial"/>
        <family val="0"/>
        <charset val="1"/>
      </rPr>
      <t xml:space="preserve">T~Y</t>
    </r>
    <r>
      <rPr>
        <i val="true"/>
        <sz val="11"/>
        <color rgb="FF595959"/>
        <rFont val="Noto Sans CJK SC"/>
        <family val="2"/>
      </rPr>
      <t xml:space="preserve">열은 사용자가 메타 광고 라이브러리에서 </t>
    </r>
    <r>
      <rPr>
        <i val="true"/>
        <sz val="11"/>
        <color rgb="FF595959"/>
        <rFont val="Arial"/>
        <family val="0"/>
        <charset val="1"/>
      </rPr>
      <t xml:space="preserve">B</t>
    </r>
    <r>
      <rPr>
        <i val="true"/>
        <sz val="11"/>
        <color rgb="FF595959"/>
        <rFont val="Noto Sans CJK SC"/>
        <family val="2"/>
      </rPr>
      <t xml:space="preserve">열 </t>
    </r>
    <r>
      <rPr>
        <i val="true"/>
        <sz val="11"/>
        <color rgb="FF595959"/>
        <rFont val="Arial"/>
        <family val="0"/>
        <charset val="1"/>
      </rPr>
      <t xml:space="preserve">ID</t>
    </r>
    <r>
      <rPr>
        <i val="true"/>
        <sz val="11"/>
        <color rgb="FF595959"/>
        <rFont val="Noto Sans CJK SC"/>
        <family val="2"/>
      </rPr>
      <t xml:space="preserve">로 영상을 열어 듣고 고르는 칸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</si>
  <si>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실제 광고 성과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조회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설치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광고비</t>
    </r>
    <r>
      <rPr>
        <i val="true"/>
        <sz val="11"/>
        <color rgb="FF595959"/>
        <rFont val="Arial"/>
        <family val="0"/>
        <charset val="1"/>
      </rPr>
      <t xml:space="preserve">): </t>
    </r>
    <r>
      <rPr>
        <i val="true"/>
        <sz val="11"/>
        <color rgb="FF595959"/>
        <rFont val="Noto Sans CJK SC"/>
        <family val="2"/>
      </rPr>
      <t xml:space="preserve">비공개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대신 쓸 수 있는 공개 지표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집행 일수</t>
    </r>
    <r>
      <rPr>
        <i val="true"/>
        <sz val="11"/>
        <color rgb="FF595959"/>
        <rFont val="Arial"/>
        <family val="0"/>
        <charset val="1"/>
      </rPr>
      <t xml:space="preserve">(3-3 ④), </t>
    </r>
    <r>
      <rPr>
        <i val="true"/>
        <sz val="11"/>
        <color rgb="FF595959"/>
        <rFont val="Noto Sans CJK SC"/>
        <family val="2"/>
      </rPr>
      <t xml:space="preserve">같은 영상 재사용</t>
    </r>
    <r>
      <rPr>
        <i val="true"/>
        <sz val="11"/>
        <color rgb="FF595959"/>
        <rFont val="Arial"/>
        <family val="0"/>
        <charset val="1"/>
      </rPr>
      <t xml:space="preserve">(3-3 ⑤ F</t>
    </r>
    <r>
      <rPr>
        <i val="true"/>
        <sz val="11"/>
        <color rgb="FF595959"/>
        <rFont val="Noto Sans CJK SC"/>
        <family val="2"/>
      </rPr>
      <t xml:space="preserve">열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</si>
  <si>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i val="true"/>
        <sz val="11"/>
        <color rgb="FF595959"/>
        <rFont val="Noto Sans CJK SC"/>
        <family val="2"/>
      </rPr>
      <t xml:space="preserve">출처</t>
    </r>
    <r>
      <rPr>
        <i val="true"/>
        <sz val="11"/>
        <color rgb="FF595959"/>
        <rFont val="Arial"/>
        <family val="0"/>
        <charset val="1"/>
      </rPr>
      <t xml:space="preserve">: Meta </t>
    </r>
    <r>
      <rPr>
        <i val="true"/>
        <sz val="11"/>
        <color rgb="FF595959"/>
        <rFont val="Noto Sans CJK SC"/>
        <family val="2"/>
      </rPr>
      <t xml:space="preserve">광고 라이브러리 </t>
    </r>
    <r>
      <rPr>
        <i val="true"/>
        <sz val="11"/>
        <color rgb="FF595959"/>
        <rFont val="Arial"/>
        <family val="0"/>
        <charset val="1"/>
      </rPr>
      <t xml:space="preserve">(https://www.facebook.com/ads/library/?id=</t>
    </r>
    <r>
      <rPr>
        <i val="true"/>
        <sz val="11"/>
        <color rgb="FF595959"/>
        <rFont val="Noto Sans CJK SC"/>
        <family val="2"/>
      </rPr>
      <t xml:space="preserve">광고 </t>
    </r>
    <r>
      <rPr>
        <i val="true"/>
        <sz val="11"/>
        <color rgb="FF595959"/>
        <rFont val="Arial"/>
        <family val="0"/>
        <charset val="1"/>
      </rPr>
      <t xml:space="preserve">ID), 2026-10-05 </t>
    </r>
    <r>
      <rPr>
        <i val="true"/>
        <sz val="11"/>
        <color rgb="FF595959"/>
        <rFont val="Noto Sans CJK SC"/>
        <family val="2"/>
      </rPr>
      <t xml:space="preserve">조회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일부 광고는 유럽 대상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이탈리아어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독일어 문구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</si>
  <si>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b val="true"/>
        <sz val="12"/>
        <rFont val="Noto Sans CJK SC"/>
        <family val="2"/>
      </rPr>
      <t xml:space="preserve">광고 </t>
    </r>
    <r>
      <rPr>
        <b val="true"/>
        <sz val="12"/>
        <rFont val="Arial"/>
        <family val="0"/>
        <charset val="1"/>
      </rPr>
      <t xml:space="preserve">MVP </t>
    </r>
    <r>
      <rPr>
        <b val="true"/>
        <sz val="12"/>
        <rFont val="Noto Sans CJK SC"/>
        <family val="2"/>
      </rPr>
      <t xml:space="preserve">구성표 — 우리 </t>
    </r>
    <r>
      <rPr>
        <b val="true"/>
        <sz val="12"/>
        <rFont val="Arial"/>
        <family val="0"/>
        <charset val="1"/>
      </rPr>
      <t xml:space="preserve">Magic Sort!</t>
    </r>
    <r>
      <rPr>
        <b val="true"/>
        <sz val="12"/>
        <rFont val="Noto Sans CJK SC"/>
        <family val="2"/>
      </rPr>
      <t xml:space="preserve">형 정렬 퍼즐용 </t>
    </r>
    <r>
      <rPr>
        <b val="true"/>
        <sz val="12"/>
        <rFont val="Arial"/>
        <family val="0"/>
        <charset val="1"/>
      </rPr>
      <t xml:space="preserve">15</t>
    </r>
    <r>
      <rPr>
        <b val="true"/>
        <sz val="12"/>
        <rFont val="Noto Sans CJK SC"/>
        <family val="2"/>
      </rPr>
      <t xml:space="preserve">초</t>
    </r>
    <r>
      <rPr>
        <b val="true"/>
        <sz val="12"/>
        <rFont val="Arial"/>
        <family val="0"/>
        <charset val="1"/>
      </rPr>
      <t xml:space="preserve">·30</t>
    </r>
    <r>
      <rPr>
        <b val="true"/>
        <sz val="12"/>
        <rFont val="Noto Sans CJK SC"/>
        <family val="2"/>
      </rPr>
      <t xml:space="preserve">초 광고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모두 분석자 제안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근거는 </t>
    </r>
    <r>
      <rPr>
        <b val="true"/>
        <sz val="12"/>
        <rFont val="Arial"/>
        <family val="0"/>
        <charset val="1"/>
      </rPr>
      <t xml:space="preserve">3-3·3-5)</t>
    </r>
  </si>
  <si>
    <r>
      <rPr>
        <i val="true"/>
        <sz val="11"/>
        <color rgb="FF595959"/>
        <rFont val="Noto Sans CJK SC"/>
        <family val="2"/>
      </rPr>
      <t xml:space="preserve">광고 </t>
    </r>
    <r>
      <rPr>
        <i val="true"/>
        <sz val="11"/>
        <color rgb="FF595959"/>
        <rFont val="Arial"/>
        <family val="0"/>
        <charset val="1"/>
      </rPr>
      <t xml:space="preserve">MVP = </t>
    </r>
    <r>
      <rPr>
        <i val="true"/>
        <sz val="11"/>
        <color rgb="FF595959"/>
        <rFont val="Noto Sans CJK SC"/>
        <family val="2"/>
      </rPr>
      <t xml:space="preserve">광고 한 편에 꼭 있어야 할 최소 구성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노란 칸 </t>
    </r>
    <r>
      <rPr>
        <i val="true"/>
        <sz val="11"/>
        <color rgb="FF595959"/>
        <rFont val="Arial"/>
        <family val="0"/>
        <charset val="1"/>
      </rPr>
      <t xml:space="preserve">= </t>
    </r>
    <r>
      <rPr>
        <i val="true"/>
        <sz val="11"/>
        <color rgb="FF595959"/>
        <rFont val="Noto Sans CJK SC"/>
        <family val="2"/>
      </rPr>
      <t xml:space="preserve">분석자 제안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숫자 근거는 </t>
    </r>
    <r>
      <rPr>
        <i val="true"/>
        <sz val="11"/>
        <color rgb="FF595959"/>
        <rFont val="Arial"/>
        <family val="0"/>
        <charset val="1"/>
      </rPr>
      <t xml:space="preserve">3-5</t>
    </r>
    <r>
      <rPr>
        <i val="true"/>
        <sz val="11"/>
        <color rgb="FF595959"/>
        <rFont val="Noto Sans CJK SC"/>
        <family val="2"/>
      </rPr>
      <t xml:space="preserve">에서 수식으로 가져옴</t>
    </r>
  </si>
  <si>
    <t xml:space="preserve">근거 숫자</t>
  </si>
  <si>
    <r>
      <rPr>
        <b val="true"/>
        <sz val="11"/>
        <color rgb="FFFFFFFF"/>
        <rFont val="Noto Sans CJK SC"/>
        <family val="2"/>
      </rPr>
      <t xml:space="preserve">값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</si>
  <si>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어디서</t>
  </si>
  <si>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개 중 엔드카드가 있는 영상</t>
    </r>
  </si>
  <si>
    <r>
      <rPr>
        <sz val="11"/>
        <rFont val="Arial"/>
        <family val="0"/>
        <charset val="1"/>
      </rPr>
      <t xml:space="preserve">3-5 Q</t>
    </r>
    <r>
      <rPr>
        <sz val="11"/>
        <rFont val="Noto Sans CJK SC"/>
        <family val="2"/>
      </rPr>
      <t xml:space="preserve">열</t>
    </r>
  </si>
  <si>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개 중 세로형 영상</t>
    </r>
  </si>
  <si>
    <r>
      <rPr>
        <sz val="11"/>
        <rFont val="Arial"/>
        <family val="0"/>
        <charset val="1"/>
      </rPr>
      <t xml:space="preserve">3-5 F</t>
    </r>
    <r>
      <rPr>
        <sz val="11"/>
        <rFont val="Noto Sans CJK SC"/>
        <family val="2"/>
      </rPr>
      <t xml:space="preserve">열</t>
    </r>
  </si>
  <si>
    <r>
      <rPr>
        <sz val="11"/>
        <rFont val="Arial"/>
        <family val="0"/>
        <charset val="1"/>
      </rPr>
      <t xml:space="preserve">Magic Sort! 4</t>
    </r>
    <r>
      <rPr>
        <sz val="11"/>
        <rFont val="Noto Sans CJK SC"/>
        <family val="2"/>
      </rPr>
      <t xml:space="preserve">개 평균 길이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초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</si>
  <si>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3-5 C</t>
    </r>
    <r>
      <rPr>
        <sz val="11"/>
        <rFont val="Noto Sans CJK SC"/>
        <family val="2"/>
      </rPr>
      <t xml:space="preserve">열</t>
    </r>
  </si>
  <si>
    <r>
      <rPr>
        <sz val="11"/>
        <rFont val="Arial"/>
        <family val="0"/>
        <charset val="1"/>
      </rPr>
      <t xml:space="preserve">Royal Match 4</t>
    </r>
    <r>
      <rPr>
        <sz val="11"/>
        <rFont val="Noto Sans CJK SC"/>
        <family val="2"/>
      </rPr>
      <t xml:space="preserve">개 중 위기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실패 장면</t>
    </r>
  </si>
  <si>
    <r>
      <rPr>
        <sz val="11"/>
        <rFont val="Arial"/>
        <family val="0"/>
        <charset val="1"/>
      </rPr>
      <t xml:space="preserve">3-5 H</t>
    </r>
    <r>
      <rPr>
        <sz val="11"/>
        <rFont val="Noto Sans CJK SC"/>
        <family val="2"/>
      </rPr>
      <t xml:space="preserve">열</t>
    </r>
  </si>
  <si>
    <r>
      <rPr>
        <sz val="11"/>
        <rFont val="Arial"/>
        <family val="0"/>
        <charset val="1"/>
      </rPr>
      <t xml:space="preserve">Magic Sort! 4</t>
    </r>
    <r>
      <rPr>
        <sz val="11"/>
        <rFont val="Noto Sans CJK SC"/>
        <family val="2"/>
      </rPr>
      <t xml:space="preserve">개 평균 큰 장면 전환 수</t>
    </r>
  </si>
  <si>
    <r>
      <rPr>
        <sz val="11"/>
        <rFont val="Arial"/>
        <family val="0"/>
        <charset val="1"/>
      </rPr>
      <t xml:space="preserve">3-5 O</t>
    </r>
    <r>
      <rPr>
        <sz val="11"/>
        <rFont val="Noto Sans CJK SC"/>
        <family val="2"/>
      </rPr>
      <t xml:space="preserve">열</t>
    </r>
  </si>
  <si>
    <r>
      <rPr>
        <b val="true"/>
        <sz val="12"/>
        <rFont val="Noto Sans CJK SC"/>
        <family val="2"/>
      </rPr>
      <t xml:space="preserve">① 구간별 구성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분석자 제안</t>
    </r>
    <r>
      <rPr>
        <b val="true"/>
        <sz val="12"/>
        <rFont val="Arial"/>
        <family val="0"/>
        <charset val="1"/>
      </rPr>
      <t xml:space="preserve">)</t>
    </r>
  </si>
  <si>
    <t xml:space="preserve">구간</t>
  </si>
  <si>
    <r>
      <rPr>
        <b val="true"/>
        <sz val="11"/>
        <color rgb="FFFFFFFF"/>
        <rFont val="Arial"/>
        <family val="0"/>
        <charset val="1"/>
      </rPr>
      <t xml:space="preserve">15</t>
    </r>
    <r>
      <rPr>
        <b val="true"/>
        <sz val="11"/>
        <color rgb="FFFFFFFF"/>
        <rFont val="Noto Sans CJK SC"/>
        <family val="2"/>
      </rPr>
      <t xml:space="preserve">초 버전</t>
    </r>
  </si>
  <si>
    <r>
      <rPr>
        <b val="true"/>
        <sz val="11"/>
        <color rgb="FFFFFFFF"/>
        <rFont val="Arial"/>
        <family val="0"/>
        <charset val="1"/>
      </rPr>
      <t xml:space="preserve">30</t>
    </r>
    <r>
      <rPr>
        <b val="true"/>
        <sz val="11"/>
        <color rgb="FFFFFFFF"/>
        <rFont val="Noto Sans CJK SC"/>
        <family val="2"/>
      </rPr>
      <t xml:space="preserve">초 버전</t>
    </r>
  </si>
  <si>
    <t xml:space="preserve">화면에 보여 줄 것</t>
  </si>
  <si>
    <r>
      <rPr>
        <b val="true"/>
        <sz val="11"/>
        <color rgb="FFFFFFFF"/>
        <rFont val="Noto Sans CJK SC"/>
        <family val="2"/>
      </rPr>
      <t xml:space="preserve">도파민 장치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보상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긴장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</si>
  <si>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영상 효과</t>
  </si>
  <si>
    <r>
      <rPr>
        <b val="true"/>
        <sz val="11"/>
        <color rgb="FFFFFFFF"/>
        <rFont val="Noto Sans CJK SC"/>
        <family val="2"/>
      </rPr>
      <t xml:space="preserve">사운드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제안 — </t>
    </r>
    <r>
      <rPr>
        <b val="true"/>
        <sz val="11"/>
        <color rgb="FFFFFFFF"/>
        <rFont val="Arial"/>
        <family val="0"/>
        <charset val="1"/>
      </rPr>
      <t xml:space="preserve">3-5 </t>
    </r>
    <r>
      <rPr>
        <b val="true"/>
        <sz val="11"/>
        <color rgb="FFFFFFFF"/>
        <rFont val="Noto Sans CJK SC"/>
        <family val="2"/>
      </rPr>
      <t xml:space="preserve">사운드 기입 뒤 확정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</si>
  <si>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인 팀 제작 난이도</t>
    </r>
  </si>
  <si>
    <t xml:space="preserve">① 후킹</t>
  </si>
  <si>
    <r>
      <rPr>
        <sz val="11"/>
        <rFont val="Arial"/>
        <family val="0"/>
        <charset val="1"/>
      </rPr>
      <t xml:space="preserve">0~3</t>
    </r>
    <r>
      <rPr>
        <sz val="11"/>
        <rFont val="Noto Sans CJK SC"/>
        <family val="2"/>
      </rPr>
      <t xml:space="preserve">초</t>
    </r>
  </si>
  <si>
    <r>
      <rPr>
        <sz val="11"/>
        <rFont val="Noto Sans CJK SC"/>
        <family val="2"/>
      </rPr>
      <t xml:space="preserve">거의 다 푼 판 </t>
    </r>
    <r>
      <rPr>
        <sz val="11"/>
        <rFont val="Arial"/>
        <family val="0"/>
        <charset val="1"/>
      </rPr>
      <t xml:space="preserve">+ 'Only 1%</t>
    </r>
    <r>
      <rPr>
        <sz val="11"/>
        <rFont val="Noto Sans CJK SC"/>
        <family val="2"/>
      </rPr>
      <t xml:space="preserve">만 풀 수 있다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같은 도전 문구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또는 실물 퍼즐 도전 장면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</si>
  <si>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도전 문구로 궁금증 </t>
    </r>
    <r>
      <rPr>
        <sz val="11"/>
        <rFont val="Arial"/>
        <family val="0"/>
        <charset val="1"/>
      </rPr>
      <t xml:space="preserve">+ '</t>
    </r>
    <r>
      <rPr>
        <sz val="11"/>
        <rFont val="Noto Sans CJK SC"/>
        <family val="2"/>
      </rPr>
      <t xml:space="preserve">나도 할 수 있나</t>
    </r>
    <r>
      <rPr>
        <sz val="11"/>
        <rFont val="Arial"/>
        <family val="0"/>
        <charset val="1"/>
      </rPr>
      <t xml:space="preserve">?'</t>
    </r>
  </si>
  <si>
    <r>
      <rPr>
        <sz val="11"/>
        <rFont val="Noto Sans CJK SC"/>
        <family val="2"/>
      </rPr>
      <t xml:space="preserve">첫 장면부터 게임 화면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글자는 크게 한 줄</t>
    </r>
  </si>
  <si>
    <r>
      <rPr>
        <sz val="11"/>
        <rFont val="Noto Sans CJK SC"/>
        <family val="2"/>
      </rPr>
      <t xml:space="preserve">첫 </t>
    </r>
    <r>
      <rPr>
        <sz val="11"/>
        <rFont val="Arial"/>
        <family val="0"/>
        <charset val="1"/>
      </rPr>
      <t xml:space="preserve">0.5</t>
    </r>
    <r>
      <rPr>
        <sz val="11"/>
        <rFont val="Noto Sans CJK SC"/>
        <family val="2"/>
      </rPr>
      <t xml:space="preserve">초 안에 소리 시작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제안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</si>
  <si>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쉬움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도전 장면은 보통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</si>
  <si>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3-3 ②·⑤ Magic Sort! </t>
    </r>
    <r>
      <rPr>
        <sz val="11"/>
        <rFont val="Noto Sans CJK SC"/>
        <family val="2"/>
      </rPr>
      <t xml:space="preserve">호기심형</t>
    </r>
    <r>
      <rPr>
        <sz val="11"/>
        <rFont val="Arial"/>
        <family val="0"/>
        <charset val="1"/>
      </rPr>
      <t xml:space="preserve">, 3-5 Magic Sort! </t>
    </r>
    <r>
      <rPr>
        <sz val="11"/>
        <rFont val="Noto Sans CJK SC"/>
        <family val="2"/>
      </rPr>
      <t xml:space="preserve">실사 도전</t>
    </r>
  </si>
  <si>
    <t xml:space="preserve">② 핵심 놀이</t>
  </si>
  <si>
    <r>
      <rPr>
        <sz val="11"/>
        <rFont val="Arial"/>
        <family val="0"/>
        <charset val="1"/>
      </rPr>
      <t xml:space="preserve">3~8</t>
    </r>
    <r>
      <rPr>
        <sz val="11"/>
        <rFont val="Noto Sans CJK SC"/>
        <family val="2"/>
      </rPr>
      <t xml:space="preserve">초</t>
    </r>
  </si>
  <si>
    <r>
      <rPr>
        <sz val="11"/>
        <rFont val="Arial"/>
        <family val="0"/>
        <charset val="1"/>
      </rPr>
      <t xml:space="preserve">3~15</t>
    </r>
    <r>
      <rPr>
        <sz val="11"/>
        <rFont val="Noto Sans CJK SC"/>
        <family val="2"/>
      </rPr>
      <t xml:space="preserve">초</t>
    </r>
  </si>
  <si>
    <r>
      <rPr>
        <sz val="11"/>
        <rFont val="Noto Sans CJK SC"/>
        <family val="2"/>
      </rPr>
      <t xml:space="preserve">손가락 아이콘이 병을 옮기는 실제 플레이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 장면 유지</t>
    </r>
  </si>
  <si>
    <t xml:space="preserve">단색 병이 하나씩 완성되는 진행감</t>
  </si>
  <si>
    <r>
      <rPr>
        <sz val="11"/>
        <rFont val="Noto Sans CJK SC"/>
        <family val="2"/>
      </rPr>
      <t xml:space="preserve">손가락 아이콘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붓는 애니메이션</t>
    </r>
  </si>
  <si>
    <r>
      <rPr>
        <sz val="11"/>
        <rFont val="Noto Sans CJK SC"/>
        <family val="2"/>
      </rPr>
      <t xml:space="preserve">붓는 소리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제안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</si>
  <si>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쉬움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화면 녹화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</si>
  <si>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3-5 Magic Sort! </t>
    </r>
    <r>
      <rPr>
        <sz val="11"/>
        <rFont val="Noto Sans CJK SC"/>
        <family val="2"/>
      </rPr>
      <t xml:space="preserve">플레이 영상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개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장면 전환 </t>
    </r>
    <r>
      <rPr>
        <sz val="11"/>
        <rFont val="Arial"/>
        <family val="0"/>
        <charset val="1"/>
      </rPr>
      <t xml:space="preserve">0~1)</t>
    </r>
  </si>
  <si>
    <t xml:space="preserve">③ 긴장 → 해소</t>
  </si>
  <si>
    <r>
      <rPr>
        <sz val="11"/>
        <rFont val="Arial"/>
        <family val="0"/>
        <charset val="1"/>
      </rPr>
      <t xml:space="preserve">8~12</t>
    </r>
    <r>
      <rPr>
        <sz val="11"/>
        <rFont val="Noto Sans CJK SC"/>
        <family val="2"/>
      </rPr>
      <t xml:space="preserve">초</t>
    </r>
  </si>
  <si>
    <r>
      <rPr>
        <sz val="11"/>
        <rFont val="Arial"/>
        <family val="0"/>
        <charset val="1"/>
      </rPr>
      <t xml:space="preserve">15~25</t>
    </r>
    <r>
      <rPr>
        <sz val="11"/>
        <rFont val="Noto Sans CJK SC"/>
        <family val="2"/>
      </rPr>
      <t xml:space="preserve">초</t>
    </r>
  </si>
  <si>
    <r>
      <rPr>
        <sz val="11"/>
        <rFont val="Noto Sans CJK SC"/>
        <family val="2"/>
      </rPr>
      <t xml:space="preserve">마지막 한 칸 남기고 막힘 → 다시 풀어 성공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일부러 틀리기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</si>
  <si>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아슬아슬함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해소 </t>
    </r>
    <r>
      <rPr>
        <sz val="11"/>
        <rFont val="Arial"/>
        <family val="0"/>
        <charset val="1"/>
      </rPr>
      <t xml:space="preserve">/ '</t>
    </r>
    <r>
      <rPr>
        <sz val="11"/>
        <rFont val="Noto Sans CJK SC"/>
        <family val="2"/>
      </rPr>
      <t xml:space="preserve">내가 하면 더 잘할 텐데</t>
    </r>
    <r>
      <rPr>
        <sz val="11"/>
        <rFont val="Arial"/>
        <family val="0"/>
        <charset val="1"/>
      </rPr>
      <t xml:space="preserve">'</t>
    </r>
  </si>
  <si>
    <r>
      <rPr>
        <sz val="11"/>
        <rFont val="Noto Sans CJK SC"/>
        <family val="2"/>
      </rPr>
      <t xml:space="preserve">막혔을 때 화면 살짝 흔들기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제안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</si>
  <si>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실패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삐</t>
    </r>
    <r>
      <rPr>
        <sz val="11"/>
        <rFont val="Arial"/>
        <family val="0"/>
        <charset val="1"/>
      </rPr>
      <t xml:space="preserve">' + </t>
    </r>
    <r>
      <rPr>
        <sz val="11"/>
        <rFont val="Noto Sans CJK SC"/>
        <family val="2"/>
      </rPr>
      <t xml:space="preserve">성공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딩</t>
    </r>
    <r>
      <rPr>
        <sz val="11"/>
        <rFont val="Arial"/>
        <family val="0"/>
        <charset val="1"/>
      </rPr>
      <t xml:space="preserve">' (</t>
    </r>
    <r>
      <rPr>
        <sz val="11"/>
        <rFont val="Noto Sans CJK SC"/>
        <family val="2"/>
      </rPr>
      <t xml:space="preserve">제안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</si>
  <si>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보통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연출 편집 필요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</si>
  <si>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3-5 Royal Match </t>
    </r>
    <r>
      <rPr>
        <sz val="11"/>
        <rFont val="Noto Sans CJK SC"/>
        <family val="2"/>
      </rPr>
      <t xml:space="preserve">핀 퍼즐 실패 장면</t>
    </r>
    <r>
      <rPr>
        <sz val="11"/>
        <rFont val="Arial"/>
        <family val="0"/>
        <charset val="1"/>
      </rPr>
      <t xml:space="preserve">(10</t>
    </r>
    <r>
      <rPr>
        <sz val="11"/>
        <rFont val="Noto Sans CJK SC"/>
        <family val="2"/>
      </rPr>
      <t xml:space="preserve">초</t>
    </r>
    <r>
      <rPr>
        <sz val="11"/>
        <rFont val="Arial"/>
        <family val="0"/>
        <charset val="1"/>
      </rPr>
      <t xml:space="preserve">), Magic Sort! 3D </t>
    </r>
    <r>
      <rPr>
        <sz val="11"/>
        <rFont val="Noto Sans CJK SC"/>
        <family val="2"/>
      </rPr>
      <t xml:space="preserve">깨짐 연출</t>
    </r>
  </si>
  <si>
    <t xml:space="preserve">④ 보상</t>
  </si>
  <si>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초 무렵</t>
    </r>
  </si>
  <si>
    <r>
      <rPr>
        <sz val="11"/>
        <rFont val="Arial"/>
        <family val="0"/>
        <charset val="1"/>
      </rPr>
      <t xml:space="preserve">25</t>
    </r>
    <r>
      <rPr>
        <sz val="11"/>
        <rFont val="Noto Sans CJK SC"/>
        <family val="2"/>
      </rPr>
      <t xml:space="preserve">초 무렵</t>
    </r>
  </si>
  <si>
    <r>
      <rPr>
        <sz val="11"/>
        <rFont val="Noto Sans CJK SC"/>
        <family val="2"/>
      </rPr>
      <t xml:space="preserve">판 완성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반짝임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숫자</t>
    </r>
  </si>
  <si>
    <t xml:space="preserve">숫자 보상 팝업</t>
  </si>
  <si>
    <r>
      <rPr>
        <sz val="11"/>
        <rFont val="Noto Sans CJK SC"/>
        <family val="2"/>
      </rPr>
      <t xml:space="preserve">반짝이는 입자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숫자 팝업</t>
    </r>
  </si>
  <si>
    <r>
      <rPr>
        <sz val="11"/>
        <rFont val="Noto Sans CJK SC"/>
        <family val="2"/>
      </rPr>
      <t xml:space="preserve">완성 효과음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제안</t>
    </r>
    <r>
      <rPr>
        <sz val="11"/>
        <rFont val="Arial"/>
        <family val="0"/>
        <charset val="1"/>
      </rPr>
      <t xml:space="preserve">)</t>
    </r>
  </si>
  <si>
    <t xml:space="preserve">쉬움</t>
  </si>
  <si>
    <r>
      <rPr>
        <sz val="11"/>
        <rFont val="Arial"/>
        <family val="0"/>
        <charset val="1"/>
      </rPr>
      <t xml:space="preserve">3-5 MONOPOLY GO! </t>
    </r>
    <r>
      <rPr>
        <sz val="11"/>
        <rFont val="Noto Sans CJK SC"/>
        <family val="2"/>
      </rPr>
      <t xml:space="preserve">숫자 보상</t>
    </r>
    <r>
      <rPr>
        <sz val="11"/>
        <rFont val="Arial"/>
        <family val="0"/>
        <charset val="1"/>
      </rPr>
      <t xml:space="preserve">('7,500', '+150K')</t>
    </r>
  </si>
  <si>
    <t xml:space="preserve">⑤ 엔드카드</t>
  </si>
  <si>
    <r>
      <rPr>
        <sz val="11"/>
        <rFont val="Arial"/>
        <family val="0"/>
        <charset val="1"/>
      </rPr>
      <t xml:space="preserve">12~15</t>
    </r>
    <r>
      <rPr>
        <sz val="11"/>
        <rFont val="Noto Sans CJK SC"/>
        <family val="2"/>
      </rPr>
      <t xml:space="preserve">초</t>
    </r>
  </si>
  <si>
    <r>
      <rPr>
        <sz val="11"/>
        <rFont val="Arial"/>
        <family val="0"/>
        <charset val="1"/>
      </rPr>
      <t xml:space="preserve">25~30</t>
    </r>
    <r>
      <rPr>
        <sz val="11"/>
        <rFont val="Noto Sans CJK SC"/>
        <family val="2"/>
      </rPr>
      <t xml:space="preserve">초</t>
    </r>
  </si>
  <si>
    <r>
      <rPr>
        <sz val="11"/>
        <rFont val="Noto Sans CJK SC"/>
        <family val="2"/>
      </rPr>
      <t xml:space="preserve">게임 로고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실제 게임 화면 </t>
    </r>
    <r>
      <rPr>
        <sz val="11"/>
        <rFont val="Arial"/>
        <family val="0"/>
        <charset val="1"/>
      </rPr>
      <t xml:space="preserve">+ 'Play Now' </t>
    </r>
    <r>
      <rPr>
        <sz val="11"/>
        <rFont val="Noto Sans CJK SC"/>
        <family val="2"/>
      </rPr>
      <t xml:space="preserve">버튼</t>
    </r>
  </si>
  <si>
    <r>
      <rPr>
        <sz val="11"/>
        <rFont val="Noto Sans CJK SC"/>
        <family val="2"/>
      </rPr>
      <t xml:space="preserve">버튼이 살짝 커졌다 작아짐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제안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</si>
  <si>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로고 소리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제안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</si>
  <si>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3-5 </t>
    </r>
    <r>
      <rPr>
        <sz val="11"/>
        <rFont val="Noto Sans CJK SC"/>
        <family val="2"/>
      </rPr>
      <t xml:space="preserve">엔드카드 있음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위 근거 숫자</t>
    </r>
    <r>
      <rPr>
        <sz val="11"/>
        <rFont val="Arial"/>
        <family val="0"/>
        <charset val="1"/>
      </rPr>
      <t xml:space="preserve">)</t>
    </r>
  </si>
  <si>
    <r>
      <rPr>
        <b val="true"/>
        <sz val="12"/>
        <rFont val="Noto Sans CJK SC"/>
        <family val="2"/>
      </rPr>
      <t xml:space="preserve">② 기본 규칙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분석자 제안</t>
    </r>
    <r>
      <rPr>
        <b val="true"/>
        <sz val="12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</si>
  <si>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화면 비율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세로형</t>
    </r>
    <r>
      <rPr>
        <sz val="11"/>
        <rFont val="Arial"/>
        <family val="0"/>
        <charset val="1"/>
      </rPr>
      <t xml:space="preserve">(9:16)</t>
    </r>
    <r>
      <rPr>
        <sz val="11"/>
        <rFont val="Noto Sans CJK SC"/>
        <family val="2"/>
      </rPr>
      <t xml:space="preserve">을 기본으로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정사각형</t>
    </r>
    <r>
      <rPr>
        <sz val="11"/>
        <rFont val="Arial"/>
        <family val="0"/>
        <charset val="1"/>
      </rPr>
      <t xml:space="preserve">(1:1)</t>
    </r>
    <r>
      <rPr>
        <sz val="11"/>
        <rFont val="Noto Sans CJK SC"/>
        <family val="2"/>
      </rPr>
      <t xml:space="preserve">을 하나 더 — </t>
    </r>
    <r>
      <rPr>
        <sz val="11"/>
        <rFont val="Arial"/>
        <family val="0"/>
        <charset val="1"/>
      </rPr>
      <t xml:space="preserve">3-5</t>
    </r>
    <r>
      <rPr>
        <sz val="11"/>
        <rFont val="Noto Sans CJK SC"/>
        <family val="2"/>
      </rPr>
      <t xml:space="preserve">에서 세로형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정사각형이 대부분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</si>
  <si>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길이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큰 회사는 </t>
    </r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초 가까이 쓰지만</t>
    </r>
    <r>
      <rPr>
        <sz val="11"/>
        <rFont val="Arial"/>
        <family val="0"/>
        <charset val="1"/>
      </rPr>
      <t xml:space="preserve">(3-5 Royal Match), 2</t>
    </r>
    <r>
      <rPr>
        <sz val="11"/>
        <rFont val="Noto Sans CJK SC"/>
        <family val="2"/>
      </rPr>
      <t xml:space="preserve">인 팀은 </t>
    </r>
    <r>
      <rPr>
        <sz val="11"/>
        <rFont val="Arial"/>
        <family val="0"/>
        <charset val="1"/>
      </rPr>
      <t xml:space="preserve">15</t>
    </r>
    <r>
      <rPr>
        <sz val="11"/>
        <rFont val="Noto Sans CJK SC"/>
        <family val="2"/>
      </rPr>
      <t xml:space="preserve">초</t>
    </r>
    <r>
      <rPr>
        <sz val="11"/>
        <rFont val="Arial"/>
        <family val="0"/>
        <charset val="1"/>
      </rPr>
      <t xml:space="preserve">·30</t>
    </r>
    <r>
      <rPr>
        <sz val="11"/>
        <rFont val="Noto Sans CJK SC"/>
        <family val="2"/>
      </rPr>
      <t xml:space="preserve">초 두 가지로 시작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길이별 광고 성과 공개 자료는 확인 불가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</si>
  <si>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실제 게임에 없는 장면은 쓰지 않기</t>
    </r>
    <r>
      <rPr>
        <sz val="11"/>
        <rFont val="Arial"/>
        <family val="0"/>
        <charset val="1"/>
      </rPr>
      <t xml:space="preserve">: 3-5</t>
    </r>
    <r>
      <rPr>
        <sz val="11"/>
        <rFont val="Noto Sans CJK SC"/>
        <family val="2"/>
      </rPr>
      <t xml:space="preserve">에서 실제 게임과 다른 </t>
    </r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연출이 있었음 — 우리 광고는 실제 화면 위주로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스토어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광고 정책 위험을 피하려는 분석자 판단</t>
    </r>
    <r>
      <rPr>
        <sz val="11"/>
        <rFont val="Arial"/>
        <family val="0"/>
        <charset val="1"/>
      </rPr>
      <t xml:space="preserve">).</t>
    </r>
  </si>
  <si>
    <r>
      <rPr>
        <sz val="11"/>
        <rFont val="Noto Sans CJK SC"/>
        <family val="2"/>
      </rPr>
      <t xml:space="preserve">소재 테스트</t>
    </r>
    <r>
      <rPr>
        <sz val="11"/>
        <rFont val="Arial"/>
        <family val="0"/>
        <charset val="1"/>
      </rPr>
      <t xml:space="preserve">: 3-4 ② </t>
    </r>
    <r>
      <rPr>
        <sz val="11"/>
        <rFont val="Noto Sans CJK SC"/>
        <family val="2"/>
      </rPr>
      <t xml:space="preserve">소재 </t>
    </r>
    <r>
      <rPr>
        <sz val="11"/>
        <rFont val="Arial"/>
        <family val="0"/>
        <charset val="1"/>
      </rPr>
      <t xml:space="preserve">A~E </t>
    </r>
    <r>
      <rPr>
        <sz val="11"/>
        <rFont val="Noto Sans CJK SC"/>
        <family val="2"/>
      </rPr>
      <t xml:space="preserve">중 </t>
    </r>
    <r>
      <rPr>
        <sz val="11"/>
        <rFont val="Arial"/>
        <family val="0"/>
        <charset val="1"/>
      </rPr>
      <t xml:space="preserve">D(</t>
    </r>
    <r>
      <rPr>
        <sz val="11"/>
        <rFont val="Noto Sans CJK SC"/>
        <family val="2"/>
      </rPr>
      <t xml:space="preserve">게임 화면</t>
    </r>
    <r>
      <rPr>
        <sz val="11"/>
        <rFont val="Arial"/>
        <family val="0"/>
        <charset val="1"/>
      </rPr>
      <t xml:space="preserve">)·A(</t>
    </r>
    <r>
      <rPr>
        <sz val="11"/>
        <rFont val="Noto Sans CJK SC"/>
        <family val="2"/>
      </rPr>
      <t xml:space="preserve">호기심</t>
    </r>
    <r>
      <rPr>
        <sz val="11"/>
        <rFont val="Arial"/>
        <family val="0"/>
        <charset val="1"/>
      </rPr>
      <t xml:space="preserve">)·B(</t>
    </r>
    <r>
      <rPr>
        <sz val="11"/>
        <rFont val="Noto Sans CJK SC"/>
        <family val="2"/>
      </rPr>
      <t xml:space="preserve">직접 제안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를 위 구성으로 각각 만들어 같은 예산으로 비교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</si>
  <si>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사운드 칸은 </t>
    </r>
    <r>
      <rPr>
        <sz val="11"/>
        <rFont val="Arial"/>
        <family val="0"/>
        <charset val="1"/>
      </rPr>
      <t xml:space="preserve">3-5 T~Y</t>
    </r>
    <r>
      <rPr>
        <sz val="11"/>
        <rFont val="Noto Sans CJK SC"/>
        <family val="2"/>
      </rPr>
      <t xml:space="preserve">열을 직접 듣고 채운 뒤 확정 — 지금은 제안만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</si>
  <si>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color rgb="FFFFFFFF"/>
        <rFont val="Arial"/>
        <family val="0"/>
        <charset val="1"/>
      </rPr>
      <t xml:space="preserve">P50 (</t>
    </r>
    <r>
      <rPr>
        <b val="true"/>
        <sz val="11"/>
        <color rgb="FFFFFFFF"/>
        <rFont val="Noto Sans CJK SC"/>
        <family val="2"/>
      </rPr>
      <t xml:space="preserve">중앙값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</si>
  <si>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P90 (</t>
    </r>
    <r>
      <rPr>
        <b val="true"/>
        <sz val="11"/>
        <color rgb="FFFFFFFF"/>
        <rFont val="Noto Sans CJK SC"/>
        <family val="2"/>
      </rPr>
      <t xml:space="preserve">상위 </t>
    </r>
    <r>
      <rPr>
        <b val="true"/>
        <sz val="11"/>
        <color rgb="FFFFFFFF"/>
        <rFont val="Arial"/>
        <family val="0"/>
        <charset val="1"/>
      </rPr>
      <t xml:space="preserve">10%)</t>
    </r>
  </si>
  <si>
    <r>
      <rPr>
        <b val="true"/>
        <sz val="11"/>
        <color rgb="FFFFFFFF"/>
        <rFont val="Arial"/>
        <family val="0"/>
        <charset val="1"/>
      </rPr>
      <t xml:space="preserve">P99 (</t>
    </r>
    <r>
      <rPr>
        <b val="true"/>
        <sz val="11"/>
        <color rgb="FFFFFFFF"/>
        <rFont val="Noto Sans CJK SC"/>
        <family val="2"/>
      </rPr>
      <t xml:space="preserve">상위 </t>
    </r>
    <r>
      <rPr>
        <b val="true"/>
        <sz val="11"/>
        <color rgb="FFFFFFFF"/>
        <rFont val="Arial"/>
        <family val="0"/>
        <charset val="1"/>
      </rPr>
      <t xml:space="preserve">1%)</t>
    </r>
  </si>
  <si>
    <t xml:space="preserve">단위</t>
  </si>
  <si>
    <r>
      <rPr>
        <b val="true"/>
        <sz val="11"/>
        <color rgb="FF7F7F7F"/>
        <rFont val="Noto Sans CJK SC"/>
        <family val="2"/>
      </rPr>
      <t xml:space="preserve">참조용 복사본 </t>
    </r>
    <r>
      <rPr>
        <b val="true"/>
        <sz val="11"/>
        <color rgb="FF7F7F7F"/>
        <rFont val="Arial"/>
        <family val="0"/>
        <charset val="1"/>
      </rPr>
      <t xml:space="preserve">· </t>
    </r>
    <r>
      <rPr>
        <b val="true"/>
        <sz val="11"/>
        <color rgb="FF7F7F7F"/>
        <rFont val="Noto Sans CJK SC"/>
        <family val="2"/>
      </rPr>
      <t xml:space="preserve">원본</t>
    </r>
    <r>
      <rPr>
        <b val="true"/>
        <sz val="11"/>
        <color rgb="FF7F7F7F"/>
        <rFont val="Arial"/>
        <family val="0"/>
        <charset val="1"/>
      </rPr>
      <t xml:space="preserve">: </t>
    </r>
    <r>
      <rPr>
        <b val="true"/>
        <sz val="11"/>
        <color rgb="FF7F7F7F"/>
        <rFont val="Noto Sans CJK SC"/>
        <family val="2"/>
      </rPr>
      <t xml:space="preserve">시장조사</t>
    </r>
    <r>
      <rPr>
        <b val="true"/>
        <sz val="11"/>
        <color rgb="FF7F7F7F"/>
        <rFont val="Arial"/>
        <family val="0"/>
        <charset val="1"/>
      </rPr>
      <t xml:space="preserve">.xlsx › 4-2 </t>
    </r>
    <r>
      <rPr>
        <b val="true"/>
        <sz val="11"/>
        <color rgb="FF7F7F7F"/>
        <rFont val="Noto Sans CJK SC"/>
        <family val="2"/>
      </rPr>
      <t xml:space="preserve">지역 벤치마크 </t>
    </r>
    <r>
      <rPr>
        <b val="true"/>
        <sz val="11"/>
        <color rgb="FF7F7F7F"/>
        <rFont val="Arial"/>
        <family val="0"/>
        <charset val="1"/>
      </rPr>
      <t xml:space="preserve">· </t>
    </r>
    <r>
      <rPr>
        <b val="true"/>
        <sz val="11"/>
        <color rgb="FF7F7F7F"/>
        <rFont val="Noto Sans CJK SC"/>
        <family val="2"/>
      </rPr>
      <t xml:space="preserve">원본을 고치면 코드를 다시 실행해 두 파일을 함께 갱신</t>
    </r>
  </si>
  <si>
    <r>
      <rPr>
        <sz val="11"/>
        <rFont val="Arial"/>
        <family val="0"/>
        <charset val="1"/>
      </rPr>
      <t xml:space="preserve">D1 </t>
    </r>
    <r>
      <rPr>
        <sz val="11"/>
        <rFont val="Noto Sans CJK SC"/>
        <family val="2"/>
      </rPr>
      <t xml:space="preserve">리텐션</t>
    </r>
  </si>
  <si>
    <t xml:space="preserve">%</t>
  </si>
  <si>
    <r>
      <rPr>
        <sz val="11"/>
        <rFont val="Arial"/>
        <family val="0"/>
        <charset val="1"/>
      </rPr>
      <t xml:space="preserve">GameAnalytics 2026 </t>
    </r>
    <r>
      <rPr>
        <sz val="11"/>
        <rFont val="Noto Sans CJK SC"/>
        <family val="2"/>
      </rPr>
      <t xml:space="preserve">보고서 지역별 표 </t>
    </r>
    <r>
      <rPr>
        <sz val="11"/>
        <rFont val="Arial"/>
        <family val="0"/>
        <charset val="1"/>
      </rPr>
      <t xml:space="preserve">(2025</t>
    </r>
    <r>
      <rPr>
        <sz val="11"/>
        <rFont val="Noto Sans CJK SC"/>
        <family val="2"/>
      </rPr>
      <t xml:space="preserve">년 주간 데이터의 연평균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</si>
  <si>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D7 </t>
    </r>
    <r>
      <rPr>
        <sz val="11"/>
        <rFont val="Noto Sans CJK SC"/>
        <family val="2"/>
      </rPr>
      <t xml:space="preserve">리텐션</t>
    </r>
  </si>
  <si>
    <r>
      <rPr>
        <sz val="11"/>
        <rFont val="Arial"/>
        <family val="0"/>
        <charset val="1"/>
      </rPr>
      <t xml:space="preserve">D30 </t>
    </r>
    <r>
      <rPr>
        <sz val="11"/>
        <rFont val="Noto Sans CJK SC"/>
        <family val="2"/>
      </rPr>
      <t xml:space="preserve">리텐션</t>
    </r>
  </si>
  <si>
    <t xml:space="preserve">하루 플레이 시간</t>
  </si>
  <si>
    <t xml:space="preserve">분</t>
  </si>
  <si>
    <t xml:space="preserve">세션 길이</t>
  </si>
  <si>
    <t xml:space="preserve">회</t>
  </si>
  <si>
    <t xml:space="preserve">중미</t>
  </si>
  <si>
    <r>
      <rPr>
        <i val="true"/>
        <sz val="11"/>
        <color rgb="FF595959"/>
        <rFont val="Noto Sans CJK SC"/>
        <family val="2"/>
      </rPr>
      <t xml:space="preserve">참고 </t>
    </r>
    <r>
      <rPr>
        <i val="true"/>
        <sz val="11"/>
        <color rgb="FF595959"/>
        <rFont val="Arial"/>
        <family val="0"/>
        <charset val="1"/>
      </rPr>
      <t xml:space="preserve">(2024</t>
    </r>
    <r>
      <rPr>
        <i val="true"/>
        <sz val="11"/>
        <color rgb="FF595959"/>
        <rFont val="Noto Sans CJK SC"/>
        <family val="2"/>
      </rPr>
      <t xml:space="preserve">년 데이터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중앙값</t>
    </r>
    <r>
      <rPr>
        <i val="true"/>
        <sz val="11"/>
        <color rgb="FF595959"/>
        <rFont val="Arial"/>
        <family val="0"/>
        <charset val="1"/>
      </rPr>
      <t xml:space="preserve">): </t>
    </r>
    <r>
      <rPr>
        <i val="true"/>
        <sz val="11"/>
        <color rgb="FF595959"/>
        <rFont val="Noto Sans CJK SC"/>
        <family val="2"/>
      </rPr>
      <t xml:space="preserve">북미 </t>
    </r>
    <r>
      <rPr>
        <i val="true"/>
        <sz val="11"/>
        <color rgb="FF595959"/>
        <rFont val="Arial"/>
        <family val="0"/>
        <charset val="1"/>
      </rPr>
      <t xml:space="preserve">D1 20.48% / D7 4.64% / D28 1.46%, </t>
    </r>
    <r>
      <rPr>
        <i val="true"/>
        <sz val="11"/>
        <color rgb="FF595959"/>
        <rFont val="Noto Sans CJK SC"/>
        <family val="2"/>
      </rPr>
      <t xml:space="preserve">남미 </t>
    </r>
    <r>
      <rPr>
        <i val="true"/>
        <sz val="11"/>
        <color rgb="FF595959"/>
        <rFont val="Arial"/>
        <family val="0"/>
        <charset val="1"/>
      </rPr>
      <t xml:space="preserve">18.32% / 3.31% / 0.82%, </t>
    </r>
    <r>
      <rPr>
        <i val="true"/>
        <sz val="11"/>
        <color rgb="FF595959"/>
        <rFont val="Noto Sans CJK SC"/>
        <family val="2"/>
      </rPr>
      <t xml:space="preserve">중미 </t>
    </r>
    <r>
      <rPr>
        <i val="true"/>
        <sz val="11"/>
        <color rgb="FF595959"/>
        <rFont val="Arial"/>
        <family val="0"/>
        <charset val="1"/>
      </rPr>
      <t xml:space="preserve">18.95% / 3.68% / 0.98%, </t>
    </r>
    <r>
      <rPr>
        <i val="true"/>
        <sz val="11"/>
        <color rgb="FF595959"/>
        <rFont val="Noto Sans CJK SC"/>
        <family val="2"/>
      </rPr>
      <t xml:space="preserve">아시아 </t>
    </r>
    <r>
      <rPr>
        <i val="true"/>
        <sz val="11"/>
        <color rgb="FF595959"/>
        <rFont val="Arial"/>
        <family val="0"/>
        <charset val="1"/>
      </rPr>
      <t xml:space="preserve">17.57% / 3.14% / 0.75%, </t>
    </r>
    <r>
      <rPr>
        <i val="true"/>
        <sz val="11"/>
        <color rgb="FF595959"/>
        <rFont val="Noto Sans CJK SC"/>
        <family val="2"/>
      </rPr>
      <t xml:space="preserve">동남아 </t>
    </r>
    <r>
      <rPr>
        <i val="true"/>
        <sz val="11"/>
        <color rgb="FF595959"/>
        <rFont val="Arial"/>
        <family val="0"/>
        <charset val="1"/>
      </rPr>
      <t xml:space="preserve">18.28% / 3.33% / 0.82% — GameAnalytics 2025 </t>
    </r>
    <r>
      <rPr>
        <i val="true"/>
        <sz val="11"/>
        <color rgb="FF595959"/>
        <rFont val="Noto Sans CJK SC"/>
        <family val="2"/>
      </rPr>
      <t xml:space="preserve">보고서</t>
    </r>
  </si>
  <si>
    <r>
      <rPr>
        <i val="true"/>
        <sz val="11"/>
        <color rgb="FF595959"/>
        <rFont val="Noto Sans CJK SC"/>
        <family val="2"/>
      </rPr>
      <t xml:space="preserve">멕시코가 </t>
    </r>
    <r>
      <rPr>
        <i val="true"/>
        <sz val="11"/>
        <color rgb="FF595959"/>
        <rFont val="Arial"/>
        <family val="0"/>
        <charset val="1"/>
      </rPr>
      <t xml:space="preserve">GameAnalytics</t>
    </r>
    <r>
      <rPr>
        <i val="true"/>
        <sz val="11"/>
        <color rgb="FF595959"/>
        <rFont val="Noto Sans CJK SC"/>
        <family val="2"/>
      </rPr>
      <t xml:space="preserve">의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중미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와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북미</t>
    </r>
    <r>
      <rPr>
        <i val="true"/>
        <sz val="11"/>
        <color rgb="FF595959"/>
        <rFont val="Arial"/>
        <family val="0"/>
        <charset val="1"/>
      </rPr>
      <t xml:space="preserve">' </t>
    </r>
    <r>
      <rPr>
        <i val="true"/>
        <sz val="11"/>
        <color rgb="FF595959"/>
        <rFont val="Noto Sans CJK SC"/>
        <family val="2"/>
      </rPr>
      <t xml:space="preserve">중 어디에 속하는지는 보고서에서 확인되지 않았습니다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</si>
  <si>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b val="true"/>
        <sz val="13"/>
        <rFont val="Arial"/>
        <family val="0"/>
        <charset val="1"/>
      </rPr>
      <t xml:space="preserve">GameAnalytics 2025 </t>
    </r>
    <r>
      <rPr>
        <b val="true"/>
        <sz val="13"/>
        <rFont val="Noto Sans CJK SC"/>
        <family val="2"/>
      </rPr>
      <t xml:space="preserve">보고서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Noto Sans CJK SC"/>
        <family val="2"/>
      </rPr>
      <t xml:space="preserve">장르별 차트 판독값 </t>
    </r>
    <r>
      <rPr>
        <b val="true"/>
        <sz val="13"/>
        <rFont val="Arial"/>
        <family val="0"/>
        <charset val="1"/>
      </rPr>
      <t xml:space="preserve">(2024</t>
    </r>
    <r>
      <rPr>
        <b val="true"/>
        <sz val="13"/>
        <rFont val="Noto Sans CJK SC"/>
        <family val="2"/>
      </rPr>
      <t xml:space="preserve">년 데이터</t>
    </r>
    <r>
      <rPr>
        <b val="true"/>
        <sz val="13"/>
        <rFont val="Arial"/>
        <family val="0"/>
        <charset val="1"/>
      </rPr>
      <t xml:space="preserve">, </t>
    </r>
    <r>
      <rPr>
        <b val="true"/>
        <sz val="13"/>
        <rFont val="Noto Sans CJK SC"/>
        <family val="2"/>
      </rPr>
      <t xml:space="preserve">장르별 중앙값 게임</t>
    </r>
    <r>
      <rPr>
        <b val="true"/>
        <sz val="13"/>
        <rFont val="Arial"/>
        <family val="0"/>
        <charset val="1"/>
      </rPr>
      <t xml:space="preserve">, </t>
    </r>
    <r>
      <rPr>
        <b val="true"/>
        <sz val="13"/>
        <rFont val="Noto Sans CJK SC"/>
        <family val="2"/>
      </rPr>
      <t xml:space="preserve">월별 코호트</t>
    </r>
    <r>
      <rPr>
        <b val="true"/>
        <sz val="13"/>
        <rFont val="Arial"/>
        <family val="0"/>
        <charset val="1"/>
      </rPr>
      <t xml:space="preserve">)</t>
    </r>
  </si>
  <si>
    <r>
      <rPr>
        <b val="true"/>
        <sz val="11"/>
        <color rgb="FF7F7F7F"/>
        <rFont val="Noto Sans CJK SC"/>
        <family val="2"/>
      </rPr>
      <t xml:space="preserve">참조용 복사본 </t>
    </r>
    <r>
      <rPr>
        <b val="true"/>
        <sz val="11"/>
        <color rgb="FF7F7F7F"/>
        <rFont val="Arial"/>
        <family val="0"/>
        <charset val="1"/>
      </rPr>
      <t xml:space="preserve">· </t>
    </r>
    <r>
      <rPr>
        <b val="true"/>
        <sz val="11"/>
        <color rgb="FF7F7F7F"/>
        <rFont val="Noto Sans CJK SC"/>
        <family val="2"/>
      </rPr>
      <t xml:space="preserve">원본</t>
    </r>
    <r>
      <rPr>
        <b val="true"/>
        <sz val="11"/>
        <color rgb="FF7F7F7F"/>
        <rFont val="Arial"/>
        <family val="0"/>
        <charset val="1"/>
      </rPr>
      <t xml:space="preserve">: </t>
    </r>
    <r>
      <rPr>
        <b val="true"/>
        <sz val="11"/>
        <color rgb="FF7F7F7F"/>
        <rFont val="Noto Sans CJK SC"/>
        <family val="2"/>
      </rPr>
      <t xml:space="preserve">시장조사</t>
    </r>
    <r>
      <rPr>
        <b val="true"/>
        <sz val="11"/>
        <color rgb="FF7F7F7F"/>
        <rFont val="Arial"/>
        <family val="0"/>
        <charset val="1"/>
      </rPr>
      <t xml:space="preserve">.xlsx › 4-3 </t>
    </r>
    <r>
      <rPr>
        <b val="true"/>
        <sz val="11"/>
        <color rgb="FF7F7F7F"/>
        <rFont val="Noto Sans CJK SC"/>
        <family val="2"/>
      </rPr>
      <t xml:space="preserve">장르 차트 판독값 </t>
    </r>
    <r>
      <rPr>
        <b val="true"/>
        <sz val="11"/>
        <color rgb="FF7F7F7F"/>
        <rFont val="Arial"/>
        <family val="0"/>
        <charset val="1"/>
      </rPr>
      <t xml:space="preserve">· </t>
    </r>
    <r>
      <rPr>
        <b val="true"/>
        <sz val="11"/>
        <color rgb="FF7F7F7F"/>
        <rFont val="Noto Sans CJK SC"/>
        <family val="2"/>
      </rPr>
      <t xml:space="preserve">원본을 고치면 코드를 다시 실행해 두 파일을 함께 갱신</t>
    </r>
  </si>
  <si>
    <r>
      <rPr>
        <b val="true"/>
        <sz val="11"/>
        <color rgb="FFC00000"/>
        <rFont val="Noto Sans CJK SC"/>
        <family val="2"/>
      </rPr>
      <t xml:space="preserve">⚠ 차트 판독값</t>
    </r>
    <r>
      <rPr>
        <b val="true"/>
        <sz val="11"/>
        <color rgb="FFC00000"/>
        <rFont val="Arial"/>
        <family val="0"/>
        <charset val="1"/>
      </rPr>
      <t xml:space="preserve">: PDF 17~20</t>
    </r>
    <r>
      <rPr>
        <b val="true"/>
        <sz val="11"/>
        <color rgb="FFC00000"/>
        <rFont val="Noto Sans CJK SC"/>
        <family val="2"/>
      </rPr>
      <t xml:space="preserve">쪽은 글자가 없는 그림</t>
    </r>
    <r>
      <rPr>
        <b val="true"/>
        <sz val="11"/>
        <color rgb="FFC00000"/>
        <rFont val="Arial"/>
        <family val="0"/>
        <charset val="1"/>
      </rPr>
      <t xml:space="preserve">(</t>
    </r>
    <r>
      <rPr>
        <b val="true"/>
        <sz val="11"/>
        <color rgb="FFC00000"/>
        <rFont val="Noto Sans CJK SC"/>
        <family val="2"/>
      </rPr>
      <t xml:space="preserve">히트맵</t>
    </r>
    <r>
      <rPr>
        <b val="true"/>
        <sz val="11"/>
        <color rgb="FFC00000"/>
        <rFont val="Arial"/>
        <family val="0"/>
        <charset val="1"/>
      </rPr>
      <t xml:space="preserve">)</t>
    </r>
    <r>
      <rPr>
        <b val="true"/>
        <sz val="11"/>
        <color rgb="FFC00000"/>
        <rFont val="Noto Sans CJK SC"/>
        <family val="2"/>
      </rPr>
      <t xml:space="preserve">이라</t>
    </r>
    <r>
      <rPr>
        <b val="true"/>
        <sz val="11"/>
        <color rgb="FFC00000"/>
        <rFont val="Arial"/>
        <family val="0"/>
        <charset val="1"/>
      </rPr>
      <t xml:space="preserve">, </t>
    </r>
    <r>
      <rPr>
        <b val="true"/>
        <sz val="11"/>
        <color rgb="FFC00000"/>
        <rFont val="Noto Sans CJK SC"/>
        <family val="2"/>
      </rPr>
      <t xml:space="preserve">그림을 확대해 칸 안에 적힌 숫자를 눈으로 옮겨 적었습니다</t>
    </r>
    <r>
      <rPr>
        <b val="true"/>
        <sz val="11"/>
        <color rgb="FFC00000"/>
        <rFont val="Arial"/>
        <family val="0"/>
        <charset val="1"/>
      </rPr>
      <t xml:space="preserve">. </t>
    </r>
    <r>
      <rPr>
        <b val="true"/>
        <sz val="11"/>
        <color rgb="FFC00000"/>
        <rFont val="Noto Sans CJK SC"/>
        <family val="2"/>
      </rPr>
      <t xml:space="preserve">공식 표</t>
    </r>
    <r>
      <rPr>
        <b val="true"/>
        <sz val="11"/>
        <color rgb="FFC00000"/>
        <rFont val="Arial"/>
        <family val="0"/>
        <charset val="1"/>
      </rPr>
      <t xml:space="preserve">·API </t>
    </r>
    <r>
      <rPr>
        <b val="true"/>
        <sz val="11"/>
        <color rgb="FFC00000"/>
        <rFont val="Noto Sans CJK SC"/>
        <family val="2"/>
      </rPr>
      <t xml:space="preserve">값이 아닙니다</t>
    </r>
    <r>
      <rPr>
        <b val="true"/>
        <sz val="11"/>
        <color rgb="FFC00000"/>
        <rFont val="Arial"/>
        <family val="0"/>
        <charset val="1"/>
      </rPr>
      <t xml:space="preserve">. </t>
    </r>
    <r>
      <rPr>
        <b val="true"/>
        <sz val="11"/>
        <color rgb="FFC00000"/>
        <rFont val="Noto Sans CJK SC"/>
        <family val="2"/>
      </rPr>
      <t xml:space="preserve">파란 글씨</t>
    </r>
    <r>
      <rPr>
        <b val="true"/>
        <sz val="11"/>
        <color rgb="FFC00000"/>
        <rFont val="Arial"/>
        <family val="0"/>
        <charset val="1"/>
      </rPr>
      <t xml:space="preserve">=</t>
    </r>
    <r>
      <rPr>
        <b val="true"/>
        <sz val="11"/>
        <color rgb="FFC00000"/>
        <rFont val="Noto Sans CJK SC"/>
        <family val="2"/>
      </rPr>
      <t xml:space="preserve">판독값</t>
    </r>
    <r>
      <rPr>
        <b val="true"/>
        <sz val="11"/>
        <color rgb="FFC00000"/>
        <rFont val="Arial"/>
        <family val="0"/>
        <charset val="1"/>
      </rPr>
      <t xml:space="preserve">, </t>
    </r>
    <r>
      <rPr>
        <b val="true"/>
        <sz val="11"/>
        <color rgb="FFC00000"/>
        <rFont val="Noto Sans CJK SC"/>
        <family val="2"/>
      </rPr>
      <t xml:space="preserve">검은 글씨</t>
    </r>
    <r>
      <rPr>
        <b val="true"/>
        <sz val="11"/>
        <color rgb="FFC00000"/>
        <rFont val="Arial"/>
        <family val="0"/>
        <charset val="1"/>
      </rPr>
      <t xml:space="preserve">=</t>
    </r>
    <r>
      <rPr>
        <b val="true"/>
        <sz val="11"/>
        <color rgb="FFC00000"/>
        <rFont val="Noto Sans CJK SC"/>
        <family val="2"/>
      </rPr>
      <t xml:space="preserve">판독값으로 계산한 값</t>
    </r>
    <r>
      <rPr>
        <b val="true"/>
        <sz val="11"/>
        <color rgb="FFC00000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</si>
  <si>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출처</t>
    </r>
    <r>
      <rPr>
        <i val="true"/>
        <sz val="11"/>
        <color rgb="FF595959"/>
        <rFont val="Arial"/>
        <family val="0"/>
        <charset val="1"/>
      </rPr>
      <t xml:space="preserve">: GameAnalytics, 2025 Mobile Gaming Benchmarks (2024</t>
    </r>
    <r>
      <rPr>
        <i val="true"/>
        <sz val="11"/>
        <color rgb="FF595959"/>
        <rFont val="Noto Sans CJK SC"/>
        <family val="2"/>
      </rPr>
      <t xml:space="preserve">년 데이터</t>
    </r>
    <r>
      <rPr>
        <i val="true"/>
        <sz val="11"/>
        <color rgb="FF595959"/>
        <rFont val="Arial"/>
        <family val="0"/>
        <charset val="1"/>
      </rPr>
      <t xml:space="preserve">, 11,600</t>
    </r>
    <r>
      <rPr>
        <i val="true"/>
        <sz val="11"/>
        <color rgb="FF595959"/>
        <rFont val="Noto Sans CJK SC"/>
        <family val="2"/>
      </rPr>
      <t xml:space="preserve">개 게임</t>
    </r>
    <r>
      <rPr>
        <i val="true"/>
        <sz val="11"/>
        <color rgb="FF595959"/>
        <rFont val="Arial"/>
        <family val="0"/>
        <charset val="1"/>
      </rPr>
      <t xml:space="preserve">) https://files.gameindustrylibrary.com/documents/mobile-gaming-benchmarks-2025.pdf — </t>
    </r>
    <r>
      <rPr>
        <i val="true"/>
        <sz val="11"/>
        <color rgb="FF595959"/>
        <rFont val="Noto Sans CJK SC"/>
        <family val="2"/>
      </rPr>
      <t xml:space="preserve">각 표 제목 옆에 </t>
    </r>
    <r>
      <rPr>
        <i val="true"/>
        <sz val="11"/>
        <color rgb="FF595959"/>
        <rFont val="Arial"/>
        <family val="0"/>
        <charset val="1"/>
      </rPr>
      <t xml:space="preserve">PDF </t>
    </r>
    <r>
      <rPr>
        <i val="true"/>
        <sz val="11"/>
        <color rgb="FF595959"/>
        <rFont val="Noto Sans CJK SC"/>
        <family val="2"/>
      </rPr>
      <t xml:space="preserve">쪽수 표시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판독 방법</t>
    </r>
    <r>
      <rPr>
        <i val="true"/>
        <sz val="11"/>
        <color rgb="FF595959"/>
        <rFont val="Arial"/>
        <family val="0"/>
        <charset val="1"/>
      </rPr>
      <t xml:space="preserve">: PDF </t>
    </r>
    <r>
      <rPr>
        <i val="true"/>
        <sz val="11"/>
        <color rgb="FF595959"/>
        <rFont val="Noto Sans CJK SC"/>
        <family val="2"/>
      </rPr>
      <t xml:space="preserve">안 원본 그림</t>
    </r>
    <r>
      <rPr>
        <i val="true"/>
        <sz val="11"/>
        <color rgb="FF595959"/>
        <rFont val="Arial"/>
        <family val="0"/>
        <charset val="1"/>
      </rPr>
      <t xml:space="preserve">(1056×547</t>
    </r>
    <r>
      <rPr>
        <i val="true"/>
        <sz val="11"/>
        <color rgb="FF595959"/>
        <rFont val="Noto Sans CJK SC"/>
        <family val="2"/>
      </rPr>
      <t xml:space="preserve">픽셀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을 </t>
    </r>
    <r>
      <rPr>
        <i val="true"/>
        <sz val="11"/>
        <color rgb="FF595959"/>
        <rFont val="Arial"/>
        <family val="0"/>
        <charset val="1"/>
      </rPr>
      <t xml:space="preserve">2</t>
    </r>
    <r>
      <rPr>
        <i val="true"/>
        <sz val="11"/>
        <color rgb="FF595959"/>
        <rFont val="Noto Sans CJK SC"/>
        <family val="2"/>
      </rPr>
      <t xml:space="preserve">배 확대해 전부 두 번 읽고 대조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</si>
  <si>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b val="true"/>
        <sz val="12"/>
        <color rgb="FF1F3864"/>
        <rFont val="Arial"/>
        <family val="0"/>
        <charset val="1"/>
      </rPr>
      <t xml:space="preserve">D1 </t>
    </r>
    <r>
      <rPr>
        <b val="true"/>
        <sz val="12"/>
        <color rgb="FF1F3864"/>
        <rFont val="Noto Sans CJK SC"/>
        <family val="2"/>
      </rPr>
      <t xml:space="preserve">리텐션 </t>
    </r>
    <r>
      <rPr>
        <b val="true"/>
        <sz val="12"/>
        <color rgb="FF1F3864"/>
        <rFont val="Arial"/>
        <family val="0"/>
        <charset val="1"/>
      </rPr>
      <t xml:space="preserve">(</t>
    </r>
    <r>
      <rPr>
        <b val="true"/>
        <sz val="12"/>
        <color rgb="FF1F3864"/>
        <rFont val="Noto Sans CJK SC"/>
        <family val="2"/>
      </rPr>
      <t xml:space="preserve">설치 다음날 다시 온 비율</t>
    </r>
    <r>
      <rPr>
        <b val="true"/>
        <sz val="12"/>
        <color rgb="FF1F3864"/>
        <rFont val="Arial"/>
        <family val="0"/>
        <charset val="1"/>
      </rPr>
      <t xml:space="preserve">)  —  PDF 17</t>
    </r>
    <r>
      <rPr>
        <b val="true"/>
        <sz val="12"/>
        <color rgb="FF1F3864"/>
        <rFont val="Noto Sans CJK SC"/>
        <family val="2"/>
      </rPr>
      <t xml:space="preserve">쪽</t>
    </r>
  </si>
  <si>
    <r>
      <rPr>
        <b val="true"/>
        <sz val="11"/>
        <color rgb="FFFFFFFF"/>
        <rFont val="Noto Sans CJK SC"/>
        <family val="2"/>
      </rPr>
      <t xml:space="preserve">장르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보고서 표기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</si>
  <si>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장르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한글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</si>
  <si>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</si>
  <si>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</si>
  <si>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</si>
  <si>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</si>
  <si>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</si>
  <si>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6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</si>
  <si>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</si>
  <si>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8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</si>
  <si>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9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</si>
  <si>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10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</si>
  <si>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11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</si>
  <si>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12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</si>
  <si>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Noto Sans CJK SC"/>
        <family val="2"/>
      </rPr>
      <t xml:space="preserve">연평균</t>
    </r>
    <r>
      <rPr>
        <b val="true"/>
        <sz val="11"/>
        <color rgb="FFFFFFFF"/>
        <rFont val="Arial"/>
        <family val="0"/>
        <charset val="1"/>
      </rPr>
      <t xml:space="preserve">*</t>
    </r>
  </si>
  <si>
    <t xml:space="preserve">최저 달</t>
  </si>
  <si>
    <t xml:space="preserve">최고 달</t>
  </si>
  <si>
    <r>
      <rPr>
        <b val="true"/>
        <sz val="11"/>
        <color rgb="FFFFFFFF"/>
        <rFont val="Noto Sans CJK SC"/>
        <family val="2"/>
      </rPr>
      <t xml:space="preserve">변동폭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최고−최저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</si>
  <si>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16</t>
    </r>
    <r>
      <rPr>
        <b val="true"/>
        <sz val="11"/>
        <color rgb="FFFFFFFF"/>
        <rFont val="Noto Sans CJK SC"/>
        <family val="2"/>
      </rPr>
      <t xml:space="preserve">개 장르 중 순위 </t>
    </r>
    <r>
      <rPr>
        <b val="true"/>
        <sz val="11"/>
        <color rgb="FFFFFFFF"/>
        <rFont val="Arial"/>
        <family val="0"/>
        <charset val="1"/>
      </rPr>
      <t xml:space="preserve">(1=</t>
    </r>
    <r>
      <rPr>
        <b val="true"/>
        <sz val="11"/>
        <color rgb="FFFFFFFF"/>
        <rFont val="Noto Sans CJK SC"/>
        <family val="2"/>
      </rPr>
      <t xml:space="preserve">가장 높음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</si>
  <si>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액션</t>
  </si>
  <si>
    <t xml:space="preserve">어드벤처</t>
  </si>
  <si>
    <t xml:space="preserve">Arcade</t>
  </si>
  <si>
    <t xml:space="preserve">아케이드</t>
  </si>
  <si>
    <t xml:space="preserve">보드</t>
  </si>
  <si>
    <t xml:space="preserve">카드</t>
  </si>
  <si>
    <t xml:space="preserve">Casino</t>
  </si>
  <si>
    <t xml:space="preserve">Multiplayer</t>
  </si>
  <si>
    <t xml:space="preserve">멀티플레이</t>
  </si>
  <si>
    <t xml:space="preserve">Racing</t>
  </si>
  <si>
    <t xml:space="preserve">레이싱</t>
  </si>
  <si>
    <r>
      <rPr>
        <sz val="11"/>
        <rFont val="Noto Sans CJK SC"/>
        <family val="2"/>
      </rPr>
      <t xml:space="preserve">롤플레잉</t>
    </r>
    <r>
      <rPr>
        <sz val="11"/>
        <rFont val="Arial"/>
        <family val="0"/>
        <charset val="1"/>
      </rPr>
      <t xml:space="preserve">(RPG)</t>
    </r>
  </si>
  <si>
    <t xml:space="preserve">Sports</t>
  </si>
  <si>
    <t xml:space="preserve">Trivia</t>
  </si>
  <si>
    <r>
      <rPr>
        <sz val="11"/>
        <rFont val="Noto Sans CJK SC"/>
        <family val="2"/>
      </rPr>
      <t xml:space="preserve">퀴즈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트리비아</t>
    </r>
    <r>
      <rPr>
        <sz val="11"/>
        <rFont val="Arial"/>
        <family val="0"/>
        <charset val="1"/>
      </rPr>
      <t xml:space="preserve">)</t>
    </r>
  </si>
  <si>
    <t xml:space="preserve">Word</t>
  </si>
  <si>
    <t xml:space="preserve">단어</t>
  </si>
  <si>
    <r>
      <rPr>
        <b val="true"/>
        <sz val="12"/>
        <color rgb="FF1F3864"/>
        <rFont val="Arial"/>
        <family val="0"/>
        <charset val="1"/>
      </rPr>
      <t xml:space="preserve">D7 </t>
    </r>
    <r>
      <rPr>
        <b val="true"/>
        <sz val="12"/>
        <color rgb="FF1F3864"/>
        <rFont val="Noto Sans CJK SC"/>
        <family val="2"/>
      </rPr>
      <t xml:space="preserve">리텐션 </t>
    </r>
    <r>
      <rPr>
        <b val="true"/>
        <sz val="12"/>
        <color rgb="FF1F3864"/>
        <rFont val="Arial"/>
        <family val="0"/>
        <charset val="1"/>
      </rPr>
      <t xml:space="preserve">(7</t>
    </r>
    <r>
      <rPr>
        <b val="true"/>
        <sz val="12"/>
        <color rgb="FF1F3864"/>
        <rFont val="Noto Sans CJK SC"/>
        <family val="2"/>
      </rPr>
      <t xml:space="preserve">일째 다시 온 비율</t>
    </r>
    <r>
      <rPr>
        <b val="true"/>
        <sz val="12"/>
        <color rgb="FF1F3864"/>
        <rFont val="Arial"/>
        <family val="0"/>
        <charset val="1"/>
      </rPr>
      <t xml:space="preserve">)  —  PDF 18</t>
    </r>
    <r>
      <rPr>
        <b val="true"/>
        <sz val="12"/>
        <color rgb="FF1F3864"/>
        <rFont val="Noto Sans CJK SC"/>
        <family val="2"/>
      </rPr>
      <t xml:space="preserve">쪽 위</t>
    </r>
  </si>
  <si>
    <r>
      <rPr>
        <b val="true"/>
        <sz val="12"/>
        <color rgb="FF1F3864"/>
        <rFont val="Arial"/>
        <family val="0"/>
        <charset val="1"/>
      </rPr>
      <t xml:space="preserve">D28 </t>
    </r>
    <r>
      <rPr>
        <b val="true"/>
        <sz val="12"/>
        <color rgb="FF1F3864"/>
        <rFont val="Noto Sans CJK SC"/>
        <family val="2"/>
      </rPr>
      <t xml:space="preserve">리텐션 </t>
    </r>
    <r>
      <rPr>
        <b val="true"/>
        <sz val="12"/>
        <color rgb="FF1F3864"/>
        <rFont val="Arial"/>
        <family val="0"/>
        <charset val="1"/>
      </rPr>
      <t xml:space="preserve">(28</t>
    </r>
    <r>
      <rPr>
        <b val="true"/>
        <sz val="12"/>
        <color rgb="FF1F3864"/>
        <rFont val="Noto Sans CJK SC"/>
        <family val="2"/>
      </rPr>
      <t xml:space="preserve">일째 다시 온 비율</t>
    </r>
    <r>
      <rPr>
        <b val="true"/>
        <sz val="12"/>
        <color rgb="FF1F3864"/>
        <rFont val="Arial"/>
        <family val="0"/>
        <charset val="1"/>
      </rPr>
      <t xml:space="preserve">)  —  PDF 18</t>
    </r>
    <r>
      <rPr>
        <b val="true"/>
        <sz val="12"/>
        <color rgb="FF1F3864"/>
        <rFont val="Noto Sans CJK SC"/>
        <family val="2"/>
      </rPr>
      <t xml:space="preserve">쪽 아래</t>
    </r>
  </si>
  <si>
    <r>
      <rPr>
        <b val="true"/>
        <sz val="12"/>
        <color rgb="FF1F3864"/>
        <rFont val="Noto Sans CJK SC"/>
        <family val="2"/>
      </rPr>
      <t xml:space="preserve">하루 플레이 시간 </t>
    </r>
    <r>
      <rPr>
        <b val="true"/>
        <sz val="12"/>
        <color rgb="FF1F3864"/>
        <rFont val="Arial"/>
        <family val="0"/>
        <charset val="1"/>
      </rPr>
      <t xml:space="preserve">(</t>
    </r>
    <r>
      <rPr>
        <b val="true"/>
        <sz val="12"/>
        <color rgb="FF1F3864"/>
        <rFont val="Noto Sans CJK SC"/>
        <family val="2"/>
      </rPr>
      <t xml:space="preserve">분</t>
    </r>
    <r>
      <rPr>
        <b val="true"/>
        <sz val="12"/>
        <color rgb="FF1F3864"/>
        <rFont val="Arial"/>
        <family val="0"/>
        <charset val="1"/>
      </rPr>
      <t xml:space="preserve">)  —  PDF 19</t>
    </r>
    <r>
      <rPr>
        <b val="true"/>
        <sz val="12"/>
        <color rgb="FF1F3864"/>
        <rFont val="Noto Sans CJK SC"/>
        <family val="2"/>
      </rPr>
      <t xml:space="preserve">쪽 위</t>
    </r>
  </si>
  <si>
    <r>
      <rPr>
        <b val="true"/>
        <sz val="12"/>
        <color rgb="FF1F3864"/>
        <rFont val="Noto Sans CJK SC"/>
        <family val="2"/>
      </rPr>
      <t xml:space="preserve">세션 길이 </t>
    </r>
    <r>
      <rPr>
        <b val="true"/>
        <sz val="12"/>
        <color rgb="FF1F3864"/>
        <rFont val="Arial"/>
        <family val="0"/>
        <charset val="1"/>
      </rPr>
      <t xml:space="preserve">(</t>
    </r>
    <r>
      <rPr>
        <b val="true"/>
        <sz val="12"/>
        <color rgb="FF1F3864"/>
        <rFont val="Noto Sans CJK SC"/>
        <family val="2"/>
      </rPr>
      <t xml:space="preserve">한 번 켰을 때 노는 시간</t>
    </r>
    <r>
      <rPr>
        <b val="true"/>
        <sz val="12"/>
        <color rgb="FF1F3864"/>
        <rFont val="Arial"/>
        <family val="0"/>
        <charset val="1"/>
      </rPr>
      <t xml:space="preserve">, </t>
    </r>
    <r>
      <rPr>
        <b val="true"/>
        <sz val="12"/>
        <color rgb="FF1F3864"/>
        <rFont val="Noto Sans CJK SC"/>
        <family val="2"/>
      </rPr>
      <t xml:space="preserve">분</t>
    </r>
    <r>
      <rPr>
        <b val="true"/>
        <sz val="12"/>
        <color rgb="FF1F3864"/>
        <rFont val="Arial"/>
        <family val="0"/>
        <charset val="1"/>
      </rPr>
      <t xml:space="preserve">)  —  PDF 19</t>
    </r>
    <r>
      <rPr>
        <b val="true"/>
        <sz val="12"/>
        <color rgb="FF1F3864"/>
        <rFont val="Noto Sans CJK SC"/>
        <family val="2"/>
      </rPr>
      <t xml:space="preserve">쪽 아래</t>
    </r>
  </si>
  <si>
    <r>
      <rPr>
        <b val="true"/>
        <sz val="12"/>
        <color rgb="FF1F3864"/>
        <rFont val="Noto Sans CJK SC"/>
        <family val="2"/>
      </rPr>
      <t xml:space="preserve">하루 세션 수 </t>
    </r>
    <r>
      <rPr>
        <b val="true"/>
        <sz val="12"/>
        <color rgb="FF1F3864"/>
        <rFont val="Arial"/>
        <family val="0"/>
        <charset val="1"/>
      </rPr>
      <t xml:space="preserve">(</t>
    </r>
    <r>
      <rPr>
        <b val="true"/>
        <sz val="12"/>
        <color rgb="FF1F3864"/>
        <rFont val="Noto Sans CJK SC"/>
        <family val="2"/>
      </rPr>
      <t xml:space="preserve">하루에 켜는 횟수</t>
    </r>
    <r>
      <rPr>
        <b val="true"/>
        <sz val="12"/>
        <color rgb="FF1F3864"/>
        <rFont val="Arial"/>
        <family val="0"/>
        <charset val="1"/>
      </rPr>
      <t xml:space="preserve">, </t>
    </r>
    <r>
      <rPr>
        <b val="true"/>
        <sz val="12"/>
        <color rgb="FF1F3864"/>
        <rFont val="Noto Sans CJK SC"/>
        <family val="2"/>
      </rPr>
      <t xml:space="preserve">회</t>
    </r>
    <r>
      <rPr>
        <b val="true"/>
        <sz val="12"/>
        <color rgb="FF1F3864"/>
        <rFont val="Arial"/>
        <family val="0"/>
        <charset val="1"/>
      </rPr>
      <t xml:space="preserve">)  —  PDF 20</t>
    </r>
    <r>
      <rPr>
        <b val="true"/>
        <sz val="12"/>
        <color rgb="FF1F3864"/>
        <rFont val="Noto Sans CJK SC"/>
        <family val="2"/>
      </rPr>
      <t xml:space="preserve">쪽</t>
    </r>
  </si>
  <si>
    <r>
      <rPr>
        <i val="true"/>
        <sz val="11"/>
        <color rgb="FF595959"/>
        <rFont val="Arial"/>
        <family val="0"/>
        <charset val="1"/>
      </rPr>
      <t xml:space="preserve">* </t>
    </r>
    <r>
      <rPr>
        <i val="true"/>
        <sz val="11"/>
        <color rgb="FF595959"/>
        <rFont val="Noto Sans CJK SC"/>
        <family val="2"/>
      </rPr>
      <t xml:space="preserve">연평균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최저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최고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변동폭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순위는 보고서에 있는 값이 아니라</t>
    </r>
    <r>
      <rPr>
        <i val="true"/>
        <sz val="11"/>
        <color rgb="FF595959"/>
        <rFont val="Arial"/>
        <family val="0"/>
        <charset val="1"/>
      </rPr>
      <t xml:space="preserve">, 12</t>
    </r>
    <r>
      <rPr>
        <i val="true"/>
        <sz val="11"/>
        <color rgb="FF595959"/>
        <rFont val="Noto Sans CJK SC"/>
        <family val="2"/>
      </rPr>
      <t xml:space="preserve">개월 판독값으로 이 시트가 계산한 값입니다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단순 평균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</si>
  <si>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i val="true"/>
        <sz val="11"/>
        <color rgb="FF595959"/>
        <rFont val="Noto Sans CJK SC"/>
        <family val="2"/>
      </rPr>
      <t xml:space="preserve">각 칸은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그 달에 처음 설치한 사람들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월별 코호트</t>
    </r>
    <r>
      <rPr>
        <i val="true"/>
        <sz val="11"/>
        <color rgb="FF595959"/>
        <rFont val="Arial"/>
        <family val="0"/>
        <charset val="1"/>
      </rPr>
      <t xml:space="preserve">)' </t>
    </r>
    <r>
      <rPr>
        <i val="true"/>
        <sz val="11"/>
        <color rgb="FF595959"/>
        <rFont val="Noto Sans CJK SC"/>
        <family val="2"/>
      </rPr>
      <t xml:space="preserve">중 장르의 중앙값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가운데 순서</t>
    </r>
    <r>
      <rPr>
        <i val="true"/>
        <sz val="11"/>
        <color rgb="FF595959"/>
        <rFont val="Arial"/>
        <family val="0"/>
        <charset val="1"/>
      </rPr>
      <t xml:space="preserve">) </t>
    </r>
    <r>
      <rPr>
        <i val="true"/>
        <sz val="11"/>
        <color rgb="FF595959"/>
        <rFont val="Noto Sans CJK SC"/>
        <family val="2"/>
      </rPr>
      <t xml:space="preserve">게임의 수치입니다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보고서 방법론</t>
    </r>
    <r>
      <rPr>
        <i val="true"/>
        <sz val="11"/>
        <color rgb="FF595959"/>
        <rFont val="Arial"/>
        <family val="0"/>
        <charset val="1"/>
      </rPr>
      <t xml:space="preserve">(5</t>
    </r>
    <r>
      <rPr>
        <i val="true"/>
        <sz val="11"/>
        <color rgb="FF595959"/>
        <rFont val="Noto Sans CJK SC"/>
        <family val="2"/>
      </rPr>
      <t xml:space="preserve">쪽</t>
    </r>
    <r>
      <rPr>
        <i val="true"/>
        <sz val="11"/>
        <color rgb="FF595959"/>
        <rFont val="Arial"/>
        <family val="0"/>
        <charset val="1"/>
      </rPr>
      <t xml:space="preserve">): </t>
    </r>
    <r>
      <rPr>
        <i val="true"/>
        <sz val="11"/>
        <color rgb="FF595959"/>
        <rFont val="Noto Sans CJK SC"/>
        <family val="2"/>
      </rPr>
      <t xml:space="preserve">장르 장은 중앙값 </t>
    </r>
    <r>
      <rPr>
        <i val="true"/>
        <sz val="11"/>
        <color rgb="FF595959"/>
        <rFont val="Arial"/>
        <family val="0"/>
        <charset val="1"/>
      </rPr>
      <t xml:space="preserve">50% </t>
    </r>
    <r>
      <rPr>
        <i val="true"/>
        <sz val="11"/>
        <color rgb="FF595959"/>
        <rFont val="Noto Sans CJK SC"/>
        <family val="2"/>
      </rPr>
      <t xml:space="preserve">구간만 사용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</si>
  <si>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차트 숫자는 반올림되어 표시됩니다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리텐션 소수 둘째 자리 </t>
    </r>
    <r>
      <rPr>
        <i val="true"/>
        <sz val="11"/>
        <color rgb="FF595959"/>
        <rFont val="Arial"/>
        <family val="0"/>
        <charset val="1"/>
      </rPr>
      <t xml:space="preserve">%, </t>
    </r>
    <r>
      <rPr>
        <i val="true"/>
        <sz val="11"/>
        <color rgb="FF595959"/>
        <rFont val="Noto Sans CJK SC"/>
        <family val="2"/>
      </rPr>
      <t xml:space="preserve">시간 소수 첫째 자리 분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판독값의 정밀도도 그 이상은 아닙니다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</si>
  <si>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Arial"/>
        <family val="0"/>
        <charset val="1"/>
      </rPr>
      <t xml:space="preserve">D28</t>
    </r>
    <r>
      <rPr>
        <i val="true"/>
        <sz val="11"/>
        <color rgb="FF595959"/>
        <rFont val="Noto Sans CJK SC"/>
        <family val="2"/>
      </rPr>
      <t xml:space="preserve">은 </t>
    </r>
    <r>
      <rPr>
        <i val="true"/>
        <sz val="11"/>
        <color rgb="FF595959"/>
        <rFont val="Arial"/>
        <family val="0"/>
        <charset val="1"/>
      </rPr>
      <t xml:space="preserve">28</t>
    </r>
    <r>
      <rPr>
        <i val="true"/>
        <sz val="11"/>
        <color rgb="FF595959"/>
        <rFont val="Noto Sans CJK SC"/>
        <family val="2"/>
      </rPr>
      <t xml:space="preserve">일째 기준입니다</t>
    </r>
    <r>
      <rPr>
        <i val="true"/>
        <sz val="11"/>
        <color rgb="FF595959"/>
        <rFont val="Arial"/>
        <family val="0"/>
        <charset val="1"/>
      </rPr>
      <t xml:space="preserve">. 2026 </t>
    </r>
    <r>
      <rPr>
        <i val="true"/>
        <sz val="11"/>
        <color rgb="FF595959"/>
        <rFont val="Noto Sans CJK SC"/>
        <family val="2"/>
      </rPr>
      <t xml:space="preserve">보고서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다른 시트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의 </t>
    </r>
    <r>
      <rPr>
        <i val="true"/>
        <sz val="11"/>
        <color rgb="FF595959"/>
        <rFont val="Arial"/>
        <family val="0"/>
        <charset val="1"/>
      </rPr>
      <t xml:space="preserve">D30</t>
    </r>
    <r>
      <rPr>
        <i val="true"/>
        <sz val="11"/>
        <color rgb="FF595959"/>
        <rFont val="Noto Sans CJK SC"/>
        <family val="2"/>
      </rPr>
      <t xml:space="preserve">과 하루 차이가 있어 직접 비교에 주의하세요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</si>
  <si>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판독을 두 번 하면서 처음 읽은 값 </t>
    </r>
    <r>
      <rPr>
        <i val="true"/>
        <sz val="11"/>
        <color rgb="FF595959"/>
        <rFont val="Arial"/>
        <family val="0"/>
        <charset val="1"/>
      </rPr>
      <t xml:space="preserve">5</t>
    </r>
    <r>
      <rPr>
        <i val="true"/>
        <sz val="11"/>
        <color rgb="FF595959"/>
        <rFont val="Noto Sans CJK SC"/>
        <family val="2"/>
      </rPr>
      <t xml:space="preserve">칸을 고쳤습니다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액션 </t>
    </r>
    <r>
      <rPr>
        <i val="true"/>
        <sz val="11"/>
        <color rgb="FF595959"/>
        <rFont val="Arial"/>
        <family val="0"/>
        <charset val="1"/>
      </rPr>
      <t xml:space="preserve">D1 11</t>
    </r>
    <r>
      <rPr>
        <i val="true"/>
        <sz val="11"/>
        <color rgb="FF595959"/>
        <rFont val="Noto Sans CJK SC"/>
        <family val="2"/>
      </rPr>
      <t xml:space="preserve">월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카드 </t>
    </r>
    <r>
      <rPr>
        <i val="true"/>
        <sz val="11"/>
        <color rgb="FF595959"/>
        <rFont val="Arial"/>
        <family val="0"/>
        <charset val="1"/>
      </rPr>
      <t xml:space="preserve">D1 11</t>
    </r>
    <r>
      <rPr>
        <i val="true"/>
        <sz val="11"/>
        <color rgb="FF595959"/>
        <rFont val="Noto Sans CJK SC"/>
        <family val="2"/>
      </rPr>
      <t xml:space="preserve">월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퀴즈 </t>
    </r>
    <r>
      <rPr>
        <i val="true"/>
        <sz val="11"/>
        <color rgb="FF595959"/>
        <rFont val="Arial"/>
        <family val="0"/>
        <charset val="1"/>
      </rPr>
      <t xml:space="preserve">D7 7</t>
    </r>
    <r>
      <rPr>
        <i val="true"/>
        <sz val="11"/>
        <color rgb="FF595959"/>
        <rFont val="Noto Sans CJK SC"/>
        <family val="2"/>
      </rPr>
      <t xml:space="preserve">월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카드 </t>
    </r>
    <r>
      <rPr>
        <i val="true"/>
        <sz val="11"/>
        <color rgb="FF595959"/>
        <rFont val="Arial"/>
        <family val="0"/>
        <charset val="1"/>
      </rPr>
      <t xml:space="preserve">D28 3</t>
    </r>
    <r>
      <rPr>
        <i val="true"/>
        <sz val="11"/>
        <color rgb="FF595959"/>
        <rFont val="Noto Sans CJK SC"/>
        <family val="2"/>
      </rPr>
      <t xml:space="preserve">월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카지노 플레이 시간 </t>
    </r>
    <r>
      <rPr>
        <i val="true"/>
        <sz val="11"/>
        <color rgb="FF595959"/>
        <rFont val="Arial"/>
        <family val="0"/>
        <charset val="1"/>
      </rPr>
      <t xml:space="preserve">7</t>
    </r>
    <r>
      <rPr>
        <i val="true"/>
        <sz val="11"/>
        <color rgb="FF595959"/>
        <rFont val="Noto Sans CJK SC"/>
        <family val="2"/>
      </rPr>
      <t xml:space="preserve">월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그 밖의 칸은 두 번 모두 같은 값으로 읽혔습니다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</si>
  <si>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b val="true"/>
        <sz val="13"/>
        <rFont val="Noto Sans CJK SC"/>
        <family val="2"/>
      </rPr>
      <t xml:space="preserve">장르별 한눈에 보기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차트 판독값의 </t>
    </r>
    <r>
      <rPr>
        <b val="true"/>
        <sz val="13"/>
        <rFont val="Arial"/>
        <family val="0"/>
        <charset val="1"/>
      </rPr>
      <t xml:space="preserve">12</t>
    </r>
    <r>
      <rPr>
        <b val="true"/>
        <sz val="13"/>
        <rFont val="Noto Sans CJK SC"/>
        <family val="2"/>
      </rPr>
      <t xml:space="preserve">개월 평균</t>
    </r>
    <r>
      <rPr>
        <b val="true"/>
        <sz val="13"/>
        <rFont val="Arial"/>
        <family val="0"/>
        <charset val="1"/>
      </rPr>
      <t xml:space="preserve">)</t>
    </r>
  </si>
  <si>
    <r>
      <rPr>
        <b val="true"/>
        <sz val="11"/>
        <color rgb="FF7F7F7F"/>
        <rFont val="Noto Sans CJK SC"/>
        <family val="2"/>
      </rPr>
      <t xml:space="preserve">참조용 복사본 </t>
    </r>
    <r>
      <rPr>
        <b val="true"/>
        <sz val="11"/>
        <color rgb="FF7F7F7F"/>
        <rFont val="Arial"/>
        <family val="0"/>
        <charset val="1"/>
      </rPr>
      <t xml:space="preserve">· </t>
    </r>
    <r>
      <rPr>
        <b val="true"/>
        <sz val="11"/>
        <color rgb="FF7F7F7F"/>
        <rFont val="Noto Sans CJK SC"/>
        <family val="2"/>
      </rPr>
      <t xml:space="preserve">원본</t>
    </r>
    <r>
      <rPr>
        <b val="true"/>
        <sz val="11"/>
        <color rgb="FF7F7F7F"/>
        <rFont val="Arial"/>
        <family val="0"/>
        <charset val="1"/>
      </rPr>
      <t xml:space="preserve">: </t>
    </r>
    <r>
      <rPr>
        <b val="true"/>
        <sz val="11"/>
        <color rgb="FF7F7F7F"/>
        <rFont val="Noto Sans CJK SC"/>
        <family val="2"/>
      </rPr>
      <t xml:space="preserve">시장조사</t>
    </r>
    <r>
      <rPr>
        <b val="true"/>
        <sz val="11"/>
        <color rgb="FF7F7F7F"/>
        <rFont val="Arial"/>
        <family val="0"/>
        <charset val="1"/>
      </rPr>
      <t xml:space="preserve">.xlsx › 4-4 </t>
    </r>
    <r>
      <rPr>
        <b val="true"/>
        <sz val="11"/>
        <color rgb="FF7F7F7F"/>
        <rFont val="Noto Sans CJK SC"/>
        <family val="2"/>
      </rPr>
      <t xml:space="preserve">장르 판독 요약 </t>
    </r>
    <r>
      <rPr>
        <b val="true"/>
        <sz val="11"/>
        <color rgb="FF7F7F7F"/>
        <rFont val="Arial"/>
        <family val="0"/>
        <charset val="1"/>
      </rPr>
      <t xml:space="preserve">· </t>
    </r>
    <r>
      <rPr>
        <b val="true"/>
        <sz val="11"/>
        <color rgb="FF7F7F7F"/>
        <rFont val="Noto Sans CJK SC"/>
        <family val="2"/>
      </rPr>
      <t xml:space="preserve">원본을 고치면 코드를 다시 실행해 두 파일을 함께 갱신</t>
    </r>
  </si>
  <si>
    <r>
      <rPr>
        <b val="true"/>
        <sz val="11"/>
        <color rgb="FFC00000"/>
        <rFont val="Noto Sans CJK SC"/>
        <family val="2"/>
      </rPr>
      <t xml:space="preserve">⚠ 모든 숫자는 </t>
    </r>
    <r>
      <rPr>
        <b val="true"/>
        <sz val="11"/>
        <color rgb="FFC00000"/>
        <rFont val="Arial"/>
        <family val="0"/>
        <charset val="1"/>
      </rPr>
      <t xml:space="preserve">'4-2 </t>
    </r>
    <r>
      <rPr>
        <b val="true"/>
        <sz val="11"/>
        <color rgb="FFC00000"/>
        <rFont val="Noto Sans CJK SC"/>
        <family val="2"/>
      </rPr>
      <t xml:space="preserve">장르 차트 판독값</t>
    </r>
    <r>
      <rPr>
        <b val="true"/>
        <sz val="11"/>
        <color rgb="FFC00000"/>
        <rFont val="Arial"/>
        <family val="0"/>
        <charset val="1"/>
      </rPr>
      <t xml:space="preserve">(</t>
    </r>
    <r>
      <rPr>
        <b val="true"/>
        <sz val="11"/>
        <color rgb="FFC00000"/>
        <rFont val="Noto Sans CJK SC"/>
        <family val="2"/>
      </rPr>
      <t xml:space="preserve">참조</t>
    </r>
    <r>
      <rPr>
        <b val="true"/>
        <sz val="11"/>
        <color rgb="FFC00000"/>
        <rFont val="Arial"/>
        <family val="0"/>
        <charset val="1"/>
      </rPr>
      <t xml:space="preserve">)' </t>
    </r>
    <r>
      <rPr>
        <b val="true"/>
        <sz val="11"/>
        <color rgb="FFC00000"/>
        <rFont val="Noto Sans CJK SC"/>
        <family val="2"/>
      </rPr>
      <t xml:space="preserve">시트에서 자동으로 가져온 판독값 기반 계산입니다</t>
    </r>
    <r>
      <rPr>
        <b val="true"/>
        <sz val="11"/>
        <color rgb="FFC00000"/>
        <rFont val="Arial"/>
        <family val="0"/>
        <charset val="1"/>
      </rPr>
      <t xml:space="preserve">. </t>
    </r>
    <r>
      <rPr>
        <b val="true"/>
        <sz val="11"/>
        <color rgb="FFC00000"/>
        <rFont val="Noto Sans CJK SC"/>
        <family val="2"/>
      </rPr>
      <t xml:space="preserve">순위</t>
    </r>
    <r>
      <rPr>
        <b val="true"/>
        <sz val="11"/>
        <color rgb="FFC00000"/>
        <rFont val="Arial"/>
        <family val="0"/>
        <charset val="1"/>
      </rPr>
      <t xml:space="preserve">: 1</t>
    </r>
    <r>
      <rPr>
        <b val="true"/>
        <sz val="11"/>
        <color rgb="FFC00000"/>
        <rFont val="Noto Sans CJK SC"/>
        <family val="2"/>
      </rPr>
      <t xml:space="preserve">위</t>
    </r>
    <r>
      <rPr>
        <b val="true"/>
        <sz val="11"/>
        <color rgb="FFC00000"/>
        <rFont val="Arial"/>
        <family val="0"/>
        <charset val="1"/>
      </rPr>
      <t xml:space="preserve">=16</t>
    </r>
    <r>
      <rPr>
        <b val="true"/>
        <sz val="11"/>
        <color rgb="FFC00000"/>
        <rFont val="Noto Sans CJK SC"/>
        <family val="2"/>
      </rPr>
      <t xml:space="preserve">개 장르 중 가장 높음</t>
    </r>
    <r>
      <rPr>
        <b val="true"/>
        <sz val="11"/>
        <color rgb="FFC00000"/>
        <rFont val="Arial"/>
        <family val="0"/>
        <charset val="1"/>
      </rPr>
      <t xml:space="preserve">.</t>
    </r>
  </si>
  <si>
    <r>
      <rPr>
        <b val="true"/>
        <sz val="11"/>
        <color rgb="FFFFFFFF"/>
        <rFont val="Arial"/>
        <family val="0"/>
        <charset val="1"/>
      </rPr>
      <t xml:space="preserve">D28 </t>
    </r>
    <r>
      <rPr>
        <b val="true"/>
        <sz val="11"/>
        <color rgb="FFFFFFFF"/>
        <rFont val="Noto Sans CJK SC"/>
        <family val="2"/>
      </rPr>
      <t xml:space="preserve">리텐션</t>
    </r>
  </si>
  <si>
    <r>
      <rPr>
        <b val="true"/>
        <sz val="11"/>
        <color rgb="FFFFFFFF"/>
        <rFont val="Noto Sans CJK SC"/>
        <family val="2"/>
      </rPr>
      <t xml:space="preserve">쉬운 해설 ① </t>
    </r>
    <r>
      <rPr>
        <b val="true"/>
        <sz val="11"/>
        <color rgb="FFFFFFFF"/>
        <rFont val="Arial"/>
        <family val="0"/>
        <charset val="1"/>
      </rPr>
      <t xml:space="preserve">100</t>
    </r>
    <r>
      <rPr>
        <b val="true"/>
        <sz val="11"/>
        <color rgb="FFFFFFFF"/>
        <rFont val="Noto Sans CJK SC"/>
        <family val="2"/>
      </rPr>
      <t xml:space="preserve">명이 설치하면</t>
    </r>
  </si>
  <si>
    <t xml:space="preserve">쉬운 해설 ② 하루 노는 모습</t>
  </si>
  <si>
    <r>
      <rPr>
        <b val="true"/>
        <sz val="12"/>
        <rFont val="Noto Sans CJK SC"/>
        <family val="2"/>
      </rPr>
      <t xml:space="preserve">보고서 글</t>
    </r>
    <r>
      <rPr>
        <b val="true"/>
        <sz val="12"/>
        <rFont val="Arial"/>
        <family val="0"/>
        <charset val="1"/>
      </rPr>
      <t xml:space="preserve">(17</t>
    </r>
    <r>
      <rPr>
        <b val="true"/>
        <sz val="12"/>
        <rFont val="Noto Sans CJK SC"/>
        <family val="2"/>
      </rPr>
      <t xml:space="preserve">쪽</t>
    </r>
    <r>
      <rPr>
        <b val="true"/>
        <sz val="12"/>
        <rFont val="Arial"/>
        <family val="0"/>
        <charset val="1"/>
      </rPr>
      <t xml:space="preserve">·4</t>
    </r>
    <r>
      <rPr>
        <b val="true"/>
        <sz val="12"/>
        <rFont val="Noto Sans CJK SC"/>
        <family val="2"/>
      </rPr>
      <t xml:space="preserve">쪽</t>
    </r>
    <r>
      <rPr>
        <b val="true"/>
        <sz val="12"/>
        <rFont val="Arial"/>
        <family val="0"/>
        <charset val="1"/>
      </rPr>
      <t xml:space="preserve">·12</t>
    </r>
    <r>
      <rPr>
        <b val="true"/>
        <sz val="12"/>
        <rFont val="Noto Sans CJK SC"/>
        <family val="2"/>
      </rPr>
      <t xml:space="preserve">쪽</t>
    </r>
    <r>
      <rPr>
        <b val="true"/>
        <sz val="12"/>
        <rFont val="Arial"/>
        <family val="0"/>
        <charset val="1"/>
      </rPr>
      <t xml:space="preserve">)</t>
    </r>
    <r>
      <rPr>
        <b val="true"/>
        <sz val="12"/>
        <rFont val="Noto Sans CJK SC"/>
        <family val="2"/>
      </rPr>
      <t xml:space="preserve">과 판독값이 맞는지 확인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자동 계산</t>
    </r>
    <r>
      <rPr>
        <b val="true"/>
        <sz val="12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</si>
  <si>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보고서가 글로 쓴 내용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요약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</si>
  <si>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판독값으로 확인한 결과</t>
  </si>
  <si>
    <r>
      <rPr>
        <sz val="11"/>
        <rFont val="Noto Sans CJK SC"/>
        <family val="2"/>
      </rPr>
      <t xml:space="preserve">아케이드는 </t>
    </r>
    <r>
      <rPr>
        <sz val="11"/>
        <rFont val="Arial"/>
        <family val="0"/>
        <charset val="1"/>
      </rPr>
      <t xml:space="preserve">D1(</t>
    </r>
    <r>
      <rPr>
        <sz val="11"/>
        <rFont val="Noto Sans CJK SC"/>
        <family val="2"/>
      </rPr>
      <t xml:space="preserve">다음날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리텐션이 뛰어나다 </t>
    </r>
    <r>
      <rPr>
        <sz val="11"/>
        <rFont val="Arial"/>
        <family val="0"/>
        <charset val="1"/>
      </rPr>
      <t xml:space="preserve">(17</t>
    </r>
    <r>
      <rPr>
        <sz val="11"/>
        <rFont val="Noto Sans CJK SC"/>
        <family val="2"/>
      </rPr>
      <t xml:space="preserve">쪽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</si>
  <si>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아케이드는 오래 붙잡는 힘이 약하다 </t>
    </r>
    <r>
      <rPr>
        <sz val="11"/>
        <rFont val="Arial"/>
        <family val="0"/>
        <charset val="1"/>
      </rPr>
      <t xml:space="preserve">(17</t>
    </r>
    <r>
      <rPr>
        <sz val="11"/>
        <rFont val="Noto Sans CJK SC"/>
        <family val="2"/>
      </rPr>
      <t xml:space="preserve">쪽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</si>
  <si>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퍼즐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카지노는 </t>
    </r>
    <r>
      <rPr>
        <sz val="11"/>
        <rFont val="Arial"/>
        <family val="0"/>
        <charset val="1"/>
      </rPr>
      <t xml:space="preserve">D1·D7·D28 </t>
    </r>
    <r>
      <rPr>
        <sz val="11"/>
        <rFont val="Noto Sans CJK SC"/>
        <family val="2"/>
      </rPr>
      <t xml:space="preserve">모두 강하다 </t>
    </r>
    <r>
      <rPr>
        <sz val="11"/>
        <rFont val="Arial"/>
        <family val="0"/>
        <charset val="1"/>
      </rPr>
      <t xml:space="preserve">(17</t>
    </r>
    <r>
      <rPr>
        <sz val="11"/>
        <rFont val="Noto Sans CJK SC"/>
        <family val="2"/>
      </rPr>
      <t xml:space="preserve">쪽</t>
    </r>
    <r>
      <rPr>
        <sz val="11"/>
        <rFont val="Arial"/>
        <family val="0"/>
        <charset val="1"/>
      </rPr>
      <t xml:space="preserve">) — D7·D28 </t>
    </r>
    <r>
      <rPr>
        <sz val="11"/>
        <rFont val="Noto Sans CJK SC"/>
        <family val="2"/>
      </rPr>
      <t xml:space="preserve">확인</t>
    </r>
  </si>
  <si>
    <r>
      <rPr>
        <sz val="11"/>
        <rFont val="Noto Sans CJK SC"/>
        <family val="2"/>
      </rPr>
      <t xml:space="preserve">같은 문장 — </t>
    </r>
    <r>
      <rPr>
        <sz val="11"/>
        <rFont val="Arial"/>
        <family val="0"/>
        <charset val="1"/>
      </rPr>
      <t xml:space="preserve">D1 </t>
    </r>
    <r>
      <rPr>
        <sz val="11"/>
        <rFont val="Noto Sans CJK SC"/>
        <family val="2"/>
      </rPr>
      <t xml:space="preserve">확인</t>
    </r>
  </si>
  <si>
    <r>
      <rPr>
        <sz val="11"/>
        <rFont val="Noto Sans CJK SC"/>
        <family val="2"/>
      </rPr>
      <t xml:space="preserve">멀티플레이는 리텐션이 가장 낮다 </t>
    </r>
    <r>
      <rPr>
        <sz val="11"/>
        <rFont val="Arial"/>
        <family val="0"/>
        <charset val="1"/>
      </rPr>
      <t xml:space="preserve">(17</t>
    </r>
    <r>
      <rPr>
        <sz val="11"/>
        <rFont val="Noto Sans CJK SC"/>
        <family val="2"/>
      </rPr>
      <t xml:space="preserve">쪽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</si>
  <si>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멀티플레이는 세션 길이가 가장 길다 </t>
    </r>
    <r>
      <rPr>
        <sz val="11"/>
        <rFont val="Arial"/>
        <family val="0"/>
        <charset val="1"/>
      </rPr>
      <t xml:space="preserve">(17</t>
    </r>
    <r>
      <rPr>
        <sz val="11"/>
        <rFont val="Noto Sans CJK SC"/>
        <family val="2"/>
      </rPr>
      <t xml:space="preserve">쪽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</si>
  <si>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퍼즐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카지노는 플레이 시간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세션 수도 높다 </t>
    </r>
    <r>
      <rPr>
        <sz val="11"/>
        <rFont val="Arial"/>
        <family val="0"/>
        <charset val="1"/>
      </rPr>
      <t xml:space="preserve">(17</t>
    </r>
    <r>
      <rPr>
        <sz val="11"/>
        <rFont val="Noto Sans CJK SC"/>
        <family val="2"/>
      </rPr>
      <t xml:space="preserve">쪽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</si>
  <si>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미드코어 게임은 하루 세션 수 중앙값이 </t>
    </r>
    <r>
      <rPr>
        <sz val="11"/>
        <rFont val="Arial"/>
        <family val="0"/>
        <charset val="1"/>
      </rPr>
      <t xml:space="preserve">6~7</t>
    </r>
    <r>
      <rPr>
        <sz val="11"/>
        <rFont val="Noto Sans CJK SC"/>
        <family val="2"/>
      </rPr>
      <t xml:space="preserve">회 </t>
    </r>
    <r>
      <rPr>
        <sz val="11"/>
        <rFont val="Arial"/>
        <family val="0"/>
        <charset val="1"/>
      </rPr>
      <t xml:space="preserve">(12</t>
    </r>
    <r>
      <rPr>
        <sz val="11"/>
        <rFont val="Noto Sans CJK SC"/>
        <family val="2"/>
      </rPr>
      <t xml:space="preserve">쪽</t>
    </r>
    <r>
      <rPr>
        <sz val="11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</si>
  <si>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보고서 본문</t>
    </r>
    <r>
      <rPr>
        <i val="true"/>
        <sz val="11"/>
        <color rgb="FF595959"/>
        <rFont val="Arial"/>
        <family val="0"/>
        <charset val="1"/>
      </rPr>
      <t xml:space="preserve">(4</t>
    </r>
    <r>
      <rPr>
        <i val="true"/>
        <sz val="11"/>
        <color rgb="FF595959"/>
        <rFont val="Noto Sans CJK SC"/>
        <family val="2"/>
      </rPr>
      <t xml:space="preserve">쪽</t>
    </r>
    <r>
      <rPr>
        <i val="true"/>
        <sz val="11"/>
        <color rgb="FF595959"/>
        <rFont val="Arial"/>
        <family val="0"/>
        <charset val="1"/>
      </rPr>
      <t xml:space="preserve">·11~12</t>
    </r>
    <r>
      <rPr>
        <i val="true"/>
        <sz val="11"/>
        <color rgb="FF595959"/>
        <rFont val="Noto Sans CJK SC"/>
        <family val="2"/>
      </rPr>
      <t xml:space="preserve">쪽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의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전체 게임</t>
    </r>
    <r>
      <rPr>
        <i val="true"/>
        <sz val="11"/>
        <color rgb="FF595959"/>
        <rFont val="Arial"/>
        <family val="0"/>
        <charset val="1"/>
      </rPr>
      <t xml:space="preserve">' </t>
    </r>
    <r>
      <rPr>
        <i val="true"/>
        <sz val="11"/>
        <color rgb="FF595959"/>
        <rFont val="Noto Sans CJK SC"/>
        <family val="2"/>
      </rPr>
      <t xml:space="preserve">기준값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플레이 시간 중앙값 약 </t>
    </r>
    <r>
      <rPr>
        <i val="true"/>
        <sz val="11"/>
        <color rgb="FF595959"/>
        <rFont val="Arial"/>
        <family val="0"/>
        <charset val="1"/>
      </rPr>
      <t xml:space="preserve">22</t>
    </r>
    <r>
      <rPr>
        <i val="true"/>
        <sz val="11"/>
        <color rgb="FF595959"/>
        <rFont val="Noto Sans CJK SC"/>
        <family val="2"/>
      </rPr>
      <t xml:space="preserve">분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세션 길이 중앙값 </t>
    </r>
    <r>
      <rPr>
        <i val="true"/>
        <sz val="11"/>
        <color rgb="FF595959"/>
        <rFont val="Arial"/>
        <family val="0"/>
        <charset val="1"/>
      </rPr>
      <t xml:space="preserve">5~6</t>
    </r>
    <r>
      <rPr>
        <i val="true"/>
        <sz val="11"/>
        <color rgb="FF595959"/>
        <rFont val="Noto Sans CJK SC"/>
        <family val="2"/>
      </rPr>
      <t xml:space="preserve">분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하루 세션 수 중앙값 </t>
    </r>
    <r>
      <rPr>
        <i val="true"/>
        <sz val="11"/>
        <color rgb="FF595959"/>
        <rFont val="Arial"/>
        <family val="0"/>
        <charset val="1"/>
      </rPr>
      <t xml:space="preserve">4</t>
    </r>
    <r>
      <rPr>
        <i val="true"/>
        <sz val="11"/>
        <color rgb="FF595959"/>
        <rFont val="Noto Sans CJK SC"/>
        <family val="2"/>
      </rPr>
      <t xml:space="preserve">회</t>
    </r>
    <r>
      <rPr>
        <i val="true"/>
        <sz val="11"/>
        <color rgb="FF595959"/>
        <rFont val="Arial"/>
        <family val="0"/>
        <charset val="1"/>
      </rPr>
      <t xml:space="preserve">, D7 </t>
    </r>
    <r>
      <rPr>
        <i val="true"/>
        <sz val="11"/>
        <color rgb="FF595959"/>
        <rFont val="Noto Sans CJK SC"/>
        <family val="2"/>
      </rPr>
      <t xml:space="preserve">중앙값 </t>
    </r>
    <r>
      <rPr>
        <i val="true"/>
        <sz val="11"/>
        <color rgb="FF595959"/>
        <rFont val="Arial"/>
        <family val="0"/>
        <charset val="1"/>
      </rPr>
      <t xml:space="preserve">3.42~3.94%. </t>
    </r>
    <r>
      <rPr>
        <i val="true"/>
        <sz val="11"/>
        <color rgb="FF595959"/>
        <rFont val="Noto Sans CJK SC"/>
        <family val="2"/>
      </rPr>
      <t xml:space="preserve">장르 표는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월별 코호트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라 계산 방식이 달라 위 장르 값과 바로 비교하지 마세요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</si>
  <si>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미드코어 </t>
    </r>
    <r>
      <rPr>
        <i val="true"/>
        <sz val="11"/>
        <color rgb="FF595959"/>
        <rFont val="Arial"/>
        <family val="0"/>
        <charset val="1"/>
      </rPr>
      <t xml:space="preserve">6~7</t>
    </r>
    <r>
      <rPr>
        <i val="true"/>
        <sz val="11"/>
        <color rgb="FF595959"/>
        <rFont val="Noto Sans CJK SC"/>
        <family val="2"/>
      </rPr>
      <t xml:space="preserve">회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는 보고서 </t>
    </r>
    <r>
      <rPr>
        <i val="true"/>
        <sz val="11"/>
        <color rgb="FF595959"/>
        <rFont val="Arial"/>
        <family val="0"/>
        <charset val="1"/>
      </rPr>
      <t xml:space="preserve">12</t>
    </r>
    <r>
      <rPr>
        <i val="true"/>
        <sz val="11"/>
        <color rgb="FF595959"/>
        <rFont val="Noto Sans CJK SC"/>
        <family val="2"/>
      </rPr>
      <t xml:space="preserve">쪽 문장입니다</t>
    </r>
    <r>
      <rPr>
        <i val="true"/>
        <sz val="11"/>
        <color rgb="FF595959"/>
        <rFont val="Arial"/>
        <family val="0"/>
        <charset val="1"/>
      </rPr>
      <t xml:space="preserve">. 21</t>
    </r>
    <r>
      <rPr>
        <i val="true"/>
        <sz val="11"/>
        <color rgb="FF595959"/>
        <rFont val="Noto Sans CJK SC"/>
        <family val="2"/>
      </rPr>
      <t xml:space="preserve">쪽 화면에는 캐주얼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클래식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미드코어라는 별도 장르 묶음이 보이므로</t>
    </r>
    <r>
      <rPr>
        <i val="true"/>
        <sz val="11"/>
        <color rgb="FF595959"/>
        <rFont val="Arial"/>
        <family val="0"/>
        <charset val="1"/>
      </rPr>
      <t xml:space="preserve">, 16</t>
    </r>
    <r>
      <rPr>
        <i val="true"/>
        <sz val="11"/>
        <color rgb="FF595959"/>
        <rFont val="Noto Sans CJK SC"/>
        <family val="2"/>
      </rPr>
      <t xml:space="preserve">개 장르 표와 분류 기준이 다를 수 있습니다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추정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</si>
  <si>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i val="true"/>
        <sz val="11"/>
        <color rgb="FF595959"/>
        <rFont val="Noto Sans CJK SC"/>
        <family val="2"/>
      </rPr>
      <t xml:space="preserve">쉬운 해설의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명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은 판독값 </t>
    </r>
    <r>
      <rPr>
        <i val="true"/>
        <sz val="11"/>
        <color rgb="FF595959"/>
        <rFont val="Arial"/>
        <family val="0"/>
        <charset val="1"/>
      </rPr>
      <t xml:space="preserve">%</t>
    </r>
    <r>
      <rPr>
        <i val="true"/>
        <sz val="11"/>
        <color rgb="FF595959"/>
        <rFont val="Noto Sans CJK SC"/>
        <family val="2"/>
      </rPr>
      <t xml:space="preserve">를 </t>
    </r>
    <r>
      <rPr>
        <i val="true"/>
        <sz val="11"/>
        <color rgb="FF595959"/>
        <rFont val="Arial"/>
        <family val="0"/>
        <charset val="1"/>
      </rPr>
      <t xml:space="preserve">100</t>
    </r>
    <r>
      <rPr>
        <i val="true"/>
        <sz val="11"/>
        <color rgb="FF595959"/>
        <rFont val="Noto Sans CJK SC"/>
        <family val="2"/>
      </rPr>
      <t xml:space="preserve">명 기준으로 바꾼 것입니다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예</t>
    </r>
    <r>
      <rPr>
        <i val="true"/>
        <sz val="11"/>
        <color rgb="FF595959"/>
        <rFont val="Arial"/>
        <family val="0"/>
        <charset val="1"/>
      </rPr>
      <t xml:space="preserve">: 6.72% → 100</t>
    </r>
    <r>
      <rPr>
        <i val="true"/>
        <sz val="11"/>
        <color rgb="FF595959"/>
        <rFont val="Noto Sans CJK SC"/>
        <family val="2"/>
      </rPr>
      <t xml:space="preserve">명 중 </t>
    </r>
    <r>
      <rPr>
        <i val="true"/>
        <sz val="11"/>
        <color rgb="FF595959"/>
        <rFont val="Arial"/>
        <family val="0"/>
        <charset val="1"/>
      </rPr>
      <t xml:space="preserve">6.7</t>
    </r>
    <r>
      <rPr>
        <i val="true"/>
        <sz val="11"/>
        <color rgb="FF595959"/>
        <rFont val="Noto Sans CJK SC"/>
        <family val="2"/>
      </rPr>
      <t xml:space="preserve">명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소수점 사람은 </t>
    </r>
    <r>
      <rPr>
        <i val="true"/>
        <sz val="11"/>
        <color rgb="FF595959"/>
        <rFont val="Arial"/>
        <family val="0"/>
        <charset val="1"/>
      </rPr>
      <t xml:space="preserve">'1,000</t>
    </r>
    <r>
      <rPr>
        <i val="true"/>
        <sz val="11"/>
        <color rgb="FF595959"/>
        <rFont val="Noto Sans CJK SC"/>
        <family val="2"/>
      </rPr>
      <t xml:space="preserve">명이면 </t>
    </r>
    <r>
      <rPr>
        <i val="true"/>
        <sz val="11"/>
        <color rgb="FF595959"/>
        <rFont val="Arial"/>
        <family val="0"/>
        <charset val="1"/>
      </rPr>
      <t xml:space="preserve">67</t>
    </r>
    <r>
      <rPr>
        <i val="true"/>
        <sz val="11"/>
        <color rgb="FF595959"/>
        <rFont val="Noto Sans CJK SC"/>
        <family val="2"/>
      </rPr>
      <t xml:space="preserve">명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처럼 이해하면 됩니다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</si>
  <si>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b val="true"/>
        <sz val="11"/>
        <color rgb="FF7F7F7F"/>
        <rFont val="Noto Sans CJK SC"/>
        <family val="2"/>
      </rPr>
      <t xml:space="preserve">참조용 복사본 </t>
    </r>
    <r>
      <rPr>
        <b val="true"/>
        <sz val="11"/>
        <color rgb="FF7F7F7F"/>
        <rFont val="Arial"/>
        <family val="0"/>
        <charset val="1"/>
      </rPr>
      <t xml:space="preserve">· </t>
    </r>
    <r>
      <rPr>
        <b val="true"/>
        <sz val="11"/>
        <color rgb="FF7F7F7F"/>
        <rFont val="Noto Sans CJK SC"/>
        <family val="2"/>
      </rPr>
      <t xml:space="preserve">원본</t>
    </r>
    <r>
      <rPr>
        <b val="true"/>
        <sz val="11"/>
        <color rgb="FF7F7F7F"/>
        <rFont val="Arial"/>
        <family val="0"/>
        <charset val="1"/>
      </rPr>
      <t xml:space="preserve">: </t>
    </r>
    <r>
      <rPr>
        <b val="true"/>
        <sz val="11"/>
        <color rgb="FF7F7F7F"/>
        <rFont val="Noto Sans CJK SC"/>
        <family val="2"/>
      </rPr>
      <t xml:space="preserve">시장조사</t>
    </r>
    <r>
      <rPr>
        <b val="true"/>
        <sz val="11"/>
        <color rgb="FF7F7F7F"/>
        <rFont val="Arial"/>
        <family val="0"/>
        <charset val="1"/>
      </rPr>
      <t xml:space="preserve">.xlsx › 1-2 Google Play Top100 · </t>
    </r>
    <r>
      <rPr>
        <b val="true"/>
        <sz val="11"/>
        <color rgb="FF7F7F7F"/>
        <rFont val="Noto Sans CJK SC"/>
        <family val="2"/>
      </rPr>
      <t xml:space="preserve">원본을 고치면 코드를 다시 실행해 두 파일을 함께 갱신</t>
    </r>
  </si>
  <si>
    <t xml:space="preserve">스도쿠류</t>
  </si>
  <si>
    <t xml:space="preserve">Rovio</t>
  </si>
  <si>
    <t xml:space="preserve">Roblox Corporation</t>
  </si>
  <si>
    <t xml:space="preserve">Flow Games</t>
  </si>
  <si>
    <t xml:space="preserve">버스잼</t>
  </si>
  <si>
    <t xml:space="preserve">Cypher Games</t>
  </si>
  <si>
    <t xml:space="preserve">Amobear VN</t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</si>
  <si>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음성 파티 게임 확인 </t>
    </r>
    <r>
      <rPr>
        <sz val="11"/>
        <rFont val="Arial"/>
        <family val="0"/>
        <charset val="1"/>
      </rPr>
      <t xml:space="preserve">(6</t>
    </r>
    <r>
      <rPr>
        <sz val="11"/>
        <rFont val="Noto Sans CJK SC"/>
        <family val="2"/>
      </rPr>
      <t xml:space="preserve">단계</t>
    </r>
    <r>
      <rPr>
        <sz val="11"/>
        <rFont val="Arial"/>
        <family val="0"/>
        <charset val="1"/>
      </rPr>
      <t xml:space="preserve">-4)</t>
    </r>
  </si>
  <si>
    <t xml:space="preserve">JoyGame Studio</t>
  </si>
  <si>
    <t xml:space="preserve">Tripledot Studios</t>
  </si>
  <si>
    <t xml:space="preserve">Wildlife Studios</t>
  </si>
  <si>
    <t xml:space="preserve">건설</t>
  </si>
  <si>
    <t xml:space="preserve">PlaySimple</t>
  </si>
  <si>
    <t xml:space="preserve">스토리 결합</t>
  </si>
  <si>
    <t xml:space="preserve">Shycheese</t>
  </si>
  <si>
    <t xml:space="preserve">SayGames</t>
  </si>
  <si>
    <t xml:space="preserve">머지 요소</t>
  </si>
  <si>
    <t xml:space="preserve">ABI Games</t>
  </si>
  <si>
    <r>
      <rPr>
        <sz val="11"/>
        <rFont val="Noto Sans CJK SC"/>
        <family val="2"/>
      </rPr>
      <t xml:space="preserve">픽셀 그림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색 슬롯 방식 확인 — </t>
    </r>
    <r>
      <rPr>
        <sz val="11"/>
        <rFont val="Arial"/>
        <family val="0"/>
        <charset val="1"/>
      </rPr>
      <t xml:space="preserve">Pixel Flow!</t>
    </r>
    <r>
      <rPr>
        <sz val="11"/>
        <rFont val="Noto Sans CJK SC"/>
        <family val="2"/>
      </rPr>
      <t xml:space="preserve">와 같은 부류로 맞춤 </t>
    </r>
    <r>
      <rPr>
        <sz val="11"/>
        <rFont val="Arial"/>
        <family val="0"/>
        <charset val="1"/>
      </rPr>
      <t xml:space="preserve">(6</t>
    </r>
    <r>
      <rPr>
        <sz val="11"/>
        <rFont val="Noto Sans CJK SC"/>
        <family val="2"/>
      </rPr>
      <t xml:space="preserve">단계</t>
    </r>
    <r>
      <rPr>
        <sz val="11"/>
        <rFont val="Arial"/>
        <family val="0"/>
        <charset val="1"/>
      </rPr>
      <t xml:space="preserve">-4)</t>
    </r>
  </si>
  <si>
    <t xml:space="preserve">Playrix</t>
  </si>
  <si>
    <t xml:space="preserve">Easybrain</t>
  </si>
  <si>
    <t xml:space="preserve">Voodoo</t>
  </si>
  <si>
    <t xml:space="preserve">Rotatelab</t>
  </si>
  <si>
    <t xml:space="preserve">Supercent</t>
  </si>
  <si>
    <r>
      <rPr>
        <sz val="11"/>
        <rFont val="Noto Sans CJK SC"/>
        <family val="2"/>
      </rPr>
      <t xml:space="preserve">파괴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채굴</t>
    </r>
  </si>
  <si>
    <t xml:space="preserve">GOODROID</t>
  </si>
  <si>
    <t xml:space="preserve">io</t>
  </si>
  <si>
    <t xml:space="preserve">Amanotes</t>
  </si>
  <si>
    <t xml:space="preserve">리듬</t>
  </si>
  <si>
    <t xml:space="preserve">Lessmore</t>
  </si>
  <si>
    <t xml:space="preserve">Rollic Games</t>
  </si>
  <si>
    <t xml:space="preserve">Miniclip</t>
  </si>
  <si>
    <r>
      <rPr>
        <sz val="11"/>
        <rFont val="Noto Sans CJK SC"/>
        <family val="2"/>
      </rPr>
      <t xml:space="preserve">당구 </t>
    </r>
    <r>
      <rPr>
        <sz val="11"/>
        <rFont val="Arial"/>
        <family val="0"/>
        <charset val="1"/>
      </rPr>
      <t xml:space="preserve">PvP</t>
    </r>
  </si>
  <si>
    <t xml:space="preserve">CrazyLabs</t>
  </si>
  <si>
    <t xml:space="preserve">러너</t>
  </si>
  <si>
    <r>
      <rPr>
        <sz val="11"/>
        <rFont val="Noto Sans CJK SC"/>
        <family val="2"/>
      </rPr>
      <t xml:space="preserve">직소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솔리테어 하이브리드</t>
    </r>
  </si>
  <si>
    <t xml:space="preserve">Combo Game</t>
  </si>
  <si>
    <t xml:space="preserve">Powerfantasy</t>
  </si>
  <si>
    <t xml:space="preserve">Ivy</t>
  </si>
  <si>
    <t xml:space="preserve">Metagame</t>
  </si>
  <si>
    <t xml:space="preserve">UUTEAM</t>
  </si>
  <si>
    <r>
      <rPr>
        <sz val="11"/>
        <rFont val="Noto Sans CJK SC"/>
        <family val="2"/>
      </rPr>
      <t xml:space="preserve">색 블록 정렬 퍼즐 확인 </t>
    </r>
    <r>
      <rPr>
        <sz val="11"/>
        <rFont val="Arial"/>
        <family val="0"/>
        <charset val="1"/>
      </rPr>
      <t xml:space="preserve">(6</t>
    </r>
    <r>
      <rPr>
        <sz val="11"/>
        <rFont val="Noto Sans CJK SC"/>
        <family val="2"/>
      </rPr>
      <t xml:space="preserve">단계</t>
    </r>
    <r>
      <rPr>
        <sz val="11"/>
        <rFont val="Arial"/>
        <family val="0"/>
        <charset val="1"/>
      </rPr>
      <t xml:space="preserve">-4)</t>
    </r>
  </si>
  <si>
    <t xml:space="preserve">Guru Puzzle Game</t>
  </si>
  <si>
    <t xml:space="preserve">Loom Games</t>
  </si>
  <si>
    <t xml:space="preserve">KAYAC</t>
  </si>
  <si>
    <t xml:space="preserve">Neptune(Treeplla)</t>
  </si>
  <si>
    <t xml:space="preserve">방치형 슈터</t>
  </si>
  <si>
    <t xml:space="preserve">SYBO Games</t>
  </si>
  <si>
    <t xml:space="preserve">Agave Games</t>
  </si>
  <si>
    <t xml:space="preserve">RobTop Games</t>
  </si>
  <si>
    <t xml:space="preserve">플랫포머</t>
  </si>
  <si>
    <t xml:space="preserve">Mindful Daily Puzzles</t>
  </si>
  <si>
    <t xml:space="preserve">Leap Game Studios</t>
  </si>
  <si>
    <t xml:space="preserve">X-Flow</t>
  </si>
  <si>
    <t xml:space="preserve">CozyCraft</t>
  </si>
  <si>
    <t xml:space="preserve">헌팅</t>
  </si>
  <si>
    <t xml:space="preserve">Toca Boca</t>
  </si>
  <si>
    <t xml:space="preserve">키즈 라이프</t>
  </si>
  <si>
    <t xml:space="preserve">Innersloth</t>
  </si>
  <si>
    <t xml:space="preserve">소셜 디덕션</t>
  </si>
  <si>
    <r>
      <rPr>
        <sz val="11"/>
        <rFont val="Arial"/>
        <family val="0"/>
        <charset val="1"/>
      </rPr>
      <t xml:space="preserve">IP </t>
    </r>
    <r>
      <rPr>
        <sz val="11"/>
        <rFont val="Noto Sans CJK SC"/>
        <family val="2"/>
      </rPr>
      <t xml:space="preserve">활용</t>
    </r>
  </si>
  <si>
    <t xml:space="preserve">Electronic Arts</t>
  </si>
  <si>
    <t xml:space="preserve">NimbleMind</t>
  </si>
  <si>
    <t xml:space="preserve">Pawprint Studio</t>
  </si>
  <si>
    <t xml:space="preserve">37GAMES</t>
  </si>
  <si>
    <t xml:space="preserve">좀비 테마</t>
  </si>
  <si>
    <r>
      <rPr>
        <sz val="11"/>
        <rFont val="Noto Sans CJK SC"/>
        <family val="2"/>
      </rPr>
      <t xml:space="preserve">디지털 </t>
    </r>
    <r>
      <rPr>
        <sz val="11"/>
        <rFont val="Arial"/>
        <family val="0"/>
        <charset val="1"/>
      </rPr>
      <t xml:space="preserve">TCG</t>
    </r>
  </si>
  <si>
    <t xml:space="preserve">PeopleFun</t>
  </si>
  <si>
    <t xml:space="preserve">Wonderful Studio</t>
  </si>
  <si>
    <t xml:space="preserve">연상 퍼즐</t>
  </si>
  <si>
    <t xml:space="preserve">playducky.com</t>
  </si>
  <si>
    <t xml:space="preserve">물리 샌드박스</t>
  </si>
  <si>
    <t xml:space="preserve">홀 수집</t>
  </si>
  <si>
    <t xml:space="preserve">Tuyoo Games</t>
  </si>
  <si>
    <t xml:space="preserve">Mouse Games</t>
  </si>
  <si>
    <t xml:space="preserve">EVERFUN</t>
  </si>
  <si>
    <t xml:space="preserve">출처 페이지에서 해당 순위 누락</t>
  </si>
  <si>
    <t xml:space="preserve">Unico Studio</t>
  </si>
  <si>
    <t xml:space="preserve">Peak</t>
  </si>
  <si>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트리플 매치</t>
    </r>
  </si>
  <si>
    <t xml:space="preserve">Gimica</t>
  </si>
  <si>
    <t xml:space="preserve">채굴</t>
  </si>
  <si>
    <t xml:space="preserve">Heseri Games</t>
  </si>
  <si>
    <t xml:space="preserve">진화 러너</t>
  </si>
  <si>
    <t xml:space="preserve">JindoBlu</t>
  </si>
  <si>
    <t xml:space="preserve">미니게임 모음</t>
  </si>
  <si>
    <r>
      <rPr>
        <sz val="11"/>
        <rFont val="Noto Sans CJK SC"/>
        <family val="2"/>
      </rPr>
      <t xml:space="preserve">스토어 분류 </t>
    </r>
    <r>
      <rPr>
        <sz val="11"/>
        <rFont val="Arial"/>
        <family val="0"/>
        <charset val="1"/>
      </rPr>
      <t xml:space="preserve">Strategy </t>
    </r>
    <r>
      <rPr>
        <sz val="11"/>
        <rFont val="Noto Sans CJK SC"/>
        <family val="2"/>
      </rPr>
      <t xml:space="preserve">확인 — 같은 회사 </t>
    </r>
    <r>
      <rPr>
        <sz val="11"/>
        <rFont val="Arial"/>
        <family val="0"/>
        <charset val="1"/>
      </rPr>
      <t xml:space="preserve">Kingshot</t>
    </r>
    <r>
      <rPr>
        <sz val="11"/>
        <rFont val="Noto Sans CJK SC"/>
        <family val="2"/>
      </rPr>
      <t xml:space="preserve">과 같은 기준으로 </t>
    </r>
    <r>
      <rPr>
        <sz val="11"/>
        <rFont val="Arial"/>
        <family val="0"/>
        <charset val="1"/>
      </rPr>
      <t xml:space="preserve">4X·SLG (</t>
    </r>
    <r>
      <rPr>
        <sz val="11"/>
        <rFont val="Noto Sans CJK SC"/>
        <family val="2"/>
      </rPr>
      <t xml:space="preserve">세부는 분석자 판단</t>
    </r>
    <r>
      <rPr>
        <sz val="11"/>
        <rFont val="Arial"/>
        <family val="0"/>
        <charset val="1"/>
      </rPr>
      <t xml:space="preserve">) (6</t>
    </r>
    <r>
      <rPr>
        <sz val="11"/>
        <rFont val="Noto Sans CJK SC"/>
        <family val="2"/>
      </rPr>
      <t xml:space="preserve">단계</t>
    </r>
    <r>
      <rPr>
        <sz val="11"/>
        <rFont val="Arial"/>
        <family val="0"/>
        <charset val="1"/>
      </rPr>
      <t xml:space="preserve">-4)</t>
    </r>
  </si>
  <si>
    <t xml:space="preserve">Pleasure City</t>
  </si>
  <si>
    <t xml:space="preserve">Big Host Africa</t>
  </si>
  <si>
    <t xml:space="preserve">익스트랙션 슈터</t>
  </si>
  <si>
    <t xml:space="preserve">CanaryDroid</t>
  </si>
  <si>
    <t xml:space="preserve">Paradyme Games</t>
  </si>
  <si>
    <t xml:space="preserve">파괴 샌드박스</t>
  </si>
  <si>
    <t xml:space="preserve">Game District</t>
  </si>
  <si>
    <t xml:space="preserve">스트레스 해소</t>
  </si>
  <si>
    <t xml:space="preserve">Playdayy</t>
  </si>
  <si>
    <t xml:space="preserve">GreatPlay</t>
  </si>
  <si>
    <t xml:space="preserve">리얼머니 스킬게임</t>
  </si>
  <si>
    <t xml:space="preserve">주사위</t>
  </si>
  <si>
    <t xml:space="preserve">Ninja Kiwi</t>
  </si>
  <si>
    <r>
      <rPr>
        <sz val="11"/>
        <rFont val="Noto Sans CJK SC"/>
        <family val="2"/>
      </rPr>
      <t xml:space="preserve">탄막 생존 게임 확인 — 아케이드 유지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분석자 판단</t>
    </r>
    <r>
      <rPr>
        <sz val="11"/>
        <rFont val="Arial"/>
        <family val="0"/>
        <charset val="1"/>
      </rPr>
      <t xml:space="preserve">) (6</t>
    </r>
    <r>
      <rPr>
        <sz val="11"/>
        <rFont val="Noto Sans CJK SC"/>
        <family val="2"/>
      </rPr>
      <t xml:space="preserve">단계</t>
    </r>
    <r>
      <rPr>
        <sz val="11"/>
        <rFont val="Arial"/>
        <family val="0"/>
        <charset val="1"/>
      </rPr>
      <t xml:space="preserve">-4)</t>
    </r>
  </si>
  <si>
    <r>
      <rPr>
        <b val="true"/>
        <sz val="11"/>
        <color rgb="FFFFFFFF"/>
        <rFont val="Noto Sans CJK SC"/>
        <family val="2"/>
      </rPr>
      <t xml:space="preserve">매출 </t>
    </r>
    <r>
      <rPr>
        <b val="true"/>
        <sz val="11"/>
        <color rgb="FFFFFFFF"/>
        <rFont val="Arial"/>
        <family val="0"/>
        <charset val="1"/>
      </rPr>
      <t xml:space="preserve">Top100 </t>
    </r>
    <r>
      <rPr>
        <b val="true"/>
        <sz val="11"/>
        <color rgb="FFFFFFFF"/>
        <rFont val="Noto Sans CJK SC"/>
        <family val="2"/>
      </rPr>
      <t xml:space="preserve">수</t>
    </r>
  </si>
  <si>
    <t xml:space="preserve">매출 비율</t>
  </si>
  <si>
    <r>
      <rPr>
        <b val="true"/>
        <sz val="11"/>
        <color rgb="FFFFFFFF"/>
        <rFont val="Noto Sans CJK SC"/>
        <family val="2"/>
      </rPr>
      <t xml:space="preserve">무료 </t>
    </r>
    <r>
      <rPr>
        <b val="true"/>
        <sz val="11"/>
        <color rgb="FFFFFFFF"/>
        <rFont val="Arial"/>
        <family val="0"/>
        <charset val="1"/>
      </rPr>
      <t xml:space="preserve">Top100 </t>
    </r>
    <r>
      <rPr>
        <b val="true"/>
        <sz val="11"/>
        <color rgb="FFFFFFFF"/>
        <rFont val="Noto Sans CJK SC"/>
        <family val="2"/>
      </rPr>
      <t xml:space="preserve">수 </t>
    </r>
    <r>
      <rPr>
        <b val="true"/>
        <sz val="11"/>
        <color rgb="FFFFFFFF"/>
        <rFont val="Arial"/>
        <family val="0"/>
        <charset val="1"/>
      </rPr>
      <t xml:space="preserve">(1-2)</t>
    </r>
  </si>
  <si>
    <t xml:space="preserve">무료 비율</t>
  </si>
  <si>
    <r>
      <rPr>
        <b val="true"/>
        <sz val="11"/>
        <color rgb="FFFFFFFF"/>
        <rFont val="Noto Sans CJK SC"/>
        <family val="2"/>
      </rPr>
      <t xml:space="preserve">차이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매출</t>
    </r>
    <r>
      <rPr>
        <b val="true"/>
        <sz val="11"/>
        <color rgb="FFFFFFFF"/>
        <rFont val="Arial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무료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</si>
  <si>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7F7F7F"/>
        <rFont val="Noto Sans CJK SC"/>
        <family val="2"/>
      </rPr>
      <t xml:space="preserve">참조용 복사본 </t>
    </r>
    <r>
      <rPr>
        <b val="true"/>
        <sz val="11"/>
        <color rgb="FF7F7F7F"/>
        <rFont val="Arial"/>
        <family val="0"/>
        <charset val="1"/>
      </rPr>
      <t xml:space="preserve">· </t>
    </r>
    <r>
      <rPr>
        <b val="true"/>
        <sz val="11"/>
        <color rgb="FF7F7F7F"/>
        <rFont val="Noto Sans CJK SC"/>
        <family val="2"/>
      </rPr>
      <t xml:space="preserve">원본</t>
    </r>
    <r>
      <rPr>
        <b val="true"/>
        <sz val="11"/>
        <color rgb="FF7F7F7F"/>
        <rFont val="Arial"/>
        <family val="0"/>
        <charset val="1"/>
      </rPr>
      <t xml:space="preserve">: </t>
    </r>
    <r>
      <rPr>
        <b val="true"/>
        <sz val="11"/>
        <color rgb="FF7F7F7F"/>
        <rFont val="Noto Sans CJK SC"/>
        <family val="2"/>
      </rPr>
      <t xml:space="preserve">시장조사</t>
    </r>
    <r>
      <rPr>
        <b val="true"/>
        <sz val="11"/>
        <color rgb="FF7F7F7F"/>
        <rFont val="Arial"/>
        <family val="0"/>
        <charset val="1"/>
      </rPr>
      <t xml:space="preserve">.xlsx › 3-2 </t>
    </r>
    <r>
      <rPr>
        <b val="true"/>
        <sz val="11"/>
        <color rgb="FF7F7F7F"/>
        <rFont val="Noto Sans CJK SC"/>
        <family val="2"/>
      </rPr>
      <t xml:space="preserve">매출 </t>
    </r>
    <r>
      <rPr>
        <b val="true"/>
        <sz val="11"/>
        <color rgb="FF7F7F7F"/>
        <rFont val="Arial"/>
        <family val="0"/>
        <charset val="1"/>
      </rPr>
      <t xml:space="preserve">Top100 · </t>
    </r>
    <r>
      <rPr>
        <b val="true"/>
        <sz val="11"/>
        <color rgb="FF7F7F7F"/>
        <rFont val="Noto Sans CJK SC"/>
        <family val="2"/>
      </rPr>
      <t xml:space="preserve">원본을 고치면 코드를 다시 실행해 두 파일을 함께 갱신</t>
    </r>
  </si>
  <si>
    <r>
      <rPr>
        <b val="true"/>
        <sz val="11"/>
        <rFont val="Noto Sans CJK SC"/>
        <family val="2"/>
      </rPr>
      <t xml:space="preserve">하이퍼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하이브리드 캐주얼</t>
    </r>
  </si>
  <si>
    <r>
      <rPr>
        <b val="true"/>
        <sz val="11"/>
        <rFont val="Noto Sans CJK SC"/>
        <family val="2"/>
      </rPr>
      <t xml:space="preserve">카드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보드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카지노</t>
    </r>
  </si>
  <si>
    <r>
      <rPr>
        <b val="true"/>
        <sz val="11"/>
        <rFont val="Noto Sans CJK SC"/>
        <family val="2"/>
      </rPr>
      <t xml:space="preserve">액션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슈팅</t>
    </r>
  </si>
  <si>
    <r>
      <rPr>
        <b val="true"/>
        <sz val="11"/>
        <rFont val="Noto Sans CJK SC"/>
        <family val="2"/>
      </rPr>
      <t xml:space="preserve">파티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음악</t>
    </r>
  </si>
  <si>
    <r>
      <rPr>
        <b val="true"/>
        <sz val="11"/>
        <rFont val="Noto Sans CJK SC"/>
        <family val="2"/>
      </rPr>
      <t xml:space="preserve">기타</t>
    </r>
    <r>
      <rPr>
        <b val="true"/>
        <sz val="11"/>
        <rFont val="Arial"/>
        <family val="0"/>
        <charset val="1"/>
      </rPr>
      <t xml:space="preserve">(UGC·</t>
    </r>
    <r>
      <rPr>
        <b val="true"/>
        <sz val="11"/>
        <rFont val="Noto Sans CJK SC"/>
        <family val="2"/>
      </rPr>
      <t xml:space="preserve">리워드</t>
    </r>
    <r>
      <rPr>
        <b val="true"/>
        <sz val="11"/>
        <rFont val="Arial"/>
        <family val="0"/>
        <charset val="1"/>
      </rPr>
      <t xml:space="preserve">)</t>
    </r>
  </si>
  <si>
    <t xml:space="preserve">Scopely Explore</t>
  </si>
  <si>
    <t xml:space="preserve">FUNFLY</t>
  </si>
  <si>
    <t xml:space="preserve">Bandai Namco</t>
  </si>
  <si>
    <t xml:space="preserve">블라스트</t>
  </si>
  <si>
    <r>
      <rPr>
        <i val="true"/>
        <sz val="11"/>
        <color rgb="FF595959"/>
        <rFont val="Noto Sans CJK SC"/>
        <family val="2"/>
      </rPr>
      <t xml:space="preserve">출처</t>
    </r>
    <r>
      <rPr>
        <i val="true"/>
        <sz val="11"/>
        <color rgb="FF595959"/>
        <rFont val="Arial"/>
        <family val="0"/>
        <charset val="1"/>
      </rPr>
      <t xml:space="preserve">: AppBrain Google Play Top Grossing Games United States https://www.appbrain.com/stats/google-play-rankings/top_grossing/game/us  ·  </t>
    </r>
    <r>
      <rPr>
        <i val="true"/>
        <sz val="11"/>
        <color rgb="FF595959"/>
        <rFont val="Noto Sans CJK SC"/>
        <family val="2"/>
      </rPr>
      <t xml:space="preserve">기준일 </t>
    </r>
    <r>
      <rPr>
        <i val="true"/>
        <sz val="11"/>
        <color rgb="FF595959"/>
        <rFont val="Arial"/>
        <family val="0"/>
        <charset val="1"/>
      </rPr>
      <t xml:space="preserve">2026-10-04 (AppBrain </t>
    </r>
    <r>
      <rPr>
        <i val="true"/>
        <sz val="11"/>
        <color rgb="FF595959"/>
        <rFont val="Noto Sans CJK SC"/>
        <family val="2"/>
      </rPr>
      <t xml:space="preserve">페이지 </t>
    </r>
    <r>
      <rPr>
        <i val="true"/>
        <sz val="11"/>
        <color rgb="FF595959"/>
        <rFont val="Arial"/>
        <family val="0"/>
        <charset val="1"/>
      </rPr>
      <t xml:space="preserve">'Last updated: October 4, 2026', 2026-10-05 </t>
    </r>
    <r>
      <rPr>
        <i val="true"/>
        <sz val="11"/>
        <color rgb="FF595959"/>
        <rFont val="Noto Sans CJK SC"/>
        <family val="2"/>
      </rPr>
      <t xml:space="preserve">조회</t>
    </r>
    <r>
      <rPr>
        <i val="true"/>
        <sz val="11"/>
        <color rgb="FF595959"/>
        <rFont val="Arial"/>
        <family val="0"/>
        <charset val="1"/>
      </rPr>
      <t xml:space="preserve">)</t>
    </r>
  </si>
  <si>
    <t xml:space="preserve">Scorewarrior</t>
  </si>
  <si>
    <r>
      <rPr>
        <i val="true"/>
        <sz val="11"/>
        <color rgb="FF595959"/>
        <rFont val="Arial"/>
        <family val="0"/>
        <charset val="1"/>
      </rPr>
      <t xml:space="preserve">26</t>
    </r>
    <r>
      <rPr>
        <i val="true"/>
        <sz val="11"/>
        <color rgb="FF595959"/>
        <rFont val="Noto Sans CJK SC"/>
        <family val="2"/>
      </rPr>
      <t xml:space="preserve">위</t>
    </r>
    <r>
      <rPr>
        <i val="true"/>
        <sz val="11"/>
        <color rgb="FF595959"/>
        <rFont val="Arial"/>
        <family val="0"/>
        <charset val="1"/>
      </rPr>
      <t xml:space="preserve">·65</t>
    </r>
    <r>
      <rPr>
        <i val="true"/>
        <sz val="11"/>
        <color rgb="FF595959"/>
        <rFont val="Noto Sans CJK SC"/>
        <family val="2"/>
      </rPr>
      <t xml:space="preserve">위는 </t>
    </r>
    <r>
      <rPr>
        <i val="true"/>
        <sz val="11"/>
        <color rgb="FF595959"/>
        <rFont val="Arial"/>
        <family val="0"/>
        <charset val="1"/>
      </rPr>
      <t xml:space="preserve">AppBrain </t>
    </r>
    <r>
      <rPr>
        <i val="true"/>
        <sz val="11"/>
        <color rgb="FF595959"/>
        <rFont val="Noto Sans CJK SC"/>
        <family val="2"/>
      </rPr>
      <t xml:space="preserve">목록에 줄이 없어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확인 불가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로 둠 </t>
    </r>
    <r>
      <rPr>
        <i val="true"/>
        <sz val="11"/>
        <color rgb="FF595959"/>
        <rFont val="Arial"/>
        <family val="0"/>
        <charset val="1"/>
      </rPr>
      <t xml:space="preserve">(1-2 Google Play Top100</t>
    </r>
    <r>
      <rPr>
        <i val="true"/>
        <sz val="11"/>
        <color rgb="FF595959"/>
        <rFont val="Noto Sans CJK SC"/>
        <family val="2"/>
      </rPr>
      <t xml:space="preserve">의 </t>
    </r>
    <r>
      <rPr>
        <i val="true"/>
        <sz val="11"/>
        <color rgb="FF595959"/>
        <rFont val="Arial"/>
        <family val="0"/>
        <charset val="1"/>
      </rPr>
      <t xml:space="preserve">80</t>
    </r>
    <r>
      <rPr>
        <i val="true"/>
        <sz val="11"/>
        <color rgb="FF595959"/>
        <rFont val="Noto Sans CJK SC"/>
        <family val="2"/>
      </rPr>
      <t xml:space="preserve">위와 같은 현상</t>
    </r>
    <r>
      <rPr>
        <i val="true"/>
        <sz val="11"/>
        <color rgb="FF595959"/>
        <rFont val="Arial"/>
        <family val="0"/>
        <charset val="1"/>
      </rPr>
      <t xml:space="preserve">).</t>
    </r>
  </si>
  <si>
    <t xml:space="preserve">Omnilojo</t>
  </si>
  <si>
    <r>
      <rPr>
        <i val="true"/>
        <sz val="11"/>
        <color rgb="FF595959"/>
        <rFont val="Noto Sans CJK SC"/>
        <family val="2"/>
      </rPr>
      <t xml:space="preserve">장르 분류</t>
    </r>
    <r>
      <rPr>
        <i val="true"/>
        <sz val="11"/>
        <color rgb="FF595959"/>
        <rFont val="Arial"/>
        <family val="0"/>
        <charset val="1"/>
      </rPr>
      <t xml:space="preserve">: 1-1·1-2</t>
    </r>
    <r>
      <rPr>
        <i val="true"/>
        <sz val="11"/>
        <color rgb="FF595959"/>
        <rFont val="Noto Sans CJK SC"/>
        <family val="2"/>
      </rPr>
      <t xml:space="preserve">에 이미 있는 게임은 같은 분류를 그대로 씀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새 게임은 게임명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스토어 카테고리 기반 분석자 판단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확신이 낮으면 비고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확인 필요</t>
    </r>
    <r>
      <rPr>
        <i val="true"/>
        <sz val="11"/>
        <color rgb="FF595959"/>
        <rFont val="Arial"/>
        <family val="0"/>
        <charset val="1"/>
      </rPr>
      <t xml:space="preserve">' + </t>
    </r>
    <r>
      <rPr>
        <i val="true"/>
        <sz val="11"/>
        <color rgb="FF595959"/>
        <rFont val="Noto Sans CJK SC"/>
        <family val="2"/>
      </rPr>
      <t xml:space="preserve">노란 칸</t>
    </r>
    <r>
      <rPr>
        <i val="true"/>
        <sz val="11"/>
        <color rgb="FF595959"/>
        <rFont val="Arial"/>
        <family val="0"/>
        <charset val="1"/>
      </rPr>
      <t xml:space="preserve">.</t>
    </r>
  </si>
  <si>
    <t xml:space="preserve">TG Inc.</t>
  </si>
  <si>
    <r>
      <rPr>
        <i val="true"/>
        <sz val="11"/>
        <color rgb="FF595959"/>
        <rFont val="Noto Sans CJK SC"/>
        <family val="2"/>
      </rPr>
      <t xml:space="preserve">새로 생긴 세부 장르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수집형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가챠</t>
    </r>
    <r>
      <rPr>
        <i val="true"/>
        <sz val="11"/>
        <color rgb="FF595959"/>
        <rFont val="Arial"/>
        <family val="0"/>
        <charset val="1"/>
      </rPr>
      <t xml:space="preserve">) RPG · </t>
    </r>
    <r>
      <rPr>
        <i val="true"/>
        <sz val="11"/>
        <color rgb="FF595959"/>
        <rFont val="Noto Sans CJK SC"/>
        <family val="2"/>
      </rPr>
      <t xml:space="preserve">방치형 </t>
    </r>
    <r>
      <rPr>
        <i val="true"/>
        <sz val="11"/>
        <color rgb="FF595959"/>
        <rFont val="Arial"/>
        <family val="0"/>
        <charset val="1"/>
      </rPr>
      <t xml:space="preserve">RPG · </t>
    </r>
    <r>
      <rPr>
        <i val="true"/>
        <sz val="11"/>
        <color rgb="FF595959"/>
        <rFont val="Noto Sans CJK SC"/>
        <family val="2"/>
      </rPr>
      <t xml:space="preserve">빙고 </t>
    </r>
    <r>
      <rPr>
        <i val="true"/>
        <sz val="11"/>
        <color rgb="FF595959"/>
        <rFont val="Arial"/>
        <family val="0"/>
        <charset val="1"/>
      </rPr>
      <t xml:space="preserve">· </t>
    </r>
    <r>
      <rPr>
        <i val="true"/>
        <sz val="11"/>
        <color rgb="FF595959"/>
        <rFont val="Noto Sans CJK SC"/>
        <family val="2"/>
      </rPr>
      <t xml:space="preserve">포커 </t>
    </r>
    <r>
      <rPr>
        <i val="true"/>
        <sz val="11"/>
        <color rgb="FF595959"/>
        <rFont val="Arial"/>
        <family val="0"/>
        <charset val="1"/>
      </rPr>
      <t xml:space="preserve">· </t>
    </r>
    <r>
      <rPr>
        <i val="true"/>
        <sz val="11"/>
        <color rgb="FF595959"/>
        <rFont val="Noto Sans CJK SC"/>
        <family val="2"/>
      </rPr>
      <t xml:space="preserve">골프 </t>
    </r>
    <r>
      <rPr>
        <i val="true"/>
        <sz val="11"/>
        <color rgb="FF595959"/>
        <rFont val="Arial"/>
        <family val="0"/>
        <charset val="1"/>
      </rPr>
      <t xml:space="preserve">(6</t>
    </r>
    <r>
      <rPr>
        <i val="true"/>
        <sz val="11"/>
        <color rgb="FF595959"/>
        <rFont val="Noto Sans CJK SC"/>
        <family val="2"/>
      </rPr>
      <t xml:space="preserve">단계</t>
    </r>
    <r>
      <rPr>
        <i val="true"/>
        <sz val="11"/>
        <color rgb="FF595959"/>
        <rFont val="Arial"/>
        <family val="0"/>
        <charset val="1"/>
      </rPr>
      <t xml:space="preserve">-3</t>
    </r>
    <r>
      <rPr>
        <i val="true"/>
        <sz val="11"/>
        <color rgb="FF595959"/>
        <rFont val="Noto Sans CJK SC"/>
        <family val="2"/>
      </rPr>
      <t xml:space="preserve">에서 </t>
    </r>
    <r>
      <rPr>
        <i val="true"/>
        <sz val="11"/>
        <color rgb="FF595959"/>
        <rFont val="Arial"/>
        <family val="0"/>
        <charset val="1"/>
      </rPr>
      <t xml:space="preserve">'1-4 </t>
    </r>
    <r>
      <rPr>
        <i val="true"/>
        <sz val="11"/>
        <color rgb="FF595959"/>
        <rFont val="Noto Sans CJK SC"/>
        <family val="2"/>
      </rPr>
      <t xml:space="preserve">세부 장르</t>
    </r>
    <r>
      <rPr>
        <i val="true"/>
        <sz val="11"/>
        <color rgb="FF595959"/>
        <rFont val="Arial"/>
        <family val="0"/>
        <charset val="1"/>
      </rPr>
      <t xml:space="preserve">' </t>
    </r>
    <r>
      <rPr>
        <i val="true"/>
        <sz val="11"/>
        <color rgb="FF595959"/>
        <rFont val="Noto Sans CJK SC"/>
        <family val="2"/>
      </rPr>
      <t xml:space="preserve">맨 아래 별도 표에 추가함 — </t>
    </r>
    <r>
      <rPr>
        <i val="true"/>
        <sz val="11"/>
        <color rgb="FF595959"/>
        <rFont val="Arial"/>
        <family val="0"/>
        <charset val="1"/>
      </rPr>
      <t xml:space="preserve">1-4 </t>
    </r>
    <r>
      <rPr>
        <i val="true"/>
        <sz val="11"/>
        <color rgb="FF595959"/>
        <rFont val="Noto Sans CJK SC"/>
        <family val="2"/>
      </rPr>
      <t xml:space="preserve">위쪽 표는 </t>
    </r>
    <r>
      <rPr>
        <i val="true"/>
        <sz val="11"/>
        <color rgb="FF595959"/>
        <rFont val="Arial"/>
        <family val="0"/>
        <charset val="1"/>
      </rPr>
      <t xml:space="preserve">1-1·1-2</t>
    </r>
    <r>
      <rPr>
        <i val="true"/>
        <sz val="11"/>
        <color rgb="FF595959"/>
        <rFont val="Noto Sans CJK SC"/>
        <family val="2"/>
      </rPr>
      <t xml:space="preserve">만 집계</t>
    </r>
    <r>
      <rPr>
        <i val="true"/>
        <sz val="11"/>
        <color rgb="FF595959"/>
        <rFont val="Arial"/>
        <family val="0"/>
        <charset val="1"/>
      </rPr>
      <t xml:space="preserve">).</t>
    </r>
  </si>
  <si>
    <t xml:space="preserve">Plarium</t>
  </si>
  <si>
    <r>
      <rPr>
        <i val="true"/>
        <sz val="11"/>
        <color rgb="FF595959"/>
        <rFont val="Arial"/>
        <family val="0"/>
        <charset val="1"/>
      </rPr>
      <t xml:space="preserve">'3-1 </t>
    </r>
    <r>
      <rPr>
        <i val="true"/>
        <sz val="11"/>
        <color rgb="FF595959"/>
        <rFont val="Noto Sans CJK SC"/>
        <family val="2"/>
      </rPr>
      <t xml:space="preserve">매출 순위 원자료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의 미국 </t>
    </r>
    <r>
      <rPr>
        <i val="true"/>
        <sz val="11"/>
        <color rgb="FF595959"/>
        <rFont val="Arial"/>
        <family val="0"/>
        <charset val="1"/>
      </rPr>
      <t xml:space="preserve">Top10(2026-10-03)</t>
    </r>
    <r>
      <rPr>
        <i val="true"/>
        <sz val="11"/>
        <color rgb="FF595959"/>
        <rFont val="Noto Sans CJK SC"/>
        <family val="2"/>
      </rPr>
      <t xml:space="preserve">과 순서가 조금 다름 — 하루 차이</t>
    </r>
    <r>
      <rPr>
        <i val="true"/>
        <sz val="11"/>
        <color rgb="FF595959"/>
        <rFont val="Arial"/>
        <family val="0"/>
        <charset val="1"/>
      </rPr>
      <t xml:space="preserve">. 3-1</t>
    </r>
    <r>
      <rPr>
        <i val="true"/>
        <sz val="11"/>
        <color rgb="FF595959"/>
        <rFont val="Noto Sans CJK SC"/>
        <family val="2"/>
      </rPr>
      <t xml:space="preserve">은 그대로 둠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</si>
  <si>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Arial"/>
        <family val="0"/>
        <charset val="1"/>
      </rPr>
      <t xml:space="preserve">App Store </t>
    </r>
    <r>
      <rPr>
        <i val="true"/>
        <sz val="11"/>
        <color rgb="FF595959"/>
        <rFont val="Noto Sans CJK SC"/>
        <family val="2"/>
      </rPr>
      <t xml:space="preserve">매출 순위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이번 단계 미조사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후보 공개 출처 — </t>
    </r>
    <r>
      <rPr>
        <i val="true"/>
        <sz val="11"/>
        <color rgb="FF595959"/>
        <rFont val="Arial"/>
        <family val="0"/>
        <charset val="1"/>
      </rPr>
      <t xml:space="preserve">AppBrain App Store ranking https://www.appbrain.com/stats/appstore-rankings (</t>
    </r>
    <r>
      <rPr>
        <i val="true"/>
        <sz val="11"/>
        <color rgb="FF595959"/>
        <rFont val="Noto Sans CJK SC"/>
        <family val="2"/>
      </rPr>
      <t xml:space="preserve">다음 단계 확인 필요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</si>
  <si>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i val="true"/>
        <sz val="11"/>
        <color rgb="FF595959"/>
        <rFont val="Noto Sans CJK SC"/>
        <family val="2"/>
      </rPr>
      <t xml:space="preserve">무료 비율 열은 </t>
    </r>
    <r>
      <rPr>
        <i val="true"/>
        <sz val="11"/>
        <color rgb="FF595959"/>
        <rFont val="Arial"/>
        <family val="0"/>
        <charset val="1"/>
      </rPr>
      <t xml:space="preserve">1-2(</t>
    </r>
    <r>
      <rPr>
        <i val="true"/>
        <sz val="11"/>
        <color rgb="FF595959"/>
        <rFont val="Noto Sans CJK SC"/>
        <family val="2"/>
      </rPr>
      <t xml:space="preserve">같은 날 </t>
    </r>
    <r>
      <rPr>
        <i val="true"/>
        <sz val="11"/>
        <color rgb="FF595959"/>
        <rFont val="Arial"/>
        <family val="0"/>
        <charset val="1"/>
      </rPr>
      <t xml:space="preserve">2026-10-04 </t>
    </r>
    <r>
      <rPr>
        <i val="true"/>
        <sz val="11"/>
        <color rgb="FF595959"/>
        <rFont val="Noto Sans CJK SC"/>
        <family val="2"/>
      </rPr>
      <t xml:space="preserve">미국 무료 </t>
    </r>
    <r>
      <rPr>
        <i val="true"/>
        <sz val="11"/>
        <color rgb="FF595959"/>
        <rFont val="Arial"/>
        <family val="0"/>
        <charset val="1"/>
      </rPr>
      <t xml:space="preserve">Top100)</t>
    </r>
    <r>
      <rPr>
        <i val="true"/>
        <sz val="11"/>
        <color rgb="FF595959"/>
        <rFont val="Noto Sans CJK SC"/>
        <family val="2"/>
      </rPr>
      <t xml:space="preserve">를 수식으로 세어 비교한 것</t>
    </r>
    <r>
      <rPr>
        <i val="true"/>
        <sz val="11"/>
        <color rgb="FF595959"/>
        <rFont val="Arial"/>
        <family val="0"/>
        <charset val="1"/>
      </rPr>
      <t xml:space="preserve">.</t>
    </r>
  </si>
  <si>
    <t xml:space="preserve">Playtika Santa Monica</t>
  </si>
  <si>
    <t xml:space="preserve">SciPlay</t>
  </si>
  <si>
    <t xml:space="preserve">37GAMES GLOBAL</t>
  </si>
  <si>
    <r>
      <rPr>
        <sz val="11"/>
        <rFont val="Noto Sans CJK SC"/>
        <family val="2"/>
      </rPr>
      <t xml:space="preserve">스토어 분류 </t>
    </r>
    <r>
      <rPr>
        <sz val="11"/>
        <rFont val="Arial"/>
        <family val="0"/>
        <charset val="1"/>
      </rPr>
      <t xml:space="preserve">Strategy </t>
    </r>
    <r>
      <rPr>
        <sz val="11"/>
        <rFont val="Noto Sans CJK SC"/>
        <family val="2"/>
      </rPr>
      <t xml:space="preserve">확인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세부</t>
    </r>
    <r>
      <rPr>
        <sz val="11"/>
        <rFont val="Arial"/>
        <family val="0"/>
        <charset val="1"/>
      </rPr>
      <t xml:space="preserve">(4X·SLG)</t>
    </r>
    <r>
      <rPr>
        <sz val="11"/>
        <rFont val="Noto Sans CJK SC"/>
        <family val="2"/>
      </rPr>
      <t xml:space="preserve">는 분석자 판단 </t>
    </r>
    <r>
      <rPr>
        <sz val="11"/>
        <rFont val="Arial"/>
        <family val="0"/>
        <charset val="1"/>
      </rPr>
      <t xml:space="preserve">(6</t>
    </r>
    <r>
      <rPr>
        <sz val="11"/>
        <rFont val="Noto Sans CJK SC"/>
        <family val="2"/>
      </rPr>
      <t xml:space="preserve">단계</t>
    </r>
    <r>
      <rPr>
        <sz val="11"/>
        <rFont val="Arial"/>
        <family val="0"/>
        <charset val="1"/>
      </rPr>
      <t xml:space="preserve">-4)</t>
    </r>
  </si>
  <si>
    <t xml:space="preserve">Product Madness</t>
  </si>
  <si>
    <r>
      <rPr>
        <sz val="11"/>
        <rFont val="Noto Sans CJK SC"/>
        <family val="2"/>
      </rPr>
      <t xml:space="preserve">확인 불가 </t>
    </r>
    <r>
      <rPr>
        <sz val="11"/>
        <rFont val="Arial"/>
        <family val="0"/>
        <charset val="1"/>
      </rPr>
      <t xml:space="preserve">(AppBrain </t>
    </r>
    <r>
      <rPr>
        <sz val="11"/>
        <rFont val="Noto Sans CJK SC"/>
        <family val="2"/>
      </rPr>
      <t xml:space="preserve">목록에 </t>
    </r>
    <r>
      <rPr>
        <sz val="11"/>
        <rFont val="Arial"/>
        <family val="0"/>
        <charset val="1"/>
      </rPr>
      <t xml:space="preserve">26</t>
    </r>
    <r>
      <rPr>
        <sz val="11"/>
        <rFont val="Noto Sans CJK SC"/>
        <family val="2"/>
      </rPr>
      <t xml:space="preserve">위 없음</t>
    </r>
    <r>
      <rPr>
        <sz val="11"/>
        <rFont val="Arial"/>
        <family val="0"/>
        <charset val="1"/>
      </rPr>
      <t xml:space="preserve">)</t>
    </r>
  </si>
  <si>
    <t xml:space="preserve">출처 페이지 누락</t>
  </si>
  <si>
    <r>
      <rPr>
        <sz val="11"/>
        <rFont val="Noto Sans CJK SC"/>
        <family val="2"/>
      </rPr>
      <t xml:space="preserve">기지 건설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공성</t>
    </r>
  </si>
  <si>
    <t xml:space="preserve">BOLTRAY GAMES</t>
  </si>
  <si>
    <r>
      <rPr>
        <sz val="11"/>
        <rFont val="Noto Sans CJK SC"/>
        <family val="2"/>
      </rPr>
      <t xml:space="preserve">스토어 분류 </t>
    </r>
    <r>
      <rPr>
        <sz val="11"/>
        <rFont val="Arial"/>
        <family val="0"/>
        <charset val="1"/>
      </rPr>
      <t xml:space="preserve">RPG </t>
    </r>
    <r>
      <rPr>
        <sz val="11"/>
        <rFont val="Noto Sans CJK SC"/>
        <family val="2"/>
      </rPr>
      <t xml:space="preserve">확인</t>
    </r>
    <r>
      <rPr>
        <sz val="11"/>
        <rFont val="Arial"/>
        <family val="0"/>
        <charset val="1"/>
      </rPr>
      <t xml:space="preserve">, '</t>
    </r>
    <r>
      <rPr>
        <sz val="11"/>
        <rFont val="Noto Sans CJK SC"/>
        <family val="2"/>
      </rPr>
      <t xml:space="preserve">방치형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은 확인 안 됨 </t>
    </r>
    <r>
      <rPr>
        <sz val="11"/>
        <rFont val="Arial"/>
        <family val="0"/>
        <charset val="1"/>
      </rPr>
      <t xml:space="preserve">(6</t>
    </r>
    <r>
      <rPr>
        <sz val="11"/>
        <rFont val="Noto Sans CJK SC"/>
        <family val="2"/>
      </rPr>
      <t xml:space="preserve">단계</t>
    </r>
    <r>
      <rPr>
        <sz val="11"/>
        <rFont val="Arial"/>
        <family val="0"/>
        <charset val="1"/>
      </rPr>
      <t xml:space="preserve">-4)</t>
    </r>
  </si>
  <si>
    <t xml:space="preserve">SpinX Games</t>
  </si>
  <si>
    <r>
      <rPr>
        <sz val="11"/>
        <rFont val="Noto Sans CJK SC"/>
        <family val="2"/>
      </rPr>
      <t xml:space="preserve">색 정렬 퍼즐 확인 </t>
    </r>
    <r>
      <rPr>
        <sz val="11"/>
        <rFont val="Arial"/>
        <family val="0"/>
        <charset val="1"/>
      </rPr>
      <t xml:space="preserve">(6</t>
    </r>
    <r>
      <rPr>
        <sz val="11"/>
        <rFont val="Noto Sans CJK SC"/>
        <family val="2"/>
      </rPr>
      <t xml:space="preserve">단계</t>
    </r>
    <r>
      <rPr>
        <sz val="11"/>
        <rFont val="Arial"/>
        <family val="0"/>
        <charset val="1"/>
      </rPr>
      <t xml:space="preserve">-4)</t>
    </r>
  </si>
  <si>
    <t xml:space="preserve">COGNOSPHERE</t>
  </si>
  <si>
    <t xml:space="preserve">Supertreat (Playtika)</t>
  </si>
  <si>
    <t xml:space="preserve">Kuro Games</t>
  </si>
  <si>
    <r>
      <rPr>
        <sz val="11"/>
        <rFont val="Noto Sans CJK SC"/>
        <family val="2"/>
      </rPr>
      <t xml:space="preserve">주사위 보드 게임 확인 </t>
    </r>
    <r>
      <rPr>
        <sz val="11"/>
        <rFont val="Arial"/>
        <family val="0"/>
        <charset val="1"/>
      </rPr>
      <t xml:space="preserve">(6</t>
    </r>
    <r>
      <rPr>
        <sz val="11"/>
        <rFont val="Noto Sans CJK SC"/>
        <family val="2"/>
      </rPr>
      <t xml:space="preserve">단계</t>
    </r>
    <r>
      <rPr>
        <sz val="11"/>
        <rFont val="Arial"/>
        <family val="0"/>
        <charset val="1"/>
      </rPr>
      <t xml:space="preserve">-4)</t>
    </r>
  </si>
  <si>
    <t xml:space="preserve">Cedar Games Studio</t>
  </si>
  <si>
    <r>
      <rPr>
        <sz val="11"/>
        <rFont val="Noto Sans CJK SC"/>
        <family val="2"/>
      </rPr>
      <t xml:space="preserve">매치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결합</t>
    </r>
  </si>
  <si>
    <t xml:space="preserve">Homa</t>
  </si>
  <si>
    <r>
      <rPr>
        <sz val="11"/>
        <rFont val="Noto Sans CJK SC"/>
        <family val="2"/>
      </rPr>
      <t xml:space="preserve">블랙홀 </t>
    </r>
    <r>
      <rPr>
        <sz val="11"/>
        <rFont val="Arial"/>
        <family val="0"/>
        <charset val="1"/>
      </rPr>
      <t xml:space="preserve">io </t>
    </r>
    <r>
      <rPr>
        <sz val="11"/>
        <rFont val="Noto Sans CJK SC"/>
        <family val="2"/>
      </rPr>
      <t xml:space="preserve">게임 확인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스토어 분류는 </t>
    </r>
    <r>
      <rPr>
        <sz val="11"/>
        <rFont val="Arial"/>
        <family val="0"/>
        <charset val="1"/>
      </rPr>
      <t xml:space="preserve">Puzzle) (6</t>
    </r>
    <r>
      <rPr>
        <sz val="11"/>
        <rFont val="Noto Sans CJK SC"/>
        <family val="2"/>
      </rPr>
      <t xml:space="preserve">단계</t>
    </r>
    <r>
      <rPr>
        <sz val="11"/>
        <rFont val="Arial"/>
        <family val="0"/>
        <charset val="1"/>
      </rPr>
      <t xml:space="preserve">-4)</t>
    </r>
  </si>
  <si>
    <t xml:space="preserve">요리 테마</t>
  </si>
  <si>
    <t xml:space="preserve">Happibits Game</t>
  </si>
  <si>
    <t xml:space="preserve">VERTEX GAMES</t>
  </si>
  <si>
    <r>
      <rPr>
        <sz val="11"/>
        <rFont val="Noto Sans CJK SC"/>
        <family val="2"/>
      </rPr>
      <t xml:space="preserve">매치</t>
    </r>
    <r>
      <rPr>
        <sz val="11"/>
        <rFont val="Arial"/>
        <family val="0"/>
        <charset val="1"/>
      </rPr>
      <t xml:space="preserve">3·</t>
    </r>
    <r>
      <rPr>
        <sz val="11"/>
        <rFont val="Noto Sans CJK SC"/>
        <family val="2"/>
      </rPr>
      <t xml:space="preserve">타일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머지 혼합형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스토어 분류 </t>
    </r>
    <r>
      <rPr>
        <sz val="11"/>
        <rFont val="Arial"/>
        <family val="0"/>
        <charset val="1"/>
      </rPr>
      <t xml:space="preserve">Casual) (6</t>
    </r>
    <r>
      <rPr>
        <sz val="11"/>
        <rFont val="Noto Sans CJK SC"/>
        <family val="2"/>
      </rPr>
      <t xml:space="preserve">단계</t>
    </r>
    <r>
      <rPr>
        <sz val="11"/>
        <rFont val="Arial"/>
        <family val="0"/>
        <charset val="1"/>
      </rPr>
      <t xml:space="preserve">-4)</t>
    </r>
  </si>
  <si>
    <t xml:space="preserve">Wooga</t>
  </si>
  <si>
    <t xml:space="preserve">Wizards of the Coast</t>
  </si>
  <si>
    <t xml:space="preserve">Magmatic Games</t>
  </si>
  <si>
    <t xml:space="preserve">Level Infinite</t>
  </si>
  <si>
    <t xml:space="preserve">슈팅</t>
  </si>
  <si>
    <r>
      <rPr>
        <sz val="11"/>
        <rFont val="Noto Sans CJK SC"/>
        <family val="2"/>
      </rPr>
      <t xml:space="preserve">확인 불가 </t>
    </r>
    <r>
      <rPr>
        <sz val="11"/>
        <rFont val="Arial"/>
        <family val="0"/>
        <charset val="1"/>
      </rPr>
      <t xml:space="preserve">(AppBrain </t>
    </r>
    <r>
      <rPr>
        <sz val="11"/>
        <rFont val="Noto Sans CJK SC"/>
        <family val="2"/>
      </rPr>
      <t xml:space="preserve">목록에 </t>
    </r>
    <r>
      <rPr>
        <sz val="11"/>
        <rFont val="Arial"/>
        <family val="0"/>
        <charset val="1"/>
      </rPr>
      <t xml:space="preserve">65</t>
    </r>
    <r>
      <rPr>
        <sz val="11"/>
        <rFont val="Noto Sans CJK SC"/>
        <family val="2"/>
      </rPr>
      <t xml:space="preserve">위 없음</t>
    </r>
    <r>
      <rPr>
        <sz val="11"/>
        <rFont val="Arial"/>
        <family val="0"/>
        <charset val="1"/>
      </rPr>
      <t xml:space="preserve">)</t>
    </r>
  </si>
  <si>
    <t xml:space="preserve">ABI GAMES</t>
  </si>
  <si>
    <t xml:space="preserve">Century Games Innovation</t>
  </si>
  <si>
    <t xml:space="preserve">KONAMI</t>
  </si>
  <si>
    <t xml:space="preserve">Mojang</t>
  </si>
  <si>
    <t xml:space="preserve">유료 앱</t>
  </si>
  <si>
    <t xml:space="preserve">VoyagerOne IE</t>
  </si>
  <si>
    <r>
      <rPr>
        <sz val="11"/>
        <rFont val="Noto Sans CJK SC"/>
        <family val="2"/>
      </rPr>
      <t xml:space="preserve">머지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스토리 확인 </t>
    </r>
    <r>
      <rPr>
        <sz val="11"/>
        <rFont val="Arial"/>
        <family val="0"/>
        <charset val="1"/>
      </rPr>
      <t xml:space="preserve">(6</t>
    </r>
    <r>
      <rPr>
        <sz val="11"/>
        <rFont val="Noto Sans CJK SC"/>
        <family val="2"/>
      </rPr>
      <t xml:space="preserve">단계</t>
    </r>
    <r>
      <rPr>
        <sz val="11"/>
        <rFont val="Arial"/>
        <family val="0"/>
        <charset val="1"/>
      </rPr>
      <t xml:space="preserve">-4)</t>
    </r>
  </si>
  <si>
    <t xml:space="preserve">olleyo</t>
  </si>
  <si>
    <t xml:space="preserve">게임 방식 확인 안 됨</t>
  </si>
  <si>
    <t xml:space="preserve">FARLIGHT</t>
  </si>
  <si>
    <t xml:space="preserve">Playtika</t>
  </si>
  <si>
    <t xml:space="preserve">Aviva Sun</t>
  </si>
  <si>
    <t xml:space="preserve">루도</t>
  </si>
  <si>
    <t xml:space="preserve">Sparks Info</t>
  </si>
  <si>
    <t xml:space="preserve">Aniplex</t>
  </si>
  <si>
    <t xml:space="preserve">NEXTERS GLOBAL</t>
  </si>
  <si>
    <r>
      <rPr>
        <sz val="11"/>
        <rFont val="Noto Sans CJK SC"/>
        <family val="2"/>
      </rPr>
      <t xml:space="preserve">스토어 분류 </t>
    </r>
    <r>
      <rPr>
        <sz val="11"/>
        <rFont val="Arial"/>
        <family val="0"/>
        <charset val="1"/>
      </rPr>
      <t xml:space="preserve">Strategy </t>
    </r>
    <r>
      <rPr>
        <sz val="11"/>
        <rFont val="Noto Sans CJK SC"/>
        <family val="2"/>
      </rPr>
      <t xml:space="preserve">확인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세부</t>
    </r>
    <r>
      <rPr>
        <sz val="11"/>
        <rFont val="Arial"/>
        <family val="0"/>
        <charset val="1"/>
      </rPr>
      <t xml:space="preserve">(4X·SLG)</t>
    </r>
    <r>
      <rPr>
        <sz val="11"/>
        <rFont val="Noto Sans CJK SC"/>
        <family val="2"/>
      </rPr>
      <t xml:space="preserve">는 분석자 판단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경영 성격도 있음 </t>
    </r>
    <r>
      <rPr>
        <sz val="11"/>
        <rFont val="Arial"/>
        <family val="0"/>
        <charset val="1"/>
      </rPr>
      <t xml:space="preserve">(6</t>
    </r>
    <r>
      <rPr>
        <sz val="11"/>
        <rFont val="Noto Sans CJK SC"/>
        <family val="2"/>
      </rPr>
      <t xml:space="preserve">단계</t>
    </r>
    <r>
      <rPr>
        <sz val="11"/>
        <rFont val="Arial"/>
        <family val="0"/>
        <charset val="1"/>
      </rPr>
      <t xml:space="preserve">-4)</t>
    </r>
  </si>
  <si>
    <t xml:space="preserve">LilithGames</t>
  </si>
  <si>
    <t xml:space="preserve">Hitapps Games</t>
  </si>
  <si>
    <t xml:space="preserve">VOODOO</t>
  </si>
  <si>
    <t xml:space="preserve">Candivore</t>
  </si>
  <si>
    <t xml:space="preserve">PvP</t>
  </si>
  <si>
    <r>
      <rPr>
        <b val="true"/>
        <sz val="12"/>
        <rFont val="Noto Sans CJK SC"/>
        <family val="2"/>
      </rPr>
      <t xml:space="preserve">미국 구글 플레이</t>
    </r>
    <r>
      <rPr>
        <b val="true"/>
        <sz val="12"/>
        <rFont val="Arial"/>
        <family val="0"/>
        <charset val="1"/>
      </rPr>
      <t xml:space="preserve">: </t>
    </r>
    <r>
      <rPr>
        <b val="true"/>
        <sz val="12"/>
        <rFont val="Noto Sans CJK SC"/>
        <family val="2"/>
      </rPr>
      <t xml:space="preserve">매출 순위 </t>
    </r>
    <r>
      <rPr>
        <b val="true"/>
        <sz val="12"/>
        <rFont val="Arial"/>
        <family val="0"/>
        <charset val="1"/>
      </rPr>
      <t xml:space="preserve">vs </t>
    </r>
    <r>
      <rPr>
        <b val="true"/>
        <sz val="12"/>
        <rFont val="Noto Sans CJK SC"/>
        <family val="2"/>
      </rPr>
      <t xml:space="preserve">무료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다운로드</t>
    </r>
    <r>
      <rPr>
        <b val="true"/>
        <sz val="12"/>
        <rFont val="Arial"/>
        <family val="0"/>
        <charset val="1"/>
      </rPr>
      <t xml:space="preserve">) </t>
    </r>
    <r>
      <rPr>
        <b val="true"/>
        <sz val="12"/>
        <rFont val="Noto Sans CJK SC"/>
        <family val="2"/>
      </rPr>
      <t xml:space="preserve">순위 — 같은 날</t>
    </r>
    <r>
      <rPr>
        <b val="true"/>
        <sz val="12"/>
        <rFont val="Arial"/>
        <family val="0"/>
        <charset val="1"/>
      </rPr>
      <t xml:space="preserve">(2026-10-04) </t>
    </r>
    <r>
      <rPr>
        <b val="true"/>
        <sz val="12"/>
        <rFont val="Noto Sans CJK SC"/>
        <family val="2"/>
      </rPr>
      <t xml:space="preserve">두 차트를 합친 목록</t>
    </r>
  </si>
  <si>
    <r>
      <rPr>
        <b val="true"/>
        <sz val="11"/>
        <color rgb="FF7F7F7F"/>
        <rFont val="Noto Sans CJK SC"/>
        <family val="2"/>
      </rPr>
      <t xml:space="preserve">참조용 복사본 </t>
    </r>
    <r>
      <rPr>
        <b val="true"/>
        <sz val="11"/>
        <color rgb="FF7F7F7F"/>
        <rFont val="Arial"/>
        <family val="0"/>
        <charset val="1"/>
      </rPr>
      <t xml:space="preserve">· </t>
    </r>
    <r>
      <rPr>
        <b val="true"/>
        <sz val="11"/>
        <color rgb="FF7F7F7F"/>
        <rFont val="Noto Sans CJK SC"/>
        <family val="2"/>
      </rPr>
      <t xml:space="preserve">원본</t>
    </r>
    <r>
      <rPr>
        <b val="true"/>
        <sz val="11"/>
        <color rgb="FF7F7F7F"/>
        <rFont val="Arial"/>
        <family val="0"/>
        <charset val="1"/>
      </rPr>
      <t xml:space="preserve">: </t>
    </r>
    <r>
      <rPr>
        <b val="true"/>
        <sz val="11"/>
        <color rgb="FF7F7F7F"/>
        <rFont val="Noto Sans CJK SC"/>
        <family val="2"/>
      </rPr>
      <t xml:space="preserve">시장조사</t>
    </r>
    <r>
      <rPr>
        <b val="true"/>
        <sz val="11"/>
        <color rgb="FF7F7F7F"/>
        <rFont val="Arial"/>
        <family val="0"/>
        <charset val="1"/>
      </rPr>
      <t xml:space="preserve">.xlsx › 3-3 </t>
    </r>
    <r>
      <rPr>
        <b val="true"/>
        <sz val="11"/>
        <color rgb="FF7F7F7F"/>
        <rFont val="Noto Sans CJK SC"/>
        <family val="2"/>
      </rPr>
      <t xml:space="preserve">매출</t>
    </r>
    <r>
      <rPr>
        <b val="true"/>
        <sz val="11"/>
        <color rgb="FF7F7F7F"/>
        <rFont val="Arial"/>
        <family val="0"/>
        <charset val="1"/>
      </rPr>
      <t xml:space="preserve">-</t>
    </r>
    <r>
      <rPr>
        <b val="true"/>
        <sz val="11"/>
        <color rgb="FF7F7F7F"/>
        <rFont val="Noto Sans CJK SC"/>
        <family val="2"/>
      </rPr>
      <t xml:space="preserve">다운로드 비교 </t>
    </r>
    <r>
      <rPr>
        <b val="true"/>
        <sz val="11"/>
        <color rgb="FF7F7F7F"/>
        <rFont val="Arial"/>
        <family val="0"/>
        <charset val="1"/>
      </rPr>
      <t xml:space="preserve">· </t>
    </r>
    <r>
      <rPr>
        <b val="true"/>
        <sz val="11"/>
        <color rgb="FF7F7F7F"/>
        <rFont val="Noto Sans CJK SC"/>
        <family val="2"/>
      </rPr>
      <t xml:space="preserve">원본을 고치면 코드를 다시 실행해 두 파일을 함께 갱신</t>
    </r>
  </si>
  <si>
    <r>
      <rPr>
        <b val="true"/>
        <sz val="11"/>
        <rFont val="Noto Sans CJK SC"/>
        <family val="2"/>
      </rPr>
      <t xml:space="preserve">매출 </t>
    </r>
    <r>
      <rPr>
        <b val="true"/>
        <sz val="11"/>
        <rFont val="Arial"/>
        <family val="0"/>
        <charset val="1"/>
      </rPr>
      <t xml:space="preserve">'</t>
    </r>
    <r>
      <rPr>
        <b val="true"/>
        <sz val="11"/>
        <rFont val="Noto Sans CJK SC"/>
        <family val="2"/>
      </rPr>
      <t xml:space="preserve">높음</t>
    </r>
    <r>
      <rPr>
        <b val="true"/>
        <sz val="11"/>
        <rFont val="Arial"/>
        <family val="0"/>
        <charset val="1"/>
      </rPr>
      <t xml:space="preserve">' </t>
    </r>
    <r>
      <rPr>
        <b val="true"/>
        <sz val="11"/>
        <rFont val="Noto Sans CJK SC"/>
        <family val="2"/>
      </rPr>
      <t xml:space="preserve">기준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매출 순위가 이 숫자 이내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</si>
  <si>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← 파란 글씨 </t>
    </r>
    <r>
      <rPr>
        <i val="true"/>
        <sz val="11"/>
        <color rgb="FF595959"/>
        <rFont val="Arial"/>
        <family val="0"/>
        <charset val="1"/>
      </rPr>
      <t xml:space="preserve">= </t>
    </r>
    <r>
      <rPr>
        <i val="true"/>
        <sz val="11"/>
        <color rgb="FF595959"/>
        <rFont val="Noto Sans CJK SC"/>
        <family val="2"/>
      </rPr>
      <t xml:space="preserve">바꿀 수 있는 가정값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분석자 제안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바꾸면 </t>
    </r>
    <r>
      <rPr>
        <i val="true"/>
        <sz val="11"/>
        <color rgb="FF595959"/>
        <rFont val="Arial"/>
        <family val="0"/>
        <charset val="1"/>
      </rPr>
      <t xml:space="preserve">H</t>
    </r>
    <r>
      <rPr>
        <i val="true"/>
        <sz val="11"/>
        <color rgb="FF595959"/>
        <rFont val="Noto Sans CJK SC"/>
        <family val="2"/>
      </rPr>
      <t xml:space="preserve">열 분류가 자동으로 바뀜</t>
    </r>
  </si>
  <si>
    <r>
      <rPr>
        <b val="true"/>
        <sz val="11"/>
        <rFont val="Noto Sans CJK SC"/>
        <family val="2"/>
      </rPr>
      <t xml:space="preserve">다운로드 </t>
    </r>
    <r>
      <rPr>
        <b val="true"/>
        <sz val="11"/>
        <rFont val="Arial"/>
        <family val="0"/>
        <charset val="1"/>
      </rPr>
      <t xml:space="preserve">'</t>
    </r>
    <r>
      <rPr>
        <b val="true"/>
        <sz val="11"/>
        <rFont val="Noto Sans CJK SC"/>
        <family val="2"/>
      </rPr>
      <t xml:space="preserve">높음</t>
    </r>
    <r>
      <rPr>
        <b val="true"/>
        <sz val="11"/>
        <rFont val="Arial"/>
        <family val="0"/>
        <charset val="1"/>
      </rPr>
      <t xml:space="preserve">' </t>
    </r>
    <r>
      <rPr>
        <b val="true"/>
        <sz val="11"/>
        <rFont val="Noto Sans CJK SC"/>
        <family val="2"/>
      </rPr>
      <t xml:space="preserve">기준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무료 순위가 이 숫자 이내</t>
    </r>
    <r>
      <rPr>
        <b val="true"/>
        <sz val="11"/>
        <rFont val="Arial"/>
        <family val="0"/>
        <charset val="1"/>
      </rPr>
      <t xml:space="preserve">)</t>
    </r>
  </si>
  <si>
    <t xml:space="preserve">매출 순위</t>
  </si>
  <si>
    <t xml:space="preserve">무료 순위</t>
  </si>
  <si>
    <r>
      <rPr>
        <b val="true"/>
        <sz val="11"/>
        <color rgb="FFFFFFFF"/>
        <rFont val="Arial"/>
        <family val="0"/>
        <charset val="1"/>
      </rPr>
      <t xml:space="preserve">AppBrain </t>
    </r>
    <r>
      <rPr>
        <b val="true"/>
        <sz val="11"/>
        <color rgb="FFFFFFFF"/>
        <rFont val="Noto Sans CJK SC"/>
        <family val="2"/>
      </rPr>
      <t xml:space="preserve">추정 누적 설치 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추정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</si>
  <si>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추정 설치 구간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</si>
  <si>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Google Play </t>
    </r>
    <r>
      <rPr>
        <b val="true"/>
        <sz val="11"/>
        <color rgb="FFFFFFFF"/>
        <rFont val="Noto Sans CJK SC"/>
        <family val="2"/>
      </rPr>
      <t xml:space="preserve">공식 설치 구간</t>
    </r>
  </si>
  <si>
    <r>
      <rPr>
        <b val="true"/>
        <sz val="11"/>
        <color rgb="FFFFFFFF"/>
        <rFont val="Noto Sans CJK SC"/>
        <family val="2"/>
      </rPr>
      <t xml:space="preserve">출시일 </t>
    </r>
    <r>
      <rPr>
        <b val="true"/>
        <sz val="11"/>
        <color rgb="FFFFFFFF"/>
        <rFont val="Arial"/>
        <family val="0"/>
        <charset val="1"/>
      </rPr>
      <t xml:space="preserve">(Google Play </t>
    </r>
    <r>
      <rPr>
        <b val="true"/>
        <sz val="11"/>
        <color rgb="FFFFFFFF"/>
        <rFont val="Noto Sans CJK SC"/>
        <family val="2"/>
      </rPr>
      <t xml:space="preserve">등록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</si>
  <si>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분류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</si>
  <si>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분류</t>
  </si>
  <si>
    <t xml:space="preserve">100,000,000+</t>
  </si>
  <si>
    <r>
      <rPr>
        <sz val="11"/>
        <rFont val="Arial"/>
        <family val="0"/>
        <charset val="1"/>
      </rPr>
      <t xml:space="preserve">2022-12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</si>
  <si>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https://www.appbrain.com/app/com.scopely.monopolygo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</si>
  <si>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t xml:space="preserve">① 둘 다 높음</t>
  </si>
  <si>
    <t xml:space="preserve">많이 받고 돈도 많이 버는 게임</t>
  </si>
  <si>
    <t xml:space="preserve">1,000,000,000+</t>
  </si>
  <si>
    <r>
      <rPr>
        <sz val="11"/>
        <rFont val="Arial"/>
        <family val="0"/>
        <charset val="1"/>
      </rPr>
      <t xml:space="preserve">2014-06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</si>
  <si>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https://www.appbrain.com/app/com.roblox.client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</si>
  <si>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t xml:space="preserve">② 매출만 높음</t>
  </si>
  <si>
    <r>
      <rPr>
        <sz val="11"/>
        <rFont val="Noto Sans CJK SC"/>
        <family val="2"/>
      </rPr>
      <t xml:space="preserve">받는 사람은 적어도 결제를 많이 하는 게임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인앱 결제형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</si>
  <si>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2012-11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</si>
  <si>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https://www.appbrain.com/app/com.king.candycrushsaga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</si>
  <si>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t xml:space="preserve">③ 다운로드만 높음</t>
  </si>
  <si>
    <r>
      <rPr>
        <sz val="11"/>
        <rFont val="Noto Sans CJK SC"/>
        <family val="2"/>
      </rPr>
      <t xml:space="preserve">많이 받지만 결제 순위는 낮은 게임 — 광고 수익형일 가능성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</si>
  <si>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2020-07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</si>
  <si>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https://www.appbrain.com/app/com.dreamgames.royalmatch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</si>
  <si>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t xml:space="preserve">④ 둘 다 기준 밖</t>
  </si>
  <si>
    <r>
      <rPr>
        <sz val="11"/>
        <rFont val="Noto Sans CJK SC"/>
        <family val="2"/>
      </rPr>
      <t xml:space="preserve">두 차트 </t>
    </r>
    <r>
      <rPr>
        <sz val="11"/>
        <rFont val="Arial"/>
        <family val="0"/>
        <charset val="1"/>
      </rPr>
      <t xml:space="preserve">Top100 </t>
    </r>
    <r>
      <rPr>
        <sz val="11"/>
        <rFont val="Noto Sans CJK SC"/>
        <family val="2"/>
      </rPr>
      <t xml:space="preserve">안이지만 기준 순위 밖</t>
    </r>
  </si>
  <si>
    <t xml:space="preserve">50,000,000+</t>
  </si>
  <si>
    <r>
      <rPr>
        <sz val="11"/>
        <rFont val="Arial"/>
        <family val="0"/>
        <charset val="1"/>
      </rPr>
      <t xml:space="preserve">2022-09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</si>
  <si>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https://www.appbrain.com/app/com.mergegames.gossipharbor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</si>
  <si>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t xml:space="preserve">500,000,000+</t>
  </si>
  <si>
    <r>
      <rPr>
        <sz val="11"/>
        <rFont val="Arial"/>
        <family val="0"/>
        <charset val="1"/>
      </rPr>
      <t xml:space="preserve">2013-11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</si>
  <si>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https://www.appbrain.com/app/com.playrix.township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</si>
  <si>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2016-01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</si>
  <si>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https://www.appbrain.com/app/com.moonactive.coinmaster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</si>
  <si>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출처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매출 순위 — </t>
    </r>
    <r>
      <rPr>
        <i val="true"/>
        <sz val="11"/>
        <color rgb="FF595959"/>
        <rFont val="Arial"/>
        <family val="0"/>
        <charset val="1"/>
      </rPr>
      <t xml:space="preserve">AppBrain Google Play Top Grossing Games United States https://www.appbrain.com/stats/google-play-rankings/top_grossing/game/us / </t>
    </r>
    <r>
      <rPr>
        <i val="true"/>
        <sz val="11"/>
        <color rgb="FF595959"/>
        <rFont val="Noto Sans CJK SC"/>
        <family val="2"/>
      </rPr>
      <t xml:space="preserve">무료 순위 — </t>
    </r>
    <r>
      <rPr>
        <i val="true"/>
        <sz val="11"/>
        <color rgb="FF595959"/>
        <rFont val="Arial"/>
        <family val="0"/>
        <charset val="1"/>
      </rPr>
      <t xml:space="preserve">AppBrain Google Play Top Free Games United States https://www.appbrain.com/stats/google-play-rankings/top_free/game/us (</t>
    </r>
    <r>
      <rPr>
        <i val="true"/>
        <sz val="11"/>
        <color rgb="FF595959"/>
        <rFont val="Noto Sans CJK SC"/>
        <family val="2"/>
      </rPr>
      <t xml:space="preserve">둘 다 </t>
    </r>
    <r>
      <rPr>
        <i val="true"/>
        <sz val="11"/>
        <color rgb="FF595959"/>
        <rFont val="Arial"/>
        <family val="0"/>
        <charset val="1"/>
      </rPr>
      <t xml:space="preserve">2026-10-04, 1-2</t>
    </r>
    <r>
      <rPr>
        <i val="true"/>
        <sz val="11"/>
        <color rgb="FF595959"/>
        <rFont val="Noto Sans CJK SC"/>
        <family val="2"/>
      </rPr>
      <t xml:space="preserve">와 같은 날 같은 목록</t>
    </r>
    <r>
      <rPr>
        <i val="true"/>
        <sz val="11"/>
        <color rgb="FF595959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</si>
  <si>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2025-02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</si>
  <si>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https://www.appbrain.com/app/kingshot/com.run.tower.defense (</t>
    </r>
    <r>
      <rPr>
        <sz val="11"/>
        <rFont val="Noto Sans CJK SC"/>
        <family val="2"/>
      </rPr>
      <t xml:space="preserve">페이지 갱신 </t>
    </r>
    <r>
      <rPr>
        <sz val="11"/>
        <rFont val="Arial"/>
        <family val="0"/>
        <charset val="1"/>
      </rPr>
      <t xml:space="preserve">2026-09-20)</t>
    </r>
  </si>
  <si>
    <r>
      <rPr>
        <i val="true"/>
        <sz val="11"/>
        <color rgb="FF595959"/>
        <rFont val="Arial"/>
        <family val="0"/>
        <charset val="1"/>
      </rPr>
      <t xml:space="preserve">'-' = </t>
    </r>
    <r>
      <rPr>
        <i val="true"/>
        <sz val="11"/>
        <color rgb="FF595959"/>
        <rFont val="Noto Sans CJK SC"/>
        <family val="2"/>
      </rPr>
      <t xml:space="preserve">그 차트 </t>
    </r>
    <r>
      <rPr>
        <i val="true"/>
        <sz val="11"/>
        <color rgb="FF595959"/>
        <rFont val="Arial"/>
        <family val="0"/>
        <charset val="1"/>
      </rPr>
      <t xml:space="preserve">Top100 </t>
    </r>
    <r>
      <rPr>
        <i val="true"/>
        <sz val="11"/>
        <color rgb="FF595959"/>
        <rFont val="Noto Sans CJK SC"/>
        <family val="2"/>
      </rPr>
      <t xml:space="preserve">밖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또는 </t>
    </r>
    <r>
      <rPr>
        <i val="true"/>
        <sz val="11"/>
        <color rgb="FF595959"/>
        <rFont val="Arial"/>
        <family val="0"/>
        <charset val="1"/>
      </rPr>
      <t xml:space="preserve">AppBrain </t>
    </r>
    <r>
      <rPr>
        <i val="true"/>
        <sz val="11"/>
        <color rgb="FF595959"/>
        <rFont val="Noto Sans CJK SC"/>
        <family val="2"/>
      </rPr>
      <t xml:space="preserve">목록 누락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매출 </t>
    </r>
    <r>
      <rPr>
        <i val="true"/>
        <sz val="11"/>
        <color rgb="FF595959"/>
        <rFont val="Arial"/>
        <family val="0"/>
        <charset val="1"/>
      </rPr>
      <t xml:space="preserve">26·65</t>
    </r>
    <r>
      <rPr>
        <i val="true"/>
        <sz val="11"/>
        <color rgb="FF595959"/>
        <rFont val="Noto Sans CJK SC"/>
        <family val="2"/>
      </rPr>
      <t xml:space="preserve">위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무료 </t>
    </r>
    <r>
      <rPr>
        <i val="true"/>
        <sz val="11"/>
        <color rgb="FF595959"/>
        <rFont val="Arial"/>
        <family val="0"/>
        <charset val="1"/>
      </rPr>
      <t xml:space="preserve">80</t>
    </r>
    <r>
      <rPr>
        <i val="true"/>
        <sz val="11"/>
        <color rgb="FF595959"/>
        <rFont val="Noto Sans CJK SC"/>
        <family val="2"/>
      </rPr>
      <t xml:space="preserve">위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순위 숫자만 비교함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</si>
  <si>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2023-03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</si>
  <si>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https://www.appbrain.com/app/com.dreamgames.royalkingdom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</si>
  <si>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i val="true"/>
        <sz val="11"/>
        <color rgb="FF595959"/>
        <rFont val="Arial"/>
        <family val="0"/>
        <charset val="1"/>
      </rPr>
      <t xml:space="preserve">D</t>
    </r>
    <r>
      <rPr>
        <i val="true"/>
        <sz val="11"/>
        <color rgb="FF595959"/>
        <rFont val="Noto Sans CJK SC"/>
        <family val="2"/>
      </rPr>
      <t xml:space="preserve">열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추정 누적 설치 수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는 </t>
    </r>
    <r>
      <rPr>
        <i val="true"/>
        <sz val="11"/>
        <color rgb="FF595959"/>
        <rFont val="Arial"/>
        <family val="0"/>
        <charset val="1"/>
      </rPr>
      <t xml:space="preserve">AppBrain</t>
    </r>
    <r>
      <rPr>
        <i val="true"/>
        <sz val="11"/>
        <color rgb="FF595959"/>
        <rFont val="Noto Sans CJK SC"/>
        <family val="2"/>
      </rPr>
      <t xml:space="preserve">이 공개한 추정치</t>
    </r>
    <r>
      <rPr>
        <i val="true"/>
        <sz val="11"/>
        <color rgb="FF595959"/>
        <rFont val="Arial"/>
        <family val="0"/>
        <charset val="1"/>
      </rPr>
      <t xml:space="preserve">(Installs </t>
    </r>
    <r>
      <rPr>
        <i val="true"/>
        <sz val="11"/>
        <color rgb="FF595959"/>
        <rFont val="Noto Sans CJK SC"/>
        <family val="2"/>
      </rPr>
      <t xml:space="preserve">열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이며 </t>
    </r>
    <r>
      <rPr>
        <i val="true"/>
        <sz val="11"/>
        <color rgb="FF595959"/>
        <rFont val="Arial"/>
        <family val="0"/>
        <charset val="1"/>
      </rPr>
      <t xml:space="preserve">Google Play </t>
    </r>
    <r>
      <rPr>
        <i val="true"/>
        <sz val="11"/>
        <color rgb="FF595959"/>
        <rFont val="Noto Sans CJK SC"/>
        <family val="2"/>
      </rPr>
      <t xml:space="preserve">공식 숫자가 아님</t>
    </r>
    <r>
      <rPr>
        <i val="true"/>
        <sz val="11"/>
        <color rgb="FF595959"/>
        <rFont val="Arial"/>
        <family val="0"/>
        <charset val="1"/>
      </rPr>
      <t xml:space="preserve">. E</t>
    </r>
    <r>
      <rPr>
        <i val="true"/>
        <sz val="11"/>
        <color rgb="FF595959"/>
        <rFont val="Noto Sans CJK SC"/>
        <family val="2"/>
      </rPr>
      <t xml:space="preserve">열은 그 추정치를 </t>
    </r>
    <r>
      <rPr>
        <i val="true"/>
        <sz val="11"/>
        <color rgb="FF595959"/>
        <rFont val="Arial"/>
        <family val="0"/>
        <charset val="1"/>
      </rPr>
      <t xml:space="preserve">Google Play</t>
    </r>
    <r>
      <rPr>
        <i val="true"/>
        <sz val="11"/>
        <color rgb="FF595959"/>
        <rFont val="Noto Sans CJK SC"/>
        <family val="2"/>
      </rPr>
      <t xml:space="preserve">식 구간으로 나눈 것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역시 추정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</si>
  <si>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sz val="11"/>
        <rFont val="Arial"/>
        <family val="0"/>
        <charset val="1"/>
      </rPr>
      <t xml:space="preserve">2023-01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</si>
  <si>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https://www.appbrain.com/app/com.gof.global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</si>
  <si>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i val="true"/>
        <sz val="11"/>
        <color rgb="FF595959"/>
        <rFont val="Arial"/>
        <family val="0"/>
        <charset val="1"/>
      </rPr>
      <t xml:space="preserve">F·G</t>
    </r>
    <r>
      <rPr>
        <i val="true"/>
        <sz val="11"/>
        <color rgb="FF595959"/>
        <rFont val="Noto Sans CJK SC"/>
        <family val="2"/>
      </rPr>
      <t xml:space="preserve">열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공식 설치 구간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출시일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은 게임별 상세 페이지를 하나씩 열어야 해서 이번에는 </t>
    </r>
    <r>
      <rPr>
        <i val="true"/>
        <sz val="11"/>
        <color rgb="FF595959"/>
        <rFont val="Arial"/>
        <family val="0"/>
        <charset val="1"/>
      </rPr>
      <t xml:space="preserve">Kingshot 1</t>
    </r>
    <r>
      <rPr>
        <i val="true"/>
        <sz val="11"/>
        <color rgb="FF595959"/>
        <rFont val="Noto Sans CJK SC"/>
        <family val="2"/>
      </rPr>
      <t xml:space="preserve">개만 확인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나머지는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미조사</t>
    </r>
    <r>
      <rPr>
        <i val="true"/>
        <sz val="11"/>
        <color rgb="FF595959"/>
        <rFont val="Arial"/>
        <family val="0"/>
        <charset val="1"/>
      </rPr>
      <t xml:space="preserve">'(</t>
    </r>
    <r>
      <rPr>
        <i val="true"/>
        <sz val="11"/>
        <color rgb="FF595959"/>
        <rFont val="Noto Sans CJK SC"/>
        <family val="2"/>
      </rPr>
      <t xml:space="preserve">다음 단계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</si>
  <si>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sz val="11"/>
        <rFont val="Arial"/>
        <family val="0"/>
        <charset val="1"/>
      </rPr>
      <t xml:space="preserve">2016-07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</si>
  <si>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https://www.appbrain.com/app/com.nianticlabs.pokemongo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</si>
  <si>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실제 매출액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실제 다운로드 수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비공개 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공개 출처 없음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이 표는 순위와 공개 추정치로만 비교함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</si>
  <si>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2023-06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</si>
  <si>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https://www.appbrain.com/app/com.fun.lastwar.gp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</si>
  <si>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i val="true"/>
        <sz val="11"/>
        <color rgb="FF595959"/>
        <rFont val="Arial"/>
        <family val="0"/>
        <charset val="1"/>
      </rPr>
      <t xml:space="preserve">③ '</t>
    </r>
    <r>
      <rPr>
        <i val="true"/>
        <sz val="11"/>
        <color rgb="FF595959"/>
        <rFont val="Noto Sans CJK SC"/>
        <family val="2"/>
      </rPr>
      <t xml:space="preserve">광고 수익형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은 순위 패턴에서 나온 추정이며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실제 수익 구조는 게임별 확인이 필요함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</si>
  <si>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2015-07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</si>
  <si>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https://www.appbrain.com/app/com.bandainamcogames.dbzdokkanww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</si>
  <si>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i val="true"/>
        <sz val="11"/>
        <color rgb="FF595959"/>
        <rFont val="Arial"/>
        <family val="0"/>
        <charset val="1"/>
      </rPr>
      <t xml:space="preserve">6</t>
    </r>
    <r>
      <rPr>
        <i val="true"/>
        <sz val="11"/>
        <color rgb="FF595959"/>
        <rFont val="Noto Sans CJK SC"/>
        <family val="2"/>
      </rPr>
      <t xml:space="preserve">단계</t>
    </r>
    <r>
      <rPr>
        <i val="true"/>
        <sz val="11"/>
        <color rgb="FF595959"/>
        <rFont val="Arial"/>
        <family val="0"/>
        <charset val="1"/>
      </rPr>
      <t xml:space="preserve">-4 (2026-10-07 </t>
    </r>
    <r>
      <rPr>
        <i val="true"/>
        <sz val="11"/>
        <color rgb="FF595959"/>
        <rFont val="Noto Sans CJK SC"/>
        <family val="2"/>
      </rPr>
      <t xml:space="preserve">조회</t>
    </r>
    <r>
      <rPr>
        <i val="true"/>
        <sz val="11"/>
        <color rgb="FF595959"/>
        <rFont val="Arial"/>
        <family val="0"/>
        <charset val="1"/>
      </rPr>
      <t xml:space="preserve">): 172</t>
    </r>
    <r>
      <rPr>
        <i val="true"/>
        <sz val="11"/>
        <color rgb="FF595959"/>
        <rFont val="Noto Sans CJK SC"/>
        <family val="2"/>
      </rPr>
      <t xml:space="preserve">개 전부의 </t>
    </r>
    <r>
      <rPr>
        <i val="true"/>
        <sz val="11"/>
        <color rgb="FF595959"/>
        <rFont val="Arial"/>
        <family val="0"/>
        <charset val="1"/>
      </rPr>
      <t xml:space="preserve">F·G</t>
    </r>
    <r>
      <rPr>
        <i val="true"/>
        <sz val="11"/>
        <color rgb="FF595959"/>
        <rFont val="Noto Sans CJK SC"/>
        <family val="2"/>
      </rPr>
      <t xml:space="preserve">열을 채움</t>
    </r>
    <r>
      <rPr>
        <i val="true"/>
        <sz val="11"/>
        <color rgb="FF595959"/>
        <rFont val="Arial"/>
        <family val="0"/>
        <charset val="1"/>
      </rPr>
      <t xml:space="preserve">(Kingshot </t>
    </r>
    <r>
      <rPr>
        <i val="true"/>
        <sz val="11"/>
        <color rgb="FF595959"/>
        <rFont val="Noto Sans CJK SC"/>
        <family val="2"/>
      </rPr>
      <t xml:space="preserve">포함</t>
    </r>
    <r>
      <rPr>
        <i val="true"/>
        <sz val="11"/>
        <color rgb="FF595959"/>
        <rFont val="Arial"/>
        <family val="0"/>
        <charset val="1"/>
      </rPr>
      <t xml:space="preserve">). F</t>
    </r>
    <r>
      <rPr>
        <i val="true"/>
        <sz val="11"/>
        <color rgb="FF595959"/>
        <rFont val="Noto Sans CJK SC"/>
        <family val="2"/>
      </rPr>
      <t xml:space="preserve">열 </t>
    </r>
    <r>
      <rPr>
        <i val="true"/>
        <sz val="11"/>
        <color rgb="FF595959"/>
        <rFont val="Arial"/>
        <family val="0"/>
        <charset val="1"/>
      </rPr>
      <t xml:space="preserve">= AppBrain </t>
    </r>
    <r>
      <rPr>
        <i val="true"/>
        <sz val="11"/>
        <color rgb="FF595959"/>
        <rFont val="Noto Sans CJK SC"/>
        <family val="2"/>
      </rPr>
      <t xml:space="preserve">앱 상세 페이지에 옮겨 적힌 </t>
    </r>
    <r>
      <rPr>
        <i val="true"/>
        <sz val="11"/>
        <color rgb="FF595959"/>
        <rFont val="Arial"/>
        <family val="0"/>
        <charset val="1"/>
      </rPr>
      <t xml:space="preserve">Google Play </t>
    </r>
    <r>
      <rPr>
        <i val="true"/>
        <sz val="11"/>
        <color rgb="FF595959"/>
        <rFont val="Noto Sans CJK SC"/>
        <family val="2"/>
      </rPr>
      <t xml:space="preserve">다운로드 표시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예</t>
    </r>
    <r>
      <rPr>
        <i val="true"/>
        <sz val="11"/>
        <color rgb="FF595959"/>
        <rFont val="Arial"/>
        <family val="0"/>
        <charset val="1"/>
      </rPr>
      <t xml:space="preserve">: '100,000,000+ Downloads'), G</t>
    </r>
    <r>
      <rPr>
        <i val="true"/>
        <sz val="11"/>
        <color rgb="FF595959"/>
        <rFont val="Noto Sans CJK SC"/>
        <family val="2"/>
      </rPr>
      <t xml:space="preserve">열 </t>
    </r>
    <r>
      <rPr>
        <i val="true"/>
        <sz val="11"/>
        <color rgb="FF595959"/>
        <rFont val="Arial"/>
        <family val="0"/>
        <charset val="1"/>
      </rPr>
      <t xml:space="preserve">= </t>
    </r>
    <r>
      <rPr>
        <i val="true"/>
        <sz val="11"/>
        <color rgb="FF595959"/>
        <rFont val="Noto Sans CJK SC"/>
        <family val="2"/>
      </rPr>
      <t xml:space="preserve">같은 페이지의 </t>
    </r>
    <r>
      <rPr>
        <i val="true"/>
        <sz val="11"/>
        <color rgb="FF595959"/>
        <rFont val="Arial"/>
        <family val="0"/>
        <charset val="1"/>
      </rPr>
      <t xml:space="preserve">'available on Google Play since &lt;</t>
    </r>
    <r>
      <rPr>
        <i val="true"/>
        <sz val="11"/>
        <color rgb="FF595959"/>
        <rFont val="Noto Sans CJK SC"/>
        <family val="2"/>
      </rPr>
      <t xml:space="preserve">월</t>
    </r>
    <r>
      <rPr>
        <i val="true"/>
        <sz val="11"/>
        <color rgb="FF595959"/>
        <rFont val="Arial"/>
        <family val="0"/>
        <charset val="1"/>
      </rPr>
      <t xml:space="preserve">&gt;' </t>
    </r>
    <r>
      <rPr>
        <i val="true"/>
        <sz val="11"/>
        <color rgb="FF595959"/>
        <rFont val="Noto Sans CJK SC"/>
        <family val="2"/>
      </rPr>
      <t xml:space="preserve">문장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링크는 </t>
    </r>
    <r>
      <rPr>
        <i val="true"/>
        <sz val="11"/>
        <color rgb="FF595959"/>
        <rFont val="Arial"/>
        <family val="0"/>
        <charset val="1"/>
      </rPr>
      <t xml:space="preserve">I</t>
    </r>
    <r>
      <rPr>
        <i val="true"/>
        <sz val="11"/>
        <color rgb="FF595959"/>
        <rFont val="Noto Sans CJK SC"/>
        <family val="2"/>
      </rPr>
      <t xml:space="preserve">열</t>
    </r>
    <r>
      <rPr>
        <i val="true"/>
        <sz val="11"/>
        <color rgb="FF595959"/>
        <rFont val="Arial"/>
        <family val="0"/>
        <charset val="1"/>
      </rPr>
      <t xml:space="preserve">. AppBrain</t>
    </r>
    <r>
      <rPr>
        <i val="true"/>
        <sz val="11"/>
        <color rgb="FF595959"/>
        <rFont val="Noto Sans CJK SC"/>
        <family val="2"/>
      </rPr>
      <t xml:space="preserve">에 표시가 없거나 </t>
    </r>
    <r>
      <rPr>
        <i val="true"/>
        <sz val="11"/>
        <color rgb="FF595959"/>
        <rFont val="Arial"/>
        <family val="0"/>
        <charset val="1"/>
      </rPr>
      <t xml:space="preserve">'0+'</t>
    </r>
    <r>
      <rPr>
        <i val="true"/>
        <sz val="11"/>
        <color rgb="FF595959"/>
        <rFont val="Noto Sans CJK SC"/>
        <family val="2"/>
      </rPr>
      <t xml:space="preserve">인 </t>
    </r>
    <r>
      <rPr>
        <i val="true"/>
        <sz val="11"/>
        <color rgb="FF595959"/>
        <rFont val="Arial"/>
        <family val="0"/>
        <charset val="1"/>
      </rPr>
      <t xml:space="preserve">3</t>
    </r>
    <r>
      <rPr>
        <i val="true"/>
        <sz val="11"/>
        <color rgb="FF595959"/>
        <rFont val="Noto Sans CJK SC"/>
        <family val="2"/>
      </rPr>
      <t xml:space="preserve">개</t>
    </r>
    <r>
      <rPr>
        <i val="true"/>
        <sz val="11"/>
        <color rgb="FF595959"/>
        <rFont val="Arial"/>
        <family val="0"/>
        <charset val="1"/>
      </rPr>
      <t xml:space="preserve">(MemeMix·Aniimo·Tiki Smash!)</t>
    </r>
    <r>
      <rPr>
        <i val="true"/>
        <sz val="11"/>
        <color rgb="FF595959"/>
        <rFont val="Noto Sans CJK SC"/>
        <family val="2"/>
      </rPr>
      <t xml:space="preserve">는 </t>
    </r>
    <r>
      <rPr>
        <i val="true"/>
        <sz val="11"/>
        <color rgb="FF595959"/>
        <rFont val="Arial"/>
        <family val="0"/>
        <charset val="1"/>
      </rPr>
      <t xml:space="preserve">Google Play </t>
    </r>
    <r>
      <rPr>
        <i val="true"/>
        <sz val="11"/>
        <color rgb="FF595959"/>
        <rFont val="Noto Sans CJK SC"/>
        <family val="2"/>
      </rPr>
      <t xml:space="preserve">페이지에서 직접 확인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</si>
  <si>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2017-03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</si>
  <si>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https://www.appbrain.com/app/net.peakgames.toonblast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</si>
  <si>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위 </t>
    </r>
    <r>
      <rPr>
        <i val="true"/>
        <sz val="11"/>
        <color rgb="FF595959"/>
        <rFont val="Arial"/>
        <family val="0"/>
        <charset val="1"/>
      </rPr>
      <t xml:space="preserve">'Kingshot 1</t>
    </r>
    <r>
      <rPr>
        <i val="true"/>
        <sz val="11"/>
        <color rgb="FF595959"/>
        <rFont val="Noto Sans CJK SC"/>
        <family val="2"/>
      </rPr>
      <t xml:space="preserve">개만 확인</t>
    </r>
    <r>
      <rPr>
        <i val="true"/>
        <sz val="11"/>
        <color rgb="FF595959"/>
        <rFont val="Arial"/>
        <family val="0"/>
        <charset val="1"/>
      </rPr>
      <t xml:space="preserve">' </t>
    </r>
    <r>
      <rPr>
        <i val="true"/>
        <sz val="11"/>
        <color rgb="FF595959"/>
        <rFont val="Noto Sans CJK SC"/>
        <family val="2"/>
      </rPr>
      <t xml:space="preserve">줄은 </t>
    </r>
    <r>
      <rPr>
        <i val="true"/>
        <sz val="11"/>
        <color rgb="FF595959"/>
        <rFont val="Arial"/>
        <family val="0"/>
        <charset val="1"/>
      </rPr>
      <t xml:space="preserve">6</t>
    </r>
    <r>
      <rPr>
        <i val="true"/>
        <sz val="11"/>
        <color rgb="FF595959"/>
        <rFont val="Noto Sans CJK SC"/>
        <family val="2"/>
      </rPr>
      <t xml:space="preserve">단계</t>
    </r>
    <r>
      <rPr>
        <i val="true"/>
        <sz val="11"/>
        <color rgb="FF595959"/>
        <rFont val="Arial"/>
        <family val="0"/>
        <charset val="1"/>
      </rPr>
      <t xml:space="preserve">-2 </t>
    </r>
    <r>
      <rPr>
        <i val="true"/>
        <sz val="11"/>
        <color rgb="FF595959"/>
        <rFont val="Noto Sans CJK SC"/>
        <family val="2"/>
      </rPr>
      <t xml:space="preserve">당시 메모라 그대로 둠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공식 구간은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이 숫자 이상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이라는 뜻이라 실제 다운로드 수는 여전히 비공개</t>
    </r>
    <r>
      <rPr>
        <i val="true"/>
        <sz val="11"/>
        <color rgb="FF595959"/>
        <rFont val="Arial"/>
        <family val="0"/>
        <charset val="1"/>
      </rPr>
      <t xml:space="preserve">. 2026</t>
    </r>
    <r>
      <rPr>
        <i val="true"/>
        <sz val="11"/>
        <color rgb="FF595959"/>
        <rFont val="Noto Sans CJK SC"/>
        <family val="2"/>
      </rPr>
      <t xml:space="preserve">년 출시 게임 </t>
    </r>
    <r>
      <rPr>
        <i val="true"/>
        <sz val="11"/>
        <color rgb="FF595959"/>
        <rFont val="Arial"/>
        <family val="0"/>
        <charset val="1"/>
      </rPr>
      <t xml:space="preserve">10</t>
    </r>
    <r>
      <rPr>
        <i val="true"/>
        <sz val="11"/>
        <color rgb="FF595959"/>
        <rFont val="Noto Sans CJK SC"/>
        <family val="2"/>
      </rPr>
      <t xml:space="preserve">개를 </t>
    </r>
    <r>
      <rPr>
        <i val="true"/>
        <sz val="11"/>
        <color rgb="FF595959"/>
        <rFont val="Arial"/>
        <family val="0"/>
        <charset val="1"/>
      </rPr>
      <t xml:space="preserve">Google Play</t>
    </r>
    <r>
      <rPr>
        <i val="true"/>
        <sz val="11"/>
        <color rgb="FF595959"/>
        <rFont val="Noto Sans CJK SC"/>
        <family val="2"/>
      </rPr>
      <t xml:space="preserve">에서 직접 대조해 </t>
    </r>
    <r>
      <rPr>
        <i val="true"/>
        <sz val="11"/>
        <color rgb="FF595959"/>
        <rFont val="Arial"/>
        <family val="0"/>
        <charset val="1"/>
      </rPr>
      <t xml:space="preserve">3</t>
    </r>
    <r>
      <rPr>
        <i val="true"/>
        <sz val="11"/>
        <color rgb="FF595959"/>
        <rFont val="Noto Sans CJK SC"/>
        <family val="2"/>
      </rPr>
      <t xml:space="preserve">개가 달라 노란 칸으로 표시</t>
    </r>
    <r>
      <rPr>
        <i val="true"/>
        <sz val="11"/>
        <color rgb="FF595959"/>
        <rFont val="Arial"/>
        <family val="0"/>
        <charset val="1"/>
      </rPr>
      <t xml:space="preserve">(AppBrain </t>
    </r>
    <r>
      <rPr>
        <i val="true"/>
        <sz val="11"/>
        <color rgb="FF595959"/>
        <rFont val="Noto Sans CJK SC"/>
        <family val="2"/>
      </rPr>
      <t xml:space="preserve">옮겨 적기가 늦을 수 있음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</si>
  <si>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sz val="11"/>
        <rFont val="Arial"/>
        <family val="0"/>
        <charset val="1"/>
      </rPr>
      <t xml:space="preserve">2017-10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</si>
  <si>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https://www.appbrain.com/app/com.totalbattle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</si>
  <si>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t xml:space="preserve">10,000,000+</t>
  </si>
  <si>
    <r>
      <rPr>
        <sz val="11"/>
        <rFont val="Arial"/>
        <family val="0"/>
        <charset val="1"/>
      </rPr>
      <t xml:space="preserve">2023-12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</si>
  <si>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https://www.appbrain.com/app/com.readygo.barrel.gp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</si>
  <si>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2016-04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</si>
  <si>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https://www.appbrain.com/app/com.topgamesinc.evony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</si>
  <si>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2018-07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</si>
  <si>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https://www.appbrain.com/app/com.plarium.raidlegends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</si>
  <si>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https://www.appbrain.com/app/com.playrix.gardenscapes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</si>
  <si>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2019-09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</si>
  <si>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https://www.appbrain.com/app/com.superplaystudios.dicedreams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</si>
  <si>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2012-09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</si>
  <si>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https://www.appbrain.com/app/air.com.buffalo_studios.newflashbingo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</si>
  <si>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2013-06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</si>
  <si>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https://www.appbrain.com/app/com.williamsinteractive.jackpotparty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</si>
  <si>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2026-02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</si>
  <si>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https://www.appbrain.com/app/com.phs.global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</si>
  <si>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2016-02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</si>
  <si>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https://www.appbrain.com/app/com.playrix.fishdomdd.gplay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</si>
  <si>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2016-10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</si>
  <si>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https://www.appbrain.com/app/com.productmadness.cashmancasino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</si>
  <si>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https://www.appbrain.com/app/net.peakgames.match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</si>
  <si>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2017-09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</si>
  <si>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https://www.appbrain.com/app/com.dts.freefireth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</si>
  <si>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2024-09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</si>
  <si>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https://www.appbrain.com/app/jp.pokemon.pokemontcgp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</si>
  <si>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https://www.appbrain.com/app/com.fatmerge.global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</si>
  <si>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2013-09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</si>
  <si>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https://www.appbrain.com/app/com.supercell.clashofclans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</si>
  <si>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https://www.appbrain.com/app/com.king.candycrushsodasaga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</si>
  <si>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2018-08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</si>
  <si>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https://www.appbrain.com/app/com.productmadness.lightninglink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</si>
  <si>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t xml:space="preserve">1,000,000+</t>
  </si>
  <si>
    <r>
      <rPr>
        <sz val="11"/>
        <rFont val="Arial"/>
        <family val="0"/>
        <charset val="1"/>
      </rPr>
      <t xml:space="preserve">2026-05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</si>
  <si>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https://www.appbrain.com/app/com.zjcs.android.us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</si>
  <si>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2025-10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</si>
  <si>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https://www.appbrain.com/app/com.loomgames.pixelflow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</si>
  <si>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https://www.appbrain.com/app/com.diamondlife.slots.vegas.free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</si>
  <si>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2017-08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</si>
  <si>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https://www.appbrain.com/app/com.playrix.homescapes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</si>
  <si>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https://www.appbrain.com/app/com.readygo.dark.gp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</si>
  <si>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2025-12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</si>
  <si>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https://www.appbrain.com/app/com.combo.yarnflow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</si>
  <si>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2023-04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</si>
  <si>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https://www.appbrain.com/app/com.HoYoverse.hkrpgoversea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</si>
  <si>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2017-06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</si>
  <si>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https://www.appbrain.com/app/net.supertreat.solitaire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</si>
  <si>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2024-05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</si>
  <si>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https://www.appbrain.com/app/com.kurogame.wutheringwaves.global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</si>
  <si>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https://www.appbrain.com/app/com.superplaystudios.disneysolitairedreams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</si>
  <si>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t xml:space="preserve">5,000,000+</t>
  </si>
  <si>
    <r>
      <rPr>
        <sz val="11"/>
        <rFont val="Arial"/>
        <family val="0"/>
        <charset val="1"/>
      </rPr>
      <t xml:space="preserve">2025-08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</si>
  <si>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https://www.appbrain.com/app/com.moonactive.cmboard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</si>
  <si>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2024-10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</si>
  <si>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https://www.appbrain.com/app/com.cedargames.mysterytown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</si>
  <si>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2019-01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</si>
  <si>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https://www.appbrain.com/app/slots.pcg.casino.games.free.android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</si>
  <si>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2020-09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</si>
  <si>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https://www.appbrain.com/app/com.global.ztmslg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</si>
  <si>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https://www.appbrain.com/app/com.homagames.studio.allinhole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</si>
  <si>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https://www.appbrain.com/app/com.zroute.global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</si>
  <si>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https://www.appbrain.com/app/com.productmadness.hovmobile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</si>
  <si>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2024-12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</si>
  <si>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https://www.appbrain.com/app/com.cola.game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</si>
  <si>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https://www.appbrain.com/app/com.merge.cooking.theme.restaurant.food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</si>
  <si>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2021-05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</si>
  <si>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https://www.appbrain.com/app/com.joycastle.mergematch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</si>
  <si>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https://www.appbrain.com/app/com.supercell.hayday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</si>
  <si>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https://www.appbrain.com/app/net.wooga.junes_journey_hidden_object_mystery_game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</si>
  <si>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2021-03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</si>
  <si>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https://www.appbrain.com/app/com.wizards.mtga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</si>
  <si>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2024-06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</si>
  <si>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https://www.appbrain.com/app/com.grandgames.magicsort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</si>
  <si>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2015-03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</si>
  <si>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https://www.appbrain.com/app/com.ballytechnologies.quickhitslots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</si>
  <si>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https://www.appbrain.com/app/io.randomco.travel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</si>
  <si>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2018-03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</si>
  <si>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https://www.appbrain.com/app/com.tencent.ig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</si>
  <si>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https://www.appbrain.com/app/com.global.pnck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</si>
  <si>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2022-10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</si>
  <si>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https://www.appbrain.com/app/com.proximabeta.nikke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</si>
  <si>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https://www.appbrain.com/app/com.bingo.cruise.free.best.top.game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</si>
  <si>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2026-01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</si>
  <si>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https://www.appbrain.com/app/com.rotatelab.cubeblast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</si>
  <si>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2026-06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</si>
  <si>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https://www.appbrain.com/app/com.abi.colony.flow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</si>
  <si>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2018-06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</si>
  <si>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https://www.appbrain.com/app/com.supercell.brawlstars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</si>
  <si>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2026-07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</si>
  <si>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https://www.appbrain.com/app/com.s01.global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</si>
  <si>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2017-05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</si>
  <si>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https://www.appbrain.com/app/jp.konami.pesam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</si>
  <si>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https://www.appbrain.com/app/com.cyphergames.royalsmash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 — Google Play </t>
    </r>
    <r>
      <rPr>
        <sz val="11"/>
        <rFont val="Noto Sans CJK SC"/>
        <family val="2"/>
      </rPr>
      <t xml:space="preserve">페이지에서 직접 읽으면 </t>
    </r>
    <r>
      <rPr>
        <sz val="11"/>
        <rFont val="Arial"/>
        <family val="0"/>
        <charset val="1"/>
      </rPr>
      <t xml:space="preserve">'5M+' → </t>
    </r>
    <r>
      <rPr>
        <sz val="11"/>
        <rFont val="Noto Sans CJK SC"/>
        <family val="2"/>
      </rPr>
      <t xml:space="preserve">출처끼리 다름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노란 칸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</si>
  <si>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2011-10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</si>
  <si>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https://www.appbrain.com/app/com.mojang.minecraftpe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</si>
  <si>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https://www.appbrain.com/app/com.hollywood.merge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</si>
  <si>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2023-07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</si>
  <si>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https://www.appbrain.com/app/com.olleyo.piggy.king.free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</si>
  <si>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2018-01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</si>
  <si>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https://www.appbrain.com/app/com.foxnextgames.m3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</si>
  <si>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https://www.appbrain.com/app/com.playdemic.golf.android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</si>
  <si>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2018-12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</si>
  <si>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https://www.appbrain.com/app/com.cooking.bingo.ldkwh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</si>
  <si>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https://www.appbrain.com/app/com.farlightgames.pgame.gp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</si>
  <si>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https://www.appbrain.com/app/com.playtika.wsop.gp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</si>
  <si>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2014-10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</si>
  <si>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https://www.appbrain.com/app/net.peakgames.amy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</si>
  <si>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2018-05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</si>
  <si>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https://www.appbrain.com/app/com.grandegames.slots.dafu.casino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</si>
  <si>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2018-09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</si>
  <si>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https://www.appbrain.com/app/com.yalla.yallagames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</si>
  <si>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2025-09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</si>
  <si>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https://www.appbrain.com/app/com.moonactive.holestars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</si>
  <si>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https://www.appbrain.com/app/com.online.huntingsniper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</si>
  <si>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2024-11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</si>
  <si>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https://www.appbrain.com/app/com.GybeGames.ColorBlockJam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</si>
  <si>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2015-09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</si>
  <si>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https://www.appbrain.com/app/com.ea.game.starwarscapital_row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</si>
  <si>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2013-08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</si>
  <si>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https://www.appbrain.com/app/com.gsn.android.tripeaks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</si>
  <si>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https://www.appbrain.com/app/com.aniplex.fategrandorder.en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</si>
  <si>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https://www.appbrain.com/app/com.scopely.yux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</si>
  <si>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2017-02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</si>
  <si>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https://www.appbrain.com/app/com.nexters.herowars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</si>
  <si>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https://www.appbrain.com/app/com.slg.policewar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</si>
  <si>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https://www.appbrain.com/app/jp.co.goodroid.hyper.busflow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</si>
  <si>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2018-04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</si>
  <si>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https://www.appbrain.com/app/com.lilithgame.roc.gp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</si>
  <si>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https://www.appbrain.com/app/com.scopely.startrek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</si>
  <si>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https://www.appbrain.com/app/com.hitappsgames.wordsolitaire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</si>
  <si>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https://www.appbrain.com/app/com.gamedots.seasideescape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</si>
  <si>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https://www.appbrain.com/app/com.supercell.clashroyale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</si>
  <si>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https://www.appbrain.com/app/com.Garawell.LoopSort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</si>
  <si>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https://www.appbrain.com/app/com.rovio.baba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</si>
  <si>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https://www.appbrain.com/app/com.funtomic.matchmasters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</si>
  <si>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2020-08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</si>
  <si>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https://www.appbrain.com/app/com.miHoYo.GenshinImpact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</si>
  <si>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https://www.appbrain.com/app/com.nebula.rotaterings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</si>
  <si>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2026-04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</si>
  <si>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https://www.appbrain.com/app/com.oakever.meowdoku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</si>
  <si>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2024-01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</si>
  <si>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https://www.appbrain.com/app/com.vitastudio.mahjong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</si>
  <si>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2026-08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</si>
  <si>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https://www.appbrain.com/app/com.flow.smashparty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 — Google Play </t>
    </r>
    <r>
      <rPr>
        <sz val="11"/>
        <rFont val="Noto Sans CJK SC"/>
        <family val="2"/>
      </rPr>
      <t xml:space="preserve">페이지에서 직접 읽으면 </t>
    </r>
    <r>
      <rPr>
        <sz val="11"/>
        <rFont val="Arial"/>
        <family val="0"/>
        <charset val="1"/>
      </rPr>
      <t xml:space="preserve">'100K+'~'500K+'(</t>
    </r>
    <r>
      <rPr>
        <sz val="11"/>
        <rFont val="Noto Sans CJK SC"/>
        <family val="2"/>
      </rPr>
      <t xml:space="preserve">읽을 때마다 다름</t>
    </r>
    <r>
      <rPr>
        <sz val="11"/>
        <rFont val="Arial"/>
        <family val="0"/>
        <charset val="1"/>
      </rPr>
      <t xml:space="preserve">) → </t>
    </r>
    <r>
      <rPr>
        <sz val="11"/>
        <rFont val="Noto Sans CJK SC"/>
        <family val="2"/>
      </rPr>
      <t xml:space="preserve">출처끼리 다름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노란 칸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</si>
  <si>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https://www.appbrain.com/app/com.block.juggle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</si>
  <si>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2025-04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</si>
  <si>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https://www.appbrain.com/app/gridplus.busjam.carpuzzle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</si>
  <si>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2026-09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</si>
  <si>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공식 설치 구간</t>
    </r>
    <r>
      <rPr>
        <sz val="11"/>
        <rFont val="Arial"/>
        <family val="0"/>
        <charset val="1"/>
      </rPr>
      <t xml:space="preserve">: Google Play </t>
    </r>
    <r>
      <rPr>
        <sz val="11"/>
        <rFont val="Noto Sans CJK SC"/>
        <family val="2"/>
      </rPr>
      <t xml:space="preserve">상세 </t>
    </r>
    <r>
      <rPr>
        <sz val="11"/>
        <rFont val="Arial"/>
        <family val="0"/>
        <charset val="1"/>
      </rPr>
      <t xml:space="preserve">https://play.google.com/store/apps/details?id=com.mimik.challenge.fun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, AppBrain </t>
    </r>
    <r>
      <rPr>
        <sz val="11"/>
        <rFont val="Noto Sans CJK SC"/>
        <family val="2"/>
      </rPr>
      <t xml:space="preserve">페이지에 표시 없음</t>
    </r>
    <r>
      <rPr>
        <sz val="11"/>
        <rFont val="Arial"/>
        <family val="0"/>
        <charset val="1"/>
      </rPr>
      <t xml:space="preserve">/0+) ·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: 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https://www.appbrain.com/app/com.mimik.challenge.fun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</si>
  <si>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https://www.appbrain.com/app/com.brain.crazy.joygame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</si>
  <si>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https://www.appbrain.com/app/com.tripledot.blockbash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</si>
  <si>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https://www.appbrain.com/app/com.oakever.arrows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 — Google Play </t>
    </r>
    <r>
      <rPr>
        <sz val="11"/>
        <rFont val="Noto Sans CJK SC"/>
        <family val="2"/>
      </rPr>
      <t xml:space="preserve">페이지에서 직접 읽으면 </t>
    </r>
    <r>
      <rPr>
        <sz val="11"/>
        <rFont val="Arial"/>
        <family val="0"/>
        <charset val="1"/>
      </rPr>
      <t xml:space="preserve">'50M+' → </t>
    </r>
    <r>
      <rPr>
        <sz val="11"/>
        <rFont val="Noto Sans CJK SC"/>
        <family val="2"/>
      </rPr>
      <t xml:space="preserve">출처끼리 다름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노란 칸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</si>
  <si>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2016-08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</si>
  <si>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https://www.appbrain.com/app/com.fungames.blockcraft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</si>
  <si>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2021-11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</si>
  <si>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https://www.appbrain.com/app/in.playsimple.wordsearch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</si>
  <si>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2026-03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</si>
  <si>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https://www.appbrain.com/app/triple.sorting.bubble.fish.match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</si>
  <si>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2025-06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</si>
  <si>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https://www.appbrain.com/app/com.nebula.mahjongtile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</si>
  <si>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https://www.appbrain.com/app/com.pocket.sort.coin.puzzle.game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</si>
  <si>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2025-11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</si>
  <si>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https://www.appbrain.com/app/com.easybrain.arrow.puzzle.game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</si>
  <si>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2020-04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</si>
  <si>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https://www.appbrain.com/app/com.epicgames.fortnite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</si>
  <si>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2025-07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</si>
  <si>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https://www.appbrain.com/app/com.epicoro.castleclashers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</si>
  <si>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https://www.appbrain.com/app/io.supercent.bulldozermasters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</si>
  <si>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https://www.appbrain.com/app/com.vincentb.MobControl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</si>
  <si>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https://www.appbrain.com/app/jp.co.goodroid.hyper.puzzle.arrows3dcubepuzzle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</si>
  <si>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https://www.appbrain.com/app/io.voodoo.paper2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</si>
  <si>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https://www.appbrain.com/app/com.youmusic.magictiles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</si>
  <si>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https://www.appbrain.com/app/com.ecffri.arrows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</si>
  <si>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2013-01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</si>
  <si>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https://www.appbrain.com/app/com.miniclip.eightballpool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</si>
  <si>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2025-05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</si>
  <si>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https://www.appbrain.com/app/com.sled.surfers.game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</si>
  <si>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https://www.appbrain.com/app/com.oakever.jigsawcard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</si>
  <si>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2017-12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</si>
  <si>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https://www.appbrain.com/app/com.tfgco.apps.coloring.free.color.by.number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</si>
  <si>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https://www.appbrain.com/app/com.farlightgames.warline.gp.global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</si>
  <si>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2019-04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</si>
  <si>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https://www.appbrain.com/app/com.puzzlegames.puzzlebrickslegend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</si>
  <si>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https://www.appbrain.com/app/com.metagame.annoying.trick.brainypuzzle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</si>
  <si>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t xml:space="preserve">500,000+</t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</si>
  <si>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https://www.appbrain.com/app/com.blast.puzzlegame.bear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</si>
  <si>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2021-04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</si>
  <si>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https://www.appbrain.com/app/solitaire.patience.card.games.klondike.free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</si>
  <si>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https://www.appbrain.com/app/com.kayac.slow_mo_strike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</si>
  <si>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https://www.appbrain.com/app/com.Chodun.CatGunner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</si>
  <si>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https://www.appbrain.com/app/com.kiloo.subwaysurf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</si>
  <si>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t xml:space="preserve">100,000+</t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</si>
  <si>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https://www.appbrain.com/app/com.agavegames.wordtiles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</si>
  <si>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https://www.appbrain.com/app/com.robtopx.geometryjumplite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</si>
  <si>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https://www.appbrain.com/app/com.mahjong.master.solitaire.match.puzzle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</si>
  <si>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https://www.appbrain.com/app/com.leap.searchit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</si>
  <si>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https://www.appbrain.com/app/com.pixel.art.coloring.color.number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</si>
  <si>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https://www.appbrain.com/app/com.animal.hunter.shooting.apex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</si>
  <si>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https://www.appbrain.com/app/com.tocaboca.tocalifeworld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</si>
  <si>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https://www.appbrain.com/app/com.innersloth.spacemafia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</si>
  <si>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2022-05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</si>
  <si>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https://www.appbrain.com/app/ball.sort.puzzle.color.sorting.bubble.games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</si>
  <si>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2016-09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</si>
  <si>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https://www.appbrain.com/app/com.ea.gp.fifamobile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</si>
  <si>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https://www.appbrain.com/app/hidden.object.find.seek.search.mystery.puzzle.games.free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</si>
  <si>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공식 설치 구간</t>
    </r>
    <r>
      <rPr>
        <sz val="11"/>
        <rFont val="Arial"/>
        <family val="0"/>
        <charset val="1"/>
      </rPr>
      <t xml:space="preserve">: Google Play </t>
    </r>
    <r>
      <rPr>
        <sz val="11"/>
        <rFont val="Noto Sans CJK SC"/>
        <family val="2"/>
      </rPr>
      <t xml:space="preserve">상세 </t>
    </r>
    <r>
      <rPr>
        <sz val="11"/>
        <rFont val="Arial"/>
        <family val="0"/>
        <charset val="1"/>
      </rPr>
      <t xml:space="preserve">https://play.google.com/store/apps/details?id=com.x.aniimos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, AppBrain </t>
    </r>
    <r>
      <rPr>
        <sz val="11"/>
        <rFont val="Noto Sans CJK SC"/>
        <family val="2"/>
      </rPr>
      <t xml:space="preserve">페이지에 표시 없음</t>
    </r>
    <r>
      <rPr>
        <sz val="11"/>
        <rFont val="Arial"/>
        <family val="0"/>
        <charset val="1"/>
      </rPr>
      <t xml:space="preserve">/0+) ·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: 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https://www.appbrain.com/app/com.x.aniimos</t>
    </r>
  </si>
  <si>
    <r>
      <rPr>
        <sz val="11"/>
        <rFont val="Noto Sans CJK SC"/>
        <family val="2"/>
      </rPr>
      <t xml:space="preserve">공식 설치 구간</t>
    </r>
    <r>
      <rPr>
        <sz val="11"/>
        <rFont val="Arial"/>
        <family val="0"/>
        <charset val="1"/>
      </rPr>
      <t xml:space="preserve">: Google Play </t>
    </r>
    <r>
      <rPr>
        <sz val="11"/>
        <rFont val="Noto Sans CJK SC"/>
        <family val="2"/>
      </rPr>
      <t xml:space="preserve">상세 </t>
    </r>
    <r>
      <rPr>
        <sz val="11"/>
        <rFont val="Arial"/>
        <family val="0"/>
        <charset val="1"/>
      </rPr>
      <t xml:space="preserve">https://play.google.com/store/apps/details?id=com.thrivegames.bashbest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, AppBrain </t>
    </r>
    <r>
      <rPr>
        <sz val="11"/>
        <rFont val="Noto Sans CJK SC"/>
        <family val="2"/>
      </rPr>
      <t xml:space="preserve">페이지에 표시 없음</t>
    </r>
    <r>
      <rPr>
        <sz val="11"/>
        <rFont val="Arial"/>
        <family val="0"/>
        <charset val="1"/>
      </rPr>
      <t xml:space="preserve">/0+) ·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: 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https://www.appbrain.com/app/com.thrivegames.bashbest</t>
    </r>
  </si>
  <si>
    <r>
      <rPr>
        <sz val="11"/>
        <rFont val="Arial"/>
        <family val="0"/>
        <charset val="1"/>
      </rPr>
      <t xml:space="preserve">2021-12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</si>
  <si>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https://www.appbrain.com/app/com.wood.block.sudoku.puzzle.bm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</si>
  <si>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https://www.appbrain.com/app/in.playsimple.wordtrip.association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</si>
  <si>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https://www.appbrain.com/app/com.studio27.MelonPlayground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</si>
  <si>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https://www.appbrain.com/app/com.hungrystudio.mahjong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</si>
  <si>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https://www.appbrain.com/app/com.brain.logic.joygame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</si>
  <si>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https://www.appbrain.com/app/com.liteorange.hometopia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</si>
  <si>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2017-01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</si>
  <si>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https://www.appbrain.com/app/com.smilerlee.klondike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</si>
  <si>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https://www.appbrain.com/app/com.vigafun.funfinity.foodhunt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</si>
  <si>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https://www.appbrain.com/app/com.tripledot.angrysmash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</si>
  <si>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https://www.appbrain.com/app/net.happywit.screw.out.jam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</si>
  <si>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https://www.appbrain.com/app/in.playsimple.crossword.go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</si>
  <si>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https://www.appbrain.com/app/com.gimica.treasuremaster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</si>
  <si>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https://www.appbrain.com/app/io.heseri.car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</si>
  <si>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2023-08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</si>
  <si>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https://www.appbrain.com/app/com.JindoBlu.OfflineGames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</si>
  <si>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https://www.appbrain.com/app/com.loop.clear.cube.free.card.puzzle.sort.match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</si>
  <si>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https://www.appbrain.com/app/com.freddys.playground.sandbox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</si>
  <si>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2019-08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</si>
  <si>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https://www.appbrain.com/app/com.peoplefun.wordsearch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</si>
  <si>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https://www.appbrain.com/app/com.xiaomo.lastextract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</si>
  <si>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https://www.appbrain.com/app/com.godlike.vigormahjong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</si>
  <si>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2020-01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</si>
  <si>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https://www.appbrain.com/app/com.paradyme.solarsmash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</si>
  <si>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https://www.appbrain.com/app/com.nebula.arrows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</si>
  <si>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2024-08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</si>
  <si>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https://www.appbrain.com/app/com.gtsy.annoying.punch.game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</si>
  <si>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https://www.appbrain.com/app/com.triple.food.sort.puzzle.game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</si>
  <si>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t xml:space="preserve">50,000+</t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</si>
  <si>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https://www.appbrain.com/app/com.greatplay.farklecash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</si>
  <si>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https://www.appbrain.com/app/com.ninjakiwi.bloonsblitz (2026-10-07 </t>
    </r>
    <r>
      <rPr>
        <sz val="11"/>
        <rFont val="Noto Sans CJK SC"/>
        <family val="2"/>
      </rPr>
      <t xml:space="preserve">조회</t>
    </r>
    <r>
      <rPr>
        <sz val="11"/>
        <rFont val="Arial"/>
        <family val="0"/>
        <charset val="1"/>
      </rPr>
      <t xml:space="preserve">)</t>
    </r>
  </si>
  <si>
    <r>
      <rPr>
        <b val="true"/>
        <sz val="12"/>
        <rFont val="Noto Sans CJK SC"/>
        <family val="2"/>
      </rPr>
      <t xml:space="preserve">표 </t>
    </r>
    <r>
      <rPr>
        <b val="true"/>
        <sz val="12"/>
        <rFont val="Arial"/>
        <family val="0"/>
        <charset val="1"/>
      </rPr>
      <t xml:space="preserve">A. </t>
    </r>
    <r>
      <rPr>
        <b val="true"/>
        <sz val="12"/>
        <rFont val="Noto Sans CJK SC"/>
        <family val="2"/>
      </rPr>
      <t xml:space="preserve">모바일 </t>
    </r>
    <r>
      <rPr>
        <b val="true"/>
        <sz val="12"/>
        <rFont val="Arial"/>
        <family val="0"/>
        <charset val="1"/>
      </rPr>
      <t xml:space="preserve">OS </t>
    </r>
    <r>
      <rPr>
        <b val="true"/>
        <sz val="12"/>
        <rFont val="Noto Sans CJK SC"/>
        <family val="2"/>
      </rPr>
      <t xml:space="preserve">사용 점유율 — </t>
    </r>
    <r>
      <rPr>
        <b val="true"/>
        <sz val="12"/>
        <rFont val="Arial"/>
        <family val="0"/>
        <charset val="1"/>
      </rPr>
      <t xml:space="preserve">StatCounter (</t>
    </r>
    <r>
      <rPr>
        <b val="true"/>
        <sz val="12"/>
        <rFont val="Noto Sans CJK SC"/>
        <family val="2"/>
      </rPr>
      <t xml:space="preserve">웹사이트 방문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페이지뷰</t>
    </r>
    <r>
      <rPr>
        <b val="true"/>
        <sz val="12"/>
        <rFont val="Arial"/>
        <family val="0"/>
        <charset val="1"/>
      </rPr>
      <t xml:space="preserve">) </t>
    </r>
    <r>
      <rPr>
        <b val="true"/>
        <sz val="12"/>
        <rFont val="Noto Sans CJK SC"/>
        <family val="2"/>
      </rPr>
      <t xml:space="preserve">기준이라 </t>
    </r>
    <r>
      <rPr>
        <b val="true"/>
        <sz val="12"/>
        <rFont val="Arial"/>
        <family val="0"/>
        <charset val="1"/>
      </rPr>
      <t xml:space="preserve">'</t>
    </r>
    <r>
      <rPr>
        <b val="true"/>
        <sz val="12"/>
        <rFont val="Noto Sans CJK SC"/>
        <family val="2"/>
      </rPr>
      <t xml:space="preserve">기기 대수</t>
    </r>
    <r>
      <rPr>
        <b val="true"/>
        <sz val="12"/>
        <rFont val="Arial"/>
        <family val="0"/>
        <charset val="1"/>
      </rPr>
      <t xml:space="preserve">'</t>
    </r>
    <r>
      <rPr>
        <b val="true"/>
        <sz val="12"/>
        <rFont val="Noto Sans CJK SC"/>
        <family val="2"/>
      </rPr>
      <t xml:space="preserve">와 다를 수 있음</t>
    </r>
    <r>
      <rPr>
        <b val="true"/>
        <sz val="12"/>
        <rFont val="Arial"/>
        <family val="0"/>
        <charset val="1"/>
      </rPr>
      <t xml:space="preserve">)</t>
    </r>
  </si>
  <si>
    <r>
      <rPr>
        <b val="true"/>
        <sz val="11"/>
        <color rgb="FF7F7F7F"/>
        <rFont val="Noto Sans CJK SC"/>
        <family val="2"/>
      </rPr>
      <t xml:space="preserve">참조용 복사본 </t>
    </r>
    <r>
      <rPr>
        <b val="true"/>
        <sz val="11"/>
        <color rgb="FF7F7F7F"/>
        <rFont val="Arial"/>
        <family val="0"/>
        <charset val="1"/>
      </rPr>
      <t xml:space="preserve">· </t>
    </r>
    <r>
      <rPr>
        <b val="true"/>
        <sz val="11"/>
        <color rgb="FF7F7F7F"/>
        <rFont val="Noto Sans CJK SC"/>
        <family val="2"/>
      </rPr>
      <t xml:space="preserve">원본</t>
    </r>
    <r>
      <rPr>
        <b val="true"/>
        <sz val="11"/>
        <color rgb="FF7F7F7F"/>
        <rFont val="Arial"/>
        <family val="0"/>
        <charset val="1"/>
      </rPr>
      <t xml:space="preserve">: </t>
    </r>
    <r>
      <rPr>
        <b val="true"/>
        <sz val="11"/>
        <color rgb="FF7F7F7F"/>
        <rFont val="Noto Sans CJK SC"/>
        <family val="2"/>
      </rPr>
      <t xml:space="preserve">시장조사</t>
    </r>
    <r>
      <rPr>
        <b val="true"/>
        <sz val="11"/>
        <color rgb="FF7F7F7F"/>
        <rFont val="Arial"/>
        <family val="0"/>
        <charset val="1"/>
      </rPr>
      <t xml:space="preserve">.xlsx › 2-6 </t>
    </r>
    <r>
      <rPr>
        <b val="true"/>
        <sz val="11"/>
        <color rgb="FF7F7F7F"/>
        <rFont val="Noto Sans CJK SC"/>
        <family val="2"/>
      </rPr>
      <t xml:space="preserve">대륙별 </t>
    </r>
    <r>
      <rPr>
        <b val="true"/>
        <sz val="11"/>
        <color rgb="FF7F7F7F"/>
        <rFont val="Arial"/>
        <family val="0"/>
        <charset val="1"/>
      </rPr>
      <t xml:space="preserve">OS </t>
    </r>
    <r>
      <rPr>
        <b val="true"/>
        <sz val="11"/>
        <color rgb="FF7F7F7F"/>
        <rFont val="Noto Sans CJK SC"/>
        <family val="2"/>
      </rPr>
      <t xml:space="preserve">분포 </t>
    </r>
    <r>
      <rPr>
        <b val="true"/>
        <sz val="11"/>
        <color rgb="FF7F7F7F"/>
        <rFont val="Arial"/>
        <family val="0"/>
        <charset val="1"/>
      </rPr>
      <t xml:space="preserve">· </t>
    </r>
    <r>
      <rPr>
        <b val="true"/>
        <sz val="11"/>
        <color rgb="FF7F7F7F"/>
        <rFont val="Noto Sans CJK SC"/>
        <family val="2"/>
      </rPr>
      <t xml:space="preserve">원본을 고치면 코드를 다시 실행해 두 파일을 함께 갱신</t>
    </r>
  </si>
  <si>
    <t xml:space="preserve">구분</t>
  </si>
  <si>
    <r>
      <rPr>
        <b val="true"/>
        <sz val="11"/>
        <color rgb="FFFFFFFF"/>
        <rFont val="Noto Sans CJK SC"/>
        <family val="2"/>
      </rPr>
      <t xml:space="preserve">기타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</si>
  <si>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더 많은 </t>
    </r>
    <r>
      <rPr>
        <b val="true"/>
        <sz val="11"/>
        <color rgb="FFFFFFFF"/>
        <rFont val="Arial"/>
        <family val="0"/>
        <charset val="1"/>
      </rPr>
      <t xml:space="preserve">OS 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</si>
  <si>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기준 월</t>
  </si>
  <si>
    <t xml:space="preserve">세계</t>
  </si>
  <si>
    <t xml:space="preserve">2026-09</t>
  </si>
  <si>
    <t xml:space="preserve">https://gs.statcounter.com/os-market-share/mobile/worldwide</t>
  </si>
  <si>
    <t xml:space="preserve">대륙</t>
  </si>
  <si>
    <t xml:space="preserve">https://gs.statcounter.com/os-market-share/mobile/north-america</t>
  </si>
  <si>
    <r>
      <rPr>
        <sz val="11"/>
        <rFont val="Arial"/>
        <family val="0"/>
        <charset val="1"/>
      </rPr>
      <t xml:space="preserve">StatCounter</t>
    </r>
    <r>
      <rPr>
        <sz val="11"/>
        <rFont val="Noto Sans CJK SC"/>
        <family val="2"/>
      </rPr>
      <t xml:space="preserve">는 멕시코를 북미에 포함</t>
    </r>
  </si>
  <si>
    <t xml:space="preserve">https://gs.statcounter.com/os-market-share/mobile/south-america</t>
  </si>
  <si>
    <t xml:space="preserve">https://gs.statcounter.com/os-market-share/mobile/europe</t>
  </si>
  <si>
    <t xml:space="preserve">https://gs.statcounter.com/os-market-share/mobile/asia</t>
  </si>
  <si>
    <t xml:space="preserve">오세아니아</t>
  </si>
  <si>
    <t xml:space="preserve">2026-08</t>
  </si>
  <si>
    <t xml:space="preserve">https://gs.statcounter.com/os-market-share/mobile/oceania</t>
  </si>
  <si>
    <r>
      <rPr>
        <sz val="11"/>
        <rFont val="Noto Sans CJK SC"/>
        <family val="2"/>
      </rPr>
      <t xml:space="preserve">조회 시점 페이지에 </t>
    </r>
    <r>
      <rPr>
        <sz val="11"/>
        <rFont val="Arial"/>
        <family val="0"/>
        <charset val="1"/>
      </rPr>
      <t xml:space="preserve">9</t>
    </r>
    <r>
      <rPr>
        <sz val="11"/>
        <rFont val="Noto Sans CJK SC"/>
        <family val="2"/>
      </rPr>
      <t xml:space="preserve">월 값이 아직 없어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월 값 사용</t>
    </r>
  </si>
  <si>
    <t xml:space="preserve">아프리카</t>
  </si>
  <si>
    <t xml:space="preserve">https://gs.statcounter.com/os-market-share/mobile/africa</t>
  </si>
  <si>
    <t xml:space="preserve">국가</t>
  </si>
  <si>
    <t xml:space="preserve">https://gs.statcounter.com/os-market-share/mobile/united-states-of-america</t>
  </si>
  <si>
    <t xml:space="preserve">https://gs.statcounter.com/os-market-share/mobile/canada</t>
  </si>
  <si>
    <t xml:space="preserve">https://gs.statcounter.com/os-market-share/mobile/brazil</t>
  </si>
  <si>
    <t xml:space="preserve">https://gs.statcounter.com/os-market-share/mobile/mexico</t>
  </si>
  <si>
    <t xml:space="preserve">https://gs.statcounter.com/os-market-share/mobile/japan</t>
  </si>
  <si>
    <r>
      <rPr>
        <sz val="11"/>
        <rFont val="Noto Sans CJK SC"/>
        <family val="2"/>
      </rPr>
      <t xml:space="preserve">아시아 평균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안드로이드 </t>
    </r>
    <r>
      <rPr>
        <sz val="11"/>
        <rFont val="Arial"/>
        <family val="0"/>
        <charset val="1"/>
      </rPr>
      <t xml:space="preserve">78%)</t>
    </r>
    <r>
      <rPr>
        <sz val="11"/>
        <rFont val="Noto Sans CJK SC"/>
        <family val="2"/>
      </rPr>
      <t xml:space="preserve">과 반대로 아이폰이 더 많음</t>
    </r>
  </si>
  <si>
    <t xml:space="preserve">https://gs.statcounter.com/os-market-share/mobile/south-korea</t>
  </si>
  <si>
    <t xml:space="preserve">https://gs.statcounter.com/os-market-share/mobile/indonesia</t>
  </si>
  <si>
    <t xml:space="preserve">태국</t>
  </si>
  <si>
    <t xml:space="preserve">https://gs.statcounter.com/os-market-share/mobile/thailand</t>
  </si>
  <si>
    <t xml:space="preserve">베트남</t>
  </si>
  <si>
    <t xml:space="preserve">https://gs.statcounter.com/os-market-share/mobile/viet-nam</t>
  </si>
  <si>
    <t xml:space="preserve">필리핀</t>
  </si>
  <si>
    <t xml:space="preserve">https://gs.statcounter.com/os-market-share/mobile/philippines</t>
  </si>
  <si>
    <t xml:space="preserve">말레이시아</t>
  </si>
  <si>
    <t xml:space="preserve">https://gs.statcounter.com/os-market-share/mobile/malaysia</t>
  </si>
  <si>
    <r>
      <rPr>
        <sz val="11"/>
        <rFont val="Noto Sans CJK SC"/>
        <family val="2"/>
      </rPr>
      <t xml:space="preserve">국가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참고</t>
    </r>
    <r>
      <rPr>
        <sz val="11"/>
        <rFont val="Arial"/>
        <family val="0"/>
        <charset val="1"/>
      </rPr>
      <t xml:space="preserve">)</t>
    </r>
  </si>
  <si>
    <t xml:space="preserve">싱가포르</t>
  </si>
  <si>
    <t xml:space="preserve">https://gs.statcounter.com/os-market-share/mobile/singapore</t>
  </si>
  <si>
    <r>
      <rPr>
        <sz val="11"/>
        <rFont val="Arial"/>
        <family val="0"/>
        <charset val="1"/>
      </rPr>
      <t xml:space="preserve">Top20 </t>
    </r>
    <r>
      <rPr>
        <sz val="11"/>
        <rFont val="Noto Sans CJK SC"/>
        <family val="2"/>
      </rPr>
      <t xml:space="preserve">조사에서는 제외</t>
    </r>
    <r>
      <rPr>
        <sz val="11"/>
        <rFont val="Arial"/>
        <family val="0"/>
        <charset val="1"/>
      </rPr>
      <t xml:space="preserve">, OS</t>
    </r>
    <r>
      <rPr>
        <sz val="11"/>
        <rFont val="Noto Sans CJK SC"/>
        <family val="2"/>
      </rPr>
      <t xml:space="preserve">만 참고</t>
    </r>
  </si>
  <si>
    <r>
      <rPr>
        <b val="true"/>
        <sz val="12"/>
        <rFont val="Noto Sans CJK SC"/>
        <family val="2"/>
      </rPr>
      <t xml:space="preserve">표 </t>
    </r>
    <r>
      <rPr>
        <b val="true"/>
        <sz val="12"/>
        <rFont val="Arial"/>
        <family val="0"/>
        <charset val="1"/>
      </rPr>
      <t xml:space="preserve">B. </t>
    </r>
    <r>
      <rPr>
        <b val="true"/>
        <sz val="12"/>
        <rFont val="Noto Sans CJK SC"/>
        <family val="2"/>
      </rPr>
      <t xml:space="preserve">게임 이용자 중 </t>
    </r>
    <r>
      <rPr>
        <b val="true"/>
        <sz val="12"/>
        <rFont val="Arial"/>
        <family val="0"/>
        <charset val="1"/>
      </rPr>
      <t xml:space="preserve">OS</t>
    </r>
    <r>
      <rPr>
        <b val="true"/>
        <sz val="12"/>
        <rFont val="Noto Sans CJK SC"/>
        <family val="2"/>
      </rPr>
      <t xml:space="preserve">별 비율</t>
    </r>
  </si>
  <si>
    <r>
      <rPr>
        <sz val="11"/>
        <rFont val="Noto Sans CJK SC"/>
        <family val="2"/>
      </rPr>
      <t xml:space="preserve">공개 자료를 찾지 못함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표 </t>
    </r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의 웹 점유율과 다른 숫자라 대신 쓰지 않음</t>
    </r>
    <r>
      <rPr>
        <sz val="11"/>
        <rFont val="Arial"/>
        <family val="0"/>
        <charset val="1"/>
      </rPr>
      <t xml:space="preserve">)</t>
    </r>
  </si>
  <si>
    <r>
      <rPr>
        <b val="true"/>
        <sz val="12"/>
        <rFont val="Noto Sans CJK SC"/>
        <family val="2"/>
      </rPr>
      <t xml:space="preserve">표 </t>
    </r>
    <r>
      <rPr>
        <b val="true"/>
        <sz val="12"/>
        <rFont val="Arial"/>
        <family val="0"/>
        <charset val="1"/>
      </rPr>
      <t xml:space="preserve">C. OS(</t>
    </r>
    <r>
      <rPr>
        <b val="true"/>
        <sz val="12"/>
        <rFont val="Noto Sans CJK SC"/>
        <family val="2"/>
      </rPr>
      <t xml:space="preserve">스토어</t>
    </r>
    <r>
      <rPr>
        <b val="true"/>
        <sz val="12"/>
        <rFont val="Arial"/>
        <family val="0"/>
        <charset val="1"/>
      </rPr>
      <t xml:space="preserve">)</t>
    </r>
    <r>
      <rPr>
        <b val="true"/>
        <sz val="12"/>
        <rFont val="Noto Sans CJK SC"/>
        <family val="2"/>
      </rPr>
      <t xml:space="preserve">별 모바일 게임 매출 — </t>
    </r>
    <r>
      <rPr>
        <b val="true"/>
        <sz val="12"/>
        <rFont val="Arial"/>
        <family val="0"/>
        <charset val="1"/>
      </rPr>
      <t xml:space="preserve">2025</t>
    </r>
    <r>
      <rPr>
        <b val="true"/>
        <sz val="12"/>
        <rFont val="Noto Sans CJK SC"/>
        <family val="2"/>
      </rPr>
      <t xml:space="preserve">년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세계</t>
    </r>
  </si>
  <si>
    <r>
      <rPr>
        <b val="true"/>
        <sz val="11"/>
        <color rgb="FFFFFFFF"/>
        <rFont val="Arial"/>
        <family val="0"/>
        <charset val="1"/>
      </rPr>
      <t xml:space="preserve">App Store </t>
    </r>
    <r>
      <rPr>
        <b val="true"/>
        <sz val="11"/>
        <color rgb="FFFFFFFF"/>
        <rFont val="Noto Sans CJK SC"/>
        <family val="2"/>
      </rPr>
      <t xml:space="preserve">매출 </t>
    </r>
    <r>
      <rPr>
        <b val="true"/>
        <sz val="11"/>
        <color rgb="FFFFFFFF"/>
        <rFont val="Arial"/>
        <family val="0"/>
        <charset val="1"/>
      </rPr>
      <t xml:space="preserve">($B)</t>
    </r>
  </si>
  <si>
    <r>
      <rPr>
        <b val="true"/>
        <sz val="11"/>
        <color rgb="FFFFFFFF"/>
        <rFont val="Arial"/>
        <family val="0"/>
        <charset val="1"/>
      </rPr>
      <t xml:space="preserve">Google Play </t>
    </r>
    <r>
      <rPr>
        <b val="true"/>
        <sz val="11"/>
        <color rgb="FFFFFFFF"/>
        <rFont val="Noto Sans CJK SC"/>
        <family val="2"/>
      </rPr>
      <t xml:space="preserve">매출 </t>
    </r>
    <r>
      <rPr>
        <b val="true"/>
        <sz val="11"/>
        <color rgb="FFFFFFFF"/>
        <rFont val="Arial"/>
        <family val="0"/>
        <charset val="1"/>
      </rPr>
      <t xml:space="preserve">($B)</t>
    </r>
  </si>
  <si>
    <r>
      <rPr>
        <b val="true"/>
        <sz val="11"/>
        <color rgb="FFFFFFFF"/>
        <rFont val="Arial"/>
        <family val="0"/>
        <charset val="1"/>
      </rPr>
      <t xml:space="preserve">App Store </t>
    </r>
    <r>
      <rPr>
        <b val="true"/>
        <sz val="11"/>
        <color rgb="FFFFFFFF"/>
        <rFont val="Noto Sans CJK SC"/>
        <family val="2"/>
      </rPr>
      <t xml:space="preserve">비율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</si>
  <si>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Google Play </t>
    </r>
    <r>
      <rPr>
        <b val="true"/>
        <sz val="11"/>
        <color rgb="FFFFFFFF"/>
        <rFont val="Noto Sans CJK SC"/>
        <family val="2"/>
      </rPr>
      <t xml:space="preserve">비율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</si>
  <si>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Sensor Tower State of Gaming 2026 (2025</t>
    </r>
    <r>
      <rPr>
        <sz val="11"/>
        <rFont val="Noto Sans CJK SC"/>
        <family val="2"/>
      </rPr>
      <t xml:space="preserve">년 데이터</t>
    </r>
    <r>
      <rPr>
        <sz val="11"/>
        <rFont val="Arial"/>
        <family val="0"/>
        <charset val="1"/>
      </rPr>
      <t xml:space="preserve">) — 9to5Mac </t>
    </r>
    <r>
      <rPr>
        <sz val="11"/>
        <rFont val="Noto Sans CJK SC"/>
        <family val="2"/>
      </rPr>
      <t xml:space="preserve">보도 </t>
    </r>
    <r>
      <rPr>
        <sz val="11"/>
        <rFont val="Arial"/>
        <family val="0"/>
        <charset val="1"/>
      </rPr>
      <t xml:space="preserve">https://9to5mac.com/?p=1040750</t>
    </r>
  </si>
  <si>
    <r>
      <rPr>
        <sz val="11"/>
        <rFont val="Noto Sans CJK SC"/>
        <family val="2"/>
      </rPr>
      <t xml:space="preserve">대륙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국가별</t>
    </r>
  </si>
  <si>
    <t xml:space="preserve">공개 자료를 찾지 못함</t>
  </si>
  <si>
    <r>
      <rPr>
        <i val="true"/>
        <sz val="11"/>
        <color rgb="FF595959"/>
        <rFont val="Arial"/>
        <family val="0"/>
        <charset val="1"/>
      </rPr>
      <t xml:space="preserve">Google Play </t>
    </r>
    <r>
      <rPr>
        <i val="true"/>
        <sz val="11"/>
        <color rgb="FF595959"/>
        <rFont val="Noto Sans CJK SC"/>
        <family val="2"/>
      </rPr>
      <t xml:space="preserve">매출에는 중국 안드로이드 마켓이 포함되지 않음</t>
    </r>
    <r>
      <rPr>
        <i val="true"/>
        <sz val="11"/>
        <color rgb="FF595959"/>
        <rFont val="Arial"/>
        <family val="0"/>
        <charset val="1"/>
      </rPr>
      <t xml:space="preserve">(Google Play</t>
    </r>
    <r>
      <rPr>
        <i val="true"/>
        <sz val="11"/>
        <color rgb="FF595959"/>
        <rFont val="Noto Sans CJK SC"/>
        <family val="2"/>
      </rPr>
      <t xml:space="preserve">만 집계</t>
    </r>
    <r>
      <rPr>
        <i val="true"/>
        <sz val="11"/>
        <color rgb="FF595959"/>
        <rFont val="Arial"/>
        <family val="0"/>
        <charset val="1"/>
      </rPr>
      <t xml:space="preserve">). App Store </t>
    </r>
    <r>
      <rPr>
        <i val="true"/>
        <sz val="11"/>
        <color rgb="FF595959"/>
        <rFont val="Noto Sans CJK SC"/>
        <family val="2"/>
      </rPr>
      <t xml:space="preserve">매출은 중국 포함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</si>
  <si>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b val="true"/>
        <sz val="12"/>
        <rFont val="Noto Sans CJK SC"/>
        <family val="2"/>
      </rPr>
      <t xml:space="preserve">표 </t>
    </r>
    <r>
      <rPr>
        <b val="true"/>
        <sz val="12"/>
        <rFont val="Arial"/>
        <family val="0"/>
        <charset val="1"/>
      </rPr>
      <t xml:space="preserve">D (</t>
    </r>
    <r>
      <rPr>
        <b val="true"/>
        <sz val="12"/>
        <rFont val="Noto Sans CJK SC"/>
        <family val="2"/>
      </rPr>
      <t xml:space="preserve">참고</t>
    </r>
    <r>
      <rPr>
        <b val="true"/>
        <sz val="12"/>
        <rFont val="Arial"/>
        <family val="0"/>
        <charset val="1"/>
      </rPr>
      <t xml:space="preserve">). OS(</t>
    </r>
    <r>
      <rPr>
        <b val="true"/>
        <sz val="12"/>
        <rFont val="Noto Sans CJK SC"/>
        <family val="2"/>
      </rPr>
      <t xml:space="preserve">스토어</t>
    </r>
    <r>
      <rPr>
        <b val="true"/>
        <sz val="12"/>
        <rFont val="Arial"/>
        <family val="0"/>
        <charset val="1"/>
      </rPr>
      <t xml:space="preserve">)</t>
    </r>
    <r>
      <rPr>
        <b val="true"/>
        <sz val="12"/>
        <rFont val="Noto Sans CJK SC"/>
        <family val="2"/>
      </rPr>
      <t xml:space="preserve">별 모바일 게임 다운로드 — </t>
    </r>
    <r>
      <rPr>
        <b val="true"/>
        <sz val="12"/>
        <rFont val="Arial"/>
        <family val="0"/>
        <charset val="1"/>
      </rPr>
      <t xml:space="preserve">2025</t>
    </r>
    <r>
      <rPr>
        <b val="true"/>
        <sz val="12"/>
        <rFont val="Noto Sans CJK SC"/>
        <family val="2"/>
      </rPr>
      <t xml:space="preserve">년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세계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표 </t>
    </r>
    <r>
      <rPr>
        <b val="true"/>
        <sz val="12"/>
        <rFont val="Arial"/>
        <family val="0"/>
        <charset val="1"/>
      </rPr>
      <t xml:space="preserve">A·B·C</t>
    </r>
    <r>
      <rPr>
        <b val="true"/>
        <sz val="12"/>
        <rFont val="Noto Sans CJK SC"/>
        <family val="2"/>
      </rPr>
      <t xml:space="preserve">와 또 다른 숫자</t>
    </r>
    <r>
      <rPr>
        <b val="true"/>
        <sz val="12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</si>
  <si>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App Store </t>
    </r>
    <r>
      <rPr>
        <b val="true"/>
        <sz val="11"/>
        <color rgb="FFFFFFFF"/>
        <rFont val="Noto Sans CJK SC"/>
        <family val="2"/>
      </rPr>
      <t xml:space="preserve">다운로드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억 건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</si>
  <si>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Google Play </t>
    </r>
    <r>
      <rPr>
        <b val="true"/>
        <sz val="11"/>
        <color rgb="FFFFFFFF"/>
        <rFont val="Noto Sans CJK SC"/>
        <family val="2"/>
      </rPr>
      <t xml:space="preserve">다운로드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억 건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</si>
  <si>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Sensor Tower State of Gaming 2026 — 9to5Mac </t>
    </r>
    <r>
      <rPr>
        <sz val="11"/>
        <rFont val="Noto Sans CJK SC"/>
        <family val="2"/>
      </rPr>
      <t xml:space="preserve">보도 </t>
    </r>
    <r>
      <rPr>
        <sz val="11"/>
        <rFont val="Arial"/>
        <family val="0"/>
        <charset val="1"/>
      </rPr>
      <t xml:space="preserve">(App Store 7.8B, Google Play 42.4B)</t>
    </r>
  </si>
  <si>
    <r>
      <rPr>
        <b val="true"/>
        <sz val="12"/>
        <rFont val="Arial"/>
        <family val="0"/>
        <charset val="1"/>
      </rPr>
      <t xml:space="preserve">OS </t>
    </r>
    <r>
      <rPr>
        <b val="true"/>
        <sz val="12"/>
        <rFont val="Noto Sans CJK SC"/>
        <family val="2"/>
      </rPr>
      <t xml:space="preserve">출시 우선순위 — 분석자 제안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사실이 아닌 판단</t>
    </r>
    <r>
      <rPr>
        <b val="true"/>
        <sz val="12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</si>
  <si>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iOS </t>
    </r>
    <r>
      <rPr>
        <b val="true"/>
        <sz val="11"/>
        <rFont val="Noto Sans CJK SC"/>
        <family val="2"/>
      </rPr>
      <t xml:space="preserve">먼저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또는 동시</t>
    </r>
    <r>
      <rPr>
        <b val="true"/>
        <sz val="11"/>
        <rFont val="Arial"/>
        <family val="0"/>
        <charset val="1"/>
      </rPr>
      <t xml:space="preserve">) </t>
    </r>
    <r>
      <rPr>
        <b val="true"/>
        <sz val="11"/>
        <rFont val="Noto Sans CJK SC"/>
        <family val="2"/>
      </rPr>
      <t xml:space="preserve">기준</t>
    </r>
    <r>
      <rPr>
        <b val="true"/>
        <sz val="11"/>
        <rFont val="Arial"/>
        <family val="0"/>
        <charset val="1"/>
      </rPr>
      <t xml:space="preserve">: iOS </t>
    </r>
    <r>
      <rPr>
        <b val="true"/>
        <sz val="11"/>
        <rFont val="Noto Sans CJK SC"/>
        <family val="2"/>
      </rPr>
      <t xml:space="preserve">점유율이 이 값 이상</t>
    </r>
  </si>
  <si>
    <r>
      <rPr>
        <i val="true"/>
        <sz val="11"/>
        <color rgb="FF595959"/>
        <rFont val="Noto Sans CJK SC"/>
        <family val="2"/>
      </rPr>
      <t xml:space="preserve">← 가정값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분석자 제안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바꾸면 아래 판단이 자동으로 바뀜</t>
    </r>
  </si>
  <si>
    <r>
      <rPr>
        <b val="true"/>
        <sz val="11"/>
        <color rgb="FFFFFFFF"/>
        <rFont val="Arial"/>
        <family val="0"/>
        <charset val="1"/>
      </rPr>
      <t xml:space="preserve">iOS </t>
    </r>
    <r>
      <rPr>
        <b val="true"/>
        <sz val="11"/>
        <color rgb="FFFFFFFF"/>
        <rFont val="Noto Sans CJK SC"/>
        <family val="2"/>
      </rPr>
      <t xml:space="preserve">점유율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표 </t>
    </r>
    <r>
      <rPr>
        <b val="true"/>
        <sz val="11"/>
        <color rgb="FFFFFFFF"/>
        <rFont val="Arial"/>
        <family val="0"/>
        <charset val="1"/>
      </rPr>
      <t xml:space="preserve">A)</t>
    </r>
  </si>
  <si>
    <r>
      <rPr>
        <b val="true"/>
        <sz val="11"/>
        <color rgb="FFFFFFFF"/>
        <rFont val="Noto Sans CJK SC"/>
        <family val="2"/>
      </rPr>
      <t xml:space="preserve">먼저 낼 </t>
    </r>
    <r>
      <rPr>
        <b val="true"/>
        <sz val="11"/>
        <color rgb="FFFFFFFF"/>
        <rFont val="Arial"/>
        <family val="0"/>
        <charset val="1"/>
      </rPr>
      <t xml:space="preserve">OS 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</si>
  <si>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쉬운 이유</t>
  </si>
  <si>
    <r>
      <rPr>
        <sz val="11"/>
        <rFont val="Noto Sans CJK SC"/>
        <family val="2"/>
      </rPr>
      <t xml:space="preserve">아이폰 쓰는 사람이 절반 넘음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세계 게임 매출도 </t>
    </r>
    <r>
      <rPr>
        <sz val="11"/>
        <rFont val="Arial"/>
        <family val="0"/>
        <charset val="1"/>
      </rPr>
      <t xml:space="preserve">App Store</t>
    </r>
    <r>
      <rPr>
        <sz val="11"/>
        <rFont val="Noto Sans CJK SC"/>
        <family val="2"/>
      </rPr>
      <t xml:space="preserve">가 더 큼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표 </t>
    </r>
    <r>
      <rPr>
        <sz val="11"/>
        <rFont val="Arial"/>
        <family val="0"/>
        <charset val="1"/>
      </rPr>
      <t xml:space="preserve">C)</t>
    </r>
  </si>
  <si>
    <r>
      <rPr>
        <sz val="11"/>
        <rFont val="Noto Sans CJK SC"/>
        <family val="2"/>
      </rPr>
      <t xml:space="preserve">아이폰이 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명 중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명</t>
    </r>
  </si>
  <si>
    <r>
      <rPr>
        <sz val="11"/>
        <rFont val="Noto Sans CJK SC"/>
        <family val="2"/>
      </rPr>
      <t xml:space="preserve">안드로이드가 많지만 아이폰도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명 중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명 — 둘 다 준비 권장</t>
    </r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</si>
  <si>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명 중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명 넘게 안드로이드</t>
    </r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</si>
  <si>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명 중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명 가까이 안드로이드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일본은 아이폰이 더 많음 — 아래 일본 줄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</si>
  <si>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명 중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명 가까이 안드로이드</t>
    </r>
  </si>
  <si>
    <r>
      <rPr>
        <i val="true"/>
        <sz val="11"/>
        <color rgb="FF595959"/>
        <rFont val="Noto Sans CJK SC"/>
        <family val="2"/>
      </rPr>
      <t xml:space="preserve">쉬운 요약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분석자 제안</t>
    </r>
    <r>
      <rPr>
        <i val="true"/>
        <sz val="11"/>
        <color rgb="FF595959"/>
        <rFont val="Arial"/>
        <family val="0"/>
        <charset val="1"/>
      </rPr>
      <t xml:space="preserve">): 2</t>
    </r>
    <r>
      <rPr>
        <i val="true"/>
        <sz val="11"/>
        <color rgb="FF595959"/>
        <rFont val="Noto Sans CJK SC"/>
        <family val="2"/>
      </rPr>
      <t xml:space="preserve">인 팀이라면 ① 안드로이드로 먼저 만들어 동남아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남미에서 작게 시험 출시 → ② 숫자가 좋으면 </t>
    </r>
    <r>
      <rPr>
        <i val="true"/>
        <sz val="11"/>
        <color rgb="FF595959"/>
        <rFont val="Arial"/>
        <family val="0"/>
        <charset val="1"/>
      </rPr>
      <t xml:space="preserve">iOS</t>
    </r>
    <r>
      <rPr>
        <i val="true"/>
        <sz val="11"/>
        <color rgb="FF595959"/>
        <rFont val="Noto Sans CJK SC"/>
        <family val="2"/>
      </rPr>
      <t xml:space="preserve">를 붙여 북미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오세아니아로 넓히는 순서가 부담이 적음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</si>
  <si>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이유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안드로이드 사용자가 많은 지역은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많이 받아 보기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에 좋고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아이폰이 많은 북미는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돈을 버는 곳</t>
    </r>
    <r>
      <rPr>
        <i val="true"/>
        <sz val="11"/>
        <color rgb="FF595959"/>
        <rFont val="Arial"/>
        <family val="0"/>
        <charset val="1"/>
      </rPr>
      <t xml:space="preserve">'(</t>
    </r>
    <r>
      <rPr>
        <i val="true"/>
        <sz val="11"/>
        <color rgb="FF595959"/>
        <rFont val="Noto Sans CJK SC"/>
        <family val="2"/>
      </rPr>
      <t xml:space="preserve">세계 게임 매출 중 </t>
    </r>
    <r>
      <rPr>
        <i val="true"/>
        <sz val="11"/>
        <color rgb="FF595959"/>
        <rFont val="Arial"/>
        <family val="0"/>
        <charset val="1"/>
      </rPr>
      <t xml:space="preserve">App Store </t>
    </r>
    <r>
      <rPr>
        <i val="true"/>
        <sz val="11"/>
        <color rgb="FF595959"/>
        <rFont val="Noto Sans CJK SC"/>
        <family val="2"/>
      </rPr>
      <t xml:space="preserve">약 </t>
    </r>
    <r>
      <rPr>
        <i val="true"/>
        <sz val="11"/>
        <color rgb="FF595959"/>
        <rFont val="Arial"/>
        <family val="0"/>
        <charset val="1"/>
      </rPr>
      <t xml:space="preserve">64%, </t>
    </r>
    <r>
      <rPr>
        <i val="true"/>
        <sz val="11"/>
        <color rgb="FF595959"/>
        <rFont val="Noto Sans CJK SC"/>
        <family val="2"/>
      </rPr>
      <t xml:space="preserve">표 </t>
    </r>
    <r>
      <rPr>
        <i val="true"/>
        <sz val="11"/>
        <color rgb="FF595959"/>
        <rFont val="Arial"/>
        <family val="0"/>
        <charset val="1"/>
      </rPr>
      <t xml:space="preserve">C).</t>
    </r>
  </si>
  <si>
    <r>
      <rPr>
        <i val="true"/>
        <sz val="11"/>
        <color rgb="FF595959"/>
        <rFont val="Noto Sans CJK SC"/>
        <family val="2"/>
      </rPr>
      <t xml:space="preserve">나라별로 보면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미국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캐나다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일본은 아이폰이 더 많음</t>
    </r>
    <r>
      <rPr>
        <i val="true"/>
        <sz val="11"/>
        <color rgb="FF595959"/>
        <rFont val="Arial"/>
        <family val="0"/>
        <charset val="1"/>
      </rPr>
      <t xml:space="preserve">(iOS </t>
    </r>
    <r>
      <rPr>
        <i val="true"/>
        <sz val="11"/>
        <color rgb="FF595959"/>
        <rFont val="Noto Sans CJK SC"/>
        <family val="2"/>
      </rPr>
      <t xml:space="preserve">먼저 또는 동시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필리핀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안드로이드 </t>
    </r>
    <r>
      <rPr>
        <i val="true"/>
        <sz val="11"/>
        <color rgb="FF595959"/>
        <rFont val="Arial"/>
        <family val="0"/>
        <charset val="1"/>
      </rPr>
      <t xml:space="preserve">86.5%)·</t>
    </r>
    <r>
      <rPr>
        <i val="true"/>
        <sz val="11"/>
        <color rgb="FF595959"/>
        <rFont val="Noto Sans CJK SC"/>
        <family val="2"/>
      </rPr>
      <t xml:space="preserve">브라질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인도네시아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태국은 안드로이드가 압도적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베트남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말레이시아는 아이폰도 </t>
    </r>
    <r>
      <rPr>
        <i val="true"/>
        <sz val="11"/>
        <color rgb="FF595959"/>
        <rFont val="Arial"/>
        <family val="0"/>
        <charset val="1"/>
      </rPr>
      <t xml:space="preserve">40% </t>
    </r>
    <r>
      <rPr>
        <i val="true"/>
        <sz val="11"/>
        <color rgb="FF595959"/>
        <rFont val="Noto Sans CJK SC"/>
        <family val="2"/>
      </rPr>
      <t xml:space="preserve">이상이라 둘 다 준비 권장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분석자 제안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</si>
  <si>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i val="true"/>
        <sz val="11"/>
        <color rgb="FF595959"/>
        <rFont val="Noto Sans CJK SC"/>
        <family val="2"/>
      </rPr>
      <t xml:space="preserve">주의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표 </t>
    </r>
    <r>
      <rPr>
        <i val="true"/>
        <sz val="11"/>
        <color rgb="FF595959"/>
        <rFont val="Arial"/>
        <family val="0"/>
        <charset val="1"/>
      </rPr>
      <t xml:space="preserve">A</t>
    </r>
    <r>
      <rPr>
        <i val="true"/>
        <sz val="11"/>
        <color rgb="FF595959"/>
        <rFont val="Noto Sans CJK SC"/>
        <family val="2"/>
      </rPr>
      <t xml:space="preserve">는 웹 방문 기준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표 </t>
    </r>
    <r>
      <rPr>
        <i val="true"/>
        <sz val="11"/>
        <color rgb="FF595959"/>
        <rFont val="Arial"/>
        <family val="0"/>
        <charset val="1"/>
      </rPr>
      <t xml:space="preserve">C·D</t>
    </r>
    <r>
      <rPr>
        <i val="true"/>
        <sz val="11"/>
        <color rgb="FF595959"/>
        <rFont val="Noto Sans CJK SC"/>
        <family val="2"/>
      </rPr>
      <t xml:space="preserve">는 세계 합계라서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대륙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나라별 게임 매출 비율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은 아직 모름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확인 불가</t>
    </r>
    <r>
      <rPr>
        <i val="true"/>
        <sz val="11"/>
        <color rgb="FF595959"/>
        <rFont val="Arial"/>
        <family val="0"/>
        <charset val="1"/>
      </rPr>
      <t xml:space="preserve">).</t>
    </r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</si>
</sst>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%"/>
    <numFmt numFmtId="166" formatCode="#,##0"/>
    <numFmt numFmtId="167" formatCode="0.0"/>
    <numFmt numFmtId="168" formatCode="General"/>
    <numFmt numFmtId="169" formatCode="0.00%"/>
    <numFmt numFmtId="170" formatCode="\$0.00"/>
    <numFmt numFmtId="171" formatCode="0.00"/>
    <numFmt numFmtId="172" formatCode="\$#,##0"/>
    <numFmt numFmtId="173" formatCode="@"/>
    <numFmt numFmtId="174" formatCode="0%;\-0%;0%"/>
    <numFmt numFmtId="175" formatCode="0.0%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11"/>
      <color rgb="FF595959"/>
      <name val="Noto Sans CJK SC"/>
      <family val="2"/>
    </font>
    <font>
      <sz val="11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Noto Sans CJK SC"/>
      <family val="2"/>
    </font>
    <font>
      <u val="single"/>
      <sz val="11"/>
      <color rgb="FF0563C1"/>
      <name val="Arial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Noto Sans CJK SC"/>
      <family val="2"/>
    </font>
    <font>
      <i val="true"/>
      <sz val="11"/>
      <color rgb="FF595959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C00000"/>
      <name val="Arial"/>
      <family val="0"/>
      <charset val="1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sz val="11"/>
      <color rgb="FF0000FF"/>
      <name val="Noto Sans CJK SC"/>
      <family val="2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b val="true"/>
      <sz val="11"/>
      <color rgb="FFC00000"/>
      <name val="Noto Sans CJK SC"/>
      <family val="2"/>
    </font>
    <font>
      <b val="true"/>
      <sz val="11"/>
      <color rgb="FFC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00FF"/>
      <name val="Noto Sans CJK SC"/>
      <family val="2"/>
    </font>
    <font>
      <b val="true"/>
      <sz val="11"/>
      <color rgb="FF7F7F7F"/>
      <name val="Noto Sans CJK SC"/>
      <family val="2"/>
    </font>
    <font>
      <b val="true"/>
      <sz val="11"/>
      <color rgb="FF7F7F7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1F3864"/>
      <name val="Noto Sans CJK SC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404040"/>
        <bgColor rgb="FF1F3864"/>
      </patternFill>
    </fill>
    <fill>
      <patternFill patternType="solid">
        <fgColor rgb="FFC00000"/>
        <bgColor rgb="FF800000"/>
      </patternFill>
    </fill>
    <fill>
      <patternFill patternType="solid">
        <fgColor rgb="FF1F7A7A"/>
        <bgColor rgb="FF008080"/>
      </patternFill>
    </fill>
    <fill>
      <patternFill patternType="solid">
        <fgColor rgb="FFBF9000"/>
        <bgColor rgb="FF808000"/>
      </patternFill>
    </fill>
    <fill>
      <patternFill patternType="solid">
        <fgColor rgb="FFA6A6A6"/>
        <bgColor rgb="FFBFBFBF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6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3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3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3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1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2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5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3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7A"/>
      <rgbColor rgb="FFBFBFBF"/>
      <rgbColor rgb="FF7F7F7F"/>
      <rgbColor rgb="FFA6A6A6"/>
      <rgbColor rgb="FF993366"/>
      <rgbColor rgb="FFFFF2CC"/>
      <rgbColor rgb="FFE2EFD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9F9F9"/>
      <rgbColor rgb="FF99CCFF"/>
      <rgbColor rgb="FFFF99CC"/>
      <rgbColor rgb="FFCC99FF"/>
      <rgbColor rgb="FFFCE4D6"/>
      <rgbColor rgb="FF4F81BD"/>
      <rgbColor rgb="FF33CCCC"/>
      <rgbColor rgb="FF99CC00"/>
      <rgbColor rgb="FFFFCC00"/>
      <rgbColor rgb="FFBF90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게임별 성공 점수 (100점 만점)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'1-2 성공 점수표'!X2</c:f>
              <c:strCache>
                <c:ptCount val="1"/>
                <c:pt idx="0">
                  <c:v>총점 /100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'1-2 성공 점수표'!$A$3:$A$14</c:f>
              <c:strCache>
                <c:ptCount val="12"/>
                <c:pt idx="0">
                  <c:v>Meowdoku</c:v>
                </c:pt>
                <c:pt idx="1">
                  <c:v>Rotate Rings</c:v>
                </c:pt>
                <c:pt idx="2">
                  <c:v>Block Blast!</c:v>
                </c:pt>
                <c:pt idx="3">
                  <c:v>Magic Sort!</c:v>
                </c:pt>
                <c:pt idx="4">
                  <c:v>Bus Fever Party!</c:v>
                </c:pt>
                <c:pt idx="5">
                  <c:v>Royal Match</c:v>
                </c:pt>
                <c:pt idx="6">
                  <c:v>Gossip Harbor</c:v>
                </c:pt>
                <c:pt idx="7">
                  <c:v>MONOPOLY GO!</c:v>
                </c:pt>
                <c:pt idx="8">
                  <c:v>Whiteout Survival</c:v>
                </c:pt>
                <c:pt idx="9">
                  <c:v>Free Fire</c:v>
                </c:pt>
                <c:pt idx="10">
                  <c:v>치이카와 포켓</c:v>
                </c:pt>
                <c:pt idx="11">
                  <c:v>후더덕 서바이벌</c:v>
                </c:pt>
              </c:strCache>
            </c:strRef>
          </c:cat>
          <c:val>
            <c:numRef>
              <c:f>'1-2 성공 점수표'!$X$3:$X$14</c:f>
              <c:numCache>
                <c:formatCode>0.0</c:formatCode>
                <c:ptCount val="12"/>
                <c:pt idx="0">
                  <c:v>54.7249890219189</c:v>
                </c:pt>
                <c:pt idx="1">
                  <c:v>50.9119926702398</c:v>
                </c:pt>
                <c:pt idx="2">
                  <c:v>70.1666666666667</c:v>
                </c:pt>
                <c:pt idx="3">
                  <c:v>63.9327249674799</c:v>
                </c:pt>
                <c:pt idx="4">
                  <c:v>51.4885559026767</c:v>
                </c:pt>
                <c:pt idx="5">
                  <c:v>82.5807564652512</c:v>
                </c:pt>
                <c:pt idx="6">
                  <c:v>75.8047385545374</c:v>
                </c:pt>
                <c:pt idx="7">
                  <c:v>65.460620904484</c:v>
                </c:pt>
                <c:pt idx="8">
                  <c:v>61.0833333333333</c:v>
                </c:pt>
                <c:pt idx="9">
                  <c:v>71.675</c:v>
                </c:pt>
                <c:pt idx="10">
                  <c:v>35.4385559026767</c:v>
                </c:pt>
                <c:pt idx="11">
                  <c:v>46.2203260035731</c:v>
                </c:pt>
              </c:numCache>
            </c:numRef>
          </c:val>
        </c:ser>
        <c:gapWidth val="150"/>
        <c:overlap val="0"/>
        <c:axId val="89779700"/>
        <c:axId val="35757067"/>
      </c:barChart>
      <c:catAx>
        <c:axId val="897797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757067"/>
        <c:crosses val="autoZero"/>
        <c:auto val="1"/>
        <c:lblAlgn val="ctr"/>
        <c:lblOffset val="100"/>
        <c:noMultiLvlLbl val="0"/>
      </c:catAx>
      <c:valAx>
        <c:axId val="357570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797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27720</xdr:rowOff>
    </xdr:from>
    <xdr:to>
      <xdr:col>7</xdr:col>
      <xdr:colOff>136080</xdr:colOff>
      <xdr:row>36</xdr:row>
      <xdr:rowOff>122760</xdr:rowOff>
    </xdr:to>
    <xdr:graphicFrame>
      <xdr:nvGraphicFramePr>
        <xdr:cNvPr id="0" name="Chart 1"/>
        <xdr:cNvGraphicFramePr/>
      </xdr:nvGraphicFramePr>
      <xdr:xfrm>
        <a:off x="0" y="382896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58"/>
    <col collapsed="false" customWidth="true" hidden="false" outlineLevel="0" max="4" min="4" style="0" width="8"/>
    <col collapsed="false" customWidth="true" hidden="false" outlineLevel="0" max="5" min="5" style="0" width="44"/>
  </cols>
  <sheetData>
    <row r="1" customFormat="false" ht="21.6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7.15" hidden="false" customHeight="false" outlineLevel="0" collapsed="false">
      <c r="A5" s="4" t="s">
        <v>7</v>
      </c>
      <c r="B5" s="5" t="s">
        <v>8</v>
      </c>
      <c r="C5" s="6" t="s">
        <v>9</v>
      </c>
      <c r="D5" s="6" t="s">
        <v>10</v>
      </c>
      <c r="E5" s="5"/>
    </row>
    <row r="6" customFormat="false" ht="17.15" hidden="false" customHeight="false" outlineLevel="0" collapsed="false">
      <c r="A6" s="4" t="s">
        <v>7</v>
      </c>
      <c r="B6" s="7" t="s">
        <v>11</v>
      </c>
      <c r="C6" s="6" t="s">
        <v>12</v>
      </c>
      <c r="D6" s="6" t="s">
        <v>10</v>
      </c>
      <c r="E6" s="5"/>
    </row>
    <row r="7" customFormat="false" ht="17.15" hidden="false" customHeight="false" outlineLevel="0" collapsed="false">
      <c r="A7" s="8" t="s">
        <v>13</v>
      </c>
      <c r="B7" s="7" t="s">
        <v>14</v>
      </c>
      <c r="C7" s="6" t="s">
        <v>15</v>
      </c>
      <c r="D7" s="6" t="s">
        <v>10</v>
      </c>
      <c r="E7" s="5"/>
    </row>
    <row r="8" customFormat="false" ht="17.15" hidden="false" customHeight="false" outlineLevel="0" collapsed="false">
      <c r="A8" s="8" t="s">
        <v>13</v>
      </c>
      <c r="B8" s="7" t="s">
        <v>16</v>
      </c>
      <c r="C8" s="5" t="s">
        <v>17</v>
      </c>
      <c r="D8" s="6" t="s">
        <v>10</v>
      </c>
      <c r="E8" s="5"/>
    </row>
    <row r="9" customFormat="false" ht="17.15" hidden="false" customHeight="false" outlineLevel="0" collapsed="false">
      <c r="A9" s="8" t="s">
        <v>13</v>
      </c>
      <c r="B9" s="7" t="s">
        <v>18</v>
      </c>
      <c r="C9" s="6" t="s">
        <v>19</v>
      </c>
      <c r="D9" s="6" t="s">
        <v>10</v>
      </c>
      <c r="E9" s="5"/>
    </row>
    <row r="10" customFormat="false" ht="17.15" hidden="false" customHeight="false" outlineLevel="0" collapsed="false">
      <c r="A10" s="8" t="s">
        <v>13</v>
      </c>
      <c r="B10" s="7" t="s">
        <v>20</v>
      </c>
      <c r="C10" s="5" t="s">
        <v>21</v>
      </c>
      <c r="D10" s="6" t="s">
        <v>10</v>
      </c>
      <c r="E10" s="5"/>
    </row>
    <row r="11" customFormat="false" ht="17.15" hidden="false" customHeight="false" outlineLevel="0" collapsed="false">
      <c r="A11" s="8" t="s">
        <v>13</v>
      </c>
      <c r="B11" s="7" t="s">
        <v>22</v>
      </c>
      <c r="C11" s="6" t="s">
        <v>23</v>
      </c>
      <c r="D11" s="6" t="s">
        <v>10</v>
      </c>
      <c r="E11" s="5"/>
    </row>
    <row r="12" customFormat="false" ht="17.15" hidden="false" customHeight="false" outlineLevel="0" collapsed="false">
      <c r="A12" s="8" t="s">
        <v>13</v>
      </c>
      <c r="B12" s="7" t="s">
        <v>24</v>
      </c>
      <c r="C12" s="5" t="s">
        <v>25</v>
      </c>
      <c r="D12" s="6" t="s">
        <v>10</v>
      </c>
      <c r="E12" s="5"/>
    </row>
    <row r="13" customFormat="false" ht="17.15" hidden="false" customHeight="false" outlineLevel="0" collapsed="false">
      <c r="A13" s="8" t="s">
        <v>13</v>
      </c>
      <c r="B13" s="7" t="s">
        <v>26</v>
      </c>
      <c r="C13" s="6" t="s">
        <v>27</v>
      </c>
      <c r="D13" s="6" t="s">
        <v>10</v>
      </c>
      <c r="E13" s="5"/>
    </row>
    <row r="14" customFormat="false" ht="17.15" hidden="false" customHeight="false" outlineLevel="0" collapsed="false">
      <c r="A14" s="9" t="s">
        <v>28</v>
      </c>
      <c r="B14" s="7" t="s">
        <v>29</v>
      </c>
      <c r="C14" s="6" t="s">
        <v>30</v>
      </c>
      <c r="D14" s="6" t="s">
        <v>10</v>
      </c>
      <c r="E14" s="5"/>
    </row>
    <row r="15" customFormat="false" ht="17.15" hidden="false" customHeight="false" outlineLevel="0" collapsed="false">
      <c r="A15" s="9" t="s">
        <v>28</v>
      </c>
      <c r="B15" s="7" t="s">
        <v>31</v>
      </c>
      <c r="C15" s="6" t="s">
        <v>32</v>
      </c>
      <c r="D15" s="6" t="s">
        <v>10</v>
      </c>
      <c r="E15" s="5"/>
    </row>
    <row r="16" customFormat="false" ht="17.15" hidden="false" customHeight="false" outlineLevel="0" collapsed="false">
      <c r="A16" s="9" t="s">
        <v>28</v>
      </c>
      <c r="B16" s="7" t="s">
        <v>33</v>
      </c>
      <c r="C16" s="6" t="s">
        <v>34</v>
      </c>
      <c r="D16" s="6" t="s">
        <v>10</v>
      </c>
      <c r="E16" s="5"/>
    </row>
    <row r="17" customFormat="false" ht="32.8" hidden="false" customHeight="false" outlineLevel="0" collapsed="false">
      <c r="A17" s="9" t="s">
        <v>28</v>
      </c>
      <c r="B17" s="7" t="s">
        <v>35</v>
      </c>
      <c r="C17" s="6" t="s">
        <v>36</v>
      </c>
      <c r="D17" s="6" t="s">
        <v>10</v>
      </c>
      <c r="E17" s="5" t="s">
        <v>37</v>
      </c>
    </row>
    <row r="18" customFormat="false" ht="32.8" hidden="false" customHeight="false" outlineLevel="0" collapsed="false">
      <c r="A18" s="10" t="s">
        <v>38</v>
      </c>
      <c r="B18" s="7" t="s">
        <v>39</v>
      </c>
      <c r="C18" s="6" t="s">
        <v>40</v>
      </c>
      <c r="D18" s="6" t="s">
        <v>10</v>
      </c>
      <c r="E18" s="5" t="s">
        <v>37</v>
      </c>
    </row>
    <row r="19" customFormat="false" ht="32.8" hidden="false" customHeight="false" outlineLevel="0" collapsed="false">
      <c r="A19" s="10" t="s">
        <v>38</v>
      </c>
      <c r="B19" s="7" t="s">
        <v>41</v>
      </c>
      <c r="C19" s="6" t="s">
        <v>42</v>
      </c>
      <c r="D19" s="6" t="s">
        <v>10</v>
      </c>
      <c r="E19" s="5" t="s">
        <v>37</v>
      </c>
    </row>
    <row r="20" customFormat="false" ht="32.8" hidden="false" customHeight="false" outlineLevel="0" collapsed="false">
      <c r="A20" s="10" t="s">
        <v>38</v>
      </c>
      <c r="B20" s="7" t="s">
        <v>43</v>
      </c>
      <c r="C20" s="5" t="s">
        <v>44</v>
      </c>
      <c r="D20" s="6" t="s">
        <v>10</v>
      </c>
      <c r="E20" s="5" t="s">
        <v>45</v>
      </c>
    </row>
    <row r="21" customFormat="false" ht="29.85" hidden="false" customHeight="false" outlineLevel="0" collapsed="false">
      <c r="A21" s="10" t="s">
        <v>38</v>
      </c>
      <c r="B21" s="7" t="s">
        <v>46</v>
      </c>
      <c r="C21" s="6" t="s">
        <v>47</v>
      </c>
      <c r="D21" s="6" t="s">
        <v>10</v>
      </c>
      <c r="E21" s="5" t="s">
        <v>37</v>
      </c>
    </row>
    <row r="22" customFormat="false" ht="32.8" hidden="false" customHeight="false" outlineLevel="0" collapsed="false">
      <c r="A22" s="10" t="s">
        <v>38</v>
      </c>
      <c r="B22" s="7" t="s">
        <v>48</v>
      </c>
      <c r="C22" s="6" t="s">
        <v>49</v>
      </c>
      <c r="D22" s="6" t="s">
        <v>10</v>
      </c>
      <c r="E22" s="5" t="s">
        <v>37</v>
      </c>
    </row>
    <row r="23" customFormat="false" ht="17.15" hidden="false" customHeight="false" outlineLevel="0" collapsed="false">
      <c r="A23" s="10" t="s">
        <v>38</v>
      </c>
      <c r="B23" s="7" t="s">
        <v>50</v>
      </c>
      <c r="C23" s="6" t="s">
        <v>51</v>
      </c>
      <c r="D23" s="6" t="s">
        <v>10</v>
      </c>
      <c r="E23" s="5" t="s">
        <v>37</v>
      </c>
    </row>
    <row r="24" customFormat="false" ht="17.15" hidden="false" customHeight="false" outlineLevel="0" collapsed="false">
      <c r="A24" s="11" t="s">
        <v>52</v>
      </c>
      <c r="B24" s="7" t="s">
        <v>53</v>
      </c>
      <c r="C24" s="5" t="s">
        <v>54</v>
      </c>
      <c r="D24" s="6" t="s">
        <v>10</v>
      </c>
      <c r="E24" s="6" t="s">
        <v>55</v>
      </c>
    </row>
    <row r="25" customFormat="false" ht="17.15" hidden="false" customHeight="false" outlineLevel="0" collapsed="false">
      <c r="A25" s="11" t="s">
        <v>52</v>
      </c>
      <c r="B25" s="7" t="s">
        <v>56</v>
      </c>
      <c r="C25" s="5" t="s">
        <v>57</v>
      </c>
      <c r="D25" s="6" t="s">
        <v>10</v>
      </c>
      <c r="E25" s="6" t="s">
        <v>58</v>
      </c>
    </row>
    <row r="26" customFormat="false" ht="17.15" hidden="false" customHeight="false" outlineLevel="0" collapsed="false">
      <c r="A26" s="11" t="s">
        <v>52</v>
      </c>
      <c r="B26" s="7" t="s">
        <v>59</v>
      </c>
      <c r="C26" s="5" t="s">
        <v>60</v>
      </c>
      <c r="D26" s="6" t="s">
        <v>10</v>
      </c>
      <c r="E26" s="6" t="s">
        <v>61</v>
      </c>
    </row>
    <row r="27" customFormat="false" ht="17.15" hidden="false" customHeight="false" outlineLevel="0" collapsed="false">
      <c r="A27" s="11" t="s">
        <v>52</v>
      </c>
      <c r="B27" s="7" t="s">
        <v>62</v>
      </c>
      <c r="C27" s="5" t="s">
        <v>63</v>
      </c>
      <c r="D27" s="6" t="s">
        <v>10</v>
      </c>
      <c r="E27" s="6" t="s">
        <v>64</v>
      </c>
    </row>
    <row r="28" customFormat="false" ht="17.15" hidden="false" customHeight="false" outlineLevel="0" collapsed="false">
      <c r="A28" s="11" t="s">
        <v>52</v>
      </c>
      <c r="B28" s="7" t="s">
        <v>65</v>
      </c>
      <c r="C28" s="5" t="s">
        <v>66</v>
      </c>
      <c r="D28" s="6" t="s">
        <v>10</v>
      </c>
      <c r="E28" s="6" t="s">
        <v>67</v>
      </c>
    </row>
    <row r="29" customFormat="false" ht="17.15" hidden="false" customHeight="false" outlineLevel="0" collapsed="false">
      <c r="A29" s="11" t="s">
        <v>52</v>
      </c>
      <c r="B29" s="7" t="s">
        <v>68</v>
      </c>
      <c r="C29" s="5" t="s">
        <v>69</v>
      </c>
      <c r="D29" s="6" t="s">
        <v>10</v>
      </c>
      <c r="E29" s="6" t="s">
        <v>70</v>
      </c>
    </row>
    <row r="30" customFormat="false" ht="17.15" hidden="false" customHeight="false" outlineLevel="0" collapsed="false">
      <c r="A30" s="11" t="s">
        <v>52</v>
      </c>
      <c r="B30" s="7" t="s">
        <v>71</v>
      </c>
      <c r="C30" s="5" t="s">
        <v>72</v>
      </c>
      <c r="D30" s="6" t="s">
        <v>10</v>
      </c>
      <c r="E30" s="6" t="s">
        <v>73</v>
      </c>
    </row>
  </sheetData>
  <hyperlinks>
    <hyperlink ref="B6" location="'0-1 개요'!A1" display="0-1 개요"/>
    <hyperlink ref="B7" location="'1-1 점수 기준'!A1" display="1-1 점수 기준"/>
    <hyperlink ref="B8" location="'1-2 성공 점수표'!A1" display="1-2 성공 점수표"/>
    <hyperlink ref="B9" location="'1-3 성적표 카드'!A1" display="1-3 성적표 카드"/>
    <hyperlink ref="B10" location="'1-4 성공 비결 해부'!A1" display="1-4 성공 비결 해부"/>
    <hyperlink ref="B11" location="'1-5 성공 비결 확장'!A1" display="1-5 성공 비결 확장"/>
    <hyperlink ref="B12" location="'1-6 공통점 분석'!A1" display="1-6 공통점 분석"/>
    <hyperlink ref="B13" location="'1-7 성공 공식 TOP5'!A1" display="1-7 성공 공식 TOP5"/>
    <hyperlink ref="B14" location="'2-1 MVP 명세'!A1" display="2-1 MVP 명세"/>
    <hyperlink ref="B15" location="'2-2 MVP 검증 목표'!A1" display="2-2 MVP 검증 목표"/>
    <hyperlink ref="B16" location="'2-3 장르 연결(추정)'!A1" display="2-3 장르 연결(추정)"/>
    <hyperlink ref="B17" location="'2-4 2인 개발 MVP 판단'!A1" display="2-4 2인 개발 MVP 판단"/>
    <hyperlink ref="B18" location="'3-1 광고 대비 유입'!A1" display="3-1 광고 대비 유입"/>
    <hyperlink ref="B19" location="'3-2 광고 채널 분석'!A1" display="3-2 광고 채널 분석"/>
    <hyperlink ref="B20" location="'3-3 후킹 영상 분석'!A1" display="3-3 후킹 영상 분석"/>
    <hyperlink ref="B21" location="'3-4 마케팅 실행안'!A1" display="3-4 마케팅 실행안"/>
    <hyperlink ref="B22" location="'3-5 광고 소재 해부'!A1" display="3-5 광고 소재 해부"/>
    <hyperlink ref="B23" location="'3-6 광고 MVP 구성표'!A1" display="3-6 광고 MVP 구성표"/>
    <hyperlink ref="B24" location="'4-1 지역 벤치마크(참조)'!A1" display="4-1 지역 벤치마크(참조)"/>
    <hyperlink ref="B25" location="'4-2 장르 차트 판독값(참조)'!A1" display="4-2 장르 차트 판독값(참조)"/>
    <hyperlink ref="B26" location="'4-3 장르 판독 요약(참조)'!A1" display="4-3 장르 판독 요약(참조)"/>
    <hyperlink ref="B27" location="'4-4 Google Play Top100(참조)'!A1" display="4-4 Google Play Top100(참조)"/>
    <hyperlink ref="B28" location="'4-5 매출 Top100(참조)'!A1" display="4-5 매출 Top100(참조)"/>
    <hyperlink ref="B29" location="'4-6 매출-다운로드 비교(참조)'!A1" display="4-6 매출-다운로드 비교(참조)"/>
    <hyperlink ref="B30" location="'4-7 대륙별 OS 분포(참조)'!A1" display="4-7 대륙별 OS 분포(참조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21.6" hidden="false" customHeight="false" outlineLevel="0" collapsed="false">
      <c r="A1" s="1" t="s">
        <v>74</v>
      </c>
    </row>
    <row r="3" customFormat="false" ht="15" hidden="false" customHeight="false" outlineLevel="0" collapsed="false">
      <c r="A3" s="3" t="s">
        <v>75</v>
      </c>
      <c r="B3" s="3" t="s">
        <v>76</v>
      </c>
    </row>
    <row r="4" customFormat="false" ht="17.15" hidden="false" customHeight="false" outlineLevel="0" collapsed="false">
      <c r="A4" s="12" t="s">
        <v>77</v>
      </c>
      <c r="B4" s="13" t="s">
        <v>78</v>
      </c>
    </row>
    <row r="5" customFormat="false" ht="17.15" hidden="false" customHeight="false" outlineLevel="0" collapsed="false">
      <c r="A5" s="14" t="s">
        <v>79</v>
      </c>
      <c r="B5" s="15" t="s">
        <v>80</v>
      </c>
    </row>
    <row r="6" customFormat="false" ht="29.85" hidden="false" customHeight="false" outlineLevel="0" collapsed="false">
      <c r="A6" s="14" t="s">
        <v>81</v>
      </c>
      <c r="B6" s="15" t="s">
        <v>82</v>
      </c>
    </row>
    <row r="7" customFormat="false" ht="17.15" hidden="false" customHeight="false" outlineLevel="0" collapsed="false">
      <c r="A7" s="14" t="s">
        <v>83</v>
      </c>
      <c r="B7" s="15" t="s">
        <v>84</v>
      </c>
    </row>
    <row r="8" customFormat="false" ht="29.85" hidden="false" customHeight="false" outlineLevel="0" collapsed="false">
      <c r="A8" s="14" t="s">
        <v>85</v>
      </c>
      <c r="B8" s="15" t="s">
        <v>86</v>
      </c>
    </row>
    <row r="9" customFormat="false" ht="17.15" hidden="false" customHeight="false" outlineLevel="0" collapsed="false">
      <c r="A9" s="12" t="s">
        <v>87</v>
      </c>
      <c r="B9" s="13" t="s">
        <v>88</v>
      </c>
    </row>
    <row r="10" customFormat="false" ht="17.15" hidden="false" customHeight="false" outlineLevel="0" collapsed="false">
      <c r="A10" s="12" t="s">
        <v>89</v>
      </c>
      <c r="B10" s="13" t="s">
        <v>90</v>
      </c>
    </row>
    <row r="11" customFormat="false" ht="32.8" hidden="false" customHeight="false" outlineLevel="0" collapsed="false">
      <c r="A11" s="12" t="s">
        <v>91</v>
      </c>
      <c r="B11" s="13" t="s">
        <v>92</v>
      </c>
    </row>
    <row r="12" customFormat="false" ht="95.5" hidden="false" customHeight="false" outlineLevel="0" collapsed="false">
      <c r="A12" s="12" t="s">
        <v>93</v>
      </c>
      <c r="B12" s="15" t="s">
        <v>94</v>
      </c>
    </row>
    <row r="13" customFormat="false" ht="32.8" hidden="false" customHeight="false" outlineLevel="0" collapsed="false">
      <c r="A13" s="14" t="s">
        <v>95</v>
      </c>
      <c r="B13" s="15" t="s">
        <v>96</v>
      </c>
    </row>
    <row r="14" customFormat="false" ht="32.8" hidden="false" customHeight="false" outlineLevel="0" collapsed="false">
      <c r="A14" s="14" t="s">
        <v>97</v>
      </c>
      <c r="B14" s="15" t="s">
        <v>98</v>
      </c>
    </row>
    <row r="15" customFormat="false" ht="32.8" hidden="false" customHeight="false" outlineLevel="0" collapsed="false">
      <c r="A15" s="12" t="s">
        <v>99</v>
      </c>
      <c r="B15" s="15" t="s">
        <v>100</v>
      </c>
    </row>
    <row r="16" customFormat="false" ht="32.8" hidden="false" customHeight="false" outlineLevel="0" collapsed="false">
      <c r="A16" s="12" t="s">
        <v>101</v>
      </c>
      <c r="B16" s="13" t="s">
        <v>102</v>
      </c>
    </row>
    <row r="17" customFormat="false" ht="64.15" hidden="false" customHeight="false" outlineLevel="0" collapsed="false">
      <c r="A17" s="16" t="s">
        <v>103</v>
      </c>
      <c r="B17" s="17" t="s">
        <v>104</v>
      </c>
    </row>
    <row r="18" customFormat="false" ht="48.5" hidden="false" customHeight="false" outlineLevel="0" collapsed="false">
      <c r="A18" s="16" t="s">
        <v>105</v>
      </c>
      <c r="B18" s="17" t="s">
        <v>106</v>
      </c>
    </row>
    <row r="19" customFormat="false" ht="76.85" hidden="false" customHeight="false" outlineLevel="0" collapsed="false">
      <c r="A19" s="16" t="s">
        <v>107</v>
      </c>
      <c r="B19" s="18" t="s">
        <v>108</v>
      </c>
    </row>
    <row r="20" customFormat="false" ht="64.15" hidden="false" customHeight="false" outlineLevel="0" collapsed="false">
      <c r="A20" s="16" t="s">
        <v>109</v>
      </c>
      <c r="B20" s="17" t="s">
        <v>110</v>
      </c>
    </row>
    <row r="21" customFormat="false" ht="64.15" hidden="false" customHeight="false" outlineLevel="0" collapsed="false">
      <c r="A21" s="16" t="s">
        <v>111</v>
      </c>
      <c r="B21" s="18" t="s">
        <v>112</v>
      </c>
    </row>
    <row r="22" customFormat="false" ht="79.85" hidden="false" customHeight="false" outlineLevel="0" collapsed="false">
      <c r="A22" s="16" t="s">
        <v>113</v>
      </c>
      <c r="B22" s="18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80"/>
  </cols>
  <sheetData>
    <row r="1" customFormat="false" ht="17.15" hidden="false" customHeight="false" outlineLevel="0" collapsed="false">
      <c r="A1" s="19" t="s">
        <v>75</v>
      </c>
      <c r="B1" s="19" t="s">
        <v>115</v>
      </c>
      <c r="C1" s="19" t="s">
        <v>116</v>
      </c>
    </row>
    <row r="2" customFormat="false" ht="17.15" hidden="false" customHeight="false" outlineLevel="0" collapsed="false">
      <c r="A2" s="17" t="s">
        <v>117</v>
      </c>
      <c r="B2" s="20" t="n">
        <v>25</v>
      </c>
      <c r="C2" s="18" t="s">
        <v>118</v>
      </c>
    </row>
    <row r="3" customFormat="false" ht="17.15" hidden="false" customHeight="false" outlineLevel="0" collapsed="false">
      <c r="A3" s="17" t="s">
        <v>119</v>
      </c>
      <c r="B3" s="20" t="n">
        <v>25</v>
      </c>
      <c r="C3" s="18" t="s">
        <v>120</v>
      </c>
    </row>
    <row r="4" customFormat="false" ht="17.15" hidden="false" customHeight="false" outlineLevel="0" collapsed="false">
      <c r="A4" s="17" t="s">
        <v>121</v>
      </c>
      <c r="B4" s="20" t="n">
        <v>15</v>
      </c>
      <c r="C4" s="18" t="s">
        <v>122</v>
      </c>
    </row>
    <row r="5" customFormat="false" ht="17.15" hidden="false" customHeight="false" outlineLevel="0" collapsed="false">
      <c r="A5" s="17" t="s">
        <v>123</v>
      </c>
      <c r="B5" s="20" t="n">
        <v>15</v>
      </c>
      <c r="C5" s="17" t="s">
        <v>124</v>
      </c>
    </row>
    <row r="6" customFormat="false" ht="17.15" hidden="false" customHeight="false" outlineLevel="0" collapsed="false">
      <c r="A6" s="17" t="s">
        <v>125</v>
      </c>
      <c r="B6" s="20" t="n">
        <v>10</v>
      </c>
      <c r="C6" s="17" t="s">
        <v>126</v>
      </c>
    </row>
    <row r="7" customFormat="false" ht="17.15" hidden="false" customHeight="false" outlineLevel="0" collapsed="false">
      <c r="A7" s="17" t="s">
        <v>127</v>
      </c>
      <c r="B7" s="20" t="n">
        <v>10</v>
      </c>
      <c r="C7" s="18" t="s">
        <v>128</v>
      </c>
    </row>
    <row r="8" customFormat="false" ht="17.15" hidden="false" customHeight="false" outlineLevel="0" collapsed="false">
      <c r="A8" s="17" t="s">
        <v>129</v>
      </c>
      <c r="B8" s="21" t="n">
        <v>0.6</v>
      </c>
      <c r="C8" s="17" t="s">
        <v>130</v>
      </c>
    </row>
    <row r="9" customFormat="false" ht="17.15" hidden="false" customHeight="false" outlineLevel="0" collapsed="false">
      <c r="A9" s="17" t="s">
        <v>131</v>
      </c>
      <c r="B9" s="20" t="n">
        <v>2026</v>
      </c>
      <c r="C9" s="17" t="s">
        <v>132</v>
      </c>
    </row>
    <row r="10" customFormat="false" ht="17.15" hidden="false" customHeight="false" outlineLevel="0" collapsed="false">
      <c r="A10" s="18" t="s">
        <v>133</v>
      </c>
      <c r="B10" s="20" t="n">
        <v>80</v>
      </c>
      <c r="C10" s="17" t="s">
        <v>134</v>
      </c>
    </row>
    <row r="11" customFormat="false" ht="17.15" hidden="false" customHeight="false" outlineLevel="0" collapsed="false">
      <c r="A11" s="18" t="s">
        <v>135</v>
      </c>
      <c r="B11" s="20" t="n">
        <v>70</v>
      </c>
      <c r="C11" s="17" t="s">
        <v>136</v>
      </c>
    </row>
    <row r="12" customFormat="false" ht="17.15" hidden="false" customHeight="false" outlineLevel="0" collapsed="false">
      <c r="A12" s="18" t="s">
        <v>137</v>
      </c>
      <c r="B12" s="20" t="n">
        <v>60</v>
      </c>
      <c r="C12" s="17" t="s">
        <v>138</v>
      </c>
    </row>
    <row r="13" customFormat="false" ht="17.15" hidden="false" customHeight="false" outlineLevel="0" collapsed="false">
      <c r="A13" s="18" t="s">
        <v>139</v>
      </c>
      <c r="B13" s="20" t="n">
        <v>10</v>
      </c>
      <c r="C13" s="17" t="s">
        <v>140</v>
      </c>
    </row>
    <row r="14" customFormat="false" ht="17.15" hidden="false" customHeight="false" outlineLevel="0" collapsed="false">
      <c r="A14" s="18" t="s">
        <v>141</v>
      </c>
      <c r="B14" s="20" t="n">
        <v>7</v>
      </c>
      <c r="C14" s="17" t="s">
        <v>142</v>
      </c>
    </row>
    <row r="15" customFormat="false" ht="17.15" hidden="false" customHeight="false" outlineLevel="0" collapsed="false">
      <c r="A15" s="18" t="s">
        <v>143</v>
      </c>
      <c r="B15" s="20" t="n">
        <v>4</v>
      </c>
      <c r="C15" s="17" t="s">
        <v>144</v>
      </c>
    </row>
    <row r="16" customFormat="false" ht="17.15" hidden="false" customHeight="false" outlineLevel="0" collapsed="false">
      <c r="A16" s="18" t="s">
        <v>145</v>
      </c>
      <c r="B16" s="20" t="n">
        <v>1</v>
      </c>
      <c r="C16" s="17" t="s">
        <v>146</v>
      </c>
    </row>
    <row r="18" customFormat="false" ht="17.15" hidden="false" customHeight="false" outlineLevel="0" collapsed="false">
      <c r="A18" s="22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Z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13" min="4" style="0" width="9"/>
    <col collapsed="false" customWidth="true" hidden="false" outlineLevel="0" max="14" min="14" style="0" width="14"/>
    <col collapsed="false" customWidth="true" hidden="false" outlineLevel="0" max="23" min="15" style="0" width="9"/>
    <col collapsed="false" customWidth="true" hidden="false" outlineLevel="0" max="24" min="24" style="0" width="10"/>
    <col collapsed="false" customWidth="true" hidden="false" outlineLevel="0" max="25" min="25" style="0" width="11"/>
    <col collapsed="false" customWidth="true" hidden="false" outlineLevel="0" max="26" min="26" style="0" width="9"/>
  </cols>
  <sheetData>
    <row r="1" customFormat="false" ht="29.85" hidden="false" customHeight="true" outlineLevel="0" collapsed="false">
      <c r="A1" s="19"/>
      <c r="B1" s="19"/>
      <c r="C1" s="19"/>
      <c r="D1" s="23" t="s">
        <v>148</v>
      </c>
      <c r="E1" s="23"/>
      <c r="F1" s="23"/>
      <c r="G1" s="23"/>
      <c r="H1" s="23"/>
      <c r="I1" s="23"/>
      <c r="J1" s="23" t="s">
        <v>149</v>
      </c>
      <c r="K1" s="23"/>
      <c r="L1" s="23"/>
      <c r="M1" s="23"/>
      <c r="N1" s="23" t="s">
        <v>150</v>
      </c>
      <c r="O1" s="23"/>
      <c r="P1" s="23"/>
      <c r="Q1" s="23"/>
      <c r="R1" s="23" t="s">
        <v>151</v>
      </c>
      <c r="S1" s="23"/>
      <c r="T1" s="23"/>
      <c r="U1" s="23"/>
      <c r="V1" s="23"/>
      <c r="W1" s="23"/>
      <c r="X1" s="23"/>
      <c r="Y1" s="23"/>
      <c r="Z1" s="23"/>
    </row>
    <row r="2" customFormat="false" ht="31.5" hidden="false" customHeight="true" outlineLevel="0" collapsed="false">
      <c r="A2" s="19" t="s">
        <v>152</v>
      </c>
      <c r="B2" s="19" t="s">
        <v>153</v>
      </c>
      <c r="C2" s="19" t="s">
        <v>154</v>
      </c>
      <c r="D2" s="19" t="s">
        <v>155</v>
      </c>
      <c r="E2" s="19" t="s">
        <v>156</v>
      </c>
      <c r="F2" s="19" t="s">
        <v>157</v>
      </c>
      <c r="G2" s="19" t="s">
        <v>158</v>
      </c>
      <c r="H2" s="19" t="s">
        <v>159</v>
      </c>
      <c r="I2" s="19" t="s">
        <v>160</v>
      </c>
      <c r="J2" s="19" t="s">
        <v>155</v>
      </c>
      <c r="K2" s="19" t="s">
        <v>157</v>
      </c>
      <c r="L2" s="19" t="s">
        <v>159</v>
      </c>
      <c r="M2" s="19" t="s">
        <v>160</v>
      </c>
      <c r="N2" s="19" t="s">
        <v>161</v>
      </c>
      <c r="O2" s="19" t="s">
        <v>162</v>
      </c>
      <c r="P2" s="19" t="s">
        <v>163</v>
      </c>
      <c r="Q2" s="24" t="s">
        <v>164</v>
      </c>
      <c r="R2" s="19" t="s">
        <v>165</v>
      </c>
      <c r="S2" s="19" t="s">
        <v>166</v>
      </c>
      <c r="T2" s="19" t="s">
        <v>167</v>
      </c>
      <c r="U2" s="19" t="s">
        <v>168</v>
      </c>
      <c r="V2" s="19" t="s">
        <v>169</v>
      </c>
      <c r="W2" s="19" t="s">
        <v>170</v>
      </c>
      <c r="X2" s="19" t="s">
        <v>171</v>
      </c>
      <c r="Y2" s="19" t="s">
        <v>172</v>
      </c>
      <c r="Z2" s="19" t="s">
        <v>173</v>
      </c>
    </row>
    <row r="3" customFormat="false" ht="17.15" hidden="false" customHeight="false" outlineLevel="0" collapsed="false">
      <c r="A3" s="25" t="s">
        <v>174</v>
      </c>
      <c r="B3" s="26" t="s">
        <v>175</v>
      </c>
      <c r="C3" s="27" t="s">
        <v>176</v>
      </c>
      <c r="D3" s="28" t="n">
        <v>2</v>
      </c>
      <c r="E3" s="28" t="n">
        <v>1</v>
      </c>
      <c r="F3" s="28" t="n">
        <v>4</v>
      </c>
      <c r="G3" s="28" t="n">
        <v>39</v>
      </c>
      <c r="H3" s="28" t="n">
        <v>1</v>
      </c>
      <c r="I3" s="28" t="n">
        <v>18</v>
      </c>
      <c r="J3" s="28"/>
      <c r="K3" s="28"/>
      <c r="L3" s="28"/>
      <c r="M3" s="28"/>
      <c r="N3" s="29" t="n">
        <v>21000000</v>
      </c>
      <c r="O3" s="28" t="n">
        <v>4.7</v>
      </c>
      <c r="P3" s="28" t="n">
        <v>2026</v>
      </c>
      <c r="Q3" s="28" t="s">
        <v>177</v>
      </c>
      <c r="R3" s="30" t="n">
        <f aca="false">'1-1 점수 기준'!$B$2*('1-1 점수 기준'!$B$8*IF(COUNT(D3:I3)=0,0,(101-MIN(D3:I3))/100)+(1-'1-1 점수 기준'!$B$8)*(COUNT(D3:I3)*101-SUM(D3:I3))/100/6)</f>
        <v>24.0166666666667</v>
      </c>
      <c r="S3" s="30" t="n">
        <f aca="false">'1-1 점수 기준'!$B$3*('1-1 점수 기준'!$B$8*IF(COUNT(J3:M3)=0,0,(101-MIN(J3:M3))/100)+(1-'1-1 점수 기준'!$B$8)*(COUNT(J3:M3)*101-SUM(J3:M3))/100/4)</f>
        <v>0</v>
      </c>
      <c r="T3" s="30" t="n">
        <f aca="false">'1-1 점수 기준'!$B$4*MAX(0,MIN(1,LOG10(N3/100000)/4))</f>
        <v>8.7083223552522</v>
      </c>
      <c r="U3" s="30" t="n">
        <f aca="false">'1-1 점수 기준'!$B$5*IF(O3="",0.5,MAX(0,MIN(1,(O3-3.5)/1.5)))</f>
        <v>12</v>
      </c>
      <c r="V3" s="30" t="n">
        <f aca="false">'1-1 점수 기준'!$B$6*MAX(0,MIN(1,('1-1 점수 기준'!$B$9-P3)/5))</f>
        <v>0</v>
      </c>
      <c r="W3" s="30" t="n">
        <f aca="false">'1-1 점수 기준'!$B$7*INDEX('1-1 점수 기준'!$B$13:$B$16,MATCH("MVP 규모 "&amp;Q3&amp;" 점수",'1-1 점수 기준'!$A$13:$A$16,0))/10</f>
        <v>10</v>
      </c>
      <c r="X3" s="31" t="n">
        <f aca="false">SUM(R3:W3)</f>
        <v>54.7249890219189</v>
      </c>
      <c r="Y3" s="27" t="str">
        <f aca="false">IF(X3&gt;='1-1 점수 기준'!$B$10,"A+ 전설",IF(X3&gt;='1-1 점수 기준'!$B$11,"A 강자",IF(X3&gt;='1-1 점수 기준'!$B$12,"B 유망","C 도전자")))</f>
        <v>C 도전자</v>
      </c>
      <c r="Z3" s="27" t="n">
        <f aca="false">RANK(X3,$X$3:$X$14)</f>
        <v>8</v>
      </c>
    </row>
    <row r="4" customFormat="false" ht="17.15" hidden="false" customHeight="false" outlineLevel="0" collapsed="false">
      <c r="A4" s="25" t="s">
        <v>178</v>
      </c>
      <c r="B4" s="26" t="s">
        <v>179</v>
      </c>
      <c r="C4" s="27" t="s">
        <v>180</v>
      </c>
      <c r="D4" s="28" t="n">
        <v>1</v>
      </c>
      <c r="E4" s="28" t="n">
        <v>2</v>
      </c>
      <c r="F4" s="28" t="n">
        <v>8</v>
      </c>
      <c r="G4" s="28"/>
      <c r="H4" s="28" t="n">
        <v>2</v>
      </c>
      <c r="I4" s="28" t="n">
        <v>5</v>
      </c>
      <c r="J4" s="28"/>
      <c r="K4" s="28"/>
      <c r="L4" s="28"/>
      <c r="M4" s="28"/>
      <c r="N4" s="29" t="n">
        <v>1900000</v>
      </c>
      <c r="O4" s="28" t="n">
        <v>4.8</v>
      </c>
      <c r="P4" s="28" t="n">
        <v>2026</v>
      </c>
      <c r="Q4" s="28" t="s">
        <v>177</v>
      </c>
      <c r="R4" s="30" t="n">
        <f aca="false">'1-1 점수 기준'!$B$2*('1-1 점수 기준'!$B$8*IF(COUNT(D4:I4)=0,0,(101-MIN(D4:I4))/100)+(1-'1-1 점수 기준'!$B$8)*(COUNT(D4:I4)*101-SUM(D4:I4))/100/6)</f>
        <v>23.1166666666667</v>
      </c>
      <c r="S4" s="30" t="n">
        <f aca="false">'1-1 점수 기준'!$B$3*('1-1 점수 기준'!$B$8*IF(COUNT(J4:M4)=0,0,(101-MIN(J4:M4))/100)+(1-'1-1 점수 기준'!$B$8)*(COUNT(J4:M4)*101-SUM(J4:M4))/100/4)</f>
        <v>0</v>
      </c>
      <c r="T4" s="30" t="n">
        <f aca="false">'1-1 점수 기준'!$B$4*MAX(0,MIN(1,LOG10(N4/100000)/4))</f>
        <v>4.79532600357311</v>
      </c>
      <c r="U4" s="30" t="n">
        <f aca="false">'1-1 점수 기준'!$B$5*IF(O4="",0.5,MAX(0,MIN(1,(O4-3.5)/1.5)))</f>
        <v>13</v>
      </c>
      <c r="V4" s="30" t="n">
        <f aca="false">'1-1 점수 기준'!$B$6*MAX(0,MIN(1,('1-1 점수 기준'!$B$9-P4)/5))</f>
        <v>0</v>
      </c>
      <c r="W4" s="30" t="n">
        <f aca="false">'1-1 점수 기준'!$B$7*INDEX('1-1 점수 기준'!$B$13:$B$16,MATCH("MVP 규모 "&amp;Q4&amp;" 점수",'1-1 점수 기준'!$A$13:$A$16,0))/10</f>
        <v>10</v>
      </c>
      <c r="X4" s="31" t="n">
        <f aca="false">SUM(R4:W4)</f>
        <v>50.9119926702398</v>
      </c>
      <c r="Y4" s="27" t="str">
        <f aca="false">IF(X4&gt;='1-1 점수 기준'!$B$10,"A+ 전설",IF(X4&gt;='1-1 점수 기준'!$B$11,"A 강자",IF(X4&gt;='1-1 점수 기준'!$B$12,"B 유망","C 도전자")))</f>
        <v>C 도전자</v>
      </c>
      <c r="Z4" s="27" t="n">
        <f aca="false">RANK(X4,$X$3:$X$14)</f>
        <v>10</v>
      </c>
    </row>
    <row r="5" customFormat="false" ht="17.15" hidden="false" customHeight="false" outlineLevel="0" collapsed="false">
      <c r="A5" s="25" t="s">
        <v>181</v>
      </c>
      <c r="B5" s="26" t="s">
        <v>182</v>
      </c>
      <c r="C5" s="27" t="s">
        <v>183</v>
      </c>
      <c r="D5" s="28" t="n">
        <v>7</v>
      </c>
      <c r="E5" s="28" t="n">
        <v>7</v>
      </c>
      <c r="F5" s="28" t="n">
        <v>9</v>
      </c>
      <c r="G5" s="28" t="n">
        <v>4</v>
      </c>
      <c r="H5" s="28" t="n">
        <v>3</v>
      </c>
      <c r="I5" s="28" t="n">
        <v>8</v>
      </c>
      <c r="J5" s="28"/>
      <c r="K5" s="28"/>
      <c r="L5" s="28"/>
      <c r="M5" s="28"/>
      <c r="N5" s="29" t="n">
        <v>1100000000</v>
      </c>
      <c r="O5" s="28" t="n">
        <v>4.8</v>
      </c>
      <c r="P5" s="28" t="n">
        <v>2022</v>
      </c>
      <c r="Q5" s="28" t="s">
        <v>177</v>
      </c>
      <c r="R5" s="30" t="n">
        <f aca="false">'1-1 점수 기준'!$B$2*('1-1 점수 기준'!$B$8*IF(COUNT(D5:I5)=0,0,(101-MIN(D5:I5))/100)+(1-'1-1 점수 기준'!$B$8)*(COUNT(D5:I5)*101-SUM(D5:I5))/100/6)</f>
        <v>24.1666666666667</v>
      </c>
      <c r="S5" s="30" t="n">
        <f aca="false">'1-1 점수 기준'!$B$3*('1-1 점수 기준'!$B$8*IF(COUNT(J5:M5)=0,0,(101-MIN(J5:M5))/100)+(1-'1-1 점수 기준'!$B$8)*(COUNT(J5:M5)*101-SUM(J5:M5))/100/4)</f>
        <v>0</v>
      </c>
      <c r="T5" s="30" t="n">
        <f aca="false">'1-1 점수 기준'!$B$4*MAX(0,MIN(1,LOG10(N5/100000)/4))</f>
        <v>15</v>
      </c>
      <c r="U5" s="30" t="n">
        <f aca="false">'1-1 점수 기준'!$B$5*IF(O5="",0.5,MAX(0,MIN(1,(O5-3.5)/1.5)))</f>
        <v>13</v>
      </c>
      <c r="V5" s="30" t="n">
        <f aca="false">'1-1 점수 기준'!$B$6*MAX(0,MIN(1,('1-1 점수 기준'!$B$9-P5)/5))</f>
        <v>8</v>
      </c>
      <c r="W5" s="30" t="n">
        <f aca="false">'1-1 점수 기준'!$B$7*INDEX('1-1 점수 기준'!$B$13:$B$16,MATCH("MVP 규모 "&amp;Q5&amp;" 점수",'1-1 점수 기준'!$A$13:$A$16,0))/10</f>
        <v>10</v>
      </c>
      <c r="X5" s="31" t="n">
        <f aca="false">SUM(R5:W5)</f>
        <v>70.1666666666667</v>
      </c>
      <c r="Y5" s="27" t="str">
        <f aca="false">IF(X5&gt;='1-1 점수 기준'!$B$10,"A+ 전설",IF(X5&gt;='1-1 점수 기준'!$B$11,"A 강자",IF(X5&gt;='1-1 점수 기준'!$B$12,"B 유망","C 도전자")))</f>
        <v>A 강자</v>
      </c>
      <c r="Z5" s="27" t="n">
        <f aca="false">RANK(X5,$X$3:$X$14)</f>
        <v>4</v>
      </c>
    </row>
    <row r="6" customFormat="false" ht="17.15" hidden="false" customHeight="false" outlineLevel="0" collapsed="false">
      <c r="A6" s="25" t="s">
        <v>184</v>
      </c>
      <c r="B6" s="26" t="s">
        <v>185</v>
      </c>
      <c r="C6" s="27" t="s">
        <v>180</v>
      </c>
      <c r="D6" s="28" t="n">
        <v>11</v>
      </c>
      <c r="E6" s="28" t="n">
        <v>4</v>
      </c>
      <c r="F6" s="28" t="n">
        <v>50</v>
      </c>
      <c r="G6" s="28" t="n">
        <v>33</v>
      </c>
      <c r="H6" s="28" t="n">
        <v>36</v>
      </c>
      <c r="I6" s="28" t="n">
        <v>7</v>
      </c>
      <c r="J6" s="28" t="n">
        <v>56</v>
      </c>
      <c r="K6" s="28"/>
      <c r="L6" s="28"/>
      <c r="M6" s="28"/>
      <c r="N6" s="29" t="n">
        <v>40000000</v>
      </c>
      <c r="O6" s="28" t="n">
        <v>4.5</v>
      </c>
      <c r="P6" s="28" t="n">
        <v>2024</v>
      </c>
      <c r="Q6" s="28" t="s">
        <v>177</v>
      </c>
      <c r="R6" s="30" t="n">
        <f aca="false">'1-1 점수 기준'!$B$2*('1-1 점수 기준'!$B$8*IF(COUNT(D6:I6)=0,0,(101-MIN(D6:I6))/100)+(1-'1-1 점수 기준'!$B$8)*(COUNT(D6:I6)*101-SUM(D6:I6))/100/6)</f>
        <v>22.3</v>
      </c>
      <c r="S6" s="30" t="n">
        <f aca="false">'1-1 점수 기준'!$B$3*('1-1 점수 기준'!$B$8*IF(COUNT(J6:M6)=0,0,(101-MIN(J6:M6))/100)+(1-'1-1 점수 기준'!$B$8)*(COUNT(J6:M6)*101-SUM(J6:M6))/100/4)</f>
        <v>7.875</v>
      </c>
      <c r="T6" s="30" t="n">
        <f aca="false">'1-1 점수 기준'!$B$4*MAX(0,MIN(1,LOG10(N6/100000)/4))</f>
        <v>9.75772496747986</v>
      </c>
      <c r="U6" s="30" t="n">
        <f aca="false">'1-1 점수 기준'!$B$5*IF(O6="",0.5,MAX(0,MIN(1,(O6-3.5)/1.5)))</f>
        <v>10</v>
      </c>
      <c r="V6" s="30" t="n">
        <f aca="false">'1-1 점수 기준'!$B$6*MAX(0,MIN(1,('1-1 점수 기준'!$B$9-P6)/5))</f>
        <v>4</v>
      </c>
      <c r="W6" s="30" t="n">
        <f aca="false">'1-1 점수 기준'!$B$7*INDEX('1-1 점수 기준'!$B$13:$B$16,MATCH("MVP 규모 "&amp;Q6&amp;" 점수",'1-1 점수 기준'!$A$13:$A$16,0))/10</f>
        <v>10</v>
      </c>
      <c r="X6" s="31" t="n">
        <f aca="false">SUM(R6:W6)</f>
        <v>63.9327249674799</v>
      </c>
      <c r="Y6" s="27" t="str">
        <f aca="false">IF(X6&gt;='1-1 점수 기준'!$B$10,"A+ 전설",IF(X6&gt;='1-1 점수 기준'!$B$11,"A 강자",IF(X6&gt;='1-1 점수 기준'!$B$12,"B 유망","C 도전자")))</f>
        <v>B 유망</v>
      </c>
      <c r="Z6" s="27" t="n">
        <f aca="false">RANK(X6,$X$3:$X$14)</f>
        <v>6</v>
      </c>
    </row>
    <row r="7" customFormat="false" ht="17.15" hidden="false" customHeight="false" outlineLevel="0" collapsed="false">
      <c r="A7" s="25" t="s">
        <v>186</v>
      </c>
      <c r="B7" s="26" t="s">
        <v>187</v>
      </c>
      <c r="C7" s="27" t="s">
        <v>188</v>
      </c>
      <c r="D7" s="28" t="n">
        <v>8</v>
      </c>
      <c r="E7" s="28" t="n">
        <v>6</v>
      </c>
      <c r="F7" s="28" t="n">
        <v>3</v>
      </c>
      <c r="G7" s="28" t="n">
        <v>2</v>
      </c>
      <c r="H7" s="28" t="n">
        <v>10</v>
      </c>
      <c r="I7" s="28" t="n">
        <v>38</v>
      </c>
      <c r="J7" s="28"/>
      <c r="K7" s="28"/>
      <c r="L7" s="28"/>
      <c r="M7" s="28"/>
      <c r="N7" s="29" t="n">
        <v>11000000</v>
      </c>
      <c r="O7" s="28" t="n">
        <v>4.3</v>
      </c>
      <c r="P7" s="28" t="n">
        <v>2025</v>
      </c>
      <c r="Q7" s="28" t="s">
        <v>177</v>
      </c>
      <c r="R7" s="30" t="n">
        <f aca="false">'1-1 점수 기준'!$B$2*('1-1 점수 기준'!$B$8*IF(COUNT(D7:I7)=0,0,(101-MIN(D7:I7))/100)+(1-'1-1 점수 기준'!$B$8)*(COUNT(D7:I7)*101-SUM(D7:I7))/100/6)</f>
        <v>23.8333333333333</v>
      </c>
      <c r="S7" s="30" t="n">
        <f aca="false">'1-1 점수 기준'!$B$3*('1-1 점수 기준'!$B$8*IF(COUNT(J7:M7)=0,0,(101-MIN(J7:M7))/100)+(1-'1-1 점수 기준'!$B$8)*(COUNT(J7:M7)*101-SUM(J7:M7))/100/4)</f>
        <v>0</v>
      </c>
      <c r="T7" s="30" t="n">
        <f aca="false">'1-1 점수 기준'!$B$4*MAX(0,MIN(1,LOG10(N7/100000)/4))</f>
        <v>7.65522256934334</v>
      </c>
      <c r="U7" s="30" t="n">
        <f aca="false">'1-1 점수 기준'!$B$5*IF(O7="",0.5,MAX(0,MIN(1,(O7-3.5)/1.5)))</f>
        <v>8</v>
      </c>
      <c r="V7" s="30" t="n">
        <f aca="false">'1-1 점수 기준'!$B$6*MAX(0,MIN(1,('1-1 점수 기준'!$B$9-P7)/5))</f>
        <v>2</v>
      </c>
      <c r="W7" s="30" t="n">
        <f aca="false">'1-1 점수 기준'!$B$7*INDEX('1-1 점수 기준'!$B$13:$B$16,MATCH("MVP 규모 "&amp;Q7&amp;" 점수",'1-1 점수 기준'!$A$13:$A$16,0))/10</f>
        <v>10</v>
      </c>
      <c r="X7" s="31" t="n">
        <f aca="false">SUM(R7:W7)</f>
        <v>51.4885559026767</v>
      </c>
      <c r="Y7" s="27" t="str">
        <f aca="false">IF(X7&gt;='1-1 점수 기준'!$B$10,"A+ 전설",IF(X7&gt;='1-1 점수 기준'!$B$11,"A 강자",IF(X7&gt;='1-1 점수 기준'!$B$12,"B 유망","C 도전자")))</f>
        <v>C 도전자</v>
      </c>
      <c r="Z7" s="27" t="n">
        <f aca="false">RANK(X7,$X$3:$X$14)</f>
        <v>9</v>
      </c>
    </row>
    <row r="8" customFormat="false" ht="17.15" hidden="false" customHeight="false" outlineLevel="0" collapsed="false">
      <c r="A8" s="25" t="s">
        <v>189</v>
      </c>
      <c r="B8" s="26" t="s">
        <v>190</v>
      </c>
      <c r="C8" s="27" t="s">
        <v>191</v>
      </c>
      <c r="D8" s="28" t="n">
        <v>42</v>
      </c>
      <c r="E8" s="28" t="n">
        <v>25</v>
      </c>
      <c r="F8" s="28"/>
      <c r="G8" s="28"/>
      <c r="H8" s="28" t="n">
        <v>16</v>
      </c>
      <c r="I8" s="28" t="n">
        <v>21</v>
      </c>
      <c r="J8" s="28" t="n">
        <v>4</v>
      </c>
      <c r="K8" s="28" t="n">
        <v>7</v>
      </c>
      <c r="L8" s="28" t="n">
        <v>23</v>
      </c>
      <c r="M8" s="28" t="n">
        <v>14</v>
      </c>
      <c r="N8" s="29" t="n">
        <v>370000000</v>
      </c>
      <c r="O8" s="28" t="n">
        <v>4.6</v>
      </c>
      <c r="P8" s="28" t="n">
        <v>2021</v>
      </c>
      <c r="Q8" s="28" t="s">
        <v>192</v>
      </c>
      <c r="R8" s="30" t="n">
        <f aca="false">'1-1 점수 기준'!$B$2*('1-1 점수 기준'!$B$8*IF(COUNT(D8:I8)=0,0,(101-MIN(D8:I8))/100)+(1-'1-1 점수 기준'!$B$8)*(COUNT(D8:I8)*101-SUM(D8:I8))/100/6)</f>
        <v>17.75</v>
      </c>
      <c r="S8" s="30" t="n">
        <f aca="false">'1-1 점수 기준'!$B$3*('1-1 점수 기준'!$B$8*IF(COUNT(J8:M8)=0,0,(101-MIN(J8:M8))/100)+(1-'1-1 점수 기준'!$B$8)*(COUNT(J8:M8)*101-SUM(J8:M8))/100/4)</f>
        <v>23.45</v>
      </c>
      <c r="T8" s="30" t="n">
        <f aca="false">'1-1 점수 기준'!$B$4*MAX(0,MIN(1,LOG10(N8/100000)/4))</f>
        <v>13.3807564652512</v>
      </c>
      <c r="U8" s="30" t="n">
        <f aca="false">'1-1 점수 기준'!$B$5*IF(O8="",0.5,MAX(0,MIN(1,(O8-3.5)/1.5)))</f>
        <v>11</v>
      </c>
      <c r="V8" s="30" t="n">
        <f aca="false">'1-1 점수 기준'!$B$6*MAX(0,MIN(1,('1-1 점수 기준'!$B$9-P8)/5))</f>
        <v>10</v>
      </c>
      <c r="W8" s="30" t="n">
        <f aca="false">'1-1 점수 기준'!$B$7*INDEX('1-1 점수 기준'!$B$13:$B$16,MATCH("MVP 규모 "&amp;Q8&amp;" 점수",'1-1 점수 기준'!$A$13:$A$16,0))/10</f>
        <v>7</v>
      </c>
      <c r="X8" s="31" t="n">
        <f aca="false">SUM(R8:W8)</f>
        <v>82.5807564652512</v>
      </c>
      <c r="Y8" s="27" t="str">
        <f aca="false">IF(X8&gt;='1-1 점수 기준'!$B$10,"A+ 전설",IF(X8&gt;='1-1 점수 기준'!$B$11,"A 강자",IF(X8&gt;='1-1 점수 기준'!$B$12,"B 유망","C 도전자")))</f>
        <v>A+ 전설</v>
      </c>
      <c r="Z8" s="27" t="n">
        <f aca="false">RANK(X8,$X$3:$X$14)</f>
        <v>1</v>
      </c>
    </row>
    <row r="9" customFormat="false" ht="17.15" hidden="false" customHeight="false" outlineLevel="0" collapsed="false">
      <c r="A9" s="25" t="s">
        <v>193</v>
      </c>
      <c r="B9" s="26" t="s">
        <v>194</v>
      </c>
      <c r="C9" s="27" t="s">
        <v>195</v>
      </c>
      <c r="D9" s="28" t="n">
        <v>17</v>
      </c>
      <c r="E9" s="28" t="n">
        <v>13</v>
      </c>
      <c r="F9" s="28"/>
      <c r="G9" s="28" t="n">
        <v>25</v>
      </c>
      <c r="H9" s="28" t="n">
        <v>8</v>
      </c>
      <c r="I9" s="28" t="n">
        <v>20</v>
      </c>
      <c r="J9" s="28" t="n">
        <v>5</v>
      </c>
      <c r="K9" s="28" t="n">
        <v>4</v>
      </c>
      <c r="L9" s="28" t="n">
        <v>16</v>
      </c>
      <c r="M9" s="28" t="n">
        <v>12</v>
      </c>
      <c r="N9" s="29" t="n">
        <v>91000000</v>
      </c>
      <c r="O9" s="28" t="n">
        <v>4.3</v>
      </c>
      <c r="P9" s="28" t="n">
        <v>2022</v>
      </c>
      <c r="Q9" s="28" t="s">
        <v>196</v>
      </c>
      <c r="R9" s="30" t="n">
        <f aca="false">'1-1 점수 기준'!$B$2*('1-1 점수 기준'!$B$8*IF(COUNT(D9:I9)=0,0,(101-MIN(D9:I9))/100)+(1-'1-1 점수 기준'!$B$8)*(COUNT(D9:I9)*101-SUM(D9:I9))/100/6)</f>
        <v>20.9833333333333</v>
      </c>
      <c r="S9" s="30" t="n">
        <f aca="false">'1-1 점수 기준'!$B$3*('1-1 점수 기준'!$B$8*IF(COUNT(J9:M9)=0,0,(101-MIN(J9:M9))/100)+(1-'1-1 점수 기준'!$B$8)*(COUNT(J9:M9)*101-SUM(J9:M9))/100/4)</f>
        <v>23.725</v>
      </c>
      <c r="T9" s="30" t="n">
        <f aca="false">'1-1 점수 기준'!$B$4*MAX(0,MIN(1,LOG10(N9/100000)/4))</f>
        <v>11.0964052212041</v>
      </c>
      <c r="U9" s="30" t="n">
        <f aca="false">'1-1 점수 기준'!$B$5*IF(O9="",0.5,MAX(0,MIN(1,(O9-3.5)/1.5)))</f>
        <v>8</v>
      </c>
      <c r="V9" s="30" t="n">
        <f aca="false">'1-1 점수 기준'!$B$6*MAX(0,MIN(1,('1-1 점수 기준'!$B$9-P9)/5))</f>
        <v>8</v>
      </c>
      <c r="W9" s="30" t="n">
        <f aca="false">'1-1 점수 기준'!$B$7*INDEX('1-1 점수 기준'!$B$13:$B$16,MATCH("MVP 규모 "&amp;Q9&amp;" 점수",'1-1 점수 기준'!$A$13:$A$16,0))/10</f>
        <v>4</v>
      </c>
      <c r="X9" s="31" t="n">
        <f aca="false">SUM(R9:W9)</f>
        <v>75.8047385545374</v>
      </c>
      <c r="Y9" s="27" t="str">
        <f aca="false">IF(X9&gt;='1-1 점수 기준'!$B$10,"A+ 전설",IF(X9&gt;='1-1 점수 기준'!$B$11,"A 강자",IF(X9&gt;='1-1 점수 기준'!$B$12,"B 유망","C 도전자")))</f>
        <v>A 강자</v>
      </c>
      <c r="Z9" s="27" t="n">
        <f aca="false">RANK(X9,$X$3:$X$14)</f>
        <v>2</v>
      </c>
    </row>
    <row r="10" customFormat="false" ht="17.15" hidden="false" customHeight="false" outlineLevel="0" collapsed="false">
      <c r="A10" s="25" t="s">
        <v>197</v>
      </c>
      <c r="B10" s="26" t="s">
        <v>198</v>
      </c>
      <c r="C10" s="27" t="s">
        <v>199</v>
      </c>
      <c r="D10" s="28" t="n">
        <v>26</v>
      </c>
      <c r="E10" s="28" t="n">
        <v>21</v>
      </c>
      <c r="F10" s="28"/>
      <c r="G10" s="28"/>
      <c r="H10" s="28"/>
      <c r="I10" s="28"/>
      <c r="J10" s="28" t="n">
        <v>1</v>
      </c>
      <c r="K10" s="28" t="n">
        <v>73</v>
      </c>
      <c r="L10" s="28"/>
      <c r="M10" s="28"/>
      <c r="N10" s="29" t="n">
        <v>130000000</v>
      </c>
      <c r="O10" s="28" t="n">
        <v>4.6</v>
      </c>
      <c r="P10" s="28" t="n">
        <v>2023</v>
      </c>
      <c r="Q10" s="28" t="s">
        <v>196</v>
      </c>
      <c r="R10" s="30" t="n">
        <f aca="false">'1-1 점수 기준'!$B$2*('1-1 점수 기준'!$B$8*IF(COUNT(D10:I10)=0,0,(101-MIN(D10:I10))/100)+(1-'1-1 점수 기준'!$B$8)*(COUNT(D10:I10)*101-SUM(D10:I10))/100/6)</f>
        <v>14.5833333333333</v>
      </c>
      <c r="S10" s="30" t="n">
        <f aca="false">'1-1 점수 기준'!$B$3*('1-1 점수 기준'!$B$8*IF(COUNT(J10:M10)=0,0,(101-MIN(J10:M10))/100)+(1-'1-1 점수 기준'!$B$8)*(COUNT(J10:M10)*101-SUM(J10:M10))/100/4)</f>
        <v>18.2</v>
      </c>
      <c r="T10" s="30" t="n">
        <f aca="false">'1-1 점수 기준'!$B$4*MAX(0,MIN(1,LOG10(N10/100000)/4))</f>
        <v>11.6772875711506</v>
      </c>
      <c r="U10" s="30" t="n">
        <f aca="false">'1-1 점수 기준'!$B$5*IF(O10="",0.5,MAX(0,MIN(1,(O10-3.5)/1.5)))</f>
        <v>11</v>
      </c>
      <c r="V10" s="30" t="n">
        <f aca="false">'1-1 점수 기준'!$B$6*MAX(0,MIN(1,('1-1 점수 기준'!$B$9-P10)/5))</f>
        <v>6</v>
      </c>
      <c r="W10" s="30" t="n">
        <f aca="false">'1-1 점수 기준'!$B$7*INDEX('1-1 점수 기준'!$B$13:$B$16,MATCH("MVP 규모 "&amp;Q10&amp;" 점수",'1-1 점수 기준'!$A$13:$A$16,0))/10</f>
        <v>4</v>
      </c>
      <c r="X10" s="31" t="n">
        <f aca="false">SUM(R10:W10)</f>
        <v>65.460620904484</v>
      </c>
      <c r="Y10" s="27" t="str">
        <f aca="false">IF(X10&gt;='1-1 점수 기준'!$B$10,"A+ 전설",IF(X10&gt;='1-1 점수 기준'!$B$11,"A 강자",IF(X10&gt;='1-1 점수 기준'!$B$12,"B 유망","C 도전자")))</f>
        <v>B 유망</v>
      </c>
      <c r="Z10" s="27" t="n">
        <f aca="false">RANK(X10,$X$3:$X$14)</f>
        <v>5</v>
      </c>
    </row>
    <row r="11" customFormat="false" ht="17.15" hidden="false" customHeight="false" outlineLevel="0" collapsed="false">
      <c r="A11" s="25" t="s">
        <v>200</v>
      </c>
      <c r="B11" s="26" t="s">
        <v>201</v>
      </c>
      <c r="C11" s="27" t="s">
        <v>202</v>
      </c>
      <c r="D11" s="28" t="n">
        <v>63</v>
      </c>
      <c r="E11" s="28"/>
      <c r="F11" s="28"/>
      <c r="G11" s="28"/>
      <c r="H11" s="28" t="n">
        <v>28</v>
      </c>
      <c r="I11" s="28" t="n">
        <v>48</v>
      </c>
      <c r="J11" s="28" t="n">
        <v>10</v>
      </c>
      <c r="K11" s="28" t="n">
        <v>23</v>
      </c>
      <c r="L11" s="28" t="n">
        <v>9</v>
      </c>
      <c r="M11" s="28" t="n">
        <v>6</v>
      </c>
      <c r="N11" s="29" t="n">
        <v>100000000</v>
      </c>
      <c r="O11" s="28" t="n">
        <v>4.1</v>
      </c>
      <c r="P11" s="28" t="n">
        <v>2023</v>
      </c>
      <c r="Q11" s="28" t="s">
        <v>203</v>
      </c>
      <c r="R11" s="30" t="n">
        <f aca="false">'1-1 점수 기준'!$B$2*('1-1 점수 기준'!$B$8*IF(COUNT(D11:I11)=0,0,(101-MIN(D11:I11))/100)+(1-'1-1 점수 기준'!$B$8)*(COUNT(D11:I11)*101-SUM(D11:I11))/100/6)</f>
        <v>13.6833333333333</v>
      </c>
      <c r="S11" s="30" t="n">
        <f aca="false">'1-1 점수 기준'!$B$3*('1-1 점수 기준'!$B$8*IF(COUNT(J11:M11)=0,0,(101-MIN(J11:M11))/100)+(1-'1-1 점수 기준'!$B$8)*(COUNT(J11:M11)*101-SUM(J11:M11))/100/4)</f>
        <v>23.15</v>
      </c>
      <c r="T11" s="30" t="n">
        <f aca="false">'1-1 점수 기준'!$B$4*MAX(0,MIN(1,LOG10(N11/100000)/4))</f>
        <v>11.25</v>
      </c>
      <c r="U11" s="30" t="n">
        <f aca="false">'1-1 점수 기준'!$B$5*IF(O11="",0.5,MAX(0,MIN(1,(O11-3.5)/1.5)))</f>
        <v>6</v>
      </c>
      <c r="V11" s="30" t="n">
        <f aca="false">'1-1 점수 기준'!$B$6*MAX(0,MIN(1,('1-1 점수 기준'!$B$9-P11)/5))</f>
        <v>6</v>
      </c>
      <c r="W11" s="30" t="n">
        <f aca="false">'1-1 점수 기준'!$B$7*INDEX('1-1 점수 기준'!$B$13:$B$16,MATCH("MVP 규모 "&amp;Q11&amp;" 점수",'1-1 점수 기준'!$A$13:$A$16,0))/10</f>
        <v>1</v>
      </c>
      <c r="X11" s="31" t="n">
        <f aca="false">SUM(R11:W11)</f>
        <v>61.0833333333333</v>
      </c>
      <c r="Y11" s="27" t="str">
        <f aca="false">IF(X11&gt;='1-1 점수 기준'!$B$10,"A+ 전설",IF(X11&gt;='1-1 점수 기준'!$B$11,"A 강자",IF(X11&gt;='1-1 점수 기준'!$B$12,"B 유망","C 도전자")))</f>
        <v>B 유망</v>
      </c>
      <c r="Z11" s="27" t="n">
        <f aca="false">RANK(X11,$X$3:$X$14)</f>
        <v>7</v>
      </c>
    </row>
    <row r="12" customFormat="false" ht="17.15" hidden="false" customHeight="false" outlineLevel="0" collapsed="false">
      <c r="A12" s="25" t="s">
        <v>204</v>
      </c>
      <c r="B12" s="26" t="s">
        <v>205</v>
      </c>
      <c r="C12" s="27" t="s">
        <v>206</v>
      </c>
      <c r="D12" s="28" t="n">
        <v>97</v>
      </c>
      <c r="E12" s="28"/>
      <c r="F12" s="28" t="n">
        <v>2</v>
      </c>
      <c r="G12" s="28" t="n">
        <v>3</v>
      </c>
      <c r="H12" s="28"/>
      <c r="I12" s="28"/>
      <c r="J12" s="28" t="n">
        <v>22</v>
      </c>
      <c r="K12" s="28" t="n">
        <v>1</v>
      </c>
      <c r="L12" s="28"/>
      <c r="M12" s="28"/>
      <c r="N12" s="29" t="n">
        <v>2200000000</v>
      </c>
      <c r="O12" s="28" t="n">
        <v>4.3</v>
      </c>
      <c r="P12" s="28" t="n">
        <v>2017</v>
      </c>
      <c r="Q12" s="28" t="s">
        <v>203</v>
      </c>
      <c r="R12" s="30" t="n">
        <f aca="false">'1-1 점수 기준'!$B$2*('1-1 점수 기준'!$B$8*IF(COUNT(D12:I12)=0,0,(101-MIN(D12:I12))/100)+(1-'1-1 점수 기준'!$B$8)*(COUNT(D12:I12)*101-SUM(D12:I12))/100/6)</f>
        <v>18.2</v>
      </c>
      <c r="S12" s="30" t="n">
        <f aca="false">'1-1 점수 기준'!$B$3*('1-1 점수 기준'!$B$8*IF(COUNT(J12:M12)=0,0,(101-MIN(J12:M12))/100)+(1-'1-1 점수 기준'!$B$8)*(COUNT(J12:M12)*101-SUM(J12:M12))/100/4)</f>
        <v>19.475</v>
      </c>
      <c r="T12" s="30" t="n">
        <f aca="false">'1-1 점수 기준'!$B$4*MAX(0,MIN(1,LOG10(N12/100000)/4))</f>
        <v>15</v>
      </c>
      <c r="U12" s="30" t="n">
        <f aca="false">'1-1 점수 기준'!$B$5*IF(O12="",0.5,MAX(0,MIN(1,(O12-3.5)/1.5)))</f>
        <v>8</v>
      </c>
      <c r="V12" s="30" t="n">
        <f aca="false">'1-1 점수 기준'!$B$6*MAX(0,MIN(1,('1-1 점수 기준'!$B$9-P12)/5))</f>
        <v>10</v>
      </c>
      <c r="W12" s="30" t="n">
        <f aca="false">'1-1 점수 기준'!$B$7*INDEX('1-1 점수 기준'!$B$13:$B$16,MATCH("MVP 규모 "&amp;Q12&amp;" 점수",'1-1 점수 기준'!$A$13:$A$16,0))/10</f>
        <v>1</v>
      </c>
      <c r="X12" s="31" t="n">
        <f aca="false">SUM(R12:W12)</f>
        <v>71.675</v>
      </c>
      <c r="Y12" s="27" t="str">
        <f aca="false">IF(X12&gt;='1-1 점수 기준'!$B$10,"A+ 전설",IF(X12&gt;='1-1 점수 기준'!$B$11,"A 강자",IF(X12&gt;='1-1 점수 기준'!$B$12,"B 유망","C 도전자")))</f>
        <v>A 강자</v>
      </c>
      <c r="Z12" s="27" t="n">
        <f aca="false">RANK(X12,$X$3:$X$14)</f>
        <v>3</v>
      </c>
    </row>
    <row r="13" customFormat="false" ht="17.15" hidden="false" customHeight="false" outlineLevel="0" collapsed="false">
      <c r="A13" s="32" t="s">
        <v>207</v>
      </c>
      <c r="B13" s="26" t="s">
        <v>208</v>
      </c>
      <c r="C13" s="27" t="s">
        <v>209</v>
      </c>
      <c r="D13" s="28"/>
      <c r="E13" s="28"/>
      <c r="F13" s="28"/>
      <c r="G13" s="28"/>
      <c r="H13" s="28" t="n">
        <v>20</v>
      </c>
      <c r="I13" s="28" t="n">
        <v>39</v>
      </c>
      <c r="J13" s="28"/>
      <c r="K13" s="28"/>
      <c r="L13" s="28" t="n">
        <v>81</v>
      </c>
      <c r="M13" s="28"/>
      <c r="N13" s="29" t="n">
        <v>1100000</v>
      </c>
      <c r="O13" s="28"/>
      <c r="P13" s="28" t="n">
        <v>2025</v>
      </c>
      <c r="Q13" s="28" t="s">
        <v>196</v>
      </c>
      <c r="R13" s="30" t="n">
        <f aca="false">'1-1 점수 기준'!$B$2*('1-1 점수 기준'!$B$8*IF(COUNT(D13:I13)=0,0,(101-MIN(D13:I13))/100)+(1-'1-1 점수 기준'!$B$8)*(COUNT(D13:I13)*101-SUM(D13:I13))/100/6)</f>
        <v>14.5333333333333</v>
      </c>
      <c r="S13" s="30" t="n">
        <f aca="false">'1-1 점수 기준'!$B$3*('1-1 점수 기준'!$B$8*IF(COUNT(J13:M13)=0,0,(101-MIN(J13:M13))/100)+(1-'1-1 점수 기준'!$B$8)*(COUNT(J13:M13)*101-SUM(J13:M13))/100/4)</f>
        <v>3.5</v>
      </c>
      <c r="T13" s="30" t="n">
        <f aca="false">'1-1 점수 기준'!$B$4*MAX(0,MIN(1,LOG10(N13/100000)/4))</f>
        <v>3.90522256934334</v>
      </c>
      <c r="U13" s="30" t="n">
        <f aca="false">'1-1 점수 기준'!$B$5*IF(O13="",0.5,MAX(0,MIN(1,(O13-3.5)/1.5)))</f>
        <v>7.5</v>
      </c>
      <c r="V13" s="30" t="n">
        <f aca="false">'1-1 점수 기준'!$B$6*MAX(0,MIN(1,('1-1 점수 기준'!$B$9-P13)/5))</f>
        <v>2</v>
      </c>
      <c r="W13" s="30" t="n">
        <f aca="false">'1-1 점수 기준'!$B$7*INDEX('1-1 점수 기준'!$B$13:$B$16,MATCH("MVP 규모 "&amp;Q13&amp;" 점수",'1-1 점수 기준'!$A$13:$A$16,0))/10</f>
        <v>4</v>
      </c>
      <c r="X13" s="31" t="n">
        <f aca="false">SUM(R13:W13)</f>
        <v>35.4385559026767</v>
      </c>
      <c r="Y13" s="27" t="str">
        <f aca="false">IF(X13&gt;='1-1 점수 기준'!$B$10,"A+ 전설",IF(X13&gt;='1-1 점수 기준'!$B$11,"A 강자",IF(X13&gt;='1-1 점수 기준'!$B$12,"B 유망","C 도전자")))</f>
        <v>C 도전자</v>
      </c>
      <c r="Z13" s="27" t="n">
        <f aca="false">RANK(X13,$X$3:$X$14)</f>
        <v>12</v>
      </c>
    </row>
    <row r="14" customFormat="false" ht="17.15" hidden="false" customHeight="false" outlineLevel="0" collapsed="false">
      <c r="A14" s="32" t="s">
        <v>210</v>
      </c>
      <c r="B14" s="26" t="s">
        <v>211</v>
      </c>
      <c r="C14" s="27" t="s">
        <v>212</v>
      </c>
      <c r="D14" s="28"/>
      <c r="E14" s="28"/>
      <c r="F14" s="28"/>
      <c r="G14" s="28"/>
      <c r="H14" s="28"/>
      <c r="I14" s="28" t="n">
        <v>2</v>
      </c>
      <c r="J14" s="28"/>
      <c r="K14" s="28"/>
      <c r="L14" s="28"/>
      <c r="M14" s="28" t="n">
        <v>20</v>
      </c>
      <c r="N14" s="29" t="n">
        <v>190000</v>
      </c>
      <c r="O14" s="28"/>
      <c r="P14" s="28" t="n">
        <v>2026</v>
      </c>
      <c r="Q14" s="28" t="s">
        <v>192</v>
      </c>
      <c r="R14" s="30" t="n">
        <f aca="false">'1-1 점수 기준'!$B$2*('1-1 점수 기준'!$B$8*IF(COUNT(D14:I14)=0,0,(101-MIN(D14:I14))/100)+(1-'1-1 점수 기준'!$B$8)*(COUNT(D14:I14)*101-SUM(D14:I14))/100/6)</f>
        <v>16.5</v>
      </c>
      <c r="S14" s="30" t="n">
        <f aca="false">'1-1 점수 기준'!$B$3*('1-1 점수 기준'!$B$8*IF(COUNT(J14:M14)=0,0,(101-MIN(J14:M14))/100)+(1-'1-1 점수 기준'!$B$8)*(COUNT(J14:M14)*101-SUM(J14:M14))/100/4)</f>
        <v>14.175</v>
      </c>
      <c r="T14" s="30" t="n">
        <f aca="false">'1-1 점수 기준'!$B$4*MAX(0,MIN(1,LOG10(N14/100000)/4))</f>
        <v>1.04532600357311</v>
      </c>
      <c r="U14" s="30" t="n">
        <f aca="false">'1-1 점수 기준'!$B$5*IF(O14="",0.5,MAX(0,MIN(1,(O14-3.5)/1.5)))</f>
        <v>7.5</v>
      </c>
      <c r="V14" s="30" t="n">
        <f aca="false">'1-1 점수 기준'!$B$6*MAX(0,MIN(1,('1-1 점수 기준'!$B$9-P14)/5))</f>
        <v>0</v>
      </c>
      <c r="W14" s="30" t="n">
        <f aca="false">'1-1 점수 기준'!$B$7*INDEX('1-1 점수 기준'!$B$13:$B$16,MATCH("MVP 규모 "&amp;Q14&amp;" 점수",'1-1 점수 기준'!$A$13:$A$16,0))/10</f>
        <v>7</v>
      </c>
      <c r="X14" s="31" t="n">
        <f aca="false">SUM(R14:W14)</f>
        <v>46.2203260035731</v>
      </c>
      <c r="Y14" s="27" t="str">
        <f aca="false">IF(X14&gt;='1-1 점수 기준'!$B$10,"A+ 전설",IF(X14&gt;='1-1 점수 기준'!$B$11,"A 강자",IF(X14&gt;='1-1 점수 기준'!$B$12,"B 유망","C 도전자")))</f>
        <v>C 도전자</v>
      </c>
      <c r="Z14" s="27" t="n">
        <f aca="false">RANK(X14,$X$3:$X$14)</f>
        <v>11</v>
      </c>
    </row>
    <row r="16" customFormat="false" ht="17.15" hidden="false" customHeight="false" outlineLevel="0" collapsed="false">
      <c r="A16" s="22" t="s">
        <v>213</v>
      </c>
    </row>
    <row r="17" customFormat="false" ht="17.15" hidden="false" customHeight="false" outlineLevel="0" collapsed="false">
      <c r="A17" s="22" t="s">
        <v>214</v>
      </c>
    </row>
    <row r="18" customFormat="false" ht="17.15" hidden="false" customHeight="false" outlineLevel="0" collapsed="false">
      <c r="A18" s="22" t="s">
        <v>215</v>
      </c>
    </row>
  </sheetData>
  <mergeCells count="4">
    <mergeCell ref="D1:I1"/>
    <mergeCell ref="J1:M1"/>
    <mergeCell ref="N1:Q1"/>
    <mergeCell ref="R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7" min="4" style="0" width="10"/>
    <col collapsed="false" customWidth="true" hidden="false" outlineLevel="0" max="9" min="8" style="0" width="11"/>
    <col collapsed="false" customWidth="true" hidden="false" outlineLevel="0" max="10" min="10" style="0" width="8"/>
    <col collapsed="false" customWidth="true" hidden="false" outlineLevel="0" max="11" min="11" style="0" width="60"/>
    <col collapsed="false" customWidth="true" hidden="false" outlineLevel="0" max="16" min="12" style="0" width="6"/>
  </cols>
  <sheetData>
    <row r="1" customFormat="false" ht="48.5" hidden="false" customHeight="false" outlineLevel="0" collapsed="false">
      <c r="A1" s="19" t="s">
        <v>152</v>
      </c>
      <c r="B1" s="19" t="s">
        <v>4</v>
      </c>
      <c r="C1" s="19" t="s">
        <v>216</v>
      </c>
      <c r="D1" s="19" t="s">
        <v>217</v>
      </c>
      <c r="E1" s="19" t="s">
        <v>218</v>
      </c>
      <c r="F1" s="19" t="s">
        <v>219</v>
      </c>
      <c r="G1" s="19" t="s">
        <v>220</v>
      </c>
      <c r="H1" s="19" t="s">
        <v>221</v>
      </c>
      <c r="I1" s="19" t="s">
        <v>222</v>
      </c>
      <c r="J1" s="19" t="s">
        <v>223</v>
      </c>
      <c r="K1" s="19" t="s">
        <v>224</v>
      </c>
      <c r="L1" s="19" t="s">
        <v>225</v>
      </c>
      <c r="M1" s="19" t="s">
        <v>226</v>
      </c>
      <c r="N1" s="19" t="s">
        <v>227</v>
      </c>
      <c r="O1" s="19" t="s">
        <v>228</v>
      </c>
      <c r="P1" s="19" t="s">
        <v>229</v>
      </c>
    </row>
    <row r="2" customFormat="false" ht="32.8" hidden="false" customHeight="false" outlineLevel="0" collapsed="false">
      <c r="A2" s="33" t="s">
        <v>174</v>
      </c>
      <c r="B2" s="17" t="s">
        <v>230</v>
      </c>
      <c r="C2" s="17" t="s">
        <v>231</v>
      </c>
      <c r="D2" s="34" t="str">
        <f aca="false">REPT("★",L2)&amp;REPT("☆",5-L2)</f>
        <v>★★★★☆</v>
      </c>
      <c r="E2" s="34" t="str">
        <f aca="false">REPT("★",M2)&amp;REPT("☆",5-M2)</f>
        <v>★★★★☆</v>
      </c>
      <c r="F2" s="34" t="str">
        <f aca="false">REPT("★",N2)&amp;REPT("☆",5-N2)</f>
        <v>★★★★☆</v>
      </c>
      <c r="G2" s="34" t="str">
        <f aca="false">REPT("★",O2)&amp;REPT("☆",5-O2)</f>
        <v>★☆☆☆☆</v>
      </c>
      <c r="H2" s="34" t="str">
        <f aca="false">REPT("★",P2)&amp;REPT("☆",5-P2)</f>
        <v>★★☆☆☆</v>
      </c>
      <c r="I2" s="27" t="str">
        <f aca="false">INDEX('1-2 성공 점수표'!$Y$3:$Y$14,MATCH(A2,'1-2 성공 점수표'!$A$3:$A$14,0))</f>
        <v>C 도전자</v>
      </c>
      <c r="J2" s="30" t="n">
        <f aca="false">INDEX('1-2 성공 점수표'!$X$3:$X$14,MATCH(A2,'1-2 성공 점수표'!$A$3:$A$14,0))</f>
        <v>54.7249890219189</v>
      </c>
      <c r="K2" s="17" t="s">
        <v>232</v>
      </c>
      <c r="L2" s="35" t="n">
        <v>4</v>
      </c>
      <c r="M2" s="35" t="n">
        <v>4</v>
      </c>
      <c r="N2" s="35" t="n">
        <v>4</v>
      </c>
      <c r="O2" s="35" t="n">
        <v>1</v>
      </c>
      <c r="P2" s="35" t="n">
        <v>2</v>
      </c>
    </row>
    <row r="3" customFormat="false" ht="32.8" hidden="false" customHeight="false" outlineLevel="0" collapsed="false">
      <c r="A3" s="33" t="s">
        <v>178</v>
      </c>
      <c r="B3" s="17" t="s">
        <v>233</v>
      </c>
      <c r="C3" s="17" t="s">
        <v>234</v>
      </c>
      <c r="D3" s="34" t="str">
        <f aca="false">REPT("★",L3)&amp;REPT("☆",5-L3)</f>
        <v>★★★★☆</v>
      </c>
      <c r="E3" s="34" t="str">
        <f aca="false">REPT("★",M3)&amp;REPT("☆",5-M3)</f>
        <v>★★★★★</v>
      </c>
      <c r="F3" s="34" t="str">
        <f aca="false">REPT("★",N3)&amp;REPT("☆",5-N3)</f>
        <v>★★★☆☆</v>
      </c>
      <c r="G3" s="34" t="str">
        <f aca="false">REPT("★",O3)&amp;REPT("☆",5-O3)</f>
        <v>★☆☆☆☆</v>
      </c>
      <c r="H3" s="34" t="str">
        <f aca="false">REPT("★",P3)&amp;REPT("☆",5-P3)</f>
        <v>★★☆☆☆</v>
      </c>
      <c r="I3" s="27" t="str">
        <f aca="false">INDEX('1-2 성공 점수표'!$Y$3:$Y$14,MATCH(A3,'1-2 성공 점수표'!$A$3:$A$14,0))</f>
        <v>C 도전자</v>
      </c>
      <c r="J3" s="30" t="n">
        <f aca="false">INDEX('1-2 성공 점수표'!$X$3:$X$14,MATCH(A3,'1-2 성공 점수표'!$A$3:$A$14,0))</f>
        <v>50.9119926702398</v>
      </c>
      <c r="K3" s="17" t="s">
        <v>235</v>
      </c>
      <c r="L3" s="35" t="n">
        <v>4</v>
      </c>
      <c r="M3" s="35" t="n">
        <v>5</v>
      </c>
      <c r="N3" s="35" t="n">
        <v>3</v>
      </c>
      <c r="O3" s="35" t="n">
        <v>1</v>
      </c>
      <c r="P3" s="35" t="n">
        <v>2</v>
      </c>
    </row>
    <row r="4" customFormat="false" ht="32.8" hidden="false" customHeight="false" outlineLevel="0" collapsed="false">
      <c r="A4" s="33" t="s">
        <v>181</v>
      </c>
      <c r="B4" s="18" t="s">
        <v>236</v>
      </c>
      <c r="C4" s="17" t="s">
        <v>237</v>
      </c>
      <c r="D4" s="34" t="str">
        <f aca="false">REPT("★",L4)&amp;REPT("☆",5-L4)</f>
        <v>★★★★★</v>
      </c>
      <c r="E4" s="34" t="str">
        <f aca="false">REPT("★",M4)&amp;REPT("☆",5-M4)</f>
        <v>★★★★★</v>
      </c>
      <c r="F4" s="34" t="str">
        <f aca="false">REPT("★",N4)&amp;REPT("☆",5-N4)</f>
        <v>★★★★☆</v>
      </c>
      <c r="G4" s="34" t="str">
        <f aca="false">REPT("★",O4)&amp;REPT("☆",5-O4)</f>
        <v>★☆☆☆☆</v>
      </c>
      <c r="H4" s="34" t="str">
        <f aca="false">REPT("★",P4)&amp;REPT("☆",5-P4)</f>
        <v>★★★☆☆</v>
      </c>
      <c r="I4" s="27" t="str">
        <f aca="false">INDEX('1-2 성공 점수표'!$Y$3:$Y$14,MATCH(A4,'1-2 성공 점수표'!$A$3:$A$14,0))</f>
        <v>A 강자</v>
      </c>
      <c r="J4" s="30" t="n">
        <f aca="false">INDEX('1-2 성공 점수표'!$X$3:$X$14,MATCH(A4,'1-2 성공 점수표'!$A$3:$A$14,0))</f>
        <v>70.1666666666667</v>
      </c>
      <c r="K4" s="17" t="s">
        <v>238</v>
      </c>
      <c r="L4" s="35" t="n">
        <v>5</v>
      </c>
      <c r="M4" s="35" t="n">
        <v>5</v>
      </c>
      <c r="N4" s="35" t="n">
        <v>4</v>
      </c>
      <c r="O4" s="35" t="n">
        <v>1</v>
      </c>
      <c r="P4" s="35" t="n">
        <v>3</v>
      </c>
    </row>
    <row r="5" customFormat="false" ht="32.8" hidden="false" customHeight="false" outlineLevel="0" collapsed="false">
      <c r="A5" s="33" t="s">
        <v>184</v>
      </c>
      <c r="B5" s="17" t="s">
        <v>239</v>
      </c>
      <c r="C5" s="17" t="s">
        <v>240</v>
      </c>
      <c r="D5" s="34" t="str">
        <f aca="false">REPT("★",L5)&amp;REPT("☆",5-L5)</f>
        <v>★★★★☆</v>
      </c>
      <c r="E5" s="34" t="str">
        <f aca="false">REPT("★",M5)&amp;REPT("☆",5-M5)</f>
        <v>★★★★★</v>
      </c>
      <c r="F5" s="34" t="str">
        <f aca="false">REPT("★",N5)&amp;REPT("☆",5-N5)</f>
        <v>★★★☆☆</v>
      </c>
      <c r="G5" s="34" t="str">
        <f aca="false">REPT("★",O5)&amp;REPT("☆",5-O5)</f>
        <v>★☆☆☆☆</v>
      </c>
      <c r="H5" s="34" t="str">
        <f aca="false">REPT("★",P5)&amp;REPT("☆",5-P5)</f>
        <v>★★★☆☆</v>
      </c>
      <c r="I5" s="27" t="str">
        <f aca="false">INDEX('1-2 성공 점수표'!$Y$3:$Y$14,MATCH(A5,'1-2 성공 점수표'!$A$3:$A$14,0))</f>
        <v>B 유망</v>
      </c>
      <c r="J5" s="30" t="n">
        <f aca="false">INDEX('1-2 성공 점수표'!$X$3:$X$14,MATCH(A5,'1-2 성공 점수표'!$A$3:$A$14,0))</f>
        <v>63.9327249674799</v>
      </c>
      <c r="K5" s="17" t="s">
        <v>241</v>
      </c>
      <c r="L5" s="35" t="n">
        <v>4</v>
      </c>
      <c r="M5" s="35" t="n">
        <v>5</v>
      </c>
      <c r="N5" s="35" t="n">
        <v>3</v>
      </c>
      <c r="O5" s="35" t="n">
        <v>1</v>
      </c>
      <c r="P5" s="35" t="n">
        <v>3</v>
      </c>
    </row>
    <row r="6" customFormat="false" ht="17.15" hidden="false" customHeight="false" outlineLevel="0" collapsed="false">
      <c r="A6" s="33" t="s">
        <v>186</v>
      </c>
      <c r="B6" s="17" t="s">
        <v>242</v>
      </c>
      <c r="C6" s="17" t="s">
        <v>243</v>
      </c>
      <c r="D6" s="34" t="str">
        <f aca="false">REPT("★",L6)&amp;REPT("☆",5-L6)</f>
        <v>★★★★☆</v>
      </c>
      <c r="E6" s="34" t="str">
        <f aca="false">REPT("★",M6)&amp;REPT("☆",5-M6)</f>
        <v>★★★★★</v>
      </c>
      <c r="F6" s="34" t="str">
        <f aca="false">REPT("★",N6)&amp;REPT("☆",5-N6)</f>
        <v>★★★☆☆</v>
      </c>
      <c r="G6" s="34" t="str">
        <f aca="false">REPT("★",O6)&amp;REPT("☆",5-O6)</f>
        <v>★☆☆☆☆</v>
      </c>
      <c r="H6" s="34" t="str">
        <f aca="false">REPT("★",P6)&amp;REPT("☆",5-P6)</f>
        <v>★★☆☆☆</v>
      </c>
      <c r="I6" s="27" t="str">
        <f aca="false">INDEX('1-2 성공 점수표'!$Y$3:$Y$14,MATCH(A6,'1-2 성공 점수표'!$A$3:$A$14,0))</f>
        <v>C 도전자</v>
      </c>
      <c r="J6" s="30" t="n">
        <f aca="false">INDEX('1-2 성공 점수표'!$X$3:$X$14,MATCH(A6,'1-2 성공 점수표'!$A$3:$A$14,0))</f>
        <v>51.4885559026767</v>
      </c>
      <c r="K6" s="17" t="s">
        <v>244</v>
      </c>
      <c r="L6" s="35" t="n">
        <v>4</v>
      </c>
      <c r="M6" s="35" t="n">
        <v>5</v>
      </c>
      <c r="N6" s="35" t="n">
        <v>3</v>
      </c>
      <c r="O6" s="35" t="n">
        <v>1</v>
      </c>
      <c r="P6" s="35" t="n">
        <v>2</v>
      </c>
    </row>
    <row r="7" customFormat="false" ht="32.8" hidden="false" customHeight="false" outlineLevel="0" collapsed="false">
      <c r="A7" s="33" t="s">
        <v>189</v>
      </c>
      <c r="B7" s="17" t="s">
        <v>245</v>
      </c>
      <c r="C7" s="17" t="s">
        <v>246</v>
      </c>
      <c r="D7" s="34" t="str">
        <f aca="false">REPT("★",L7)&amp;REPT("☆",5-L7)</f>
        <v>★★★★★</v>
      </c>
      <c r="E7" s="34" t="str">
        <f aca="false">REPT("★",M7)&amp;REPT("☆",5-M7)</f>
        <v>★★★★☆</v>
      </c>
      <c r="F7" s="34" t="str">
        <f aca="false">REPT("★",N7)&amp;REPT("☆",5-N7)</f>
        <v>★★★★★</v>
      </c>
      <c r="G7" s="34" t="str">
        <f aca="false">REPT("★",O7)&amp;REPT("☆",5-O7)</f>
        <v>★★★☆☆</v>
      </c>
      <c r="H7" s="34" t="str">
        <f aca="false">REPT("★",P7)&amp;REPT("☆",5-P7)</f>
        <v>★★★★★</v>
      </c>
      <c r="I7" s="27" t="str">
        <f aca="false">INDEX('1-2 성공 점수표'!$Y$3:$Y$14,MATCH(A7,'1-2 성공 점수표'!$A$3:$A$14,0))</f>
        <v>A+ 전설</v>
      </c>
      <c r="J7" s="30" t="n">
        <f aca="false">INDEX('1-2 성공 점수표'!$X$3:$X$14,MATCH(A7,'1-2 성공 점수표'!$A$3:$A$14,0))</f>
        <v>82.5807564652512</v>
      </c>
      <c r="K7" s="17" t="s">
        <v>247</v>
      </c>
      <c r="L7" s="35" t="n">
        <v>5</v>
      </c>
      <c r="M7" s="35" t="n">
        <v>4</v>
      </c>
      <c r="N7" s="35" t="n">
        <v>5</v>
      </c>
      <c r="O7" s="35" t="n">
        <v>3</v>
      </c>
      <c r="P7" s="35" t="n">
        <v>5</v>
      </c>
    </row>
    <row r="8" customFormat="false" ht="32.8" hidden="false" customHeight="false" outlineLevel="0" collapsed="false">
      <c r="A8" s="33" t="s">
        <v>193</v>
      </c>
      <c r="B8" s="17" t="s">
        <v>248</v>
      </c>
      <c r="C8" s="17" t="s">
        <v>249</v>
      </c>
      <c r="D8" s="34" t="str">
        <f aca="false">REPT("★",L8)&amp;REPT("☆",5-L8)</f>
        <v>★★★★★</v>
      </c>
      <c r="E8" s="34" t="str">
        <f aca="false">REPT("★",M8)&amp;REPT("☆",5-M8)</f>
        <v>★★★★☆</v>
      </c>
      <c r="F8" s="34" t="str">
        <f aca="false">REPT("★",N8)&amp;REPT("☆",5-N8)</f>
        <v>★★★★★</v>
      </c>
      <c r="G8" s="34" t="str">
        <f aca="false">REPT("★",O8)&amp;REPT("☆",5-O8)</f>
        <v>★★☆☆☆</v>
      </c>
      <c r="H8" s="34" t="str">
        <f aca="false">REPT("★",P8)&amp;REPT("☆",5-P8)</f>
        <v>★★★★★</v>
      </c>
      <c r="I8" s="27" t="str">
        <f aca="false">INDEX('1-2 성공 점수표'!$Y$3:$Y$14,MATCH(A8,'1-2 성공 점수표'!$A$3:$A$14,0))</f>
        <v>A 강자</v>
      </c>
      <c r="J8" s="30" t="n">
        <f aca="false">INDEX('1-2 성공 점수표'!$X$3:$X$14,MATCH(A8,'1-2 성공 점수표'!$A$3:$A$14,0))</f>
        <v>75.8047385545374</v>
      </c>
      <c r="K8" s="18" t="s">
        <v>250</v>
      </c>
      <c r="L8" s="35" t="n">
        <v>5</v>
      </c>
      <c r="M8" s="35" t="n">
        <v>4</v>
      </c>
      <c r="N8" s="35" t="n">
        <v>5</v>
      </c>
      <c r="O8" s="35" t="n">
        <v>2</v>
      </c>
      <c r="P8" s="35" t="n">
        <v>5</v>
      </c>
    </row>
    <row r="9" customFormat="false" ht="32.8" hidden="false" customHeight="false" outlineLevel="0" collapsed="false">
      <c r="A9" s="33" t="s">
        <v>197</v>
      </c>
      <c r="B9" s="17" t="s">
        <v>251</v>
      </c>
      <c r="C9" s="17" t="s">
        <v>252</v>
      </c>
      <c r="D9" s="34" t="str">
        <f aca="false">REPT("★",L9)&amp;REPT("☆",5-L9)</f>
        <v>★★★★★</v>
      </c>
      <c r="E9" s="34" t="str">
        <f aca="false">REPT("★",M9)&amp;REPT("☆",5-M9)</f>
        <v>★★★★★</v>
      </c>
      <c r="F9" s="34" t="str">
        <f aca="false">REPT("★",N9)&amp;REPT("☆",5-N9)</f>
        <v>★★★★★</v>
      </c>
      <c r="G9" s="34" t="str">
        <f aca="false">REPT("★",O9)&amp;REPT("☆",5-O9)</f>
        <v>★★★★★</v>
      </c>
      <c r="H9" s="34" t="str">
        <f aca="false">REPT("★",P9)&amp;REPT("☆",5-P9)</f>
        <v>★★★★★</v>
      </c>
      <c r="I9" s="27" t="str">
        <f aca="false">INDEX('1-2 성공 점수표'!$Y$3:$Y$14,MATCH(A9,'1-2 성공 점수표'!$A$3:$A$14,0))</f>
        <v>B 유망</v>
      </c>
      <c r="J9" s="30" t="n">
        <f aca="false">INDEX('1-2 성공 점수표'!$X$3:$X$14,MATCH(A9,'1-2 성공 점수표'!$A$3:$A$14,0))</f>
        <v>65.460620904484</v>
      </c>
      <c r="K9" s="17" t="s">
        <v>253</v>
      </c>
      <c r="L9" s="35" t="n">
        <v>5</v>
      </c>
      <c r="M9" s="35" t="n">
        <v>5</v>
      </c>
      <c r="N9" s="35" t="n">
        <v>5</v>
      </c>
      <c r="O9" s="35" t="n">
        <v>5</v>
      </c>
      <c r="P9" s="35" t="n">
        <v>5</v>
      </c>
    </row>
    <row r="10" customFormat="false" ht="32.8" hidden="false" customHeight="false" outlineLevel="0" collapsed="false">
      <c r="A10" s="33" t="s">
        <v>200</v>
      </c>
      <c r="B10" s="17" t="s">
        <v>254</v>
      </c>
      <c r="C10" s="17" t="s">
        <v>255</v>
      </c>
      <c r="D10" s="34" t="str">
        <f aca="false">REPT("★",L10)&amp;REPT("☆",5-L10)</f>
        <v>★★★★☆</v>
      </c>
      <c r="E10" s="34" t="str">
        <f aca="false">REPT("★",M10)&amp;REPT("☆",5-M10)</f>
        <v>★★★☆☆</v>
      </c>
      <c r="F10" s="34" t="str">
        <f aca="false">REPT("★",N10)&amp;REPT("☆",5-N10)</f>
        <v>★★★★★</v>
      </c>
      <c r="G10" s="34" t="str">
        <f aca="false">REPT("★",O10)&amp;REPT("☆",5-O10)</f>
        <v>★★★★★</v>
      </c>
      <c r="H10" s="34" t="str">
        <f aca="false">REPT("★",P10)&amp;REPT("☆",5-P10)</f>
        <v>★★★★★</v>
      </c>
      <c r="I10" s="27" t="str">
        <f aca="false">INDEX('1-2 성공 점수표'!$Y$3:$Y$14,MATCH(A10,'1-2 성공 점수표'!$A$3:$A$14,0))</f>
        <v>B 유망</v>
      </c>
      <c r="J10" s="30" t="n">
        <f aca="false">INDEX('1-2 성공 점수표'!$X$3:$X$14,MATCH(A10,'1-2 성공 점수표'!$A$3:$A$14,0))</f>
        <v>61.0833333333333</v>
      </c>
      <c r="K10" s="17" t="s">
        <v>256</v>
      </c>
      <c r="L10" s="35" t="n">
        <v>4</v>
      </c>
      <c r="M10" s="35" t="n">
        <v>3</v>
      </c>
      <c r="N10" s="35" t="n">
        <v>5</v>
      </c>
      <c r="O10" s="35" t="n">
        <v>5</v>
      </c>
      <c r="P10" s="35" t="n">
        <v>5</v>
      </c>
    </row>
    <row r="11" customFormat="false" ht="32.8" hidden="false" customHeight="false" outlineLevel="0" collapsed="false">
      <c r="A11" s="33" t="s">
        <v>204</v>
      </c>
      <c r="B11" s="17" t="s">
        <v>257</v>
      </c>
      <c r="C11" s="18" t="s">
        <v>258</v>
      </c>
      <c r="D11" s="34" t="str">
        <f aca="false">REPT("★",L11)&amp;REPT("☆",5-L11)</f>
        <v>★★★★★</v>
      </c>
      <c r="E11" s="34" t="str">
        <f aca="false">REPT("★",M11)&amp;REPT("☆",5-M11)</f>
        <v>★★★★☆</v>
      </c>
      <c r="F11" s="34" t="str">
        <f aca="false">REPT("★",N11)&amp;REPT("☆",5-N11)</f>
        <v>★★★★★</v>
      </c>
      <c r="G11" s="34" t="str">
        <f aca="false">REPT("★",O11)&amp;REPT("☆",5-O11)</f>
        <v>★★★★★</v>
      </c>
      <c r="H11" s="34" t="str">
        <f aca="false">REPT("★",P11)&amp;REPT("☆",5-P11)</f>
        <v>★★★★☆</v>
      </c>
      <c r="I11" s="27" t="str">
        <f aca="false">INDEX('1-2 성공 점수표'!$Y$3:$Y$14,MATCH(A11,'1-2 성공 점수표'!$A$3:$A$14,0))</f>
        <v>A 강자</v>
      </c>
      <c r="J11" s="30" t="n">
        <f aca="false">INDEX('1-2 성공 점수표'!$X$3:$X$14,MATCH(A11,'1-2 성공 점수표'!$A$3:$A$14,0))</f>
        <v>71.675</v>
      </c>
      <c r="K11" s="17" t="s">
        <v>259</v>
      </c>
      <c r="L11" s="35" t="n">
        <v>5</v>
      </c>
      <c r="M11" s="35" t="n">
        <v>4</v>
      </c>
      <c r="N11" s="35" t="n">
        <v>5</v>
      </c>
      <c r="O11" s="35" t="n">
        <v>5</v>
      </c>
      <c r="P11" s="35" t="n">
        <v>4</v>
      </c>
    </row>
    <row r="12" customFormat="false" ht="32.8" hidden="false" customHeight="false" outlineLevel="0" collapsed="false">
      <c r="A12" s="36" t="s">
        <v>207</v>
      </c>
      <c r="B12" s="17" t="s">
        <v>260</v>
      </c>
      <c r="C12" s="17" t="s">
        <v>261</v>
      </c>
      <c r="D12" s="34" t="str">
        <f aca="false">REPT("★",L12)&amp;REPT("☆",5-L12)</f>
        <v>★★★☆☆</v>
      </c>
      <c r="E12" s="34" t="str">
        <f aca="false">REPT("★",M12)&amp;REPT("☆",5-M12)</f>
        <v>★★★★★</v>
      </c>
      <c r="F12" s="34" t="str">
        <f aca="false">REPT("★",N12)&amp;REPT("☆",5-N12)</f>
        <v>★★★★☆</v>
      </c>
      <c r="G12" s="34" t="str">
        <f aca="false">REPT("★",O12)&amp;REPT("☆",5-O12)</f>
        <v>★★★☆☆</v>
      </c>
      <c r="H12" s="34" t="str">
        <f aca="false">REPT("★",P12)&amp;REPT("☆",5-P12)</f>
        <v>★★★★☆</v>
      </c>
      <c r="I12" s="27" t="str">
        <f aca="false">INDEX('1-2 성공 점수표'!$Y$3:$Y$14,MATCH(A12,'1-2 성공 점수표'!$A$3:$A$14,0))</f>
        <v>C 도전자</v>
      </c>
      <c r="J12" s="30" t="n">
        <f aca="false">INDEX('1-2 성공 점수표'!$X$3:$X$14,MATCH(A12,'1-2 성공 점수표'!$A$3:$A$14,0))</f>
        <v>35.4385559026767</v>
      </c>
      <c r="K12" s="17" t="s">
        <v>262</v>
      </c>
      <c r="L12" s="35" t="n">
        <v>3</v>
      </c>
      <c r="M12" s="35" t="n">
        <v>5</v>
      </c>
      <c r="N12" s="35" t="n">
        <v>4</v>
      </c>
      <c r="O12" s="35" t="n">
        <v>3</v>
      </c>
      <c r="P12" s="35" t="n">
        <v>4</v>
      </c>
    </row>
    <row r="13" customFormat="false" ht="32.8" hidden="false" customHeight="false" outlineLevel="0" collapsed="false">
      <c r="A13" s="36" t="s">
        <v>210</v>
      </c>
      <c r="B13" s="17" t="s">
        <v>263</v>
      </c>
      <c r="C13" s="17" t="s">
        <v>264</v>
      </c>
      <c r="D13" s="34" t="str">
        <f aca="false">REPT("★",L13)&amp;REPT("☆",5-L13)</f>
        <v>★★★☆☆</v>
      </c>
      <c r="E13" s="34" t="str">
        <f aca="false">REPT("★",M13)&amp;REPT("☆",5-M13)</f>
        <v>★★★★★</v>
      </c>
      <c r="F13" s="34" t="str">
        <f aca="false">REPT("★",N13)&amp;REPT("☆",5-N13)</f>
        <v>★★★★☆</v>
      </c>
      <c r="G13" s="34" t="str">
        <f aca="false">REPT("★",O13)&amp;REPT("☆",5-O13)</f>
        <v>★★☆☆☆</v>
      </c>
      <c r="H13" s="34" t="str">
        <f aca="false">REPT("★",P13)&amp;REPT("☆",5-P13)</f>
        <v>★★★★★</v>
      </c>
      <c r="I13" s="27" t="str">
        <f aca="false">INDEX('1-2 성공 점수표'!$Y$3:$Y$14,MATCH(A13,'1-2 성공 점수표'!$A$3:$A$14,0))</f>
        <v>C 도전자</v>
      </c>
      <c r="J13" s="30" t="n">
        <f aca="false">INDEX('1-2 성공 점수표'!$X$3:$X$14,MATCH(A13,'1-2 성공 점수표'!$A$3:$A$14,0))</f>
        <v>46.2203260035731</v>
      </c>
      <c r="K13" s="17" t="s">
        <v>265</v>
      </c>
      <c r="L13" s="35" t="n">
        <v>3</v>
      </c>
      <c r="M13" s="35" t="n">
        <v>5</v>
      </c>
      <c r="N13" s="35" t="n">
        <v>4</v>
      </c>
      <c r="O13" s="35" t="n">
        <v>2</v>
      </c>
      <c r="P13" s="35" t="n">
        <v>5</v>
      </c>
    </row>
    <row r="15" customFormat="false" ht="17.15" hidden="false" customHeight="false" outlineLevel="0" collapsed="false">
      <c r="A15" s="22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4" min="3" style="0" width="30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28"/>
    <col collapsed="false" customWidth="true" hidden="false" outlineLevel="0" max="8" min="8" style="0" width="20"/>
  </cols>
  <sheetData>
    <row r="1" customFormat="false" ht="17.15" hidden="false" customHeight="false" outlineLevel="0" collapsed="false">
      <c r="A1" s="19" t="s">
        <v>152</v>
      </c>
      <c r="B1" s="19" t="s">
        <v>267</v>
      </c>
      <c r="C1" s="19" t="s">
        <v>268</v>
      </c>
      <c r="D1" s="19" t="s">
        <v>269</v>
      </c>
      <c r="E1" s="19" t="s">
        <v>270</v>
      </c>
      <c r="F1" s="19" t="s">
        <v>271</v>
      </c>
      <c r="G1" s="19" t="s">
        <v>272</v>
      </c>
      <c r="H1" s="19" t="s">
        <v>273</v>
      </c>
    </row>
    <row r="2" customFormat="false" ht="48.5" hidden="false" customHeight="false" outlineLevel="0" collapsed="false">
      <c r="A2" s="33" t="s">
        <v>174</v>
      </c>
      <c r="B2" s="17" t="s">
        <v>274</v>
      </c>
      <c r="C2" s="17" t="s">
        <v>275</v>
      </c>
      <c r="D2" s="17" t="s">
        <v>276</v>
      </c>
      <c r="E2" s="17" t="s">
        <v>277</v>
      </c>
      <c r="F2" s="18" t="s">
        <v>278</v>
      </c>
      <c r="G2" s="17" t="s">
        <v>279</v>
      </c>
      <c r="H2" s="37" t="s">
        <v>280</v>
      </c>
    </row>
    <row r="3" customFormat="false" ht="48.5" hidden="false" customHeight="false" outlineLevel="0" collapsed="false">
      <c r="A3" s="33" t="s">
        <v>178</v>
      </c>
      <c r="B3" s="17" t="s">
        <v>281</v>
      </c>
      <c r="C3" s="17" t="s">
        <v>282</v>
      </c>
      <c r="D3" s="17" t="s">
        <v>283</v>
      </c>
      <c r="E3" s="17" t="s">
        <v>284</v>
      </c>
      <c r="F3" s="17" t="s">
        <v>285</v>
      </c>
      <c r="G3" s="17" t="s">
        <v>286</v>
      </c>
      <c r="H3" s="37" t="s">
        <v>287</v>
      </c>
    </row>
    <row r="4" customFormat="false" ht="32.8" hidden="false" customHeight="false" outlineLevel="0" collapsed="false">
      <c r="A4" s="33" t="s">
        <v>181</v>
      </c>
      <c r="B4" s="17" t="s">
        <v>288</v>
      </c>
      <c r="C4" s="17" t="s">
        <v>289</v>
      </c>
      <c r="D4" s="17" t="s">
        <v>290</v>
      </c>
      <c r="E4" s="17" t="s">
        <v>291</v>
      </c>
      <c r="F4" s="17" t="s">
        <v>292</v>
      </c>
      <c r="G4" s="17" t="s">
        <v>293</v>
      </c>
      <c r="H4" s="17" t="s">
        <v>294</v>
      </c>
    </row>
    <row r="5" customFormat="false" ht="32.8" hidden="false" customHeight="false" outlineLevel="0" collapsed="false">
      <c r="A5" s="33" t="s">
        <v>184</v>
      </c>
      <c r="B5" s="17" t="s">
        <v>295</v>
      </c>
      <c r="C5" s="17" t="s">
        <v>296</v>
      </c>
      <c r="D5" s="17" t="s">
        <v>297</v>
      </c>
      <c r="E5" s="17" t="s">
        <v>298</v>
      </c>
      <c r="F5" s="17" t="s">
        <v>299</v>
      </c>
      <c r="G5" s="17" t="s">
        <v>300</v>
      </c>
      <c r="H5" s="17" t="s">
        <v>301</v>
      </c>
    </row>
    <row r="6" customFormat="false" ht="32.8" hidden="false" customHeight="false" outlineLevel="0" collapsed="false">
      <c r="A6" s="33" t="s">
        <v>186</v>
      </c>
      <c r="B6" s="17" t="s">
        <v>302</v>
      </c>
      <c r="C6" s="17" t="s">
        <v>303</v>
      </c>
      <c r="D6" s="17" t="s">
        <v>283</v>
      </c>
      <c r="E6" s="17" t="s">
        <v>284</v>
      </c>
      <c r="F6" s="17" t="s">
        <v>304</v>
      </c>
      <c r="G6" s="17" t="s">
        <v>305</v>
      </c>
      <c r="H6" s="37" t="s">
        <v>280</v>
      </c>
    </row>
    <row r="7" customFormat="false" ht="32.8" hidden="false" customHeight="false" outlineLevel="0" collapsed="false">
      <c r="A7" s="33" t="s">
        <v>189</v>
      </c>
      <c r="B7" s="18" t="s">
        <v>306</v>
      </c>
      <c r="C7" s="17" t="s">
        <v>307</v>
      </c>
      <c r="D7" s="17" t="s">
        <v>308</v>
      </c>
      <c r="E7" s="17" t="s">
        <v>309</v>
      </c>
      <c r="F7" s="17" t="s">
        <v>310</v>
      </c>
      <c r="G7" s="17" t="s">
        <v>311</v>
      </c>
      <c r="H7" s="17" t="s">
        <v>312</v>
      </c>
    </row>
    <row r="8" customFormat="false" ht="32.8" hidden="false" customHeight="false" outlineLevel="0" collapsed="false">
      <c r="A8" s="33" t="s">
        <v>193</v>
      </c>
      <c r="B8" s="17" t="s">
        <v>313</v>
      </c>
      <c r="C8" s="17" t="s">
        <v>314</v>
      </c>
      <c r="D8" s="17" t="s">
        <v>315</v>
      </c>
      <c r="E8" s="17" t="s">
        <v>316</v>
      </c>
      <c r="F8" s="17" t="s">
        <v>317</v>
      </c>
      <c r="G8" s="17" t="s">
        <v>318</v>
      </c>
      <c r="H8" s="37" t="s">
        <v>319</v>
      </c>
    </row>
    <row r="9" customFormat="false" ht="32.8" hidden="false" customHeight="false" outlineLevel="0" collapsed="false">
      <c r="A9" s="33" t="s">
        <v>197</v>
      </c>
      <c r="B9" s="17" t="s">
        <v>320</v>
      </c>
      <c r="C9" s="17" t="s">
        <v>321</v>
      </c>
      <c r="D9" s="17" t="s">
        <v>322</v>
      </c>
      <c r="E9" s="17" t="s">
        <v>323</v>
      </c>
      <c r="F9" s="17" t="s">
        <v>324</v>
      </c>
      <c r="G9" s="17" t="s">
        <v>325</v>
      </c>
      <c r="H9" s="17" t="s">
        <v>312</v>
      </c>
    </row>
    <row r="10" customFormat="false" ht="32.8" hidden="false" customHeight="false" outlineLevel="0" collapsed="false">
      <c r="A10" s="33" t="s">
        <v>200</v>
      </c>
      <c r="B10" s="17" t="s">
        <v>326</v>
      </c>
      <c r="C10" s="17" t="s">
        <v>327</v>
      </c>
      <c r="D10" s="17" t="s">
        <v>328</v>
      </c>
      <c r="E10" s="17" t="s">
        <v>329</v>
      </c>
      <c r="F10" s="17" t="s">
        <v>330</v>
      </c>
      <c r="G10" s="17" t="s">
        <v>331</v>
      </c>
      <c r="H10" s="17" t="s">
        <v>332</v>
      </c>
    </row>
    <row r="11" customFormat="false" ht="32.8" hidden="false" customHeight="false" outlineLevel="0" collapsed="false">
      <c r="A11" s="33" t="s">
        <v>204</v>
      </c>
      <c r="B11" s="17" t="s">
        <v>333</v>
      </c>
      <c r="C11" s="17" t="s">
        <v>334</v>
      </c>
      <c r="D11" s="17" t="s">
        <v>335</v>
      </c>
      <c r="E11" s="17" t="s">
        <v>336</v>
      </c>
      <c r="F11" s="17" t="s">
        <v>337</v>
      </c>
      <c r="G11" s="17" t="s">
        <v>338</v>
      </c>
      <c r="H11" s="17" t="s">
        <v>339</v>
      </c>
    </row>
    <row r="12" customFormat="false" ht="32.8" hidden="false" customHeight="false" outlineLevel="0" collapsed="false">
      <c r="A12" s="36" t="s">
        <v>207</v>
      </c>
      <c r="B12" s="17" t="s">
        <v>340</v>
      </c>
      <c r="C12" s="17" t="s">
        <v>341</v>
      </c>
      <c r="D12" s="17" t="s">
        <v>342</v>
      </c>
      <c r="E12" s="17" t="s">
        <v>343</v>
      </c>
      <c r="F12" s="17" t="s">
        <v>344</v>
      </c>
      <c r="G12" s="17" t="s">
        <v>345</v>
      </c>
      <c r="H12" s="37" t="s">
        <v>346</v>
      </c>
    </row>
    <row r="13" customFormat="false" ht="64.15" hidden="false" customHeight="false" outlineLevel="0" collapsed="false">
      <c r="A13" s="36" t="s">
        <v>210</v>
      </c>
      <c r="B13" s="17" t="s">
        <v>347</v>
      </c>
      <c r="C13" s="17" t="s">
        <v>348</v>
      </c>
      <c r="D13" s="17" t="s">
        <v>349</v>
      </c>
      <c r="E13" s="17" t="s">
        <v>350</v>
      </c>
      <c r="F13" s="17" t="s">
        <v>351</v>
      </c>
      <c r="G13" s="17" t="s">
        <v>352</v>
      </c>
      <c r="H13" s="37" t="s">
        <v>353</v>
      </c>
    </row>
    <row r="15" customFormat="false" ht="17.15" hidden="false" customHeight="false" outlineLevel="0" collapsed="false">
      <c r="A15" s="38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8" min="6" style="0" width="30"/>
    <col collapsed="false" customWidth="true" hidden="false" outlineLevel="0" max="10" min="9" style="0" width="24"/>
  </cols>
  <sheetData>
    <row r="1" customFormat="false" ht="32.8" hidden="false" customHeight="false" outlineLevel="0" collapsed="false">
      <c r="A1" s="19" t="s">
        <v>355</v>
      </c>
      <c r="B1" s="19" t="s">
        <v>152</v>
      </c>
      <c r="C1" s="19" t="s">
        <v>153</v>
      </c>
      <c r="D1" s="19" t="s">
        <v>356</v>
      </c>
      <c r="E1" s="19" t="s">
        <v>267</v>
      </c>
      <c r="F1" s="19" t="s">
        <v>269</v>
      </c>
      <c r="G1" s="19" t="s">
        <v>270</v>
      </c>
      <c r="H1" s="19" t="s">
        <v>271</v>
      </c>
      <c r="I1" s="19" t="s">
        <v>357</v>
      </c>
      <c r="J1" s="19" t="s">
        <v>273</v>
      </c>
    </row>
    <row r="2" customFormat="false" ht="32.8" hidden="false" customHeight="false" outlineLevel="0" collapsed="false">
      <c r="A2" s="18" t="s">
        <v>358</v>
      </c>
      <c r="B2" s="33" t="s">
        <v>359</v>
      </c>
      <c r="C2" s="18" t="s">
        <v>185</v>
      </c>
      <c r="D2" s="17" t="s">
        <v>360</v>
      </c>
      <c r="E2" s="17" t="s">
        <v>361</v>
      </c>
      <c r="F2" s="17" t="s">
        <v>283</v>
      </c>
      <c r="G2" s="17" t="s">
        <v>362</v>
      </c>
      <c r="H2" s="17" t="s">
        <v>363</v>
      </c>
      <c r="I2" s="17" t="s">
        <v>364</v>
      </c>
      <c r="J2" s="37" t="s">
        <v>287</v>
      </c>
    </row>
    <row r="3" customFormat="false" ht="32.8" hidden="false" customHeight="false" outlineLevel="0" collapsed="false">
      <c r="A3" s="18" t="s">
        <v>358</v>
      </c>
      <c r="B3" s="33" t="s">
        <v>365</v>
      </c>
      <c r="C3" s="18" t="s">
        <v>366</v>
      </c>
      <c r="D3" s="17" t="s">
        <v>367</v>
      </c>
      <c r="E3" s="17" t="s">
        <v>368</v>
      </c>
      <c r="F3" s="17" t="s">
        <v>283</v>
      </c>
      <c r="G3" s="17" t="s">
        <v>369</v>
      </c>
      <c r="H3" s="18" t="s">
        <v>370</v>
      </c>
      <c r="I3" s="17" t="s">
        <v>371</v>
      </c>
      <c r="J3" s="37" t="s">
        <v>372</v>
      </c>
    </row>
    <row r="4" customFormat="false" ht="32.8" hidden="false" customHeight="false" outlineLevel="0" collapsed="false">
      <c r="A4" s="18" t="s">
        <v>373</v>
      </c>
      <c r="B4" s="33" t="s">
        <v>374</v>
      </c>
      <c r="C4" s="18" t="s">
        <v>375</v>
      </c>
      <c r="D4" s="17" t="s">
        <v>376</v>
      </c>
      <c r="E4" s="18" t="s">
        <v>377</v>
      </c>
      <c r="F4" s="17" t="s">
        <v>378</v>
      </c>
      <c r="G4" s="17" t="s">
        <v>379</v>
      </c>
      <c r="H4" s="17" t="s">
        <v>380</v>
      </c>
      <c r="I4" s="17" t="s">
        <v>381</v>
      </c>
      <c r="J4" s="17" t="s">
        <v>382</v>
      </c>
    </row>
    <row r="5" customFormat="false" ht="32.8" hidden="false" customHeight="false" outlineLevel="0" collapsed="false">
      <c r="A5" s="18" t="s">
        <v>373</v>
      </c>
      <c r="B5" s="33" t="s">
        <v>383</v>
      </c>
      <c r="C5" s="18" t="s">
        <v>190</v>
      </c>
      <c r="D5" s="17" t="s">
        <v>384</v>
      </c>
      <c r="E5" s="18" t="s">
        <v>385</v>
      </c>
      <c r="F5" s="17" t="s">
        <v>386</v>
      </c>
      <c r="G5" s="17" t="s">
        <v>387</v>
      </c>
      <c r="H5" s="18" t="s">
        <v>388</v>
      </c>
      <c r="I5" s="18" t="s">
        <v>389</v>
      </c>
      <c r="J5" s="37" t="s">
        <v>390</v>
      </c>
    </row>
    <row r="6" customFormat="false" ht="32.8" hidden="false" customHeight="false" outlineLevel="0" collapsed="false">
      <c r="A6" s="18" t="s">
        <v>391</v>
      </c>
      <c r="B6" s="33" t="s">
        <v>392</v>
      </c>
      <c r="C6" s="18" t="s">
        <v>393</v>
      </c>
      <c r="D6" s="17" t="s">
        <v>394</v>
      </c>
      <c r="E6" s="17" t="s">
        <v>395</v>
      </c>
      <c r="F6" s="17" t="s">
        <v>396</v>
      </c>
      <c r="G6" s="17" t="s">
        <v>397</v>
      </c>
      <c r="H6" s="17" t="s">
        <v>398</v>
      </c>
      <c r="I6" s="17" t="s">
        <v>399</v>
      </c>
      <c r="J6" s="17" t="s">
        <v>382</v>
      </c>
    </row>
    <row r="7" customFormat="false" ht="32.8" hidden="false" customHeight="false" outlineLevel="0" collapsed="false">
      <c r="A7" s="18" t="s">
        <v>391</v>
      </c>
      <c r="B7" s="33" t="s">
        <v>400</v>
      </c>
      <c r="C7" s="18" t="s">
        <v>401</v>
      </c>
      <c r="D7" s="17" t="s">
        <v>402</v>
      </c>
      <c r="E7" s="17" t="s">
        <v>403</v>
      </c>
      <c r="F7" s="17" t="s">
        <v>404</v>
      </c>
      <c r="G7" s="17" t="s">
        <v>405</v>
      </c>
      <c r="H7" s="17" t="s">
        <v>406</v>
      </c>
      <c r="I7" s="17" t="s">
        <v>407</v>
      </c>
      <c r="J7" s="17" t="s">
        <v>301</v>
      </c>
    </row>
    <row r="8" customFormat="false" ht="32.8" hidden="false" customHeight="false" outlineLevel="0" collapsed="false">
      <c r="A8" s="18" t="s">
        <v>408</v>
      </c>
      <c r="B8" s="33" t="s">
        <v>409</v>
      </c>
      <c r="C8" s="18" t="s">
        <v>201</v>
      </c>
      <c r="D8" s="17" t="s">
        <v>410</v>
      </c>
      <c r="E8" s="17" t="s">
        <v>411</v>
      </c>
      <c r="F8" s="17" t="s">
        <v>412</v>
      </c>
      <c r="G8" s="17" t="s">
        <v>413</v>
      </c>
      <c r="H8" s="17" t="s">
        <v>414</v>
      </c>
      <c r="I8" s="18" t="s">
        <v>415</v>
      </c>
      <c r="J8" s="17" t="s">
        <v>416</v>
      </c>
    </row>
    <row r="9" customFormat="false" ht="32.8" hidden="false" customHeight="false" outlineLevel="0" collapsed="false">
      <c r="A9" s="18" t="s">
        <v>408</v>
      </c>
      <c r="B9" s="33" t="s">
        <v>417</v>
      </c>
      <c r="C9" s="18" t="s">
        <v>418</v>
      </c>
      <c r="D9" s="17" t="s">
        <v>419</v>
      </c>
      <c r="E9" s="17" t="s">
        <v>420</v>
      </c>
      <c r="F9" s="17" t="s">
        <v>421</v>
      </c>
      <c r="G9" s="17" t="s">
        <v>422</v>
      </c>
      <c r="H9" s="18" t="s">
        <v>423</v>
      </c>
      <c r="I9" s="17" t="s">
        <v>424</v>
      </c>
      <c r="J9" s="17" t="s">
        <v>301</v>
      </c>
    </row>
    <row r="10" customFormat="false" ht="32.8" hidden="false" customHeight="false" outlineLevel="0" collapsed="false">
      <c r="A10" s="18" t="s">
        <v>425</v>
      </c>
      <c r="B10" s="33" t="s">
        <v>426</v>
      </c>
      <c r="C10" s="18" t="s">
        <v>427</v>
      </c>
      <c r="D10" s="17" t="s">
        <v>428</v>
      </c>
      <c r="E10" s="17" t="s">
        <v>429</v>
      </c>
      <c r="F10" s="17" t="s">
        <v>430</v>
      </c>
      <c r="G10" s="17" t="s">
        <v>431</v>
      </c>
      <c r="H10" s="17" t="s">
        <v>432</v>
      </c>
      <c r="I10" s="17" t="s">
        <v>433</v>
      </c>
      <c r="J10" s="17" t="s">
        <v>301</v>
      </c>
    </row>
    <row r="11" customFormat="false" ht="32.8" hidden="false" customHeight="false" outlineLevel="0" collapsed="false">
      <c r="A11" s="18" t="s">
        <v>425</v>
      </c>
      <c r="B11" s="33" t="s">
        <v>434</v>
      </c>
      <c r="C11" s="18" t="s">
        <v>418</v>
      </c>
      <c r="D11" s="17" t="s">
        <v>435</v>
      </c>
      <c r="E11" s="18" t="s">
        <v>436</v>
      </c>
      <c r="F11" s="17" t="s">
        <v>437</v>
      </c>
      <c r="G11" s="17" t="s">
        <v>438</v>
      </c>
      <c r="H11" s="18" t="s">
        <v>439</v>
      </c>
      <c r="I11" s="17" t="s">
        <v>440</v>
      </c>
      <c r="J11" s="17" t="s">
        <v>382</v>
      </c>
    </row>
    <row r="12" customFormat="false" ht="32.8" hidden="false" customHeight="false" outlineLevel="0" collapsed="false">
      <c r="A12" s="18" t="s">
        <v>441</v>
      </c>
      <c r="B12" s="33" t="s">
        <v>442</v>
      </c>
      <c r="C12" s="18" t="s">
        <v>198</v>
      </c>
      <c r="D12" s="17" t="s">
        <v>443</v>
      </c>
      <c r="E12" s="17" t="s">
        <v>444</v>
      </c>
      <c r="F12" s="17" t="s">
        <v>445</v>
      </c>
      <c r="G12" s="17" t="s">
        <v>446</v>
      </c>
      <c r="H12" s="17" t="s">
        <v>447</v>
      </c>
      <c r="I12" s="18" t="s">
        <v>448</v>
      </c>
      <c r="J12" s="17" t="s">
        <v>301</v>
      </c>
    </row>
    <row r="13" customFormat="false" ht="32.8" hidden="false" customHeight="false" outlineLevel="0" collapsed="false">
      <c r="A13" s="18" t="s">
        <v>441</v>
      </c>
      <c r="B13" s="33" t="s">
        <v>449</v>
      </c>
      <c r="C13" s="18" t="s">
        <v>450</v>
      </c>
      <c r="D13" s="17" t="s">
        <v>451</v>
      </c>
      <c r="E13" s="17" t="s">
        <v>452</v>
      </c>
      <c r="F13" s="17" t="s">
        <v>453</v>
      </c>
      <c r="G13" s="17" t="s">
        <v>454</v>
      </c>
      <c r="H13" s="17" t="s">
        <v>455</v>
      </c>
      <c r="I13" s="17" t="s">
        <v>456</v>
      </c>
      <c r="J13" s="17" t="s">
        <v>301</v>
      </c>
    </row>
    <row r="14" customFormat="false" ht="32.8" hidden="false" customHeight="false" outlineLevel="0" collapsed="false">
      <c r="A14" s="18" t="s">
        <v>457</v>
      </c>
      <c r="B14" s="36" t="s">
        <v>458</v>
      </c>
      <c r="C14" s="18" t="s">
        <v>459</v>
      </c>
      <c r="D14" s="17" t="s">
        <v>460</v>
      </c>
      <c r="E14" s="17" t="s">
        <v>461</v>
      </c>
      <c r="F14" s="17" t="s">
        <v>462</v>
      </c>
      <c r="G14" s="17" t="s">
        <v>463</v>
      </c>
      <c r="H14" s="17" t="s">
        <v>464</v>
      </c>
      <c r="I14" s="17" t="s">
        <v>465</v>
      </c>
      <c r="J14" s="17" t="s">
        <v>416</v>
      </c>
    </row>
    <row r="15" customFormat="false" ht="32.8" hidden="false" customHeight="false" outlineLevel="0" collapsed="false">
      <c r="A15" s="18" t="s">
        <v>457</v>
      </c>
      <c r="B15" s="36" t="s">
        <v>466</v>
      </c>
      <c r="C15" s="18" t="s">
        <v>467</v>
      </c>
      <c r="D15" s="17" t="s">
        <v>468</v>
      </c>
      <c r="E15" s="17" t="s">
        <v>469</v>
      </c>
      <c r="F15" s="17" t="s">
        <v>470</v>
      </c>
      <c r="G15" s="17" t="s">
        <v>471</v>
      </c>
      <c r="H15" s="17" t="s">
        <v>472</v>
      </c>
      <c r="I15" s="17" t="s">
        <v>473</v>
      </c>
      <c r="J15" s="37" t="s">
        <v>390</v>
      </c>
    </row>
    <row r="17" customFormat="false" ht="17.15" hidden="false" customHeight="false" outlineLevel="0" collapsed="false">
      <c r="A17" s="22" t="s">
        <v>474</v>
      </c>
    </row>
  </sheetData>
  <autoFilter ref="A1:J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M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13" min="4" style="0" width="13"/>
  </cols>
  <sheetData>
    <row r="1" customFormat="false" ht="60" hidden="false" customHeight="true" outlineLevel="0" collapsed="false">
      <c r="A1" s="19" t="s">
        <v>355</v>
      </c>
      <c r="B1" s="19" t="s">
        <v>152</v>
      </c>
      <c r="C1" s="19" t="s">
        <v>475</v>
      </c>
      <c r="D1" s="19" t="s">
        <v>476</v>
      </c>
      <c r="E1" s="19" t="s">
        <v>477</v>
      </c>
      <c r="F1" s="19" t="s">
        <v>478</v>
      </c>
      <c r="G1" s="19" t="s">
        <v>479</v>
      </c>
      <c r="H1" s="19" t="s">
        <v>480</v>
      </c>
      <c r="I1" s="19" t="s">
        <v>481</v>
      </c>
      <c r="J1" s="19" t="s">
        <v>482</v>
      </c>
      <c r="K1" s="19" t="s">
        <v>483</v>
      </c>
      <c r="L1" s="19" t="s">
        <v>484</v>
      </c>
      <c r="M1" s="19" t="s">
        <v>485</v>
      </c>
    </row>
    <row r="2" customFormat="false" ht="17.15" hidden="false" customHeight="false" outlineLevel="0" collapsed="false">
      <c r="A2" s="39" t="s">
        <v>358</v>
      </c>
      <c r="B2" s="25" t="s">
        <v>174</v>
      </c>
      <c r="C2" s="27" t="s">
        <v>486</v>
      </c>
      <c r="D2" s="40" t="n">
        <v>1</v>
      </c>
      <c r="E2" s="40" t="n">
        <v>1</v>
      </c>
      <c r="F2" s="41" t="s">
        <v>487</v>
      </c>
      <c r="G2" s="41" t="s">
        <v>487</v>
      </c>
      <c r="H2" s="41" t="s">
        <v>487</v>
      </c>
      <c r="I2" s="28" t="n">
        <v>0</v>
      </c>
      <c r="J2" s="28" t="n">
        <v>0</v>
      </c>
      <c r="K2" s="40" t="n">
        <v>1</v>
      </c>
      <c r="L2" s="28" t="n">
        <v>0</v>
      </c>
      <c r="M2" s="41" t="s">
        <v>487</v>
      </c>
    </row>
    <row r="3" customFormat="false" ht="17.15" hidden="false" customHeight="false" outlineLevel="0" collapsed="false">
      <c r="A3" s="39" t="s">
        <v>358</v>
      </c>
      <c r="B3" s="25" t="s">
        <v>178</v>
      </c>
      <c r="C3" s="27" t="s">
        <v>486</v>
      </c>
      <c r="D3" s="40" t="n">
        <v>1</v>
      </c>
      <c r="E3" s="40" t="n">
        <v>1</v>
      </c>
      <c r="F3" s="41" t="s">
        <v>487</v>
      </c>
      <c r="G3" s="41" t="s">
        <v>487</v>
      </c>
      <c r="H3" s="41" t="s">
        <v>487</v>
      </c>
      <c r="I3" s="28" t="n">
        <v>0</v>
      </c>
      <c r="J3" s="28" t="n">
        <v>0</v>
      </c>
      <c r="K3" s="40" t="n">
        <v>1</v>
      </c>
      <c r="L3" s="28" t="n">
        <v>0</v>
      </c>
      <c r="M3" s="41" t="s">
        <v>487</v>
      </c>
    </row>
    <row r="4" customFormat="false" ht="17.15" hidden="false" customHeight="false" outlineLevel="0" collapsed="false">
      <c r="A4" s="39" t="s">
        <v>358</v>
      </c>
      <c r="B4" s="25" t="s">
        <v>181</v>
      </c>
      <c r="C4" s="27" t="s">
        <v>486</v>
      </c>
      <c r="D4" s="40" t="n">
        <v>1</v>
      </c>
      <c r="E4" s="40" t="n">
        <v>1</v>
      </c>
      <c r="F4" s="41" t="s">
        <v>487</v>
      </c>
      <c r="G4" s="28" t="n">
        <v>0</v>
      </c>
      <c r="H4" s="28" t="n">
        <v>0</v>
      </c>
      <c r="I4" s="28" t="n">
        <v>0</v>
      </c>
      <c r="J4" s="28" t="n">
        <v>0</v>
      </c>
      <c r="K4" s="40" t="n">
        <v>1</v>
      </c>
      <c r="L4" s="28" t="n">
        <v>0</v>
      </c>
      <c r="M4" s="41" t="s">
        <v>487</v>
      </c>
    </row>
    <row r="5" customFormat="false" ht="17.15" hidden="false" customHeight="false" outlineLevel="0" collapsed="false">
      <c r="A5" s="39" t="s">
        <v>358</v>
      </c>
      <c r="B5" s="25" t="s">
        <v>184</v>
      </c>
      <c r="C5" s="27" t="s">
        <v>488</v>
      </c>
      <c r="D5" s="40" t="n">
        <v>1</v>
      </c>
      <c r="E5" s="40" t="n">
        <v>1</v>
      </c>
      <c r="F5" s="41" t="s">
        <v>487</v>
      </c>
      <c r="G5" s="41" t="s">
        <v>487</v>
      </c>
      <c r="H5" s="41" t="s">
        <v>487</v>
      </c>
      <c r="I5" s="28" t="n">
        <v>0</v>
      </c>
      <c r="J5" s="28" t="n">
        <v>0</v>
      </c>
      <c r="K5" s="40" t="n">
        <v>1</v>
      </c>
      <c r="L5" s="40" t="n">
        <v>1</v>
      </c>
      <c r="M5" s="41" t="s">
        <v>487</v>
      </c>
    </row>
    <row r="6" customFormat="false" ht="17.15" hidden="false" customHeight="false" outlineLevel="0" collapsed="false">
      <c r="A6" s="39" t="s">
        <v>358</v>
      </c>
      <c r="B6" s="25" t="s">
        <v>186</v>
      </c>
      <c r="C6" s="27" t="s">
        <v>486</v>
      </c>
      <c r="D6" s="40" t="n">
        <v>1</v>
      </c>
      <c r="E6" s="40" t="n">
        <v>1</v>
      </c>
      <c r="F6" s="41" t="s">
        <v>487</v>
      </c>
      <c r="G6" s="41" t="s">
        <v>487</v>
      </c>
      <c r="H6" s="41" t="s">
        <v>487</v>
      </c>
      <c r="I6" s="28" t="n">
        <v>0</v>
      </c>
      <c r="J6" s="28" t="n">
        <v>0</v>
      </c>
      <c r="K6" s="40" t="n">
        <v>1</v>
      </c>
      <c r="L6" s="28" t="n">
        <v>0</v>
      </c>
      <c r="M6" s="41" t="s">
        <v>487</v>
      </c>
    </row>
    <row r="7" customFormat="false" ht="17.15" hidden="false" customHeight="false" outlineLevel="0" collapsed="false">
      <c r="A7" s="39" t="s">
        <v>358</v>
      </c>
      <c r="B7" s="25" t="s">
        <v>359</v>
      </c>
      <c r="C7" s="42" t="s">
        <v>369</v>
      </c>
      <c r="D7" s="40" t="n">
        <v>1</v>
      </c>
      <c r="E7" s="40" t="n">
        <v>1</v>
      </c>
      <c r="F7" s="41" t="s">
        <v>487</v>
      </c>
      <c r="G7" s="41" t="s">
        <v>487</v>
      </c>
      <c r="H7" s="41" t="s">
        <v>487</v>
      </c>
      <c r="I7" s="28" t="n">
        <v>0</v>
      </c>
      <c r="J7" s="28" t="n">
        <v>0</v>
      </c>
      <c r="K7" s="41" t="s">
        <v>487</v>
      </c>
      <c r="L7" s="41" t="s">
        <v>487</v>
      </c>
      <c r="M7" s="41" t="s">
        <v>487</v>
      </c>
    </row>
    <row r="8" customFormat="false" ht="17.15" hidden="false" customHeight="false" outlineLevel="0" collapsed="false">
      <c r="A8" s="39" t="s">
        <v>358</v>
      </c>
      <c r="B8" s="25" t="s">
        <v>365</v>
      </c>
      <c r="C8" s="42" t="s">
        <v>369</v>
      </c>
      <c r="D8" s="40" t="n">
        <v>1</v>
      </c>
      <c r="E8" s="40" t="n">
        <v>1</v>
      </c>
      <c r="F8" s="41" t="s">
        <v>487</v>
      </c>
      <c r="G8" s="41" t="s">
        <v>487</v>
      </c>
      <c r="H8" s="41" t="s">
        <v>487</v>
      </c>
      <c r="I8" s="28" t="n">
        <v>0</v>
      </c>
      <c r="J8" s="28" t="n">
        <v>0</v>
      </c>
      <c r="K8" s="41" t="s">
        <v>487</v>
      </c>
      <c r="L8" s="41" t="s">
        <v>487</v>
      </c>
      <c r="M8" s="41" t="s">
        <v>487</v>
      </c>
    </row>
    <row r="9" customFormat="false" ht="17.15" hidden="false" customHeight="false" outlineLevel="0" collapsed="false">
      <c r="A9" s="39" t="s">
        <v>373</v>
      </c>
      <c r="B9" s="25" t="s">
        <v>189</v>
      </c>
      <c r="C9" s="27" t="s">
        <v>488</v>
      </c>
      <c r="D9" s="40" t="n">
        <v>1</v>
      </c>
      <c r="E9" s="40" t="n">
        <v>1</v>
      </c>
      <c r="F9" s="40" t="n">
        <v>1</v>
      </c>
      <c r="G9" s="41" t="s">
        <v>487</v>
      </c>
      <c r="H9" s="40" t="n">
        <v>1</v>
      </c>
      <c r="I9" s="28" t="n">
        <v>0</v>
      </c>
      <c r="J9" s="28" t="n">
        <v>0</v>
      </c>
      <c r="K9" s="28" t="n">
        <v>0</v>
      </c>
      <c r="L9" s="40" t="n">
        <v>1</v>
      </c>
      <c r="M9" s="40" t="n">
        <v>1</v>
      </c>
    </row>
    <row r="10" customFormat="false" ht="17.15" hidden="false" customHeight="false" outlineLevel="0" collapsed="false">
      <c r="A10" s="39" t="s">
        <v>373</v>
      </c>
      <c r="B10" s="25" t="s">
        <v>193</v>
      </c>
      <c r="C10" s="27" t="s">
        <v>488</v>
      </c>
      <c r="D10" s="40" t="n">
        <v>1</v>
      </c>
      <c r="E10" s="40" t="n">
        <v>1</v>
      </c>
      <c r="F10" s="40" t="n">
        <v>1</v>
      </c>
      <c r="G10" s="41" t="s">
        <v>487</v>
      </c>
      <c r="H10" s="41" t="s">
        <v>487</v>
      </c>
      <c r="I10" s="28" t="n">
        <v>0</v>
      </c>
      <c r="J10" s="28" t="n">
        <v>0</v>
      </c>
      <c r="K10" s="28" t="n">
        <v>0</v>
      </c>
      <c r="L10" s="40" t="n">
        <v>1</v>
      </c>
      <c r="M10" s="41" t="s">
        <v>487</v>
      </c>
    </row>
    <row r="11" customFormat="false" ht="17.15" hidden="false" customHeight="false" outlineLevel="0" collapsed="false">
      <c r="A11" s="39" t="s">
        <v>373</v>
      </c>
      <c r="B11" s="25" t="s">
        <v>374</v>
      </c>
      <c r="C11" s="27" t="s">
        <v>488</v>
      </c>
      <c r="D11" s="40" t="n">
        <v>1</v>
      </c>
      <c r="E11" s="40" t="n">
        <v>1</v>
      </c>
      <c r="F11" s="40" t="n">
        <v>1</v>
      </c>
      <c r="G11" s="28" t="n">
        <v>0</v>
      </c>
      <c r="H11" s="40" t="n">
        <v>1</v>
      </c>
      <c r="I11" s="28" t="n">
        <v>0</v>
      </c>
      <c r="J11" s="28" t="n">
        <v>0</v>
      </c>
      <c r="K11" s="28" t="n">
        <v>0</v>
      </c>
      <c r="L11" s="40" t="n">
        <v>1</v>
      </c>
      <c r="M11" s="40" t="n">
        <v>1</v>
      </c>
    </row>
    <row r="12" customFormat="false" ht="17.15" hidden="false" customHeight="false" outlineLevel="0" collapsed="false">
      <c r="A12" s="39" t="s">
        <v>373</v>
      </c>
      <c r="B12" s="25" t="s">
        <v>383</v>
      </c>
      <c r="C12" s="27" t="s">
        <v>488</v>
      </c>
      <c r="D12" s="40" t="n">
        <v>1</v>
      </c>
      <c r="E12" s="40" t="n">
        <v>1</v>
      </c>
      <c r="F12" s="40" t="n">
        <v>1</v>
      </c>
      <c r="G12" s="41" t="s">
        <v>487</v>
      </c>
      <c r="H12" s="41" t="s">
        <v>487</v>
      </c>
      <c r="I12" s="28" t="n">
        <v>0</v>
      </c>
      <c r="J12" s="28" t="n">
        <v>0</v>
      </c>
      <c r="K12" s="28" t="n">
        <v>0</v>
      </c>
      <c r="L12" s="40" t="n">
        <v>1</v>
      </c>
      <c r="M12" s="41" t="s">
        <v>487</v>
      </c>
    </row>
    <row r="13" customFormat="false" ht="17.15" hidden="false" customHeight="false" outlineLevel="0" collapsed="false">
      <c r="A13" s="39" t="s">
        <v>391</v>
      </c>
      <c r="B13" s="25" t="s">
        <v>197</v>
      </c>
      <c r="C13" s="27" t="s">
        <v>488</v>
      </c>
      <c r="D13" s="40" t="n">
        <v>1</v>
      </c>
      <c r="E13" s="40" t="n">
        <v>1</v>
      </c>
      <c r="F13" s="40" t="n">
        <v>1</v>
      </c>
      <c r="G13" s="40" t="n">
        <v>1</v>
      </c>
      <c r="H13" s="40" t="n">
        <v>1</v>
      </c>
      <c r="I13" s="40" t="n">
        <v>1</v>
      </c>
      <c r="J13" s="40" t="n">
        <v>1</v>
      </c>
      <c r="K13" s="28" t="n">
        <v>0</v>
      </c>
      <c r="L13" s="40" t="n">
        <v>1</v>
      </c>
      <c r="M13" s="40" t="n">
        <v>1</v>
      </c>
    </row>
    <row r="14" customFormat="false" ht="17.15" hidden="false" customHeight="false" outlineLevel="0" collapsed="false">
      <c r="A14" s="39" t="s">
        <v>391</v>
      </c>
      <c r="B14" s="25" t="s">
        <v>392</v>
      </c>
      <c r="C14" s="27" t="s">
        <v>488</v>
      </c>
      <c r="D14" s="40" t="n">
        <v>1</v>
      </c>
      <c r="E14" s="40" t="n">
        <v>1</v>
      </c>
      <c r="F14" s="40" t="n">
        <v>1</v>
      </c>
      <c r="G14" s="40" t="n">
        <v>1</v>
      </c>
      <c r="H14" s="40" t="n">
        <v>1</v>
      </c>
      <c r="I14" s="41" t="s">
        <v>487</v>
      </c>
      <c r="J14" s="40" t="n">
        <v>1</v>
      </c>
      <c r="K14" s="28" t="n">
        <v>0</v>
      </c>
      <c r="L14" s="40" t="n">
        <v>1</v>
      </c>
      <c r="M14" s="40" t="n">
        <v>1</v>
      </c>
    </row>
    <row r="15" customFormat="false" ht="17.15" hidden="false" customHeight="false" outlineLevel="0" collapsed="false">
      <c r="A15" s="39" t="s">
        <v>391</v>
      </c>
      <c r="B15" s="25" t="s">
        <v>400</v>
      </c>
      <c r="C15" s="42" t="s">
        <v>369</v>
      </c>
      <c r="D15" s="40" t="n">
        <v>1</v>
      </c>
      <c r="E15" s="40" t="n">
        <v>1</v>
      </c>
      <c r="F15" s="40" t="n">
        <v>1</v>
      </c>
      <c r="G15" s="41" t="s">
        <v>487</v>
      </c>
      <c r="H15" s="40" t="n">
        <v>1</v>
      </c>
      <c r="I15" s="28" t="n">
        <v>0</v>
      </c>
      <c r="J15" s="40" t="n">
        <v>1</v>
      </c>
      <c r="K15" s="28" t="n">
        <v>0</v>
      </c>
      <c r="L15" s="40" t="n">
        <v>1</v>
      </c>
      <c r="M15" s="40" t="n">
        <v>1</v>
      </c>
    </row>
    <row r="16" customFormat="false" ht="17.15" hidden="false" customHeight="false" outlineLevel="0" collapsed="false">
      <c r="A16" s="39" t="s">
        <v>408</v>
      </c>
      <c r="B16" s="25" t="s">
        <v>200</v>
      </c>
      <c r="C16" s="27" t="s">
        <v>488</v>
      </c>
      <c r="D16" s="28" t="n">
        <v>0</v>
      </c>
      <c r="E16" s="28" t="n">
        <v>0</v>
      </c>
      <c r="F16" s="40" t="n">
        <v>1</v>
      </c>
      <c r="G16" s="40" t="n">
        <v>1</v>
      </c>
      <c r="H16" s="40" t="n">
        <v>1</v>
      </c>
      <c r="I16" s="28" t="n">
        <v>0</v>
      </c>
      <c r="J16" s="40" t="n">
        <v>1</v>
      </c>
      <c r="K16" s="28" t="n">
        <v>0</v>
      </c>
      <c r="L16" s="40" t="n">
        <v>1</v>
      </c>
      <c r="M16" s="40" t="n">
        <v>1</v>
      </c>
    </row>
    <row r="17" customFormat="false" ht="17.15" hidden="false" customHeight="false" outlineLevel="0" collapsed="false">
      <c r="A17" s="39" t="s">
        <v>408</v>
      </c>
      <c r="B17" s="25" t="s">
        <v>409</v>
      </c>
      <c r="C17" s="27" t="s">
        <v>488</v>
      </c>
      <c r="D17" s="28" t="n">
        <v>0</v>
      </c>
      <c r="E17" s="28" t="n">
        <v>0</v>
      </c>
      <c r="F17" s="40" t="n">
        <v>1</v>
      </c>
      <c r="G17" s="40" t="n">
        <v>1</v>
      </c>
      <c r="H17" s="40" t="n">
        <v>1</v>
      </c>
      <c r="I17" s="28" t="n">
        <v>0</v>
      </c>
      <c r="J17" s="41" t="s">
        <v>487</v>
      </c>
      <c r="K17" s="28" t="n">
        <v>0</v>
      </c>
      <c r="L17" s="40" t="n">
        <v>1</v>
      </c>
      <c r="M17" s="41" t="s">
        <v>487</v>
      </c>
    </row>
    <row r="18" customFormat="false" ht="17.15" hidden="false" customHeight="false" outlineLevel="0" collapsed="false">
      <c r="A18" s="39" t="s">
        <v>408</v>
      </c>
      <c r="B18" s="25" t="s">
        <v>417</v>
      </c>
      <c r="C18" s="42" t="s">
        <v>369</v>
      </c>
      <c r="D18" s="28" t="n">
        <v>0</v>
      </c>
      <c r="E18" s="40" t="n">
        <v>1</v>
      </c>
      <c r="F18" s="40" t="n">
        <v>1</v>
      </c>
      <c r="G18" s="40" t="n">
        <v>1</v>
      </c>
      <c r="H18" s="40" t="n">
        <v>1</v>
      </c>
      <c r="I18" s="28" t="n">
        <v>0</v>
      </c>
      <c r="J18" s="40" t="n">
        <v>1</v>
      </c>
      <c r="K18" s="28" t="n">
        <v>0</v>
      </c>
      <c r="L18" s="40" t="n">
        <v>1</v>
      </c>
      <c r="M18" s="40" t="n">
        <v>1</v>
      </c>
    </row>
    <row r="19" customFormat="false" ht="17.15" hidden="false" customHeight="false" outlineLevel="0" collapsed="false">
      <c r="A19" s="39" t="s">
        <v>425</v>
      </c>
      <c r="B19" s="25" t="s">
        <v>204</v>
      </c>
      <c r="C19" s="27" t="s">
        <v>488</v>
      </c>
      <c r="D19" s="28" t="n">
        <v>0</v>
      </c>
      <c r="E19" s="40" t="n">
        <v>1</v>
      </c>
      <c r="F19" s="40" t="n">
        <v>1</v>
      </c>
      <c r="G19" s="40" t="n">
        <v>1</v>
      </c>
      <c r="H19" s="40" t="n">
        <v>1</v>
      </c>
      <c r="I19" s="40" t="n">
        <v>1</v>
      </c>
      <c r="J19" s="41" t="s">
        <v>487</v>
      </c>
      <c r="K19" s="28" t="n">
        <v>0</v>
      </c>
      <c r="L19" s="40" t="n">
        <v>1</v>
      </c>
      <c r="M19" s="40" t="n">
        <v>1</v>
      </c>
    </row>
    <row r="20" customFormat="false" ht="17.15" hidden="false" customHeight="false" outlineLevel="0" collapsed="false">
      <c r="A20" s="39" t="s">
        <v>425</v>
      </c>
      <c r="B20" s="25" t="s">
        <v>426</v>
      </c>
      <c r="C20" s="42" t="s">
        <v>369</v>
      </c>
      <c r="D20" s="28" t="n">
        <v>0</v>
      </c>
      <c r="E20" s="28" t="n">
        <v>0</v>
      </c>
      <c r="F20" s="40" t="n">
        <v>1</v>
      </c>
      <c r="G20" s="40" t="n">
        <v>1</v>
      </c>
      <c r="H20" s="40" t="n">
        <v>1</v>
      </c>
      <c r="I20" s="40" t="n">
        <v>1</v>
      </c>
      <c r="J20" s="28" t="n">
        <v>0</v>
      </c>
      <c r="K20" s="28" t="n">
        <v>0</v>
      </c>
      <c r="L20" s="40" t="n">
        <v>1</v>
      </c>
      <c r="M20" s="40" t="n">
        <v>1</v>
      </c>
    </row>
    <row r="21" customFormat="false" ht="17.15" hidden="false" customHeight="false" outlineLevel="0" collapsed="false">
      <c r="A21" s="39" t="s">
        <v>425</v>
      </c>
      <c r="B21" s="25" t="s">
        <v>434</v>
      </c>
      <c r="C21" s="27" t="s">
        <v>488</v>
      </c>
      <c r="D21" s="28" t="n">
        <v>0</v>
      </c>
      <c r="E21" s="40" t="n">
        <v>1</v>
      </c>
      <c r="F21" s="40" t="n">
        <v>1</v>
      </c>
      <c r="G21" s="40" t="n">
        <v>1</v>
      </c>
      <c r="H21" s="40" t="n">
        <v>1</v>
      </c>
      <c r="I21" s="41" t="s">
        <v>487</v>
      </c>
      <c r="J21" s="41" t="s">
        <v>487</v>
      </c>
      <c r="K21" s="28" t="n">
        <v>0</v>
      </c>
      <c r="L21" s="40" t="n">
        <v>1</v>
      </c>
      <c r="M21" s="40" t="n">
        <v>1</v>
      </c>
    </row>
    <row r="22" customFormat="false" ht="17.15" hidden="false" customHeight="false" outlineLevel="0" collapsed="false">
      <c r="A22" s="39" t="s">
        <v>441</v>
      </c>
      <c r="B22" s="32" t="s">
        <v>207</v>
      </c>
      <c r="C22" s="27" t="s">
        <v>488</v>
      </c>
      <c r="D22" s="41" t="s">
        <v>487</v>
      </c>
      <c r="E22" s="41" t="s">
        <v>487</v>
      </c>
      <c r="F22" s="41" t="s">
        <v>487</v>
      </c>
      <c r="G22" s="41" t="s">
        <v>487</v>
      </c>
      <c r="H22" s="41" t="s">
        <v>487</v>
      </c>
      <c r="I22" s="40" t="n">
        <v>1</v>
      </c>
      <c r="J22" s="41" t="s">
        <v>487</v>
      </c>
      <c r="K22" s="28" t="n">
        <v>0</v>
      </c>
      <c r="L22" s="41" t="s">
        <v>487</v>
      </c>
      <c r="M22" s="41" t="s">
        <v>487</v>
      </c>
    </row>
    <row r="23" customFormat="false" ht="17.15" hidden="false" customHeight="false" outlineLevel="0" collapsed="false">
      <c r="A23" s="39" t="s">
        <v>441</v>
      </c>
      <c r="B23" s="25" t="s">
        <v>442</v>
      </c>
      <c r="C23" s="42" t="s">
        <v>369</v>
      </c>
      <c r="D23" s="40" t="n">
        <v>1</v>
      </c>
      <c r="E23" s="40" t="n">
        <v>1</v>
      </c>
      <c r="F23" s="40" t="n">
        <v>1</v>
      </c>
      <c r="G23" s="40" t="n">
        <v>1</v>
      </c>
      <c r="H23" s="40" t="n">
        <v>1</v>
      </c>
      <c r="I23" s="40" t="n">
        <v>1</v>
      </c>
      <c r="J23" s="28" t="n">
        <v>0</v>
      </c>
      <c r="K23" s="28" t="n">
        <v>0</v>
      </c>
      <c r="L23" s="40" t="n">
        <v>1</v>
      </c>
      <c r="M23" s="40" t="n">
        <v>1</v>
      </c>
    </row>
    <row r="24" customFormat="false" ht="17.15" hidden="false" customHeight="false" outlineLevel="0" collapsed="false">
      <c r="A24" s="39" t="s">
        <v>441</v>
      </c>
      <c r="B24" s="25" t="s">
        <v>449</v>
      </c>
      <c r="C24" s="42" t="s">
        <v>369</v>
      </c>
      <c r="D24" s="40" t="n">
        <v>1</v>
      </c>
      <c r="E24" s="40" t="n">
        <v>1</v>
      </c>
      <c r="F24" s="41" t="s">
        <v>487</v>
      </c>
      <c r="G24" s="40" t="n">
        <v>1</v>
      </c>
      <c r="H24" s="40" t="n">
        <v>1</v>
      </c>
      <c r="I24" s="40" t="n">
        <v>1</v>
      </c>
      <c r="J24" s="40" t="n">
        <v>1</v>
      </c>
      <c r="K24" s="28" t="n">
        <v>0</v>
      </c>
      <c r="L24" s="40" t="n">
        <v>1</v>
      </c>
      <c r="M24" s="41" t="s">
        <v>487</v>
      </c>
    </row>
    <row r="25" customFormat="false" ht="17.15" hidden="false" customHeight="false" outlineLevel="0" collapsed="false">
      <c r="A25" s="39" t="s">
        <v>457</v>
      </c>
      <c r="B25" s="32" t="s">
        <v>210</v>
      </c>
      <c r="C25" s="27" t="s">
        <v>488</v>
      </c>
      <c r="D25" s="41" t="s">
        <v>487</v>
      </c>
      <c r="E25" s="41" t="s">
        <v>487</v>
      </c>
      <c r="F25" s="40" t="n">
        <v>1</v>
      </c>
      <c r="G25" s="41" t="s">
        <v>487</v>
      </c>
      <c r="H25" s="41" t="s">
        <v>487</v>
      </c>
      <c r="I25" s="28" t="n">
        <v>0</v>
      </c>
      <c r="J25" s="40" t="n">
        <v>1</v>
      </c>
      <c r="K25" s="28" t="n">
        <v>0</v>
      </c>
      <c r="L25" s="40" t="n">
        <v>1</v>
      </c>
      <c r="M25" s="41" t="s">
        <v>487</v>
      </c>
    </row>
    <row r="26" customFormat="false" ht="17.15" hidden="false" customHeight="false" outlineLevel="0" collapsed="false">
      <c r="A26" s="39" t="s">
        <v>457</v>
      </c>
      <c r="B26" s="32" t="s">
        <v>458</v>
      </c>
      <c r="C26" s="27" t="s">
        <v>488</v>
      </c>
      <c r="D26" s="40" t="n">
        <v>1</v>
      </c>
      <c r="E26" s="41" t="s">
        <v>487</v>
      </c>
      <c r="F26" s="40" t="n">
        <v>1</v>
      </c>
      <c r="G26" s="41" t="s">
        <v>487</v>
      </c>
      <c r="H26" s="40" t="n">
        <v>1</v>
      </c>
      <c r="I26" s="40" t="n">
        <v>1</v>
      </c>
      <c r="J26" s="40" t="n">
        <v>1</v>
      </c>
      <c r="K26" s="28" t="n">
        <v>0</v>
      </c>
      <c r="L26" s="40" t="n">
        <v>1</v>
      </c>
      <c r="M26" s="41" t="s">
        <v>487</v>
      </c>
    </row>
    <row r="27" customFormat="false" ht="17.15" hidden="false" customHeight="false" outlineLevel="0" collapsed="false">
      <c r="A27" s="39" t="s">
        <v>457</v>
      </c>
      <c r="B27" s="32" t="s">
        <v>466</v>
      </c>
      <c r="C27" s="27" t="s">
        <v>488</v>
      </c>
      <c r="D27" s="41" t="s">
        <v>487</v>
      </c>
      <c r="E27" s="41" t="s">
        <v>487</v>
      </c>
      <c r="F27" s="40" t="n">
        <v>1</v>
      </c>
      <c r="G27" s="40" t="n">
        <v>1</v>
      </c>
      <c r="H27" s="41" t="s">
        <v>487</v>
      </c>
      <c r="I27" s="28" t="n">
        <v>0</v>
      </c>
      <c r="J27" s="40" t="n">
        <v>1</v>
      </c>
      <c r="K27" s="28" t="n">
        <v>0</v>
      </c>
      <c r="L27" s="40" t="n">
        <v>1</v>
      </c>
      <c r="M27" s="40" t="n">
        <v>1</v>
      </c>
    </row>
    <row r="29" customFormat="false" ht="19.4" hidden="false" customHeight="false" outlineLevel="0" collapsed="false">
      <c r="A29" s="43" t="s">
        <v>489</v>
      </c>
    </row>
    <row r="30" customFormat="false" ht="31.5" hidden="false" customHeight="true" outlineLevel="0" collapsed="false">
      <c r="A30" s="44" t="s">
        <v>490</v>
      </c>
      <c r="B30" s="45" t="s">
        <v>491</v>
      </c>
      <c r="C30" s="44" t="s">
        <v>492</v>
      </c>
      <c r="D30" s="44" t="s">
        <v>493</v>
      </c>
      <c r="E30" s="44" t="s">
        <v>494</v>
      </c>
      <c r="F30" s="44" t="s">
        <v>495</v>
      </c>
    </row>
    <row r="31" customFormat="false" ht="15" hidden="false" customHeight="false" outlineLevel="0" collapsed="false">
      <c r="A31" s="46" t="s">
        <v>476</v>
      </c>
      <c r="B31" s="47" t="n">
        <f aca="false">COUNTIF($D$2:$D$27,1)</f>
        <v>17</v>
      </c>
      <c r="C31" s="48" t="n">
        <f aca="false">IFERROR(COUNTIF($D$2:$D$27,1)/(COUNTIF($D$2:$D$27,1)+COUNTIF($D$2:$D$27,0)),"-")</f>
        <v>0.739130434782609</v>
      </c>
      <c r="D31" s="48" t="n">
        <f aca="false">IFERROR(COUNTIFS($D$2:$D$27,1,$C$2:$C$27,"예")/(COUNTIFS($D$2:$D$27,1,$C$2:$C$27,"예")+COUNTIFS($D$2:$D$27,0,$C$2:$C$27,"예")),"-")</f>
        <v>0.666666666666667</v>
      </c>
      <c r="E31" s="48" t="n">
        <f aca="false">IFERROR(COUNTIFS($D$2:$D$27,1,$C$2:$C$27,"아니오")/(COUNTIFS($D$2:$D$27,1,$C$2:$C$27,"아니오")+COUNTIFS($D$2:$D$27,0,$C$2:$C$27,"아니오")),"-")</f>
        <v>1</v>
      </c>
      <c r="F31" s="48" t="n">
        <f aca="false">IFERROR(D31-E31,"-")</f>
        <v>-0.333333333333333</v>
      </c>
    </row>
    <row r="32" customFormat="false" ht="17.15" hidden="false" customHeight="false" outlineLevel="0" collapsed="false">
      <c r="A32" s="46" t="s">
        <v>496</v>
      </c>
      <c r="B32" s="47" t="n">
        <f aca="false">COUNTIF($E$2:$E$27,1)</f>
        <v>19</v>
      </c>
      <c r="C32" s="48" t="n">
        <f aca="false">IFERROR(COUNTIF($E$2:$E$27,1)/(COUNTIF($E$2:$E$27,1)+COUNTIF($E$2:$E$27,0)),"-")</f>
        <v>0.863636363636364</v>
      </c>
      <c r="D32" s="48" t="n">
        <f aca="false">IFERROR(COUNTIFS($E$2:$E$27,1,$C$2:$C$27,"예")/(COUNTIFS($E$2:$E$27,1,$C$2:$C$27,"예")+COUNTIFS($E$2:$E$27,0,$C$2:$C$27,"예")),"-")</f>
        <v>0.818181818181818</v>
      </c>
      <c r="E32" s="48" t="n">
        <f aca="false">IFERROR(COUNTIFS($E$2:$E$27,1,$C$2:$C$27,"아니오")/(COUNTIFS($E$2:$E$27,1,$C$2:$C$27,"아니오")+COUNTIFS($E$2:$E$27,0,$C$2:$C$27,"아니오")),"-")</f>
        <v>1</v>
      </c>
      <c r="F32" s="48" t="n">
        <f aca="false">IFERROR(D32-E32,"-")</f>
        <v>-0.181818181818182</v>
      </c>
    </row>
    <row r="33" customFormat="false" ht="17.15" hidden="false" customHeight="false" outlineLevel="0" collapsed="false">
      <c r="A33" s="46" t="s">
        <v>497</v>
      </c>
      <c r="B33" s="47" t="n">
        <f aca="false">COUNTIF($F$2:$F$27,1)</f>
        <v>17</v>
      </c>
      <c r="C33" s="48" t="n">
        <f aca="false">IFERROR(COUNTIF($F$2:$F$27,1)/(COUNTIF($F$2:$F$27,1)+COUNTIF($F$2:$F$27,0)),"-")</f>
        <v>1</v>
      </c>
      <c r="D33" s="48" t="n">
        <f aca="false">IFERROR(COUNTIFS($F$2:$F$27,1,$C$2:$C$27,"예")/(COUNTIFS($F$2:$F$27,1,$C$2:$C$27,"예")+COUNTIFS($F$2:$F$27,0,$C$2:$C$27,"예")),"-")</f>
        <v>1</v>
      </c>
      <c r="E33" s="48" t="str">
        <f aca="false">IFERROR(COUNTIFS($F$2:$F$27,1,$C$2:$C$27,"아니오")/(COUNTIFS($F$2:$F$27,1,$C$2:$C$27,"아니오")+COUNTIFS($F$2:$F$27,0,$C$2:$C$27,"아니오")),"-")</f>
        <v>-</v>
      </c>
      <c r="F33" s="48" t="str">
        <f aca="false">IFERROR(D33-E33,"-")</f>
        <v>-</v>
      </c>
    </row>
    <row r="34" customFormat="false" ht="15" hidden="false" customHeight="false" outlineLevel="0" collapsed="false">
      <c r="A34" s="46" t="s">
        <v>479</v>
      </c>
      <c r="B34" s="47" t="n">
        <f aca="false">COUNTIF($G$2:$G$27,1)</f>
        <v>11</v>
      </c>
      <c r="C34" s="48" t="n">
        <f aca="false">IFERROR(COUNTIF($G$2:$G$27,1)/(COUNTIF($G$2:$G$27,1)+COUNTIF($G$2:$G$27,0)),"-")</f>
        <v>0.846153846153846</v>
      </c>
      <c r="D34" s="48" t="n">
        <f aca="false">IFERROR(COUNTIFS($G$2:$G$27,1,$C$2:$C$27,"예")/(COUNTIFS($G$2:$G$27,1,$C$2:$C$27,"예")+COUNTIFS($G$2:$G$27,0,$C$2:$C$27,"예")),"-")</f>
        <v>0.875</v>
      </c>
      <c r="E34" s="48" t="n">
        <f aca="false">IFERROR(COUNTIFS($G$2:$G$27,1,$C$2:$C$27,"아니오")/(COUNTIFS($G$2:$G$27,1,$C$2:$C$27,"아니오")+COUNTIFS($G$2:$G$27,0,$C$2:$C$27,"아니오")),"-")</f>
        <v>0</v>
      </c>
      <c r="F34" s="48" t="n">
        <f aca="false">IFERROR(D34-E34,"-")</f>
        <v>0.875</v>
      </c>
    </row>
    <row r="35" customFormat="false" ht="17.15" hidden="false" customHeight="false" outlineLevel="0" collapsed="false">
      <c r="A35" s="46" t="s">
        <v>498</v>
      </c>
      <c r="B35" s="47" t="n">
        <f aca="false">COUNTIF($H$2:$H$27,1)</f>
        <v>14</v>
      </c>
      <c r="C35" s="48" t="n">
        <f aca="false">IFERROR(COUNTIF($H$2:$H$27,1)/(COUNTIF($H$2:$H$27,1)+COUNTIF($H$2:$H$27,0)),"-")</f>
        <v>0.933333333333333</v>
      </c>
      <c r="D35" s="48" t="n">
        <f aca="false">IFERROR(COUNTIFS($H$2:$H$27,1,$C$2:$C$27,"예")/(COUNTIFS($H$2:$H$27,1,$C$2:$C$27,"예")+COUNTIFS($H$2:$H$27,0,$C$2:$C$27,"예")),"-")</f>
        <v>1</v>
      </c>
      <c r="E35" s="48" t="n">
        <f aca="false">IFERROR(COUNTIFS($H$2:$H$27,1,$C$2:$C$27,"아니오")/(COUNTIFS($H$2:$H$27,1,$C$2:$C$27,"아니오")+COUNTIFS($H$2:$H$27,0,$C$2:$C$27,"아니오")),"-")</f>
        <v>0</v>
      </c>
      <c r="F35" s="48" t="n">
        <f aca="false">IFERROR(D35-E35,"-")</f>
        <v>1</v>
      </c>
    </row>
    <row r="36" customFormat="false" ht="17.15" hidden="false" customHeight="false" outlineLevel="0" collapsed="false">
      <c r="A36" s="46" t="s">
        <v>499</v>
      </c>
      <c r="B36" s="47" t="n">
        <f aca="false">COUNTIF($I$2:$I$27,1)</f>
        <v>7</v>
      </c>
      <c r="C36" s="48" t="n">
        <f aca="false">IFERROR(COUNTIF($I$2:$I$27,1)/(COUNTIF($I$2:$I$27,1)+COUNTIF($I$2:$I$27,0)),"-")</f>
        <v>0.291666666666667</v>
      </c>
      <c r="D36" s="48" t="n">
        <f aca="false">IFERROR(COUNTIFS($I$2:$I$27,1,$C$2:$C$27,"예")/(COUNTIFS($I$2:$I$27,1,$C$2:$C$27,"예")+COUNTIFS($I$2:$I$27,0,$C$2:$C$27,"예")),"-")</f>
        <v>0.307692307692308</v>
      </c>
      <c r="E36" s="48" t="n">
        <f aca="false">IFERROR(COUNTIFS($I$2:$I$27,1,$C$2:$C$27,"아니오")/(COUNTIFS($I$2:$I$27,1,$C$2:$C$27,"아니오")+COUNTIFS($I$2:$I$27,0,$C$2:$C$27,"아니오")),"-")</f>
        <v>0</v>
      </c>
      <c r="F36" s="48" t="n">
        <f aca="false">IFERROR(D36-E36,"-")</f>
        <v>0.307692307692308</v>
      </c>
    </row>
    <row r="37" customFormat="false" ht="17.15" hidden="false" customHeight="false" outlineLevel="0" collapsed="false">
      <c r="A37" s="46" t="s">
        <v>500</v>
      </c>
      <c r="B37" s="47" t="n">
        <f aca="false">COUNTIF($J$2:$J$27,1)</f>
        <v>9</v>
      </c>
      <c r="C37" s="48" t="n">
        <f aca="false">IFERROR(COUNTIF($J$2:$J$27,1)/(COUNTIF($J$2:$J$27,1)+COUNTIF($J$2:$J$27,0)),"-")</f>
        <v>0.409090909090909</v>
      </c>
      <c r="D37" s="48" t="n">
        <f aca="false">IFERROR(COUNTIFS($J$2:$J$27,1,$C$2:$C$27,"예")/(COUNTIFS($J$2:$J$27,1,$C$2:$C$27,"예")+COUNTIFS($J$2:$J$27,0,$C$2:$C$27,"예")),"-")</f>
        <v>0.545454545454545</v>
      </c>
      <c r="E37" s="48" t="n">
        <f aca="false">IFERROR(COUNTIFS($J$2:$J$27,1,$C$2:$C$27,"아니오")/(COUNTIFS($J$2:$J$27,1,$C$2:$C$27,"아니오")+COUNTIFS($J$2:$J$27,0,$C$2:$C$27,"아니오")),"-")</f>
        <v>0</v>
      </c>
      <c r="F37" s="48" t="n">
        <f aca="false">IFERROR(D37-E37,"-")</f>
        <v>0.545454545454545</v>
      </c>
    </row>
    <row r="38" customFormat="false" ht="15" hidden="false" customHeight="false" outlineLevel="0" collapsed="false">
      <c r="A38" s="46" t="s">
        <v>483</v>
      </c>
      <c r="B38" s="47" t="n">
        <f aca="false">COUNTIF($K$2:$K$27,1)</f>
        <v>5</v>
      </c>
      <c r="C38" s="48" t="n">
        <f aca="false">IFERROR(COUNTIF($K$2:$K$27,1)/(COUNTIF($K$2:$K$27,1)+COUNTIF($K$2:$K$27,0)),"-")</f>
        <v>0.208333333333333</v>
      </c>
      <c r="D38" s="48" t="n">
        <f aca="false">IFERROR(COUNTIFS($K$2:$K$27,1,$C$2:$C$27,"예")/(COUNTIFS($K$2:$K$27,1,$C$2:$C$27,"예")+COUNTIFS($K$2:$K$27,0,$C$2:$C$27,"예")),"-")</f>
        <v>0.0666666666666667</v>
      </c>
      <c r="E38" s="48" t="n">
        <f aca="false">IFERROR(COUNTIFS($K$2:$K$27,1,$C$2:$C$27,"아니오")/(COUNTIFS($K$2:$K$27,1,$C$2:$C$27,"아니오")+COUNTIFS($K$2:$K$27,0,$C$2:$C$27,"아니오")),"-")</f>
        <v>1</v>
      </c>
      <c r="F38" s="48" t="n">
        <f aca="false">IFERROR(D38-E38,"-")</f>
        <v>-0.933333333333333</v>
      </c>
    </row>
    <row r="39" customFormat="false" ht="15" hidden="false" customHeight="false" outlineLevel="0" collapsed="false">
      <c r="A39" s="46" t="s">
        <v>484</v>
      </c>
      <c r="B39" s="47" t="n">
        <f aca="false">COUNTIF($L$2:$L$27,1)</f>
        <v>19</v>
      </c>
      <c r="C39" s="48" t="n">
        <f aca="false">IFERROR(COUNTIF($L$2:$L$27,1)/(COUNTIF($L$2:$L$27,1)+COUNTIF($L$2:$L$27,0)),"-")</f>
        <v>0.826086956521739</v>
      </c>
      <c r="D39" s="48" t="n">
        <f aca="false">IFERROR(COUNTIFS($L$2:$L$27,1,$C$2:$C$27,"예")/(COUNTIFS($L$2:$L$27,1,$C$2:$C$27,"예")+COUNTIFS($L$2:$L$27,0,$C$2:$C$27,"예")),"-")</f>
        <v>1</v>
      </c>
      <c r="E39" s="48" t="n">
        <f aca="false">IFERROR(COUNTIFS($L$2:$L$27,1,$C$2:$C$27,"아니오")/(COUNTIFS($L$2:$L$27,1,$C$2:$C$27,"아니오")+COUNTIFS($L$2:$L$27,0,$C$2:$C$27,"아니오")),"-")</f>
        <v>0</v>
      </c>
      <c r="F39" s="48" t="n">
        <f aca="false">IFERROR(D39-E39,"-")</f>
        <v>1</v>
      </c>
    </row>
    <row r="40" customFormat="false" ht="17.15" hidden="false" customHeight="false" outlineLevel="0" collapsed="false">
      <c r="A40" s="46" t="s">
        <v>501</v>
      </c>
      <c r="B40" s="47" t="n">
        <f aca="false">COUNTIF($M$2:$M$27,1)</f>
        <v>12</v>
      </c>
      <c r="C40" s="48" t="n">
        <f aca="false">IFERROR(COUNTIF($M$2:$M$27,1)/(COUNTIF($M$2:$M$27,1)+COUNTIF($M$2:$M$27,0)),"-")</f>
        <v>1</v>
      </c>
      <c r="D40" s="48" t="n">
        <f aca="false">IFERROR(COUNTIFS($M$2:$M$27,1,$C$2:$C$27,"예")/(COUNTIFS($M$2:$M$27,1,$C$2:$C$27,"예")+COUNTIFS($M$2:$M$27,0,$C$2:$C$27,"예")),"-")</f>
        <v>1</v>
      </c>
      <c r="E40" s="48" t="str">
        <f aca="false">IFERROR(COUNTIFS($M$2:$M$27,1,$C$2:$C$27,"아니오")/(COUNTIFS($M$2:$M$27,1,$C$2:$C$27,"아니오")+COUNTIFS($M$2:$M$27,0,$C$2:$C$27,"아니오")),"-")</f>
        <v>-</v>
      </c>
      <c r="F40" s="48" t="str">
        <f aca="false">IFERROR(D40-E40,"-")</f>
        <v>-</v>
      </c>
    </row>
    <row r="42" customFormat="false" ht="19.4" hidden="false" customHeight="false" outlineLevel="0" collapsed="false">
      <c r="A42" s="43" t="s">
        <v>502</v>
      </c>
    </row>
    <row r="43" customFormat="false" ht="60" hidden="false" customHeight="true" outlineLevel="0" collapsed="false">
      <c r="A43" s="44" t="s">
        <v>355</v>
      </c>
      <c r="B43" s="44" t="s">
        <v>503</v>
      </c>
      <c r="C43" s="44" t="s">
        <v>476</v>
      </c>
      <c r="D43" s="44" t="s">
        <v>477</v>
      </c>
      <c r="E43" s="44" t="s">
        <v>478</v>
      </c>
      <c r="F43" s="44" t="s">
        <v>479</v>
      </c>
      <c r="G43" s="44" t="s">
        <v>480</v>
      </c>
      <c r="H43" s="44" t="s">
        <v>481</v>
      </c>
      <c r="I43" s="44" t="s">
        <v>482</v>
      </c>
      <c r="J43" s="44" t="s">
        <v>483</v>
      </c>
      <c r="K43" s="44" t="s">
        <v>484</v>
      </c>
      <c r="L43" s="44" t="s">
        <v>485</v>
      </c>
    </row>
    <row r="44" customFormat="false" ht="17.15" hidden="false" customHeight="false" outlineLevel="0" collapsed="false">
      <c r="A44" s="47" t="s">
        <v>358</v>
      </c>
      <c r="B44" s="49" t="n">
        <f aca="false">COUNTIF($A$2:$A$27,A44)</f>
        <v>7</v>
      </c>
      <c r="C44" s="49" t="n">
        <f aca="false">COUNTIFS($A$2:$A$27,$A44,$D$2:$D$27,1)</f>
        <v>7</v>
      </c>
      <c r="D44" s="49" t="n">
        <f aca="false">COUNTIFS($A$2:$A$27,$A44,$E$2:$E$27,1)</f>
        <v>7</v>
      </c>
      <c r="E44" s="49" t="n">
        <f aca="false">COUNTIFS($A$2:$A$27,$A44,$F$2:$F$27,1)</f>
        <v>0</v>
      </c>
      <c r="F44" s="49" t="n">
        <f aca="false">COUNTIFS($A$2:$A$27,$A44,$G$2:$G$27,1)</f>
        <v>0</v>
      </c>
      <c r="G44" s="49" t="n">
        <f aca="false">COUNTIFS($A$2:$A$27,$A44,$H$2:$H$27,1)</f>
        <v>0</v>
      </c>
      <c r="H44" s="49" t="n">
        <f aca="false">COUNTIFS($A$2:$A$27,$A44,$I$2:$I$27,1)</f>
        <v>0</v>
      </c>
      <c r="I44" s="49" t="n">
        <f aca="false">COUNTIFS($A$2:$A$27,$A44,$J$2:$J$27,1)</f>
        <v>0</v>
      </c>
      <c r="J44" s="49" t="n">
        <f aca="false">COUNTIFS($A$2:$A$27,$A44,$K$2:$K$27,1)</f>
        <v>5</v>
      </c>
      <c r="K44" s="49" t="n">
        <f aca="false">COUNTIFS($A$2:$A$27,$A44,$L$2:$L$27,1)</f>
        <v>1</v>
      </c>
      <c r="L44" s="49" t="n">
        <f aca="false">COUNTIFS($A$2:$A$27,$A44,$M$2:$M$27,1)</f>
        <v>0</v>
      </c>
    </row>
    <row r="45" customFormat="false" ht="17.15" hidden="false" customHeight="false" outlineLevel="0" collapsed="false">
      <c r="A45" s="47" t="s">
        <v>373</v>
      </c>
      <c r="B45" s="49" t="n">
        <f aca="false">COUNTIF($A$2:$A$27,A45)</f>
        <v>4</v>
      </c>
      <c r="C45" s="49" t="n">
        <f aca="false">COUNTIFS($A$2:$A$27,$A45,$D$2:$D$27,1)</f>
        <v>4</v>
      </c>
      <c r="D45" s="49" t="n">
        <f aca="false">COUNTIFS($A$2:$A$27,$A45,$E$2:$E$27,1)</f>
        <v>4</v>
      </c>
      <c r="E45" s="49" t="n">
        <f aca="false">COUNTIFS($A$2:$A$27,$A45,$F$2:$F$27,1)</f>
        <v>4</v>
      </c>
      <c r="F45" s="49" t="n">
        <f aca="false">COUNTIFS($A$2:$A$27,$A45,$G$2:$G$27,1)</f>
        <v>0</v>
      </c>
      <c r="G45" s="49" t="n">
        <f aca="false">COUNTIFS($A$2:$A$27,$A45,$H$2:$H$27,1)</f>
        <v>2</v>
      </c>
      <c r="H45" s="49" t="n">
        <f aca="false">COUNTIFS($A$2:$A$27,$A45,$I$2:$I$27,1)</f>
        <v>0</v>
      </c>
      <c r="I45" s="49" t="n">
        <f aca="false">COUNTIFS($A$2:$A$27,$A45,$J$2:$J$27,1)</f>
        <v>0</v>
      </c>
      <c r="J45" s="49" t="n">
        <f aca="false">COUNTIFS($A$2:$A$27,$A45,$K$2:$K$27,1)</f>
        <v>0</v>
      </c>
      <c r="K45" s="49" t="n">
        <f aca="false">COUNTIFS($A$2:$A$27,$A45,$L$2:$L$27,1)</f>
        <v>4</v>
      </c>
      <c r="L45" s="49" t="n">
        <f aca="false">COUNTIFS($A$2:$A$27,$A45,$M$2:$M$27,1)</f>
        <v>2</v>
      </c>
    </row>
    <row r="46" customFormat="false" ht="17.15" hidden="false" customHeight="false" outlineLevel="0" collapsed="false">
      <c r="A46" s="47" t="s">
        <v>391</v>
      </c>
      <c r="B46" s="49" t="n">
        <f aca="false">COUNTIF($A$2:$A$27,A46)</f>
        <v>3</v>
      </c>
      <c r="C46" s="49" t="n">
        <f aca="false">COUNTIFS($A$2:$A$27,$A46,$D$2:$D$27,1)</f>
        <v>3</v>
      </c>
      <c r="D46" s="49" t="n">
        <f aca="false">COUNTIFS($A$2:$A$27,$A46,$E$2:$E$27,1)</f>
        <v>3</v>
      </c>
      <c r="E46" s="49" t="n">
        <f aca="false">COUNTIFS($A$2:$A$27,$A46,$F$2:$F$27,1)</f>
        <v>3</v>
      </c>
      <c r="F46" s="49" t="n">
        <f aca="false">COUNTIFS($A$2:$A$27,$A46,$G$2:$G$27,1)</f>
        <v>2</v>
      </c>
      <c r="G46" s="49" t="n">
        <f aca="false">COUNTIFS($A$2:$A$27,$A46,$H$2:$H$27,1)</f>
        <v>3</v>
      </c>
      <c r="H46" s="49" t="n">
        <f aca="false">COUNTIFS($A$2:$A$27,$A46,$I$2:$I$27,1)</f>
        <v>1</v>
      </c>
      <c r="I46" s="49" t="n">
        <f aca="false">COUNTIFS($A$2:$A$27,$A46,$J$2:$J$27,1)</f>
        <v>3</v>
      </c>
      <c r="J46" s="49" t="n">
        <f aca="false">COUNTIFS($A$2:$A$27,$A46,$K$2:$K$27,1)</f>
        <v>0</v>
      </c>
      <c r="K46" s="49" t="n">
        <f aca="false">COUNTIFS($A$2:$A$27,$A46,$L$2:$L$27,1)</f>
        <v>3</v>
      </c>
      <c r="L46" s="49" t="n">
        <f aca="false">COUNTIFS($A$2:$A$27,$A46,$M$2:$M$27,1)</f>
        <v>3</v>
      </c>
    </row>
    <row r="47" customFormat="false" ht="17.15" hidden="false" customHeight="false" outlineLevel="0" collapsed="false">
      <c r="A47" s="47" t="s">
        <v>408</v>
      </c>
      <c r="B47" s="49" t="n">
        <f aca="false">COUNTIF($A$2:$A$27,A47)</f>
        <v>3</v>
      </c>
      <c r="C47" s="49" t="n">
        <f aca="false">COUNTIFS($A$2:$A$27,$A47,$D$2:$D$27,1)</f>
        <v>0</v>
      </c>
      <c r="D47" s="49" t="n">
        <f aca="false">COUNTIFS($A$2:$A$27,$A47,$E$2:$E$27,1)</f>
        <v>1</v>
      </c>
      <c r="E47" s="49" t="n">
        <f aca="false">COUNTIFS($A$2:$A$27,$A47,$F$2:$F$27,1)</f>
        <v>3</v>
      </c>
      <c r="F47" s="49" t="n">
        <f aca="false">COUNTIFS($A$2:$A$27,$A47,$G$2:$G$27,1)</f>
        <v>3</v>
      </c>
      <c r="G47" s="49" t="n">
        <f aca="false">COUNTIFS($A$2:$A$27,$A47,$H$2:$H$27,1)</f>
        <v>3</v>
      </c>
      <c r="H47" s="49" t="n">
        <f aca="false">COUNTIFS($A$2:$A$27,$A47,$I$2:$I$27,1)</f>
        <v>0</v>
      </c>
      <c r="I47" s="49" t="n">
        <f aca="false">COUNTIFS($A$2:$A$27,$A47,$J$2:$J$27,1)</f>
        <v>2</v>
      </c>
      <c r="J47" s="49" t="n">
        <f aca="false">COUNTIFS($A$2:$A$27,$A47,$K$2:$K$27,1)</f>
        <v>0</v>
      </c>
      <c r="K47" s="49" t="n">
        <f aca="false">COUNTIFS($A$2:$A$27,$A47,$L$2:$L$27,1)</f>
        <v>3</v>
      </c>
      <c r="L47" s="49" t="n">
        <f aca="false">COUNTIFS($A$2:$A$27,$A47,$M$2:$M$27,1)</f>
        <v>2</v>
      </c>
    </row>
    <row r="48" customFormat="false" ht="17.15" hidden="false" customHeight="false" outlineLevel="0" collapsed="false">
      <c r="A48" s="47" t="s">
        <v>425</v>
      </c>
      <c r="B48" s="49" t="n">
        <f aca="false">COUNTIF($A$2:$A$27,A48)</f>
        <v>3</v>
      </c>
      <c r="C48" s="49" t="n">
        <f aca="false">COUNTIFS($A$2:$A$27,$A48,$D$2:$D$27,1)</f>
        <v>0</v>
      </c>
      <c r="D48" s="49" t="n">
        <f aca="false">COUNTIFS($A$2:$A$27,$A48,$E$2:$E$27,1)</f>
        <v>2</v>
      </c>
      <c r="E48" s="49" t="n">
        <f aca="false">COUNTIFS($A$2:$A$27,$A48,$F$2:$F$27,1)</f>
        <v>3</v>
      </c>
      <c r="F48" s="49" t="n">
        <f aca="false">COUNTIFS($A$2:$A$27,$A48,$G$2:$G$27,1)</f>
        <v>3</v>
      </c>
      <c r="G48" s="49" t="n">
        <f aca="false">COUNTIFS($A$2:$A$27,$A48,$H$2:$H$27,1)</f>
        <v>3</v>
      </c>
      <c r="H48" s="49" t="n">
        <f aca="false">COUNTIFS($A$2:$A$27,$A48,$I$2:$I$27,1)</f>
        <v>2</v>
      </c>
      <c r="I48" s="49" t="n">
        <f aca="false">COUNTIFS($A$2:$A$27,$A48,$J$2:$J$27,1)</f>
        <v>0</v>
      </c>
      <c r="J48" s="49" t="n">
        <f aca="false">COUNTIFS($A$2:$A$27,$A48,$K$2:$K$27,1)</f>
        <v>0</v>
      </c>
      <c r="K48" s="49" t="n">
        <f aca="false">COUNTIFS($A$2:$A$27,$A48,$L$2:$L$27,1)</f>
        <v>3</v>
      </c>
      <c r="L48" s="49" t="n">
        <f aca="false">COUNTIFS($A$2:$A$27,$A48,$M$2:$M$27,1)</f>
        <v>3</v>
      </c>
    </row>
    <row r="49" customFormat="false" ht="17.15" hidden="false" customHeight="false" outlineLevel="0" collapsed="false">
      <c r="A49" s="47" t="s">
        <v>441</v>
      </c>
      <c r="B49" s="49" t="n">
        <f aca="false">COUNTIF($A$2:$A$27,A49)</f>
        <v>3</v>
      </c>
      <c r="C49" s="49" t="n">
        <f aca="false">COUNTIFS($A$2:$A$27,$A49,$D$2:$D$27,1)</f>
        <v>2</v>
      </c>
      <c r="D49" s="49" t="n">
        <f aca="false">COUNTIFS($A$2:$A$27,$A49,$E$2:$E$27,1)</f>
        <v>2</v>
      </c>
      <c r="E49" s="49" t="n">
        <f aca="false">COUNTIFS($A$2:$A$27,$A49,$F$2:$F$27,1)</f>
        <v>1</v>
      </c>
      <c r="F49" s="49" t="n">
        <f aca="false">COUNTIFS($A$2:$A$27,$A49,$G$2:$G$27,1)</f>
        <v>2</v>
      </c>
      <c r="G49" s="49" t="n">
        <f aca="false">COUNTIFS($A$2:$A$27,$A49,$H$2:$H$27,1)</f>
        <v>2</v>
      </c>
      <c r="H49" s="49" t="n">
        <f aca="false">COUNTIFS($A$2:$A$27,$A49,$I$2:$I$27,1)</f>
        <v>3</v>
      </c>
      <c r="I49" s="49" t="n">
        <f aca="false">COUNTIFS($A$2:$A$27,$A49,$J$2:$J$27,1)</f>
        <v>1</v>
      </c>
      <c r="J49" s="49" t="n">
        <f aca="false">COUNTIFS($A$2:$A$27,$A49,$K$2:$K$27,1)</f>
        <v>0</v>
      </c>
      <c r="K49" s="49" t="n">
        <f aca="false">COUNTIFS($A$2:$A$27,$A49,$L$2:$L$27,1)</f>
        <v>2</v>
      </c>
      <c r="L49" s="49" t="n">
        <f aca="false">COUNTIFS($A$2:$A$27,$A49,$M$2:$M$27,1)</f>
        <v>1</v>
      </c>
    </row>
    <row r="50" customFormat="false" ht="17.15" hidden="false" customHeight="false" outlineLevel="0" collapsed="false">
      <c r="A50" s="47" t="s">
        <v>457</v>
      </c>
      <c r="B50" s="49" t="n">
        <f aca="false">COUNTIF($A$2:$A$27,A50)</f>
        <v>3</v>
      </c>
      <c r="C50" s="49" t="n">
        <f aca="false">COUNTIFS($A$2:$A$27,$A50,$D$2:$D$27,1)</f>
        <v>1</v>
      </c>
      <c r="D50" s="49" t="n">
        <f aca="false">COUNTIFS($A$2:$A$27,$A50,$E$2:$E$27,1)</f>
        <v>0</v>
      </c>
      <c r="E50" s="49" t="n">
        <f aca="false">COUNTIFS($A$2:$A$27,$A50,$F$2:$F$27,1)</f>
        <v>3</v>
      </c>
      <c r="F50" s="49" t="n">
        <f aca="false">COUNTIFS($A$2:$A$27,$A50,$G$2:$G$27,1)</f>
        <v>1</v>
      </c>
      <c r="G50" s="49" t="n">
        <f aca="false">COUNTIFS($A$2:$A$27,$A50,$H$2:$H$27,1)</f>
        <v>1</v>
      </c>
      <c r="H50" s="49" t="n">
        <f aca="false">COUNTIFS($A$2:$A$27,$A50,$I$2:$I$27,1)</f>
        <v>1</v>
      </c>
      <c r="I50" s="49" t="n">
        <f aca="false">COUNTIFS($A$2:$A$27,$A50,$J$2:$J$27,1)</f>
        <v>3</v>
      </c>
      <c r="J50" s="49" t="n">
        <f aca="false">COUNTIFS($A$2:$A$27,$A50,$K$2:$K$27,1)</f>
        <v>0</v>
      </c>
      <c r="K50" s="49" t="n">
        <f aca="false">COUNTIFS($A$2:$A$27,$A50,$L$2:$L$27,1)</f>
        <v>3</v>
      </c>
      <c r="L50" s="49" t="n">
        <f aca="false">COUNTIFS($A$2:$A$27,$A50,$M$2:$M$27,1)</f>
        <v>1</v>
      </c>
    </row>
    <row r="52" customFormat="false" ht="17.15" hidden="false" customHeight="false" outlineLevel="0" collapsed="false">
      <c r="A52" s="38" t="s">
        <v>504</v>
      </c>
    </row>
    <row r="53" customFormat="false" ht="17.15" hidden="false" customHeight="false" outlineLevel="0" collapsed="false">
      <c r="A53" s="38" t="s">
        <v>505</v>
      </c>
    </row>
    <row r="54" customFormat="false" ht="17.15" hidden="false" customHeight="false" outlineLevel="0" collapsed="false">
      <c r="A54" s="22" t="s">
        <v>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80"/>
  </cols>
  <sheetData>
    <row r="1" customFormat="false" ht="17.15" hidden="false" customHeight="false" outlineLevel="0" collapsed="false">
      <c r="A1" s="19" t="s">
        <v>173</v>
      </c>
      <c r="B1" s="19" t="s">
        <v>507</v>
      </c>
      <c r="C1" s="19" t="s">
        <v>508</v>
      </c>
      <c r="D1" s="19" t="s">
        <v>509</v>
      </c>
    </row>
    <row r="2" customFormat="false" ht="32.8" hidden="false" customHeight="false" outlineLevel="0" collapsed="false">
      <c r="A2" s="50" t="n">
        <v>1</v>
      </c>
      <c r="B2" s="33" t="s">
        <v>510</v>
      </c>
      <c r="C2" s="17" t="s">
        <v>511</v>
      </c>
      <c r="D2" s="18" t="s">
        <v>512</v>
      </c>
    </row>
    <row r="3" customFormat="false" ht="32.8" hidden="false" customHeight="false" outlineLevel="0" collapsed="false">
      <c r="A3" s="50" t="n">
        <v>2</v>
      </c>
      <c r="B3" s="33" t="s">
        <v>513</v>
      </c>
      <c r="C3" s="17" t="s">
        <v>514</v>
      </c>
      <c r="D3" s="17" t="s">
        <v>515</v>
      </c>
    </row>
    <row r="4" customFormat="false" ht="17.15" hidden="false" customHeight="false" outlineLevel="0" collapsed="false">
      <c r="A4" s="50" t="n">
        <v>3</v>
      </c>
      <c r="B4" s="36" t="s">
        <v>516</v>
      </c>
      <c r="C4" s="17" t="s">
        <v>517</v>
      </c>
      <c r="D4" s="18" t="s">
        <v>518</v>
      </c>
    </row>
    <row r="5" customFormat="false" ht="32.8" hidden="false" customHeight="false" outlineLevel="0" collapsed="false">
      <c r="A5" s="50" t="n">
        <v>4</v>
      </c>
      <c r="B5" s="36" t="s">
        <v>519</v>
      </c>
      <c r="C5" s="17" t="s">
        <v>520</v>
      </c>
      <c r="D5" s="18" t="s">
        <v>521</v>
      </c>
    </row>
    <row r="6" customFormat="false" ht="17.15" hidden="false" customHeight="false" outlineLevel="0" collapsed="false">
      <c r="A6" s="50" t="n">
        <v>5</v>
      </c>
      <c r="B6" s="36" t="s">
        <v>522</v>
      </c>
      <c r="C6" s="17" t="s">
        <v>523</v>
      </c>
      <c r="D6" s="18" t="s">
        <v>524</v>
      </c>
    </row>
    <row r="8" customFormat="false" ht="19.4" hidden="false" customHeight="false" outlineLevel="0" collapsed="false">
      <c r="A8" s="43" t="s">
        <v>525</v>
      </c>
    </row>
    <row r="10" customFormat="false" ht="17.15" hidden="false" customHeight="false" outlineLevel="0" collapsed="false">
      <c r="A10" s="51" t="s">
        <v>173</v>
      </c>
      <c r="B10" s="51" t="s">
        <v>152</v>
      </c>
      <c r="C10" s="52" t="s">
        <v>526</v>
      </c>
      <c r="D10" s="51" t="s">
        <v>527</v>
      </c>
    </row>
    <row r="11" customFormat="false" ht="17.15" hidden="false" customHeight="false" outlineLevel="0" collapsed="false">
      <c r="A11" s="50" t="n">
        <v>1</v>
      </c>
      <c r="B11" s="18" t="s">
        <v>181</v>
      </c>
      <c r="C11" s="18" t="s">
        <v>177</v>
      </c>
      <c r="D11" s="17" t="s">
        <v>528</v>
      </c>
    </row>
    <row r="12" customFormat="false" ht="17.15" hidden="false" customHeight="false" outlineLevel="0" collapsed="false">
      <c r="A12" s="50" t="n">
        <v>2</v>
      </c>
      <c r="B12" s="18" t="s">
        <v>178</v>
      </c>
      <c r="C12" s="18" t="s">
        <v>177</v>
      </c>
      <c r="D12" s="17" t="s">
        <v>529</v>
      </c>
    </row>
    <row r="13" customFormat="false" ht="17.15" hidden="false" customHeight="false" outlineLevel="0" collapsed="false">
      <c r="A13" s="50" t="n">
        <v>3</v>
      </c>
      <c r="B13" s="18" t="s">
        <v>186</v>
      </c>
      <c r="C13" s="18" t="s">
        <v>177</v>
      </c>
      <c r="D13" s="17" t="s">
        <v>530</v>
      </c>
    </row>
    <row r="14" customFormat="false" ht="17.15" hidden="false" customHeight="false" outlineLevel="0" collapsed="false">
      <c r="A14" s="50" t="n">
        <v>4</v>
      </c>
      <c r="B14" s="18" t="s">
        <v>174</v>
      </c>
      <c r="C14" s="18" t="s">
        <v>177</v>
      </c>
      <c r="D14" s="17" t="s">
        <v>531</v>
      </c>
    </row>
    <row r="15" customFormat="false" ht="17.15" hidden="false" customHeight="false" outlineLevel="0" collapsed="false">
      <c r="A15" s="50" t="n">
        <v>5</v>
      </c>
      <c r="B15" s="18" t="s">
        <v>184</v>
      </c>
      <c r="C15" s="18" t="s">
        <v>177</v>
      </c>
      <c r="D15" s="17" t="s">
        <v>532</v>
      </c>
    </row>
    <row r="16" customFormat="false" ht="17.15" hidden="false" customHeight="false" outlineLevel="0" collapsed="false">
      <c r="A16" s="50" t="n">
        <v>6</v>
      </c>
      <c r="B16" s="18" t="s">
        <v>189</v>
      </c>
      <c r="C16" s="18" t="s">
        <v>192</v>
      </c>
      <c r="D16" s="17" t="s">
        <v>533</v>
      </c>
    </row>
    <row r="17" customFormat="false" ht="17.15" hidden="false" customHeight="false" outlineLevel="0" collapsed="false">
      <c r="A17" s="50" t="n">
        <v>7</v>
      </c>
      <c r="B17" s="17" t="s">
        <v>210</v>
      </c>
      <c r="C17" s="18" t="s">
        <v>192</v>
      </c>
      <c r="D17" s="17" t="s">
        <v>534</v>
      </c>
    </row>
    <row r="18" customFormat="false" ht="17.15" hidden="false" customHeight="false" outlineLevel="0" collapsed="false">
      <c r="A18" s="50" t="n">
        <v>8</v>
      </c>
      <c r="B18" s="18" t="s">
        <v>193</v>
      </c>
      <c r="C18" s="18" t="s">
        <v>196</v>
      </c>
      <c r="D18" s="17" t="s">
        <v>535</v>
      </c>
    </row>
    <row r="19" customFormat="false" ht="17.15" hidden="false" customHeight="false" outlineLevel="0" collapsed="false">
      <c r="A19" s="50" t="n">
        <v>9</v>
      </c>
      <c r="B19" s="18" t="s">
        <v>197</v>
      </c>
      <c r="C19" s="18" t="s">
        <v>196</v>
      </c>
      <c r="D19" s="18" t="s">
        <v>536</v>
      </c>
    </row>
    <row r="20" customFormat="false" ht="17.15" hidden="false" customHeight="false" outlineLevel="0" collapsed="false">
      <c r="A20" s="50" t="n">
        <v>10</v>
      </c>
      <c r="B20" s="17" t="s">
        <v>207</v>
      </c>
      <c r="C20" s="18" t="s">
        <v>196</v>
      </c>
      <c r="D20" s="18" t="s">
        <v>537</v>
      </c>
    </row>
    <row r="21" customFormat="false" ht="17.15" hidden="false" customHeight="false" outlineLevel="0" collapsed="false">
      <c r="A21" s="50" t="n">
        <v>11</v>
      </c>
      <c r="B21" s="18" t="s">
        <v>200</v>
      </c>
      <c r="C21" s="18" t="s">
        <v>203</v>
      </c>
      <c r="D21" s="17" t="s">
        <v>538</v>
      </c>
    </row>
    <row r="22" customFormat="false" ht="17.15" hidden="false" customHeight="false" outlineLevel="0" collapsed="false">
      <c r="A22" s="50" t="n">
        <v>12</v>
      </c>
      <c r="B22" s="18" t="s">
        <v>204</v>
      </c>
      <c r="C22" s="18" t="s">
        <v>203</v>
      </c>
      <c r="D22" s="17" t="s">
        <v>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7A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8" min="7" style="0" width="36"/>
  </cols>
  <sheetData>
    <row r="1" customFormat="false" ht="29.85" hidden="false" customHeight="false" outlineLevel="0" collapsed="false">
      <c r="A1" s="19" t="s">
        <v>152</v>
      </c>
      <c r="B1" s="19" t="s">
        <v>540</v>
      </c>
      <c r="C1" s="19" t="s">
        <v>541</v>
      </c>
      <c r="D1" s="19" t="s">
        <v>542</v>
      </c>
      <c r="E1" s="24" t="s">
        <v>164</v>
      </c>
      <c r="F1" s="19" t="s">
        <v>543</v>
      </c>
      <c r="G1" s="19" t="s">
        <v>544</v>
      </c>
      <c r="H1" s="19" t="s">
        <v>545</v>
      </c>
    </row>
    <row r="2" customFormat="false" ht="32.8" hidden="false" customHeight="false" outlineLevel="0" collapsed="false">
      <c r="A2" s="33" t="s">
        <v>174</v>
      </c>
      <c r="B2" s="17" t="s">
        <v>546</v>
      </c>
      <c r="C2" s="17" t="s">
        <v>547</v>
      </c>
      <c r="D2" s="17" t="s">
        <v>548</v>
      </c>
      <c r="E2" s="53" t="s">
        <v>177</v>
      </c>
      <c r="F2" s="18" t="s">
        <v>549</v>
      </c>
      <c r="G2" s="18" t="s">
        <v>550</v>
      </c>
      <c r="H2" s="17" t="s">
        <v>551</v>
      </c>
    </row>
    <row r="3" customFormat="false" ht="32.8" hidden="false" customHeight="false" outlineLevel="0" collapsed="false">
      <c r="A3" s="33" t="s">
        <v>178</v>
      </c>
      <c r="B3" s="17" t="s">
        <v>552</v>
      </c>
      <c r="C3" s="17" t="s">
        <v>553</v>
      </c>
      <c r="D3" s="17" t="s">
        <v>554</v>
      </c>
      <c r="E3" s="53" t="s">
        <v>177</v>
      </c>
      <c r="F3" s="18" t="s">
        <v>549</v>
      </c>
      <c r="G3" s="18" t="s">
        <v>555</v>
      </c>
      <c r="H3" s="17" t="s">
        <v>556</v>
      </c>
    </row>
    <row r="4" customFormat="false" ht="32.8" hidden="false" customHeight="false" outlineLevel="0" collapsed="false">
      <c r="A4" s="33" t="s">
        <v>181</v>
      </c>
      <c r="B4" s="18" t="s">
        <v>557</v>
      </c>
      <c r="C4" s="17" t="s">
        <v>558</v>
      </c>
      <c r="D4" s="17" t="s">
        <v>559</v>
      </c>
      <c r="E4" s="53" t="s">
        <v>177</v>
      </c>
      <c r="F4" s="18" t="s">
        <v>560</v>
      </c>
      <c r="G4" s="17" t="s">
        <v>561</v>
      </c>
      <c r="H4" s="17" t="s">
        <v>562</v>
      </c>
    </row>
    <row r="5" customFormat="false" ht="17.15" hidden="false" customHeight="false" outlineLevel="0" collapsed="false">
      <c r="A5" s="33" t="s">
        <v>184</v>
      </c>
      <c r="B5" s="17" t="s">
        <v>563</v>
      </c>
      <c r="C5" s="17" t="s">
        <v>564</v>
      </c>
      <c r="D5" s="17" t="s">
        <v>565</v>
      </c>
      <c r="E5" s="53" t="s">
        <v>177</v>
      </c>
      <c r="F5" s="18" t="s">
        <v>566</v>
      </c>
      <c r="G5" s="17" t="s">
        <v>567</v>
      </c>
      <c r="H5" s="17" t="s">
        <v>568</v>
      </c>
    </row>
    <row r="6" customFormat="false" ht="29.85" hidden="false" customHeight="false" outlineLevel="0" collapsed="false">
      <c r="A6" s="33" t="s">
        <v>186</v>
      </c>
      <c r="B6" s="17" t="s">
        <v>569</v>
      </c>
      <c r="C6" s="17" t="s">
        <v>570</v>
      </c>
      <c r="D6" s="17" t="s">
        <v>571</v>
      </c>
      <c r="E6" s="53" t="s">
        <v>177</v>
      </c>
      <c r="F6" s="18" t="s">
        <v>549</v>
      </c>
      <c r="G6" s="18" t="s">
        <v>572</v>
      </c>
      <c r="H6" s="17" t="s">
        <v>573</v>
      </c>
    </row>
    <row r="7" customFormat="false" ht="32.8" hidden="false" customHeight="false" outlineLevel="0" collapsed="false">
      <c r="A7" s="33" t="s">
        <v>189</v>
      </c>
      <c r="B7" s="17" t="s">
        <v>574</v>
      </c>
      <c r="C7" s="17" t="s">
        <v>575</v>
      </c>
      <c r="D7" s="17" t="s">
        <v>576</v>
      </c>
      <c r="E7" s="53" t="s">
        <v>192</v>
      </c>
      <c r="F7" s="18" t="s">
        <v>577</v>
      </c>
      <c r="G7" s="18" t="s">
        <v>578</v>
      </c>
      <c r="H7" s="17" t="s">
        <v>579</v>
      </c>
    </row>
    <row r="8" customFormat="false" ht="32.8" hidden="false" customHeight="false" outlineLevel="0" collapsed="false">
      <c r="A8" s="33" t="s">
        <v>193</v>
      </c>
      <c r="B8" s="17" t="s">
        <v>580</v>
      </c>
      <c r="C8" s="17" t="s">
        <v>581</v>
      </c>
      <c r="D8" s="17" t="s">
        <v>582</v>
      </c>
      <c r="E8" s="53" t="s">
        <v>196</v>
      </c>
      <c r="F8" s="18" t="s">
        <v>583</v>
      </c>
      <c r="G8" s="18" t="s">
        <v>584</v>
      </c>
      <c r="H8" s="17" t="s">
        <v>585</v>
      </c>
    </row>
    <row r="9" customFormat="false" ht="32.8" hidden="false" customHeight="false" outlineLevel="0" collapsed="false">
      <c r="A9" s="33" t="s">
        <v>197</v>
      </c>
      <c r="B9" s="17" t="s">
        <v>586</v>
      </c>
      <c r="C9" s="17" t="s">
        <v>587</v>
      </c>
      <c r="D9" s="17" t="s">
        <v>588</v>
      </c>
      <c r="E9" s="53" t="s">
        <v>196</v>
      </c>
      <c r="F9" s="18" t="s">
        <v>589</v>
      </c>
      <c r="G9" s="18" t="s">
        <v>590</v>
      </c>
      <c r="H9" s="18" t="s">
        <v>591</v>
      </c>
    </row>
    <row r="10" customFormat="false" ht="32.8" hidden="false" customHeight="false" outlineLevel="0" collapsed="false">
      <c r="A10" s="33" t="s">
        <v>200</v>
      </c>
      <c r="B10" s="17" t="s">
        <v>592</v>
      </c>
      <c r="C10" s="17" t="s">
        <v>593</v>
      </c>
      <c r="D10" s="17" t="s">
        <v>594</v>
      </c>
      <c r="E10" s="53" t="s">
        <v>203</v>
      </c>
      <c r="F10" s="18" t="s">
        <v>595</v>
      </c>
      <c r="G10" s="18" t="s">
        <v>596</v>
      </c>
      <c r="H10" s="17" t="s">
        <v>597</v>
      </c>
    </row>
    <row r="11" customFormat="false" ht="32.8" hidden="false" customHeight="false" outlineLevel="0" collapsed="false">
      <c r="A11" s="33" t="s">
        <v>204</v>
      </c>
      <c r="B11" s="17" t="s">
        <v>598</v>
      </c>
      <c r="C11" s="17" t="s">
        <v>599</v>
      </c>
      <c r="D11" s="17" t="s">
        <v>600</v>
      </c>
      <c r="E11" s="53" t="s">
        <v>203</v>
      </c>
      <c r="F11" s="18" t="s">
        <v>601</v>
      </c>
      <c r="G11" s="17" t="s">
        <v>602</v>
      </c>
      <c r="H11" s="17" t="s">
        <v>603</v>
      </c>
    </row>
    <row r="12" customFormat="false" ht="32.8" hidden="false" customHeight="false" outlineLevel="0" collapsed="false">
      <c r="A12" s="36" t="s">
        <v>207</v>
      </c>
      <c r="B12" s="18" t="s">
        <v>604</v>
      </c>
      <c r="C12" s="17" t="s">
        <v>605</v>
      </c>
      <c r="D12" s="18" t="s">
        <v>606</v>
      </c>
      <c r="E12" s="53" t="s">
        <v>196</v>
      </c>
      <c r="F12" s="18" t="s">
        <v>607</v>
      </c>
      <c r="G12" s="17" t="s">
        <v>608</v>
      </c>
      <c r="H12" s="18" t="s">
        <v>609</v>
      </c>
    </row>
    <row r="13" customFormat="false" ht="32.8" hidden="false" customHeight="false" outlineLevel="0" collapsed="false">
      <c r="A13" s="36" t="s">
        <v>210</v>
      </c>
      <c r="B13" s="17" t="s">
        <v>610</v>
      </c>
      <c r="C13" s="17" t="s">
        <v>611</v>
      </c>
      <c r="D13" s="17" t="s">
        <v>612</v>
      </c>
      <c r="E13" s="53" t="s">
        <v>192</v>
      </c>
      <c r="F13" s="18" t="s">
        <v>577</v>
      </c>
      <c r="G13" s="18" t="s">
        <v>613</v>
      </c>
      <c r="H13" s="17" t="s">
        <v>614</v>
      </c>
    </row>
    <row r="15" customFormat="false" ht="17.15" hidden="false" customHeight="false" outlineLevel="0" collapsed="false">
      <c r="A15" s="22" t="s">
        <v>615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7A"/>
    <pageSetUpPr fitToPage="false"/>
  </sheetPr>
  <dimension ref="A1:P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16" min="4" style="0" width="13"/>
  </cols>
  <sheetData>
    <row r="1" customFormat="false" ht="17.15" hidden="false" customHeight="true" outlineLevel="0" collapsed="false">
      <c r="A1" s="19"/>
      <c r="B1" s="19"/>
      <c r="C1" s="19"/>
      <c r="D1" s="54" t="s">
        <v>616</v>
      </c>
      <c r="E1" s="54"/>
      <c r="F1" s="54"/>
      <c r="G1" s="54" t="s">
        <v>617</v>
      </c>
      <c r="H1" s="54"/>
      <c r="I1" s="54"/>
      <c r="J1" s="54" t="s">
        <v>618</v>
      </c>
      <c r="K1" s="54"/>
      <c r="L1" s="54"/>
      <c r="M1" s="23" t="s">
        <v>619</v>
      </c>
      <c r="N1" s="23"/>
      <c r="O1" s="23"/>
      <c r="P1" s="19"/>
    </row>
    <row r="2" customFormat="false" ht="45" hidden="false" customHeight="true" outlineLevel="0" collapsed="false">
      <c r="A2" s="19" t="s">
        <v>152</v>
      </c>
      <c r="B2" s="19" t="s">
        <v>620</v>
      </c>
      <c r="C2" s="19" t="s">
        <v>621</v>
      </c>
      <c r="D2" s="19" t="s">
        <v>622</v>
      </c>
      <c r="E2" s="19" t="s">
        <v>623</v>
      </c>
      <c r="F2" s="19" t="s">
        <v>624</v>
      </c>
      <c r="G2" s="19" t="s">
        <v>622</v>
      </c>
      <c r="H2" s="19" t="s">
        <v>623</v>
      </c>
      <c r="I2" s="19" t="s">
        <v>624</v>
      </c>
      <c r="J2" s="19" t="s">
        <v>622</v>
      </c>
      <c r="K2" s="19" t="s">
        <v>623</v>
      </c>
      <c r="L2" s="19" t="s">
        <v>624</v>
      </c>
      <c r="M2" s="24" t="s">
        <v>625</v>
      </c>
      <c r="N2" s="19" t="s">
        <v>626</v>
      </c>
      <c r="O2" s="24" t="s">
        <v>627</v>
      </c>
      <c r="P2" s="19" t="s">
        <v>628</v>
      </c>
    </row>
    <row r="3" customFormat="false" ht="32.8" hidden="false" customHeight="false" outlineLevel="0" collapsed="false">
      <c r="A3" s="55" t="s">
        <v>174</v>
      </c>
      <c r="B3" s="56" t="s">
        <v>629</v>
      </c>
      <c r="C3" s="56" t="s">
        <v>630</v>
      </c>
      <c r="D3" s="57" t="s">
        <v>631</v>
      </c>
      <c r="E3" s="58" t="n">
        <f aca="false">SUMIFS('4-1 지역 벤치마크(참조)'!$D$2:$D$28,'4-1 지역 벤치마크(참조)'!$A$2:$A$28,$B3,'4-1 지역 벤치마크(참조)'!$B$2:$B$28,"D1 리텐션")</f>
        <v>0.369</v>
      </c>
      <c r="F3" s="58" t="n">
        <f aca="false">SUMIFS('4-1 지역 벤치마크(참조)'!$C$2:$C$28,'4-1 지역 벤치마크(참조)'!$A$2:$A$28,$B3,'4-1 지역 벤치마크(참조)'!$B$2:$B$28,"D1 리텐션")</f>
        <v>0.2328</v>
      </c>
      <c r="G3" s="57" t="s">
        <v>632</v>
      </c>
      <c r="H3" s="58" t="n">
        <f aca="false">SUMIFS('4-1 지역 벤치마크(참조)'!$D$2:$D$28,'4-1 지역 벤치마크(참조)'!$A$2:$A$28,$B3,'4-1 지역 벤치마크(참조)'!$B$2:$B$28,"D7 리텐션")</f>
        <v>0.1258</v>
      </c>
      <c r="I3" s="58" t="n">
        <f aca="false">SUMIFS('4-1 지역 벤치마크(참조)'!$C$2:$C$28,'4-1 지역 벤치마크(참조)'!$A$2:$A$28,$B3,'4-1 지역 벤치마크(참조)'!$B$2:$B$28,"D7 리텐션")</f>
        <v>0.0497</v>
      </c>
      <c r="J3" s="57" t="s">
        <v>633</v>
      </c>
      <c r="K3" s="58" t="n">
        <f aca="false">SUMIFS('4-1 지역 벤치마크(참조)'!$D$2:$D$28,'4-1 지역 벤치마크(참조)'!$A$2:$A$28,$B3,'4-1 지역 벤치마크(참조)'!$B$2:$B$28,"D30 리텐션")</f>
        <v>0.0478</v>
      </c>
      <c r="L3" s="58" t="n">
        <f aca="false">SUMIFS('4-1 지역 벤치마크(참조)'!$C$2:$C$28,'4-1 지역 벤치마크(참조)'!$A$2:$A$28,$B3,'4-1 지역 벤치마크(참조)'!$B$2:$B$28,"D30 리텐션")</f>
        <v>0.0118</v>
      </c>
      <c r="M3" s="59" t="n">
        <v>1.34</v>
      </c>
      <c r="N3" s="59" t="n">
        <v>0.55</v>
      </c>
      <c r="O3" s="59" t="n">
        <v>7.26</v>
      </c>
      <c r="P3" s="60" t="s">
        <v>634</v>
      </c>
    </row>
    <row r="4" customFormat="false" ht="32.8" hidden="false" customHeight="false" outlineLevel="0" collapsed="false">
      <c r="A4" s="55" t="s">
        <v>178</v>
      </c>
      <c r="B4" s="56" t="s">
        <v>629</v>
      </c>
      <c r="C4" s="56" t="s">
        <v>630</v>
      </c>
      <c r="D4" s="57" t="s">
        <v>631</v>
      </c>
      <c r="E4" s="58" t="n">
        <f aca="false">SUMIFS('4-1 지역 벤치마크(참조)'!$D$2:$D$28,'4-1 지역 벤치마크(참조)'!$A$2:$A$28,$B4,'4-1 지역 벤치마크(참조)'!$B$2:$B$28,"D1 리텐션")</f>
        <v>0.369</v>
      </c>
      <c r="F4" s="58" t="n">
        <f aca="false">SUMIFS('4-1 지역 벤치마크(참조)'!$C$2:$C$28,'4-1 지역 벤치마크(참조)'!$A$2:$A$28,$B4,'4-1 지역 벤치마크(참조)'!$B$2:$B$28,"D1 리텐션")</f>
        <v>0.2328</v>
      </c>
      <c r="G4" s="57" t="s">
        <v>632</v>
      </c>
      <c r="H4" s="58" t="n">
        <f aca="false">SUMIFS('4-1 지역 벤치마크(참조)'!$D$2:$D$28,'4-1 지역 벤치마크(참조)'!$A$2:$A$28,$B4,'4-1 지역 벤치마크(참조)'!$B$2:$B$28,"D7 리텐션")</f>
        <v>0.1258</v>
      </c>
      <c r="I4" s="58" t="n">
        <f aca="false">SUMIFS('4-1 지역 벤치마크(참조)'!$C$2:$C$28,'4-1 지역 벤치마크(참조)'!$A$2:$A$28,$B4,'4-1 지역 벤치마크(참조)'!$B$2:$B$28,"D7 리텐션")</f>
        <v>0.0497</v>
      </c>
      <c r="J4" s="57" t="s">
        <v>633</v>
      </c>
      <c r="K4" s="58" t="n">
        <f aca="false">SUMIFS('4-1 지역 벤치마크(참조)'!$D$2:$D$28,'4-1 지역 벤치마크(참조)'!$A$2:$A$28,$B4,'4-1 지역 벤치마크(참조)'!$B$2:$B$28,"D30 리텐션")</f>
        <v>0.0478</v>
      </c>
      <c r="L4" s="58" t="n">
        <f aca="false">SUMIFS('4-1 지역 벤치마크(참조)'!$C$2:$C$28,'4-1 지역 벤치마크(참조)'!$A$2:$A$28,$B4,'4-1 지역 벤치마크(참조)'!$B$2:$B$28,"D30 리텐션")</f>
        <v>0.0118</v>
      </c>
      <c r="M4" s="59" t="n">
        <v>1.34</v>
      </c>
      <c r="N4" s="59" t="n">
        <v>0.55</v>
      </c>
      <c r="O4" s="59" t="n">
        <v>7.26</v>
      </c>
      <c r="P4" s="60" t="s">
        <v>634</v>
      </c>
    </row>
    <row r="5" customFormat="false" ht="32.8" hidden="false" customHeight="false" outlineLevel="0" collapsed="false">
      <c r="A5" s="55" t="s">
        <v>181</v>
      </c>
      <c r="B5" s="56" t="s">
        <v>629</v>
      </c>
      <c r="C5" s="56" t="s">
        <v>630</v>
      </c>
      <c r="D5" s="57" t="s">
        <v>631</v>
      </c>
      <c r="E5" s="58" t="n">
        <f aca="false">SUMIFS('4-1 지역 벤치마크(참조)'!$D$2:$D$28,'4-1 지역 벤치마크(참조)'!$A$2:$A$28,$B5,'4-1 지역 벤치마크(참조)'!$B$2:$B$28,"D1 리텐션")</f>
        <v>0.369</v>
      </c>
      <c r="F5" s="58" t="n">
        <f aca="false">SUMIFS('4-1 지역 벤치마크(참조)'!$C$2:$C$28,'4-1 지역 벤치마크(참조)'!$A$2:$A$28,$B5,'4-1 지역 벤치마크(참조)'!$B$2:$B$28,"D1 리텐션")</f>
        <v>0.2328</v>
      </c>
      <c r="G5" s="57" t="s">
        <v>632</v>
      </c>
      <c r="H5" s="58" t="n">
        <f aca="false">SUMIFS('4-1 지역 벤치마크(참조)'!$D$2:$D$28,'4-1 지역 벤치마크(참조)'!$A$2:$A$28,$B5,'4-1 지역 벤치마크(참조)'!$B$2:$B$28,"D7 리텐션")</f>
        <v>0.1258</v>
      </c>
      <c r="I5" s="58" t="n">
        <f aca="false">SUMIFS('4-1 지역 벤치마크(참조)'!$C$2:$C$28,'4-1 지역 벤치마크(참조)'!$A$2:$A$28,$B5,'4-1 지역 벤치마크(참조)'!$B$2:$B$28,"D7 리텐션")</f>
        <v>0.0497</v>
      </c>
      <c r="J5" s="57" t="s">
        <v>633</v>
      </c>
      <c r="K5" s="58" t="n">
        <f aca="false">SUMIFS('4-1 지역 벤치마크(참조)'!$D$2:$D$28,'4-1 지역 벤치마크(참조)'!$A$2:$A$28,$B5,'4-1 지역 벤치마크(참조)'!$B$2:$B$28,"D30 리텐션")</f>
        <v>0.0478</v>
      </c>
      <c r="L5" s="58" t="n">
        <f aca="false">SUMIFS('4-1 지역 벤치마크(참조)'!$C$2:$C$28,'4-1 지역 벤치마크(참조)'!$A$2:$A$28,$B5,'4-1 지역 벤치마크(참조)'!$B$2:$B$28,"D30 리텐션")</f>
        <v>0.0118</v>
      </c>
      <c r="M5" s="59" t="n">
        <v>1.34</v>
      </c>
      <c r="N5" s="59" t="n">
        <v>0.55</v>
      </c>
      <c r="O5" s="59" t="n">
        <v>7.26</v>
      </c>
      <c r="P5" s="60" t="s">
        <v>634</v>
      </c>
    </row>
    <row r="6" customFormat="false" ht="32.8" hidden="false" customHeight="false" outlineLevel="0" collapsed="false">
      <c r="A6" s="55" t="s">
        <v>184</v>
      </c>
      <c r="B6" s="56" t="s">
        <v>629</v>
      </c>
      <c r="C6" s="56" t="s">
        <v>630</v>
      </c>
      <c r="D6" s="57" t="s">
        <v>631</v>
      </c>
      <c r="E6" s="58" t="n">
        <f aca="false">SUMIFS('4-1 지역 벤치마크(참조)'!$D$2:$D$28,'4-1 지역 벤치마크(참조)'!$A$2:$A$28,$B6,'4-1 지역 벤치마크(참조)'!$B$2:$B$28,"D1 리텐션")</f>
        <v>0.369</v>
      </c>
      <c r="F6" s="58" t="n">
        <f aca="false">SUMIFS('4-1 지역 벤치마크(참조)'!$C$2:$C$28,'4-1 지역 벤치마크(참조)'!$A$2:$A$28,$B6,'4-1 지역 벤치마크(참조)'!$B$2:$B$28,"D1 리텐션")</f>
        <v>0.2328</v>
      </c>
      <c r="G6" s="57" t="s">
        <v>632</v>
      </c>
      <c r="H6" s="58" t="n">
        <f aca="false">SUMIFS('4-1 지역 벤치마크(참조)'!$D$2:$D$28,'4-1 지역 벤치마크(참조)'!$A$2:$A$28,$B6,'4-1 지역 벤치마크(참조)'!$B$2:$B$28,"D7 리텐션")</f>
        <v>0.1258</v>
      </c>
      <c r="I6" s="58" t="n">
        <f aca="false">SUMIFS('4-1 지역 벤치마크(참조)'!$C$2:$C$28,'4-1 지역 벤치마크(참조)'!$A$2:$A$28,$B6,'4-1 지역 벤치마크(참조)'!$B$2:$B$28,"D7 리텐션")</f>
        <v>0.0497</v>
      </c>
      <c r="J6" s="57" t="s">
        <v>633</v>
      </c>
      <c r="K6" s="58" t="n">
        <f aca="false">SUMIFS('4-1 지역 벤치마크(참조)'!$D$2:$D$28,'4-1 지역 벤치마크(참조)'!$A$2:$A$28,$B6,'4-1 지역 벤치마크(참조)'!$B$2:$B$28,"D30 리텐션")</f>
        <v>0.0478</v>
      </c>
      <c r="L6" s="58" t="n">
        <f aca="false">SUMIFS('4-1 지역 벤치마크(참조)'!$C$2:$C$28,'4-1 지역 벤치마크(참조)'!$A$2:$A$28,$B6,'4-1 지역 벤치마크(참조)'!$B$2:$B$28,"D30 리텐션")</f>
        <v>0.0118</v>
      </c>
      <c r="M6" s="59" t="n">
        <v>1.34</v>
      </c>
      <c r="N6" s="59" t="n">
        <v>0.55</v>
      </c>
      <c r="O6" s="59" t="n">
        <v>7.26</v>
      </c>
      <c r="P6" s="60" t="s">
        <v>634</v>
      </c>
    </row>
    <row r="7" customFormat="false" ht="32.8" hidden="false" customHeight="false" outlineLevel="0" collapsed="false">
      <c r="A7" s="55" t="s">
        <v>186</v>
      </c>
      <c r="B7" s="56" t="s">
        <v>629</v>
      </c>
      <c r="C7" s="56" t="s">
        <v>630</v>
      </c>
      <c r="D7" s="57" t="s">
        <v>631</v>
      </c>
      <c r="E7" s="58" t="n">
        <f aca="false">SUMIFS('4-1 지역 벤치마크(참조)'!$D$2:$D$28,'4-1 지역 벤치마크(참조)'!$A$2:$A$28,$B7,'4-1 지역 벤치마크(참조)'!$B$2:$B$28,"D1 리텐션")</f>
        <v>0.369</v>
      </c>
      <c r="F7" s="58" t="n">
        <f aca="false">SUMIFS('4-1 지역 벤치마크(참조)'!$C$2:$C$28,'4-1 지역 벤치마크(참조)'!$A$2:$A$28,$B7,'4-1 지역 벤치마크(참조)'!$B$2:$B$28,"D1 리텐션")</f>
        <v>0.2328</v>
      </c>
      <c r="G7" s="57" t="s">
        <v>632</v>
      </c>
      <c r="H7" s="58" t="n">
        <f aca="false">SUMIFS('4-1 지역 벤치마크(참조)'!$D$2:$D$28,'4-1 지역 벤치마크(참조)'!$A$2:$A$28,$B7,'4-1 지역 벤치마크(참조)'!$B$2:$B$28,"D7 리텐션")</f>
        <v>0.1258</v>
      </c>
      <c r="I7" s="58" t="n">
        <f aca="false">SUMIFS('4-1 지역 벤치마크(참조)'!$C$2:$C$28,'4-1 지역 벤치마크(참조)'!$A$2:$A$28,$B7,'4-1 지역 벤치마크(참조)'!$B$2:$B$28,"D7 리텐션")</f>
        <v>0.0497</v>
      </c>
      <c r="J7" s="57" t="s">
        <v>633</v>
      </c>
      <c r="K7" s="58" t="n">
        <f aca="false">SUMIFS('4-1 지역 벤치마크(참조)'!$D$2:$D$28,'4-1 지역 벤치마크(참조)'!$A$2:$A$28,$B7,'4-1 지역 벤치마크(참조)'!$B$2:$B$28,"D30 리텐션")</f>
        <v>0.0478</v>
      </c>
      <c r="L7" s="58" t="n">
        <f aca="false">SUMIFS('4-1 지역 벤치마크(참조)'!$C$2:$C$28,'4-1 지역 벤치마크(참조)'!$A$2:$A$28,$B7,'4-1 지역 벤치마크(참조)'!$B$2:$B$28,"D30 리텐션")</f>
        <v>0.0118</v>
      </c>
      <c r="M7" s="59" t="n">
        <v>1.34</v>
      </c>
      <c r="N7" s="59" t="n">
        <v>0.55</v>
      </c>
      <c r="O7" s="59" t="n">
        <v>7.26</v>
      </c>
      <c r="P7" s="60" t="s">
        <v>634</v>
      </c>
    </row>
    <row r="8" customFormat="false" ht="32.8" hidden="false" customHeight="false" outlineLevel="0" collapsed="false">
      <c r="A8" s="55" t="s">
        <v>189</v>
      </c>
      <c r="B8" s="56" t="s">
        <v>629</v>
      </c>
      <c r="C8" s="56" t="s">
        <v>630</v>
      </c>
      <c r="D8" s="57" t="s">
        <v>631</v>
      </c>
      <c r="E8" s="58" t="n">
        <f aca="false">SUMIFS('4-1 지역 벤치마크(참조)'!$D$2:$D$28,'4-1 지역 벤치마크(참조)'!$A$2:$A$28,$B8,'4-1 지역 벤치마크(참조)'!$B$2:$B$28,"D1 리텐션")</f>
        <v>0.369</v>
      </c>
      <c r="F8" s="58" t="n">
        <f aca="false">SUMIFS('4-1 지역 벤치마크(참조)'!$C$2:$C$28,'4-1 지역 벤치마크(참조)'!$A$2:$A$28,$B8,'4-1 지역 벤치마크(참조)'!$B$2:$B$28,"D1 리텐션")</f>
        <v>0.2328</v>
      </c>
      <c r="G8" s="57" t="s">
        <v>632</v>
      </c>
      <c r="H8" s="58" t="n">
        <f aca="false">SUMIFS('4-1 지역 벤치마크(참조)'!$D$2:$D$28,'4-1 지역 벤치마크(참조)'!$A$2:$A$28,$B8,'4-1 지역 벤치마크(참조)'!$B$2:$B$28,"D7 리텐션")</f>
        <v>0.1258</v>
      </c>
      <c r="I8" s="58" t="n">
        <f aca="false">SUMIFS('4-1 지역 벤치마크(참조)'!$C$2:$C$28,'4-1 지역 벤치마크(참조)'!$A$2:$A$28,$B8,'4-1 지역 벤치마크(참조)'!$B$2:$B$28,"D7 리텐션")</f>
        <v>0.0497</v>
      </c>
      <c r="J8" s="57" t="s">
        <v>633</v>
      </c>
      <c r="K8" s="58" t="n">
        <f aca="false">SUMIFS('4-1 지역 벤치마크(참조)'!$D$2:$D$28,'4-1 지역 벤치마크(참조)'!$A$2:$A$28,$B8,'4-1 지역 벤치마크(참조)'!$B$2:$B$28,"D30 리텐션")</f>
        <v>0.0478</v>
      </c>
      <c r="L8" s="58" t="n">
        <f aca="false">SUMIFS('4-1 지역 벤치마크(참조)'!$C$2:$C$28,'4-1 지역 벤치마크(참조)'!$A$2:$A$28,$B8,'4-1 지역 벤치마크(참조)'!$B$2:$B$28,"D30 리텐션")</f>
        <v>0.0118</v>
      </c>
      <c r="M8" s="59" t="n">
        <v>1.34</v>
      </c>
      <c r="N8" s="59" t="n">
        <v>0.55</v>
      </c>
      <c r="O8" s="59" t="n">
        <v>7.26</v>
      </c>
      <c r="P8" s="60" t="s">
        <v>634</v>
      </c>
    </row>
    <row r="9" customFormat="false" ht="32.8" hidden="false" customHeight="false" outlineLevel="0" collapsed="false">
      <c r="A9" s="55" t="s">
        <v>193</v>
      </c>
      <c r="B9" s="56" t="s">
        <v>629</v>
      </c>
      <c r="C9" s="56" t="s">
        <v>630</v>
      </c>
      <c r="D9" s="57" t="s">
        <v>631</v>
      </c>
      <c r="E9" s="58" t="n">
        <f aca="false">SUMIFS('4-1 지역 벤치마크(참조)'!$D$2:$D$28,'4-1 지역 벤치마크(참조)'!$A$2:$A$28,$B9,'4-1 지역 벤치마크(참조)'!$B$2:$B$28,"D1 리텐션")</f>
        <v>0.369</v>
      </c>
      <c r="F9" s="58" t="n">
        <f aca="false">SUMIFS('4-1 지역 벤치마크(참조)'!$C$2:$C$28,'4-1 지역 벤치마크(참조)'!$A$2:$A$28,$B9,'4-1 지역 벤치마크(참조)'!$B$2:$B$28,"D1 리텐션")</f>
        <v>0.2328</v>
      </c>
      <c r="G9" s="57" t="s">
        <v>632</v>
      </c>
      <c r="H9" s="58" t="n">
        <f aca="false">SUMIFS('4-1 지역 벤치마크(참조)'!$D$2:$D$28,'4-1 지역 벤치마크(참조)'!$A$2:$A$28,$B9,'4-1 지역 벤치마크(참조)'!$B$2:$B$28,"D7 리텐션")</f>
        <v>0.1258</v>
      </c>
      <c r="I9" s="58" t="n">
        <f aca="false">SUMIFS('4-1 지역 벤치마크(참조)'!$C$2:$C$28,'4-1 지역 벤치마크(참조)'!$A$2:$A$28,$B9,'4-1 지역 벤치마크(참조)'!$B$2:$B$28,"D7 리텐션")</f>
        <v>0.0497</v>
      </c>
      <c r="J9" s="57" t="s">
        <v>633</v>
      </c>
      <c r="K9" s="58" t="n">
        <f aca="false">SUMIFS('4-1 지역 벤치마크(참조)'!$D$2:$D$28,'4-1 지역 벤치마크(참조)'!$A$2:$A$28,$B9,'4-1 지역 벤치마크(참조)'!$B$2:$B$28,"D30 리텐션")</f>
        <v>0.0478</v>
      </c>
      <c r="L9" s="58" t="n">
        <f aca="false">SUMIFS('4-1 지역 벤치마크(참조)'!$C$2:$C$28,'4-1 지역 벤치마크(참조)'!$A$2:$A$28,$B9,'4-1 지역 벤치마크(참조)'!$B$2:$B$28,"D30 리텐션")</f>
        <v>0.0118</v>
      </c>
      <c r="M9" s="59" t="n">
        <v>1.34</v>
      </c>
      <c r="N9" s="59" t="n">
        <v>0.55</v>
      </c>
      <c r="O9" s="59" t="n">
        <v>7.26</v>
      </c>
      <c r="P9" s="60" t="s">
        <v>634</v>
      </c>
    </row>
    <row r="10" customFormat="false" ht="32.8" hidden="false" customHeight="false" outlineLevel="0" collapsed="false">
      <c r="A10" s="55" t="s">
        <v>197</v>
      </c>
      <c r="B10" s="56" t="s">
        <v>629</v>
      </c>
      <c r="C10" s="56" t="s">
        <v>630</v>
      </c>
      <c r="D10" s="57" t="s">
        <v>631</v>
      </c>
      <c r="E10" s="58" t="n">
        <f aca="false">SUMIFS('4-1 지역 벤치마크(참조)'!$D$2:$D$28,'4-1 지역 벤치마크(참조)'!$A$2:$A$28,$B10,'4-1 지역 벤치마크(참조)'!$B$2:$B$28,"D1 리텐션")</f>
        <v>0.369</v>
      </c>
      <c r="F10" s="58" t="n">
        <f aca="false">SUMIFS('4-1 지역 벤치마크(참조)'!$C$2:$C$28,'4-1 지역 벤치마크(참조)'!$A$2:$A$28,$B10,'4-1 지역 벤치마크(참조)'!$B$2:$B$28,"D1 리텐션")</f>
        <v>0.2328</v>
      </c>
      <c r="G10" s="57" t="s">
        <v>632</v>
      </c>
      <c r="H10" s="58" t="n">
        <f aca="false">SUMIFS('4-1 지역 벤치마크(참조)'!$D$2:$D$28,'4-1 지역 벤치마크(참조)'!$A$2:$A$28,$B10,'4-1 지역 벤치마크(참조)'!$B$2:$B$28,"D7 리텐션")</f>
        <v>0.1258</v>
      </c>
      <c r="I10" s="58" t="n">
        <f aca="false">SUMIFS('4-1 지역 벤치마크(참조)'!$C$2:$C$28,'4-1 지역 벤치마크(참조)'!$A$2:$A$28,$B10,'4-1 지역 벤치마크(참조)'!$B$2:$B$28,"D7 리텐션")</f>
        <v>0.0497</v>
      </c>
      <c r="J10" s="57" t="s">
        <v>633</v>
      </c>
      <c r="K10" s="58" t="n">
        <f aca="false">SUMIFS('4-1 지역 벤치마크(참조)'!$D$2:$D$28,'4-1 지역 벤치마크(참조)'!$A$2:$A$28,$B10,'4-1 지역 벤치마크(참조)'!$B$2:$B$28,"D30 리텐션")</f>
        <v>0.0478</v>
      </c>
      <c r="L10" s="58" t="n">
        <f aca="false">SUMIFS('4-1 지역 벤치마크(참조)'!$C$2:$C$28,'4-1 지역 벤치마크(참조)'!$A$2:$A$28,$B10,'4-1 지역 벤치마크(참조)'!$B$2:$B$28,"D30 리텐션")</f>
        <v>0.0118</v>
      </c>
      <c r="M10" s="59" t="n">
        <v>1.34</v>
      </c>
      <c r="N10" s="59" t="n">
        <v>0.55</v>
      </c>
      <c r="O10" s="59" t="n">
        <v>7.26</v>
      </c>
      <c r="P10" s="60" t="s">
        <v>634</v>
      </c>
    </row>
    <row r="11" customFormat="false" ht="32.8" hidden="false" customHeight="false" outlineLevel="0" collapsed="false">
      <c r="A11" s="55" t="s">
        <v>200</v>
      </c>
      <c r="B11" s="56" t="s">
        <v>629</v>
      </c>
      <c r="C11" s="56" t="s">
        <v>635</v>
      </c>
      <c r="D11" s="57" t="s">
        <v>631</v>
      </c>
      <c r="E11" s="58" t="n">
        <f aca="false">SUMIFS('4-1 지역 벤치마크(참조)'!$D$2:$D$28,'4-1 지역 벤치마크(참조)'!$A$2:$A$28,$B11,'4-1 지역 벤치마크(참조)'!$B$2:$B$28,"D1 리텐션")</f>
        <v>0.369</v>
      </c>
      <c r="F11" s="58" t="n">
        <f aca="false">SUMIFS('4-1 지역 벤치마크(참조)'!$C$2:$C$28,'4-1 지역 벤치마크(참조)'!$A$2:$A$28,$B11,'4-1 지역 벤치마크(참조)'!$B$2:$B$28,"D1 리텐션")</f>
        <v>0.2328</v>
      </c>
      <c r="G11" s="57" t="s">
        <v>632</v>
      </c>
      <c r="H11" s="58" t="n">
        <f aca="false">SUMIFS('4-1 지역 벤치마크(참조)'!$D$2:$D$28,'4-1 지역 벤치마크(참조)'!$A$2:$A$28,$B11,'4-1 지역 벤치마크(참조)'!$B$2:$B$28,"D7 리텐션")</f>
        <v>0.1258</v>
      </c>
      <c r="I11" s="58" t="n">
        <f aca="false">SUMIFS('4-1 지역 벤치마크(참조)'!$C$2:$C$28,'4-1 지역 벤치마크(참조)'!$A$2:$A$28,$B11,'4-1 지역 벤치마크(참조)'!$B$2:$B$28,"D7 리텐션")</f>
        <v>0.0497</v>
      </c>
      <c r="J11" s="57" t="s">
        <v>633</v>
      </c>
      <c r="K11" s="58" t="n">
        <f aca="false">SUMIFS('4-1 지역 벤치마크(참조)'!$D$2:$D$28,'4-1 지역 벤치마크(참조)'!$A$2:$A$28,$B11,'4-1 지역 벤치마크(참조)'!$B$2:$B$28,"D30 리텐션")</f>
        <v>0.0478</v>
      </c>
      <c r="L11" s="58" t="n">
        <f aca="false">SUMIFS('4-1 지역 벤치마크(참조)'!$C$2:$C$28,'4-1 지역 벤치마크(참조)'!$A$2:$A$28,$B11,'4-1 지역 벤치마크(참조)'!$B$2:$B$28,"D30 리텐션")</f>
        <v>0.0118</v>
      </c>
      <c r="M11" s="59" t="n">
        <v>2.13</v>
      </c>
      <c r="N11" s="59" t="n">
        <v>0.4</v>
      </c>
      <c r="O11" s="59" t="n">
        <v>9.8</v>
      </c>
      <c r="P11" s="60" t="s">
        <v>634</v>
      </c>
    </row>
    <row r="12" customFormat="false" ht="32.8" hidden="false" customHeight="false" outlineLevel="0" collapsed="false">
      <c r="A12" s="55" t="s">
        <v>204</v>
      </c>
      <c r="B12" s="56" t="s">
        <v>636</v>
      </c>
      <c r="C12" s="56" t="s">
        <v>635</v>
      </c>
      <c r="D12" s="57" t="s">
        <v>631</v>
      </c>
      <c r="E12" s="58" t="n">
        <f aca="false">SUMIFS('4-1 지역 벤치마크(참조)'!$D$2:$D$28,'4-1 지역 벤치마크(참조)'!$A$2:$A$28,$B12,'4-1 지역 벤치마크(참조)'!$B$2:$B$28,"D1 리텐션")</f>
        <v>0.3406</v>
      </c>
      <c r="F12" s="58" t="n">
        <f aca="false">SUMIFS('4-1 지역 벤치마크(참조)'!$C$2:$C$28,'4-1 지역 벤치마크(참조)'!$A$2:$A$28,$B12,'4-1 지역 벤치마크(참조)'!$B$2:$B$28,"D1 리텐션")</f>
        <v>0.2009</v>
      </c>
      <c r="G12" s="57" t="s">
        <v>632</v>
      </c>
      <c r="H12" s="58" t="n">
        <f aca="false">SUMIFS('4-1 지역 벤치마크(참조)'!$D$2:$D$28,'4-1 지역 벤치마크(참조)'!$A$2:$A$28,$B12,'4-1 지역 벤치마크(참조)'!$B$2:$B$28,"D7 리텐션")</f>
        <v>0.0914</v>
      </c>
      <c r="I12" s="58" t="n">
        <f aca="false">SUMIFS('4-1 지역 벤치마크(참조)'!$C$2:$C$28,'4-1 지역 벤치마크(참조)'!$A$2:$A$28,$B12,'4-1 지역 벤치마크(참조)'!$B$2:$B$28,"D7 리텐션")</f>
        <v>0.0325</v>
      </c>
      <c r="J12" s="57" t="s">
        <v>633</v>
      </c>
      <c r="K12" s="58" t="n">
        <f aca="false">SUMIFS('4-1 지역 벤치마크(참조)'!$D$2:$D$28,'4-1 지역 벤치마크(참조)'!$A$2:$A$28,$B12,'4-1 지역 벤치마크(참조)'!$B$2:$B$28,"D30 리텐션")</f>
        <v>0.0254</v>
      </c>
      <c r="L12" s="58" t="n">
        <f aca="false">SUMIFS('4-1 지역 벤치마크(참조)'!$C$2:$C$28,'4-1 지역 벤치마크(참조)'!$A$2:$A$28,$B12,'4-1 지역 벤치마크(참조)'!$B$2:$B$28,"D30 리텐션")</f>
        <v>0.0065</v>
      </c>
      <c r="M12" s="59" t="n">
        <v>2.13</v>
      </c>
      <c r="N12" s="59" t="n">
        <v>0.4</v>
      </c>
      <c r="O12" s="59" t="n">
        <v>9.8</v>
      </c>
      <c r="P12" s="60" t="s">
        <v>634</v>
      </c>
    </row>
    <row r="13" customFormat="false" ht="32.8" hidden="false" customHeight="false" outlineLevel="0" collapsed="false">
      <c r="A13" s="61" t="s">
        <v>207</v>
      </c>
      <c r="B13" s="56" t="s">
        <v>637</v>
      </c>
      <c r="C13" s="62" t="s">
        <v>638</v>
      </c>
      <c r="D13" s="57" t="s">
        <v>631</v>
      </c>
      <c r="E13" s="58" t="n">
        <f aca="false">SUMIFS('4-1 지역 벤치마크(참조)'!$D$2:$D$28,'4-1 지역 벤치마크(참조)'!$A$2:$A$28,$B13,'4-1 지역 벤치마크(참조)'!$B$2:$B$28,"D1 리텐션")</f>
        <v>0.3277</v>
      </c>
      <c r="F13" s="58" t="n">
        <f aca="false">SUMIFS('4-1 지역 벤치마크(참조)'!$C$2:$C$28,'4-1 지역 벤치마크(참조)'!$A$2:$A$28,$B13,'4-1 지역 벤치마크(참조)'!$B$2:$B$28,"D1 리텐션")</f>
        <v>0.175</v>
      </c>
      <c r="G13" s="57" t="s">
        <v>632</v>
      </c>
      <c r="H13" s="58" t="n">
        <f aca="false">SUMIFS('4-1 지역 벤치마크(참조)'!$D$2:$D$28,'4-1 지역 벤치마크(참조)'!$A$2:$A$28,$B13,'4-1 지역 벤치마크(참조)'!$B$2:$B$28,"D7 리텐션")</f>
        <v>0.0865</v>
      </c>
      <c r="I13" s="58" t="n">
        <f aca="false">SUMIFS('4-1 지역 벤치마크(참조)'!$C$2:$C$28,'4-1 지역 벤치마크(참조)'!$A$2:$A$28,$B13,'4-1 지역 벤치마크(참조)'!$B$2:$B$28,"D7 리텐션")</f>
        <v>0.0268</v>
      </c>
      <c r="J13" s="57" t="s">
        <v>633</v>
      </c>
      <c r="K13" s="58" t="n">
        <f aca="false">SUMIFS('4-1 지역 벤치마크(참조)'!$D$2:$D$28,'4-1 지역 벤치마크(참조)'!$A$2:$A$28,$B13,'4-1 지역 벤치마크(참조)'!$B$2:$B$28,"D30 리텐션")</f>
        <v>0.0259</v>
      </c>
      <c r="L13" s="58" t="n">
        <f aca="false">SUMIFS('4-1 지역 벤치마크(참조)'!$C$2:$C$28,'4-1 지역 벤치마크(참조)'!$A$2:$A$28,$B13,'4-1 지역 벤치마크(참조)'!$B$2:$B$28,"D30 리텐션")</f>
        <v>0.0053</v>
      </c>
      <c r="M13" s="63"/>
      <c r="N13" s="63"/>
      <c r="O13" s="63"/>
      <c r="P13" s="60" t="s">
        <v>634</v>
      </c>
    </row>
    <row r="14" customFormat="false" ht="32.8" hidden="false" customHeight="false" outlineLevel="0" collapsed="false">
      <c r="A14" s="61" t="s">
        <v>210</v>
      </c>
      <c r="B14" s="56" t="s">
        <v>637</v>
      </c>
      <c r="C14" s="56" t="s">
        <v>635</v>
      </c>
      <c r="D14" s="57" t="s">
        <v>631</v>
      </c>
      <c r="E14" s="58" t="n">
        <f aca="false">SUMIFS('4-1 지역 벤치마크(참조)'!$D$2:$D$28,'4-1 지역 벤치마크(참조)'!$A$2:$A$28,$B14,'4-1 지역 벤치마크(참조)'!$B$2:$B$28,"D1 리텐션")</f>
        <v>0.3277</v>
      </c>
      <c r="F14" s="58" t="n">
        <f aca="false">SUMIFS('4-1 지역 벤치마크(참조)'!$C$2:$C$28,'4-1 지역 벤치마크(참조)'!$A$2:$A$28,$B14,'4-1 지역 벤치마크(참조)'!$B$2:$B$28,"D1 리텐션")</f>
        <v>0.175</v>
      </c>
      <c r="G14" s="57" t="s">
        <v>632</v>
      </c>
      <c r="H14" s="58" t="n">
        <f aca="false">SUMIFS('4-1 지역 벤치마크(참조)'!$D$2:$D$28,'4-1 지역 벤치마크(참조)'!$A$2:$A$28,$B14,'4-1 지역 벤치마크(참조)'!$B$2:$B$28,"D7 리텐션")</f>
        <v>0.0865</v>
      </c>
      <c r="I14" s="58" t="n">
        <f aca="false">SUMIFS('4-1 지역 벤치마크(참조)'!$C$2:$C$28,'4-1 지역 벤치마크(참조)'!$A$2:$A$28,$B14,'4-1 지역 벤치마크(참조)'!$B$2:$B$28,"D7 리텐션")</f>
        <v>0.0268</v>
      </c>
      <c r="J14" s="57" t="s">
        <v>633</v>
      </c>
      <c r="K14" s="58" t="n">
        <f aca="false">SUMIFS('4-1 지역 벤치마크(참조)'!$D$2:$D$28,'4-1 지역 벤치마크(참조)'!$A$2:$A$28,$B14,'4-1 지역 벤치마크(참조)'!$B$2:$B$28,"D30 리텐션")</f>
        <v>0.0259</v>
      </c>
      <c r="L14" s="58" t="n">
        <f aca="false">SUMIFS('4-1 지역 벤치마크(참조)'!$C$2:$C$28,'4-1 지역 벤치마크(참조)'!$A$2:$A$28,$B14,'4-1 지역 벤치마크(참조)'!$B$2:$B$28,"D30 리텐션")</f>
        <v>0.0053</v>
      </c>
      <c r="M14" s="59" t="n">
        <v>2.13</v>
      </c>
      <c r="N14" s="59" t="n">
        <v>0.4</v>
      </c>
      <c r="O14" s="59" t="n">
        <v>9.8</v>
      </c>
      <c r="P14" s="60" t="s">
        <v>634</v>
      </c>
    </row>
    <row r="16" customFormat="false" ht="17.15" hidden="false" customHeight="false" outlineLevel="0" collapsed="false">
      <c r="A16" s="22" t="s">
        <v>639</v>
      </c>
    </row>
    <row r="17" customFormat="false" ht="17.15" hidden="false" customHeight="false" outlineLevel="0" collapsed="false">
      <c r="A17" s="38" t="s">
        <v>640</v>
      </c>
    </row>
    <row r="18" customFormat="false" ht="17.15" hidden="false" customHeight="false" outlineLevel="0" collapsed="false">
      <c r="A18" s="22" t="s">
        <v>641</v>
      </c>
    </row>
    <row r="19" customFormat="false" ht="17.15" hidden="false" customHeight="false" outlineLevel="0" collapsed="false">
      <c r="A19" s="22" t="s">
        <v>642</v>
      </c>
    </row>
    <row r="20" customFormat="false" ht="17.15" hidden="false" customHeight="false" outlineLevel="0" collapsed="false">
      <c r="A20" s="38" t="s">
        <v>643</v>
      </c>
    </row>
    <row r="21" customFormat="false" ht="17.15" hidden="false" customHeight="false" outlineLevel="0" collapsed="false">
      <c r="A21" s="22" t="s">
        <v>644</v>
      </c>
    </row>
  </sheetData>
  <mergeCells count="4">
    <mergeCell ref="D1:F1"/>
    <mergeCell ref="G1:I1"/>
    <mergeCell ref="J1:L1"/>
    <mergeCell ref="M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7A"/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9" min="7" style="0" width="9"/>
    <col collapsed="false" customWidth="true" hidden="false" outlineLevel="0" max="12" min="10" style="0" width="10"/>
    <col collapsed="false" customWidth="true" hidden="false" outlineLevel="0" max="13" min="13" style="0" width="52"/>
  </cols>
  <sheetData>
    <row r="1" customFormat="false" ht="20.1" hidden="false" customHeight="false" outlineLevel="0" collapsed="false">
      <c r="A1" s="64" t="s">
        <v>645</v>
      </c>
    </row>
    <row r="2" customFormat="false" ht="17.15" hidden="false" customHeight="false" outlineLevel="0" collapsed="false">
      <c r="A2" s="65" t="s">
        <v>646</v>
      </c>
    </row>
    <row r="4" customFormat="false" ht="36" hidden="false" customHeight="true" outlineLevel="0" collapsed="false">
      <c r="A4" s="19" t="s">
        <v>647</v>
      </c>
      <c r="B4" s="19" t="s">
        <v>648</v>
      </c>
      <c r="C4" s="19" t="s">
        <v>649</v>
      </c>
      <c r="D4" s="19" t="s">
        <v>650</v>
      </c>
      <c r="E4" s="19" t="s">
        <v>651</v>
      </c>
      <c r="F4" s="19" t="s">
        <v>652</v>
      </c>
      <c r="G4" s="24" t="s">
        <v>653</v>
      </c>
      <c r="H4" s="24" t="s">
        <v>654</v>
      </c>
      <c r="I4" s="24" t="s">
        <v>655</v>
      </c>
      <c r="J4" s="19" t="s">
        <v>656</v>
      </c>
      <c r="K4" s="19" t="s">
        <v>657</v>
      </c>
      <c r="L4" s="19" t="s">
        <v>658</v>
      </c>
      <c r="M4" s="19" t="s">
        <v>659</v>
      </c>
    </row>
    <row r="5" customFormat="false" ht="33.75" hidden="false" customHeight="true" outlineLevel="0" collapsed="false">
      <c r="A5" s="66" t="s">
        <v>660</v>
      </c>
      <c r="B5" s="67" t="s">
        <v>661</v>
      </c>
      <c r="C5" s="68" t="s">
        <v>662</v>
      </c>
      <c r="D5" s="69" t="s">
        <v>663</v>
      </c>
      <c r="E5" s="69" t="s">
        <v>664</v>
      </c>
      <c r="F5" s="67" t="s">
        <v>665</v>
      </c>
      <c r="G5" s="58" t="n">
        <f aca="false">INDEX('4-3 장르 판독 요약(참조)'!$C$5:$C$20,MATCH($C5,'4-3 장르 판독 요약(참조)'!$A$5:$A$20,0))</f>
        <v>0.20205</v>
      </c>
      <c r="H5" s="58" t="n">
        <f aca="false">INDEX('4-3 장르 판독 요약(참조)'!$E$5:$E$20,MATCH($C5,'4-3 장르 판독 요약(참조)'!$A$5:$A$20,0))</f>
        <v>0.0453583333333333</v>
      </c>
      <c r="I5" s="58" t="n">
        <f aca="false">INDEX('4-3 장르 판독 요약(참조)'!$G$5:$G$20,MATCH($C5,'4-3 장르 판독 요약(참조)'!$A$5:$A$20,0))</f>
        <v>0.0119</v>
      </c>
      <c r="J5" s="70" t="n">
        <f aca="false">INDEX('4-3 장르 판독 요약(참조)'!$I$5:$I$20,MATCH($C5,'4-3 장르 판독 요약(참조)'!$A$5:$A$20,0))</f>
        <v>30.1916666666667</v>
      </c>
      <c r="K5" s="70" t="n">
        <f aca="false">INDEX('4-3 장르 판독 요약(참조)'!$K$5:$K$20,MATCH($C5,'4-3 장르 판독 요약(참조)'!$A$5:$A$20,0))</f>
        <v>5.64166666666667</v>
      </c>
      <c r="L5" s="71" t="n">
        <f aca="false">INDEX('4-3 장르 판독 요약(참조)'!$M$5:$M$20,MATCH($C5,'4-3 장르 판독 요약(참조)'!$A$5:$A$20,0))</f>
        <v>4.77583333333333</v>
      </c>
      <c r="M5" s="69" t="str">
        <f aca="false">INDEX('4-3 장르 판독 요약(참조)'!$O$5:$O$20,MATCH($C5,'4-3 장르 판독 요약(참조)'!$A$5:$A$20,0))</f>
        <v>다음날 20.2명 → 1주 뒤 4.5명 → 4주 뒤 1.2명이 다시 옴</v>
      </c>
    </row>
    <row r="6" customFormat="false" ht="33.75" hidden="false" customHeight="true" outlineLevel="0" collapsed="false">
      <c r="A6" s="66" t="s">
        <v>666</v>
      </c>
      <c r="B6" s="67" t="s">
        <v>667</v>
      </c>
      <c r="C6" s="68" t="s">
        <v>662</v>
      </c>
      <c r="D6" s="67" t="s">
        <v>668</v>
      </c>
      <c r="E6" s="69" t="s">
        <v>664</v>
      </c>
      <c r="F6" s="67" t="s">
        <v>669</v>
      </c>
      <c r="G6" s="58" t="n">
        <f aca="false">INDEX('4-3 장르 판독 요약(참조)'!$C$5:$C$20,MATCH($C6,'4-3 장르 판독 요약(참조)'!$A$5:$A$20,0))</f>
        <v>0.20205</v>
      </c>
      <c r="H6" s="58" t="n">
        <f aca="false">INDEX('4-3 장르 판독 요약(참조)'!$E$5:$E$20,MATCH($C6,'4-3 장르 판독 요약(참조)'!$A$5:$A$20,0))</f>
        <v>0.0453583333333333</v>
      </c>
      <c r="I6" s="58" t="n">
        <f aca="false">INDEX('4-3 장르 판독 요약(참조)'!$G$5:$G$20,MATCH($C6,'4-3 장르 판독 요약(참조)'!$A$5:$A$20,0))</f>
        <v>0.0119</v>
      </c>
      <c r="J6" s="70" t="n">
        <f aca="false">INDEX('4-3 장르 판독 요약(참조)'!$I$5:$I$20,MATCH($C6,'4-3 장르 판독 요약(참조)'!$A$5:$A$20,0))</f>
        <v>30.1916666666667</v>
      </c>
      <c r="K6" s="70" t="n">
        <f aca="false">INDEX('4-3 장르 판독 요약(참조)'!$K$5:$K$20,MATCH($C6,'4-3 장르 판독 요약(참조)'!$A$5:$A$20,0))</f>
        <v>5.64166666666667</v>
      </c>
      <c r="L6" s="71" t="n">
        <f aca="false">INDEX('4-3 장르 판독 요약(참조)'!$M$5:$M$20,MATCH($C6,'4-3 장르 판독 요약(참조)'!$A$5:$A$20,0))</f>
        <v>4.77583333333333</v>
      </c>
      <c r="M6" s="69" t="str">
        <f aca="false">INDEX('4-3 장르 판독 요약(참조)'!$O$5:$O$20,MATCH($C6,'4-3 장르 판독 요약(참조)'!$A$5:$A$20,0))</f>
        <v>다음날 20.2명 → 1주 뒤 4.5명 → 4주 뒤 1.2명이 다시 옴</v>
      </c>
    </row>
    <row r="7" customFormat="false" ht="33.75" hidden="false" customHeight="true" outlineLevel="0" collapsed="false">
      <c r="A7" s="66" t="s">
        <v>670</v>
      </c>
      <c r="B7" s="67" t="s">
        <v>671</v>
      </c>
      <c r="C7" s="68" t="s">
        <v>672</v>
      </c>
      <c r="D7" s="69" t="s">
        <v>673</v>
      </c>
      <c r="E7" s="72" t="s">
        <v>674</v>
      </c>
      <c r="F7" s="67" t="s">
        <v>675</v>
      </c>
      <c r="G7" s="58" t="n">
        <f aca="false">INDEX('4-3 장르 판독 요약(참조)'!$C$5:$C$20,MATCH($C7,'4-3 장르 판독 요약(참조)'!$A$5:$A$20,0))</f>
        <v>0.190991666666667</v>
      </c>
      <c r="H7" s="58" t="n">
        <f aca="false">INDEX('4-3 장르 판독 요약(참조)'!$E$5:$E$20,MATCH($C7,'4-3 장르 판독 요약(참조)'!$A$5:$A$20,0))</f>
        <v>0.0582833333333333</v>
      </c>
      <c r="I7" s="58" t="n">
        <f aca="false">INDEX('4-3 장르 판독 요약(참조)'!$G$5:$G$20,MATCH($C7,'4-3 장르 판독 요약(참조)'!$A$5:$A$20,0))</f>
        <v>0.0217166666666667</v>
      </c>
      <c r="J7" s="70" t="n">
        <f aca="false">INDEX('4-3 장르 판독 요약(참조)'!$I$5:$I$20,MATCH($C7,'4-3 장르 판독 요약(참조)'!$A$5:$A$20,0))</f>
        <v>41.0583333333333</v>
      </c>
      <c r="K7" s="70" t="n">
        <f aca="false">INDEX('4-3 장르 판독 요약(참조)'!$K$5:$K$20,MATCH($C7,'4-3 장르 판독 요약(참조)'!$A$5:$A$20,0))</f>
        <v>7.29166666666667</v>
      </c>
      <c r="L7" s="71" t="n">
        <f aca="false">INDEX('4-3 장르 판독 요약(참조)'!$M$5:$M$20,MATCH($C7,'4-3 장르 판독 요약(참조)'!$A$5:$A$20,0))</f>
        <v>5.08833333333333</v>
      </c>
      <c r="M7" s="69" t="str">
        <f aca="false">INDEX('4-3 장르 판독 요약(참조)'!$O$5:$O$20,MATCH($C7,'4-3 장르 판독 요약(참조)'!$A$5:$A$20,0))</f>
        <v>다음날 19.1명 → 1주 뒤 5.8명 → 4주 뒤 2.2명이 다시 옴</v>
      </c>
    </row>
    <row r="8" customFormat="false" ht="33.75" hidden="false" customHeight="true" outlineLevel="0" collapsed="false">
      <c r="A8" s="66" t="s">
        <v>676</v>
      </c>
      <c r="B8" s="67" t="s">
        <v>677</v>
      </c>
      <c r="C8" s="68" t="s">
        <v>678</v>
      </c>
      <c r="D8" s="69" t="s">
        <v>679</v>
      </c>
      <c r="E8" s="69" t="s">
        <v>664</v>
      </c>
      <c r="F8" s="67" t="s">
        <v>680</v>
      </c>
      <c r="G8" s="58" t="n">
        <f aca="false">INDEX('4-3 장르 판독 요약(참조)'!$C$5:$C$20,MATCH($C8,'4-3 장르 판독 요약(참조)'!$A$5:$A$20,0))</f>
        <v>0.198991666666667</v>
      </c>
      <c r="H8" s="58" t="n">
        <f aca="false">INDEX('4-3 장르 판독 요약(참조)'!$E$5:$E$20,MATCH($C8,'4-3 장르 판독 요약(참조)'!$A$5:$A$20,0))</f>
        <v>0.03365</v>
      </c>
      <c r="I8" s="58" t="n">
        <f aca="false">INDEX('4-3 장르 판독 요약(참조)'!$G$5:$G$20,MATCH($C8,'4-3 장르 판독 요약(참조)'!$A$5:$A$20,0))</f>
        <v>0.00714166666666667</v>
      </c>
      <c r="J8" s="70" t="n">
        <f aca="false">INDEX('4-3 장르 판독 요약(참조)'!$I$5:$I$20,MATCH($C8,'4-3 장르 판독 요약(참조)'!$A$5:$A$20,0))</f>
        <v>23.5</v>
      </c>
      <c r="K8" s="70" t="n">
        <f aca="false">INDEX('4-3 장르 판독 요약(참조)'!$K$5:$K$20,MATCH($C8,'4-3 장르 판독 요약(참조)'!$A$5:$A$20,0))</f>
        <v>5.45</v>
      </c>
      <c r="L8" s="71" t="n">
        <f aca="false">INDEX('4-3 장르 판독 요약(참조)'!$M$5:$M$20,MATCH($C8,'4-3 장르 판독 요약(참조)'!$A$5:$A$20,0))</f>
        <v>4.29666666666667</v>
      </c>
      <c r="M8" s="69" t="str">
        <f aca="false">INDEX('4-3 장르 판독 요약(참조)'!$O$5:$O$20,MATCH($C8,'4-3 장르 판독 요약(참조)'!$A$5:$A$20,0))</f>
        <v>다음날 19.9명 → 1주 뒤 3.4명 → 4주 뒤 0.7명이 다시 옴</v>
      </c>
    </row>
    <row r="9" customFormat="false" ht="33.75" hidden="false" customHeight="true" outlineLevel="0" collapsed="false">
      <c r="A9" s="66" t="s">
        <v>681</v>
      </c>
      <c r="B9" s="67" t="s">
        <v>682</v>
      </c>
      <c r="C9" s="68" t="s">
        <v>683</v>
      </c>
      <c r="D9" s="69" t="s">
        <v>679</v>
      </c>
      <c r="E9" s="69" t="s">
        <v>664</v>
      </c>
      <c r="F9" s="67" t="s">
        <v>684</v>
      </c>
      <c r="G9" s="58" t="n">
        <f aca="false">INDEX('4-3 장르 판독 요약(참조)'!$C$5:$C$20,MATCH($C9,'4-3 장르 판독 요약(참조)'!$A$5:$A$20,0))</f>
        <v>0.183533333333333</v>
      </c>
      <c r="H9" s="58" t="n">
        <f aca="false">INDEX('4-3 장르 판독 요약(참조)'!$E$5:$E$20,MATCH($C9,'4-3 장르 판독 요약(참조)'!$A$5:$A$20,0))</f>
        <v>0.029125</v>
      </c>
      <c r="I9" s="58" t="n">
        <f aca="false">INDEX('4-3 장르 판독 요약(참조)'!$G$5:$G$20,MATCH($C9,'4-3 장르 판독 요약(참조)'!$A$5:$A$20,0))</f>
        <v>0.00633333333333333</v>
      </c>
      <c r="J9" s="70" t="n">
        <f aca="false">INDEX('4-3 장르 판독 요약(참조)'!$I$5:$I$20,MATCH($C9,'4-3 장르 판독 요약(참조)'!$A$5:$A$20,0))</f>
        <v>14.0833333333333</v>
      </c>
      <c r="K9" s="70" t="n">
        <f aca="false">INDEX('4-3 장르 판독 요약(참조)'!$K$5:$K$20,MATCH($C9,'4-3 장르 판독 요약(참조)'!$A$5:$A$20,0))</f>
        <v>3.85833333333333</v>
      </c>
      <c r="L9" s="71" t="n">
        <f aca="false">INDEX('4-3 장르 판독 요약(참조)'!$M$5:$M$20,MATCH($C9,'4-3 장르 판독 요약(참조)'!$A$5:$A$20,0))</f>
        <v>3.55916666666667</v>
      </c>
      <c r="M9" s="69" t="str">
        <f aca="false">INDEX('4-3 장르 판독 요약(참조)'!$O$5:$O$20,MATCH($C9,'4-3 장르 판독 요약(참조)'!$A$5:$A$20,0))</f>
        <v>다음날 18.4명 → 1주 뒤 2.9명 → 4주 뒤 0.6명이 다시 옴</v>
      </c>
    </row>
    <row r="10" customFormat="false" ht="33.75" hidden="false" customHeight="true" outlineLevel="0" collapsed="false">
      <c r="A10" s="66" t="s">
        <v>685</v>
      </c>
      <c r="B10" s="67" t="s">
        <v>442</v>
      </c>
      <c r="C10" s="68" t="s">
        <v>686</v>
      </c>
      <c r="D10" s="69" t="s">
        <v>687</v>
      </c>
      <c r="E10" s="72" t="s">
        <v>674</v>
      </c>
      <c r="F10" s="67" t="s">
        <v>688</v>
      </c>
      <c r="G10" s="58" t="n">
        <f aca="false">INDEX('4-3 장르 판독 요약(참조)'!$C$5:$C$20,MATCH($C10,'4-3 장르 판독 요약(참조)'!$A$5:$A$20,0))</f>
        <v>0.160516666666667</v>
      </c>
      <c r="H10" s="58" t="n">
        <f aca="false">INDEX('4-3 장르 판독 요약(참조)'!$E$5:$E$20,MATCH($C10,'4-3 장르 판독 요약(참조)'!$A$5:$A$20,0))</f>
        <v>0.0228166666666667</v>
      </c>
      <c r="I10" s="58" t="n">
        <f aca="false">INDEX('4-3 장르 판독 요약(참조)'!$G$5:$G$20,MATCH($C10,'4-3 장르 판독 요약(참조)'!$A$5:$A$20,0))</f>
        <v>0.00481666666666667</v>
      </c>
      <c r="J10" s="70" t="n">
        <f aca="false">INDEX('4-3 장르 판독 요약(참조)'!$I$5:$I$20,MATCH($C10,'4-3 장르 판독 요약(참조)'!$A$5:$A$20,0))</f>
        <v>16.4</v>
      </c>
      <c r="K10" s="70" t="n">
        <f aca="false">INDEX('4-3 장르 판독 요약(참조)'!$K$5:$K$20,MATCH($C10,'4-3 장르 판독 요약(참조)'!$A$5:$A$20,0))</f>
        <v>4.60833333333333</v>
      </c>
      <c r="L10" s="71" t="n">
        <f aca="false">INDEX('4-3 장르 판독 요약(참조)'!$M$5:$M$20,MATCH($C10,'4-3 장르 판독 요약(참조)'!$A$5:$A$20,0))</f>
        <v>3.69833333333333</v>
      </c>
      <c r="M10" s="69" t="str">
        <f aca="false">INDEX('4-3 장르 판독 요약(참조)'!$O$5:$O$20,MATCH($C10,'4-3 장르 판독 요약(참조)'!$A$5:$A$20,0))</f>
        <v>다음날 16.1명 → 1주 뒤 2.3명 → 4주 뒤 0.5명이 다시 옴</v>
      </c>
    </row>
    <row r="11" customFormat="false" ht="33.75" hidden="false" customHeight="true" outlineLevel="0" collapsed="false">
      <c r="A11" s="66" t="s">
        <v>689</v>
      </c>
      <c r="B11" s="67" t="s">
        <v>449</v>
      </c>
      <c r="C11" s="68" t="s">
        <v>690</v>
      </c>
      <c r="D11" s="69" t="s">
        <v>691</v>
      </c>
      <c r="E11" s="69" t="s">
        <v>664</v>
      </c>
      <c r="F11" s="67" t="s">
        <v>692</v>
      </c>
      <c r="G11" s="58" t="n">
        <f aca="false">INDEX('4-3 장르 판독 요약(참조)'!$C$5:$C$20,MATCH($C11,'4-3 장르 판독 요약(참조)'!$A$5:$A$20,0))</f>
        <v>0.188383333333333</v>
      </c>
      <c r="H11" s="58" t="n">
        <f aca="false">INDEX('4-3 장르 판독 요약(참조)'!$E$5:$E$20,MATCH($C11,'4-3 장르 판독 요약(참조)'!$A$5:$A$20,0))</f>
        <v>0.0672</v>
      </c>
      <c r="I11" s="58" t="n">
        <f aca="false">INDEX('4-3 장르 판독 요약(참조)'!$G$5:$G$20,MATCH($C11,'4-3 장르 판독 요약(참조)'!$A$5:$A$20,0))</f>
        <v>0.03</v>
      </c>
      <c r="J11" s="70" t="n">
        <f aca="false">INDEX('4-3 장르 판독 요약(참조)'!$I$5:$I$20,MATCH($C11,'4-3 장르 판독 요약(참조)'!$A$5:$A$20,0))</f>
        <v>48.525</v>
      </c>
      <c r="K11" s="70" t="n">
        <f aca="false">INDEX('4-3 장르 판독 요약(참조)'!$K$5:$K$20,MATCH($C11,'4-3 장르 판독 요약(참조)'!$A$5:$A$20,0))</f>
        <v>8.30833333333333</v>
      </c>
      <c r="L11" s="71" t="n">
        <f aca="false">INDEX('4-3 장르 판독 요약(참조)'!$M$5:$M$20,MATCH($C11,'4-3 장르 판독 요약(참조)'!$A$5:$A$20,0))</f>
        <v>4.86</v>
      </c>
      <c r="M11" s="69" t="str">
        <f aca="false">INDEX('4-3 장르 판독 요약(참조)'!$O$5:$O$20,MATCH($C11,'4-3 장르 판독 요약(참조)'!$A$5:$A$20,0))</f>
        <v>다음날 18.8명 → 1주 뒤 6.7명 → 4주 뒤 3.0명이 다시 옴</v>
      </c>
    </row>
    <row r="12" customFormat="false" ht="33.75" hidden="false" customHeight="true" outlineLevel="0" collapsed="false">
      <c r="A12" s="66" t="s">
        <v>693</v>
      </c>
      <c r="B12" s="69" t="s">
        <v>694</v>
      </c>
      <c r="C12" s="68" t="s">
        <v>695</v>
      </c>
      <c r="D12" s="69" t="s">
        <v>696</v>
      </c>
      <c r="E12" s="69" t="s">
        <v>664</v>
      </c>
      <c r="F12" s="67" t="s">
        <v>697</v>
      </c>
      <c r="G12" s="58" t="n">
        <f aca="false">INDEX('4-3 장르 판독 요약(참조)'!$C$5:$C$20,MATCH($C12,'4-3 장르 판독 요약(참조)'!$A$5:$A$20,0))</f>
        <v>0.150716666666667</v>
      </c>
      <c r="H12" s="58" t="n">
        <f aca="false">INDEX('4-3 장르 판독 요약(참조)'!$E$5:$E$20,MATCH($C12,'4-3 장르 판독 요약(참조)'!$A$5:$A$20,0))</f>
        <v>0.020725</v>
      </c>
      <c r="I12" s="58" t="n">
        <f aca="false">INDEX('4-3 장르 판독 요약(참조)'!$G$5:$G$20,MATCH($C12,'4-3 장르 판독 요약(참조)'!$A$5:$A$20,0))</f>
        <v>0.004325</v>
      </c>
      <c r="J12" s="70" t="n">
        <f aca="false">INDEX('4-3 장르 판독 요약(참조)'!$I$5:$I$20,MATCH($C12,'4-3 장르 판독 요약(참조)'!$A$5:$A$20,0))</f>
        <v>15.6416666666667</v>
      </c>
      <c r="K12" s="70" t="n">
        <f aca="false">INDEX('4-3 장르 판독 요약(참조)'!$K$5:$K$20,MATCH($C12,'4-3 장르 판독 요약(참조)'!$A$5:$A$20,0))</f>
        <v>4.375</v>
      </c>
      <c r="L12" s="71" t="n">
        <f aca="false">INDEX('4-3 장르 판독 요약(참조)'!$M$5:$M$20,MATCH($C12,'4-3 장르 판독 요약(참조)'!$A$5:$A$20,0))</f>
        <v>4.015</v>
      </c>
      <c r="M12" s="69" t="str">
        <f aca="false">INDEX('4-3 장르 판독 요약(참조)'!$O$5:$O$20,MATCH($C12,'4-3 장르 판독 요약(참조)'!$A$5:$A$20,0))</f>
        <v>다음날 15.1명 → 1주 뒤 2.1명 → 4주 뒤 0.4명이 다시 옴</v>
      </c>
    </row>
    <row r="14" customFormat="false" ht="17.15" hidden="false" customHeight="false" outlineLevel="0" collapsed="false">
      <c r="A14" s="22" t="s">
        <v>698</v>
      </c>
    </row>
    <row r="15" customFormat="false" ht="17.15" hidden="false" customHeight="false" outlineLevel="0" collapsed="false">
      <c r="A15" s="38" t="s">
        <v>699</v>
      </c>
    </row>
    <row r="16" customFormat="false" ht="17.15" hidden="false" customHeight="false" outlineLevel="0" collapsed="false">
      <c r="A16" s="38" t="s">
        <v>700</v>
      </c>
    </row>
    <row r="17" customFormat="false" ht="17.15" hidden="false" customHeight="false" outlineLevel="0" collapsed="false">
      <c r="A17" s="22" t="s">
        <v>701</v>
      </c>
    </row>
  </sheetData>
  <conditionalFormatting sqref="G5:G12">
    <cfRule type="colorScale" priority="2">
      <colorScale>
        <cfvo type="min" val="0"/>
        <cfvo type="max" val="0"/>
        <color rgb="FFF2F2F2"/>
        <color rgb="FF8EA9DB"/>
      </colorScale>
    </cfRule>
  </conditionalFormatting>
  <conditionalFormatting sqref="H5:H12">
    <cfRule type="colorScale" priority="3">
      <colorScale>
        <cfvo type="min" val="0"/>
        <cfvo type="max" val="0"/>
        <color rgb="FFF2F2F2"/>
        <color rgb="FF8EA9DB"/>
      </colorScale>
    </cfRule>
  </conditionalFormatting>
  <conditionalFormatting sqref="I5:I12">
    <cfRule type="colorScale" priority="4">
      <colorScale>
        <cfvo type="min" val="0"/>
        <cfvo type="max" val="0"/>
        <color rgb="FFF2F2F2"/>
        <color rgb="FF8EA9DB"/>
      </colorScale>
    </cfRule>
  </conditionalFormatting>
  <conditionalFormatting sqref="J5:J12">
    <cfRule type="colorScale" priority="5">
      <colorScale>
        <cfvo type="min" val="0"/>
        <cfvo type="max" val="0"/>
        <color rgb="FFF2F2F2"/>
        <color rgb="FF8EA9DB"/>
      </colorScale>
    </cfRule>
  </conditionalFormatting>
  <conditionalFormatting sqref="K5:K12">
    <cfRule type="colorScale" priority="6">
      <colorScale>
        <cfvo type="min" val="0"/>
        <cfvo type="max" val="0"/>
        <color rgb="FFF2F2F2"/>
        <color rgb="FF8EA9DB"/>
      </colorScale>
    </cfRule>
  </conditionalFormatting>
  <conditionalFormatting sqref="L5:L12">
    <cfRule type="colorScale" priority="7">
      <colorScale>
        <cfvo type="min" val="0"/>
        <cfvo type="max" val="0"/>
        <color rgb="FFF2F2F2"/>
        <color rgb="FF8EA9DB"/>
      </colorScale>
    </cfRule>
  </conditionalFormatting>
  <dataValidations count="1">
    <dataValidation allowBlank="false" errorStyle="stop" operator="between" showDropDown="false" showErrorMessage="false" showInputMessage="false" sqref="C5:C12" type="list">
      <formula1>'4-3 장르 판독 요약(참조)'!$A$5:$A$20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7A"/>
    <pageSetUpPr fitToPage="false"/>
  </sheetPr>
  <dimension ref="A1:L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4" min="3" style="0" width="22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52"/>
    <col collapsed="false" customWidth="true" hidden="false" outlineLevel="0" max="11" min="11" style="0" width="30"/>
    <col collapsed="false" customWidth="true" hidden="false" outlineLevel="0" max="12" min="12" style="0" width="12"/>
  </cols>
  <sheetData>
    <row r="1" customFormat="false" ht="19.4" hidden="false" customHeight="false" outlineLevel="0" collapsed="false">
      <c r="A1" s="73" t="s">
        <v>702</v>
      </c>
    </row>
    <row r="2" customFormat="false" ht="17.15" hidden="false" customHeight="false" outlineLevel="0" collapsed="false">
      <c r="A2" s="22" t="s">
        <v>703</v>
      </c>
    </row>
    <row r="4" customFormat="false" ht="32.8" hidden="false" customHeight="false" outlineLevel="0" collapsed="false">
      <c r="A4" s="74" t="s">
        <v>704</v>
      </c>
      <c r="B4" s="74" t="s">
        <v>705</v>
      </c>
      <c r="C4" s="75" t="s">
        <v>706</v>
      </c>
      <c r="D4" s="75" t="s">
        <v>707</v>
      </c>
      <c r="E4" s="74" t="s">
        <v>708</v>
      </c>
      <c r="G4" s="74" t="s">
        <v>709</v>
      </c>
      <c r="H4" s="74" t="s">
        <v>710</v>
      </c>
      <c r="I4" s="74" t="s">
        <v>711</v>
      </c>
    </row>
    <row r="5" customFormat="false" ht="31.5" hidden="false" customHeight="true" outlineLevel="0" collapsed="false">
      <c r="A5" s="36" t="s">
        <v>712</v>
      </c>
      <c r="B5" s="17" t="s">
        <v>713</v>
      </c>
      <c r="C5" s="17" t="s">
        <v>714</v>
      </c>
      <c r="D5" s="17" t="s">
        <v>715</v>
      </c>
      <c r="E5" s="76" t="n">
        <v>0.25</v>
      </c>
      <c r="G5" s="77" t="s">
        <v>716</v>
      </c>
      <c r="H5" s="78" t="n">
        <f aca="false">COUNTIFS($I$79:$I$250,G5,$G$79:$G$250,"후보")</f>
        <v>35</v>
      </c>
      <c r="I5" s="78" t="n">
        <f aca="false">COUNTIF($I$18:$I$54,G5)</f>
        <v>12</v>
      </c>
    </row>
    <row r="6" customFormat="false" ht="31.5" hidden="false" customHeight="true" outlineLevel="0" collapsed="false">
      <c r="A6" s="36" t="s">
        <v>717</v>
      </c>
      <c r="B6" s="17" t="s">
        <v>718</v>
      </c>
      <c r="C6" s="17" t="s">
        <v>719</v>
      </c>
      <c r="D6" s="17" t="s">
        <v>720</v>
      </c>
      <c r="E6" s="76" t="n">
        <v>0.25</v>
      </c>
      <c r="G6" s="79" t="s">
        <v>721</v>
      </c>
      <c r="H6" s="78" t="n">
        <f aca="false">COUNTIFS($I$79:$I$250,G6,$G$79:$G$250,"후보")</f>
        <v>23</v>
      </c>
      <c r="I6" s="78" t="n">
        <f aca="false">COUNTIF($I$18:$I$54,G6)</f>
        <v>6</v>
      </c>
    </row>
    <row r="7" customFormat="false" ht="31.5" hidden="false" customHeight="true" outlineLevel="0" collapsed="false">
      <c r="A7" s="36" t="s">
        <v>722</v>
      </c>
      <c r="B7" s="17" t="s">
        <v>723</v>
      </c>
      <c r="C7" s="18" t="s">
        <v>724</v>
      </c>
      <c r="D7" s="18" t="s">
        <v>725</v>
      </c>
      <c r="E7" s="76" t="n">
        <v>0.2</v>
      </c>
      <c r="G7" s="77" t="s">
        <v>726</v>
      </c>
      <c r="H7" s="78" t="n">
        <f aca="false">COUNTIFS($I$79:$I$250,G7,$G$79:$G$250,"후보")</f>
        <v>57</v>
      </c>
      <c r="I7" s="78" t="n">
        <f aca="false">COUNTIF($I$18:$I$54,G7)</f>
        <v>17</v>
      </c>
    </row>
    <row r="8" customFormat="false" ht="31.5" hidden="false" customHeight="true" outlineLevel="0" collapsed="false">
      <c r="A8" s="36" t="s">
        <v>727</v>
      </c>
      <c r="B8" s="17" t="s">
        <v>728</v>
      </c>
      <c r="C8" s="17" t="s">
        <v>729</v>
      </c>
      <c r="D8" s="17" t="s">
        <v>730</v>
      </c>
      <c r="E8" s="76" t="n">
        <v>0.2</v>
      </c>
      <c r="G8" s="79" t="s">
        <v>731</v>
      </c>
      <c r="H8" s="78" t="n">
        <f aca="false">COUNTIFS($I$79:$I$250,G8,$G$79:$G$250,"후보")</f>
        <v>3</v>
      </c>
      <c r="I8" s="78" t="n">
        <f aca="false">COUNTIF($I$18:$I$54,G8)</f>
        <v>2</v>
      </c>
    </row>
    <row r="9" customFormat="false" ht="31.5" hidden="false" customHeight="true" outlineLevel="0" collapsed="false">
      <c r="A9" s="36" t="s">
        <v>732</v>
      </c>
      <c r="B9" s="17" t="s">
        <v>733</v>
      </c>
      <c r="C9" s="17" t="s">
        <v>734</v>
      </c>
      <c r="D9" s="17" t="s">
        <v>735</v>
      </c>
      <c r="E9" s="76" t="n">
        <v>0.1</v>
      </c>
      <c r="G9" s="80" t="s">
        <v>736</v>
      </c>
      <c r="H9" s="80" t="n">
        <f aca="false">SUM(H5:H8)</f>
        <v>118</v>
      </c>
      <c r="I9" s="80" t="n">
        <f aca="false">SUM(I5:I8)</f>
        <v>37</v>
      </c>
    </row>
    <row r="10" customFormat="false" ht="17.15" hidden="false" customHeight="false" outlineLevel="0" collapsed="false">
      <c r="A10" s="80" t="s">
        <v>737</v>
      </c>
      <c r="B10" s="78"/>
      <c r="C10" s="78"/>
      <c r="D10" s="78"/>
      <c r="E10" s="81" t="n">
        <f aca="false">SUM(E5:E9)</f>
        <v>1</v>
      </c>
    </row>
    <row r="12" customFormat="false" ht="17.15" hidden="false" customHeight="false" outlineLevel="0" collapsed="false">
      <c r="A12" s="82" t="s">
        <v>738</v>
      </c>
      <c r="E12" s="83" t="n">
        <v>70</v>
      </c>
      <c r="F12" s="22" t="s">
        <v>739</v>
      </c>
    </row>
    <row r="13" customFormat="false" ht="17.15" hidden="false" customHeight="false" outlineLevel="0" collapsed="false">
      <c r="A13" s="82" t="s">
        <v>740</v>
      </c>
      <c r="E13" s="83" t="n">
        <v>50</v>
      </c>
    </row>
    <row r="14" customFormat="false" ht="17.15" hidden="false" customHeight="false" outlineLevel="0" collapsed="false">
      <c r="A14" s="82" t="s">
        <v>741</v>
      </c>
      <c r="E14" s="84" t="s">
        <v>488</v>
      </c>
    </row>
    <row r="16" customFormat="false" ht="19.4" hidden="false" customHeight="false" outlineLevel="0" collapsed="false">
      <c r="A16" s="43" t="s">
        <v>742</v>
      </c>
    </row>
    <row r="17" customFormat="false" ht="32.8" hidden="false" customHeight="false" outlineLevel="0" collapsed="false">
      <c r="A17" s="74" t="s">
        <v>743</v>
      </c>
      <c r="B17" s="74" t="s">
        <v>744</v>
      </c>
      <c r="C17" s="74" t="s">
        <v>712</v>
      </c>
      <c r="D17" s="74" t="s">
        <v>717</v>
      </c>
      <c r="E17" s="74" t="s">
        <v>722</v>
      </c>
      <c r="F17" s="74" t="s">
        <v>727</v>
      </c>
      <c r="G17" s="74" t="s">
        <v>745</v>
      </c>
      <c r="H17" s="74" t="s">
        <v>746</v>
      </c>
      <c r="I17" s="74" t="s">
        <v>747</v>
      </c>
      <c r="J17" s="74" t="s">
        <v>748</v>
      </c>
      <c r="K17" s="74" t="s">
        <v>749</v>
      </c>
      <c r="L17" s="74" t="s">
        <v>710</v>
      </c>
    </row>
    <row r="18" customFormat="false" ht="17.15" hidden="false" customHeight="false" outlineLevel="0" collapsed="false">
      <c r="A18" s="17" t="s">
        <v>750</v>
      </c>
      <c r="B18" s="18" t="s">
        <v>751</v>
      </c>
      <c r="C18" s="85" t="n">
        <v>1</v>
      </c>
      <c r="D18" s="85" t="n">
        <v>1</v>
      </c>
      <c r="E18" s="85" t="n">
        <v>1</v>
      </c>
      <c r="F18" s="85" t="n">
        <v>1</v>
      </c>
      <c r="G18" s="85" t="n">
        <v>3</v>
      </c>
      <c r="H18" s="50" t="n">
        <f aca="false">IF(COUNT(C18:G18)&lt;5,"",ROUND((C18*$E$5+D18*$E$6+E18*$E$7+F18*$E$8+G18*$E$9)/SUM($E$5:$E$9)/5*100,0))</f>
        <v>24</v>
      </c>
      <c r="I18" s="50" t="str">
        <f aca="false">IF(H18="","판단 보류",IF(AND($E$14="예",MIN(C18:G18)=1),"2인 어려움",IF(H18&gt;=$E$12,"2인 가능",IF(H18&gt;=$E$13,"조건부 (범위를 줄이면)","2인 어려움"))))</f>
        <v>2인 어려움</v>
      </c>
      <c r="J18" s="37" t="s">
        <v>752</v>
      </c>
      <c r="K18" s="17" t="str">
        <f aca="false">A18&amp;"|"&amp;B18</f>
        <v>전략|4X·SLG</v>
      </c>
      <c r="L18" s="50" t="n">
        <f aca="false">COUNTIFS($K$79:$K$250,K18,$G$79:$G$250,"후보")</f>
        <v>16</v>
      </c>
    </row>
    <row r="19" customFormat="false" ht="32.8" hidden="false" customHeight="false" outlineLevel="0" collapsed="false">
      <c r="A19" s="17" t="s">
        <v>753</v>
      </c>
      <c r="B19" s="17" t="s">
        <v>754</v>
      </c>
      <c r="C19" s="85" t="n">
        <v>2</v>
      </c>
      <c r="D19" s="85" t="n">
        <v>4</v>
      </c>
      <c r="E19" s="85" t="n">
        <v>3</v>
      </c>
      <c r="F19" s="85" t="n">
        <v>2</v>
      </c>
      <c r="G19" s="85" t="n">
        <v>5</v>
      </c>
      <c r="H19" s="50" t="n">
        <f aca="false">IF(COUNT(C19:G19)&lt;5,"",ROUND((C19*$E$5+D19*$E$6+E19*$E$7+F19*$E$8+G19*$E$9)/SUM($E$5:$E$9)/5*100,0))</f>
        <v>60</v>
      </c>
      <c r="I19" s="50" t="str">
        <f aca="false">IF(H19="","판단 보류",IF(AND($E$14="예",MIN(C19:G19)=1),"2인 어려움",IF(H19&gt;=$E$12,"2인 가능",IF(H19&gt;=$E$13,"조건부 (범위를 줄이면)","2인 어려움"))))</f>
        <v>조건부 (범위를 줄이면)</v>
      </c>
      <c r="J19" s="37" t="s">
        <v>755</v>
      </c>
      <c r="K19" s="17" t="str">
        <f aca="false">A19&amp;"|"&amp;B19</f>
        <v>퍼즐|매치3</v>
      </c>
      <c r="L19" s="50" t="n">
        <f aca="false">COUNTIFS($K$79:$K$250,K19,$G$79:$G$250,"후보")</f>
        <v>10</v>
      </c>
    </row>
    <row r="20" customFormat="false" ht="32.8" hidden="false" customHeight="false" outlineLevel="0" collapsed="false">
      <c r="A20" s="17" t="s">
        <v>753</v>
      </c>
      <c r="B20" s="17" t="s">
        <v>756</v>
      </c>
      <c r="C20" s="85" t="n">
        <v>5</v>
      </c>
      <c r="D20" s="85" t="n">
        <v>5</v>
      </c>
      <c r="E20" s="85" t="n">
        <v>4</v>
      </c>
      <c r="F20" s="85" t="n">
        <v>4</v>
      </c>
      <c r="G20" s="85" t="n">
        <v>5</v>
      </c>
      <c r="H20" s="50" t="n">
        <f aca="false">IF(COUNT(C20:G20)&lt;5,"",ROUND((C20*$E$5+D20*$E$6+E20*$E$7+F20*$E$8+G20*$E$9)/SUM($E$5:$E$9)/5*100,0))</f>
        <v>92</v>
      </c>
      <c r="I20" s="50" t="str">
        <f aca="false">IF(H20="","판단 보류",IF(AND($E$14="예",MIN(C20:G20)=1),"2인 어려움",IF(H20&gt;=$E$12,"2인 가능",IF(H20&gt;=$E$13,"조건부 (범위를 줄이면)","2인 어려움"))))</f>
        <v>2인 가능</v>
      </c>
      <c r="J20" s="37" t="s">
        <v>757</v>
      </c>
      <c r="K20" s="17" t="str">
        <f aca="false">A20&amp;"|"&amp;B20</f>
        <v>퍼즐|정렬·잼</v>
      </c>
      <c r="L20" s="50" t="n">
        <f aca="false">COUNTIFS($K$79:$K$250,K20,$G$79:$G$250,"후보")</f>
        <v>9</v>
      </c>
    </row>
    <row r="21" customFormat="false" ht="17.15" hidden="false" customHeight="false" outlineLevel="0" collapsed="false">
      <c r="A21" s="18" t="s">
        <v>758</v>
      </c>
      <c r="B21" s="17" t="s">
        <v>759</v>
      </c>
      <c r="C21" s="85" t="n">
        <v>1</v>
      </c>
      <c r="D21" s="85" t="n">
        <v>2</v>
      </c>
      <c r="E21" s="85" t="n">
        <v>1</v>
      </c>
      <c r="F21" s="85" t="n">
        <v>1</v>
      </c>
      <c r="G21" s="85" t="n">
        <v>3</v>
      </c>
      <c r="H21" s="50" t="n">
        <f aca="false">IF(COUNT(C21:G21)&lt;5,"",ROUND((C21*$E$5+D21*$E$6+E21*$E$7+F21*$E$8+G21*$E$9)/SUM($E$5:$E$9)/5*100,0))</f>
        <v>29</v>
      </c>
      <c r="I21" s="50" t="str">
        <f aca="false">IF(H21="","판단 보류",IF(AND($E$14="예",MIN(C21:G21)=1),"2인 어려움",IF(H21&gt;=$E$12,"2인 가능",IF(H21&gt;=$E$13,"조건부 (범위를 줄이면)","2인 어려움"))))</f>
        <v>2인 어려움</v>
      </c>
      <c r="J21" s="37" t="s">
        <v>760</v>
      </c>
      <c r="K21" s="17" t="str">
        <f aca="false">A21&amp;"|"&amp;B21</f>
        <v>RPG|수집형(가챠) RPG</v>
      </c>
      <c r="L21" s="50" t="n">
        <f aca="false">COUNTIFS($K$79:$K$250,K21,$G$79:$G$250,"후보")</f>
        <v>8</v>
      </c>
    </row>
    <row r="22" customFormat="false" ht="17.15" hidden="false" customHeight="false" outlineLevel="0" collapsed="false">
      <c r="A22" s="17" t="s">
        <v>761</v>
      </c>
      <c r="B22" s="17" t="s">
        <v>762</v>
      </c>
      <c r="C22" s="85" t="n">
        <v>3</v>
      </c>
      <c r="D22" s="85" t="n">
        <v>2</v>
      </c>
      <c r="E22" s="85" t="n">
        <v>2</v>
      </c>
      <c r="F22" s="85" t="n">
        <v>1</v>
      </c>
      <c r="G22" s="85" t="n">
        <v>1</v>
      </c>
      <c r="H22" s="50" t="n">
        <f aca="false">IF(COUNT(C22:G22)&lt;5,"",ROUND((C22*$E$5+D22*$E$6+E22*$E$7+F22*$E$8+G22*$E$9)/SUM($E$5:$E$9)/5*100,0))</f>
        <v>39</v>
      </c>
      <c r="I22" s="50" t="str">
        <f aca="false">IF(H22="","판단 보류",IF(AND($E$14="예",MIN(C22:G22)=1),"2인 어려움",IF(H22&gt;=$E$12,"2인 가능",IF(H22&gt;=$E$13,"조건부 (범위를 줄이면)","2인 어려움"))))</f>
        <v>2인 어려움</v>
      </c>
      <c r="J22" s="37" t="s">
        <v>763</v>
      </c>
      <c r="K22" s="17" t="str">
        <f aca="false">A22&amp;"|"&amp;B22</f>
        <v>카드·보드·카지노|소셜 카지노</v>
      </c>
      <c r="L22" s="50" t="n">
        <f aca="false">COUNTIFS($K$79:$K$250,K22,$G$79:$G$250,"후보")</f>
        <v>8</v>
      </c>
    </row>
    <row r="23" customFormat="false" ht="17.15" hidden="false" customHeight="false" outlineLevel="0" collapsed="false">
      <c r="A23" s="17" t="s">
        <v>753</v>
      </c>
      <c r="B23" s="17" t="s">
        <v>764</v>
      </c>
      <c r="C23" s="85" t="n">
        <v>2</v>
      </c>
      <c r="D23" s="85" t="n">
        <v>4</v>
      </c>
      <c r="E23" s="85" t="n">
        <v>2</v>
      </c>
      <c r="F23" s="85" t="n">
        <v>2</v>
      </c>
      <c r="G23" s="85" t="n">
        <v>5</v>
      </c>
      <c r="H23" s="50" t="n">
        <f aca="false">IF(COUNT(C23:G23)&lt;5,"",ROUND((C23*$E$5+D23*$E$6+E23*$E$7+F23*$E$8+G23*$E$9)/SUM($E$5:$E$9)/5*100,0))</f>
        <v>56</v>
      </c>
      <c r="I23" s="50" t="str">
        <f aca="false">IF(H23="","판단 보류",IF(AND($E$14="예",MIN(C23:G23)=1),"2인 어려움",IF(H23&gt;=$E$12,"2인 가능",IF(H23&gt;=$E$13,"조건부 (범위를 줄이면)","2인 어려움"))))</f>
        <v>조건부 (범위를 줄이면)</v>
      </c>
      <c r="J23" s="37" t="s">
        <v>765</v>
      </c>
      <c r="K23" s="17" t="str">
        <f aca="false">A23&amp;"|"&amp;B23</f>
        <v>퍼즐|머지</v>
      </c>
      <c r="L23" s="50" t="n">
        <f aca="false">COUNTIFS($K$79:$K$250,K23,$G$79:$G$250,"후보")</f>
        <v>8</v>
      </c>
    </row>
    <row r="24" customFormat="false" ht="32.8" hidden="false" customHeight="false" outlineLevel="0" collapsed="false">
      <c r="A24" s="17" t="s">
        <v>761</v>
      </c>
      <c r="B24" s="17" t="s">
        <v>766</v>
      </c>
      <c r="C24" s="85" t="n">
        <v>2</v>
      </c>
      <c r="D24" s="85" t="n">
        <v>2</v>
      </c>
      <c r="E24" s="85" t="n">
        <v>2</v>
      </c>
      <c r="F24" s="85" t="n">
        <v>1</v>
      </c>
      <c r="G24" s="85" t="n">
        <v>3</v>
      </c>
      <c r="H24" s="50" t="n">
        <f aca="false">IF(COUNT(C24:G24)&lt;5,"",ROUND((C24*$E$5+D24*$E$6+E24*$E$7+F24*$E$8+G24*$E$9)/SUM($E$5:$E$9)/5*100,0))</f>
        <v>38</v>
      </c>
      <c r="I24" s="50" t="str">
        <f aca="false">IF(H24="","판단 보류",IF(AND($E$14="예",MIN(C24:G24)=1),"2인 어려움",IF(H24&gt;=$E$12,"2인 가능",IF(H24&gt;=$E$13,"조건부 (범위를 줄이면)","2인 어려움"))))</f>
        <v>2인 어려움</v>
      </c>
      <c r="J24" s="37" t="s">
        <v>767</v>
      </c>
      <c r="K24" s="17" t="str">
        <f aca="false">A24&amp;"|"&amp;B24</f>
        <v>카드·보드·카지노|보드·주사위 소셜캐주얼</v>
      </c>
      <c r="L24" s="50" t="n">
        <f aca="false">COUNTIFS($K$79:$K$250,K24,$G$79:$G$250,"후보")</f>
        <v>5</v>
      </c>
    </row>
    <row r="25" customFormat="false" ht="32.8" hidden="false" customHeight="false" outlineLevel="0" collapsed="false">
      <c r="A25" s="17" t="s">
        <v>753</v>
      </c>
      <c r="B25" s="17" t="s">
        <v>768</v>
      </c>
      <c r="C25" s="85" t="n">
        <v>4</v>
      </c>
      <c r="D25" s="85" t="n">
        <v>5</v>
      </c>
      <c r="E25" s="85" t="n">
        <v>4</v>
      </c>
      <c r="F25" s="85" t="n">
        <v>4</v>
      </c>
      <c r="G25" s="85" t="n">
        <v>5</v>
      </c>
      <c r="H25" s="50" t="n">
        <f aca="false">IF(COUNT(C25:G25)&lt;5,"",ROUND((C25*$E$5+D25*$E$6+E25*$E$7+F25*$E$8+G25*$E$9)/SUM($E$5:$E$9)/5*100,0))</f>
        <v>87</v>
      </c>
      <c r="I25" s="50" t="str">
        <f aca="false">IF(H25="","판단 보류",IF(AND($E$14="예",MIN(C25:G25)=1),"2인 어려움",IF(H25&gt;=$E$12,"2인 가능",IF(H25&gt;=$E$13,"조건부 (범위를 줄이면)","2인 어려움"))))</f>
        <v>2인 가능</v>
      </c>
      <c r="J25" s="37" t="s">
        <v>769</v>
      </c>
      <c r="K25" s="17" t="str">
        <f aca="false">A25&amp;"|"&amp;B25</f>
        <v>퍼즐|타일·마작·트리플 매치</v>
      </c>
      <c r="L25" s="50" t="n">
        <f aca="false">COUNTIFS($K$79:$K$250,K25,$G$79:$G$250,"후보")</f>
        <v>4</v>
      </c>
    </row>
    <row r="26" customFormat="false" ht="32.8" hidden="false" customHeight="false" outlineLevel="0" collapsed="false">
      <c r="A26" s="17" t="s">
        <v>770</v>
      </c>
      <c r="B26" s="17" t="s">
        <v>771</v>
      </c>
      <c r="C26" s="85" t="n">
        <v>4</v>
      </c>
      <c r="D26" s="85" t="n">
        <v>5</v>
      </c>
      <c r="E26" s="85" t="n">
        <v>3</v>
      </c>
      <c r="F26" s="85" t="n">
        <v>3</v>
      </c>
      <c r="G26" s="85" t="n">
        <v>5</v>
      </c>
      <c r="H26" s="50" t="n">
        <f aca="false">IF(COUNT(C26:G26)&lt;5,"",ROUND((C26*$E$5+D26*$E$6+E26*$E$7+F26*$E$8+G26*$E$9)/SUM($E$5:$E$9)/5*100,0))</f>
        <v>79</v>
      </c>
      <c r="I26" s="50" t="str">
        <f aca="false">IF(H26="","판단 보류",IF(AND($E$14="예",MIN(C26:G26)=1),"2인 어려움",IF(H26&gt;=$E$12,"2인 가능",IF(H26&gt;=$E$13,"조건부 (범위를 줄이면)","2인 어려움"))))</f>
        <v>2인 가능</v>
      </c>
      <c r="J26" s="37" t="s">
        <v>772</v>
      </c>
      <c r="K26" s="17" t="str">
        <f aca="false">A26&amp;"|"&amp;B26</f>
        <v>하이퍼·하이브리드 캐주얼|물리 파괴</v>
      </c>
      <c r="L26" s="50" t="n">
        <f aca="false">COUNTIFS($K$79:$K$250,K26,$G$79:$G$250,"후보")</f>
        <v>4</v>
      </c>
    </row>
    <row r="27" customFormat="false" ht="17.15" hidden="false" customHeight="false" outlineLevel="0" collapsed="false">
      <c r="A27" s="17" t="s">
        <v>773</v>
      </c>
      <c r="B27" s="17" t="s">
        <v>774</v>
      </c>
      <c r="C27" s="85" t="n">
        <v>1</v>
      </c>
      <c r="D27" s="85" t="n">
        <v>1</v>
      </c>
      <c r="E27" s="85" t="n">
        <v>1</v>
      </c>
      <c r="F27" s="85" t="n">
        <v>1</v>
      </c>
      <c r="G27" s="85" t="n">
        <v>4</v>
      </c>
      <c r="H27" s="50" t="n">
        <f aca="false">IF(COUNT(C27:G27)&lt;5,"",ROUND((C27*$E$5+D27*$E$6+E27*$E$7+F27*$E$8+G27*$E$9)/SUM($E$5:$E$9)/5*100,0))</f>
        <v>26</v>
      </c>
      <c r="I27" s="50" t="str">
        <f aca="false">IF(H27="","판단 보류",IF(AND($E$14="예",MIN(C27:G27)=1),"2인 어려움",IF(H27&gt;=$E$12,"2인 가능",IF(H27&gt;=$E$13,"조건부 (범위를 줄이면)","2인 어려움"))))</f>
        <v>2인 어려움</v>
      </c>
      <c r="J27" s="37" t="s">
        <v>775</v>
      </c>
      <c r="K27" s="17" t="str">
        <f aca="false">A27&amp;"|"&amp;B27</f>
        <v>액션·슈팅|배틀로얄</v>
      </c>
      <c r="L27" s="50" t="n">
        <f aca="false">COUNTIFS($K$79:$K$250,K27,$G$79:$G$250,"후보")</f>
        <v>3</v>
      </c>
    </row>
    <row r="28" customFormat="false" ht="17.15" hidden="false" customHeight="false" outlineLevel="0" collapsed="false">
      <c r="A28" s="17" t="s">
        <v>761</v>
      </c>
      <c r="B28" s="17" t="s">
        <v>776</v>
      </c>
      <c r="C28" s="85" t="n">
        <v>3</v>
      </c>
      <c r="D28" s="85" t="n">
        <v>2</v>
      </c>
      <c r="E28" s="85" t="n">
        <v>3</v>
      </c>
      <c r="F28" s="85" t="n">
        <v>1</v>
      </c>
      <c r="G28" s="85" t="n">
        <v>2</v>
      </c>
      <c r="H28" s="50" t="n">
        <f aca="false">IF(COUNT(C28:G28)&lt;5,"",ROUND((C28*$E$5+D28*$E$6+E28*$E$7+F28*$E$8+G28*$E$9)/SUM($E$5:$E$9)/5*100,0))</f>
        <v>45</v>
      </c>
      <c r="I28" s="50" t="str">
        <f aca="false">IF(H28="","판단 보류",IF(AND($E$14="예",MIN(C28:G28)=1),"2인 어려움",IF(H28&gt;=$E$12,"2인 가능",IF(H28&gt;=$E$13,"조건부 (범위를 줄이면)","2인 어려움"))))</f>
        <v>2인 어려움</v>
      </c>
      <c r="J28" s="37" t="s">
        <v>777</v>
      </c>
      <c r="K28" s="17" t="str">
        <f aca="false">A28&amp;"|"&amp;B28</f>
        <v>카드·보드·카지노|빙고</v>
      </c>
      <c r="L28" s="50" t="n">
        <f aca="false">COUNTIFS($K$79:$K$250,K28,$G$79:$G$250,"후보")</f>
        <v>3</v>
      </c>
    </row>
    <row r="29" customFormat="false" ht="32.8" hidden="false" customHeight="false" outlineLevel="0" collapsed="false">
      <c r="A29" s="17" t="s">
        <v>761</v>
      </c>
      <c r="B29" s="17" t="s">
        <v>778</v>
      </c>
      <c r="C29" s="85" t="n">
        <v>5</v>
      </c>
      <c r="D29" s="85" t="n">
        <v>5</v>
      </c>
      <c r="E29" s="85" t="n">
        <v>4</v>
      </c>
      <c r="F29" s="85" t="n">
        <v>4</v>
      </c>
      <c r="G29" s="85" t="n">
        <v>5</v>
      </c>
      <c r="H29" s="50" t="n">
        <f aca="false">IF(COUNT(C29:G29)&lt;5,"",ROUND((C29*$E$5+D29*$E$6+E29*$E$7+F29*$E$8+G29*$E$9)/SUM($E$5:$E$9)/5*100,0))</f>
        <v>92</v>
      </c>
      <c r="I29" s="50" t="str">
        <f aca="false">IF(H29="","판단 보류",IF(AND($E$14="예",MIN(C29:G29)=1),"2인 어려움",IF(H29&gt;=$E$12,"2인 가능",IF(H29&gt;=$E$13,"조건부 (범위를 줄이면)","2인 어려움"))))</f>
        <v>2인 가능</v>
      </c>
      <c r="J29" s="37" t="s">
        <v>779</v>
      </c>
      <c r="K29" s="17" t="str">
        <f aca="false">A29&amp;"|"&amp;B29</f>
        <v>카드·보드·카지노|솔리테어</v>
      </c>
      <c r="L29" s="50" t="n">
        <f aca="false">COUNTIFS($K$79:$K$250,K29,$G$79:$G$250,"후보")</f>
        <v>3</v>
      </c>
    </row>
    <row r="30" customFormat="false" ht="32.8" hidden="false" customHeight="false" outlineLevel="0" collapsed="false">
      <c r="A30" s="17" t="s">
        <v>753</v>
      </c>
      <c r="B30" s="17" t="s">
        <v>780</v>
      </c>
      <c r="C30" s="85" t="n">
        <v>5</v>
      </c>
      <c r="D30" s="85" t="n">
        <v>5</v>
      </c>
      <c r="E30" s="85" t="n">
        <v>5</v>
      </c>
      <c r="F30" s="85" t="n">
        <v>4</v>
      </c>
      <c r="G30" s="85" t="n">
        <v>5</v>
      </c>
      <c r="H30" s="50" t="n">
        <f aca="false">IF(COUNT(C30:G30)&lt;5,"",ROUND((C30*$E$5+D30*$E$6+E30*$E$7+F30*$E$8+G30*$E$9)/SUM($E$5:$E$9)/5*100,0))</f>
        <v>96</v>
      </c>
      <c r="I30" s="50" t="str">
        <f aca="false">IF(H30="","판단 보류",IF(AND($E$14="예",MIN(C30:G30)=1),"2인 어려움",IF(H30&gt;=$E$12,"2인 가능",IF(H30&gt;=$E$13,"조건부 (범위를 줄이면)","2인 어려움"))))</f>
        <v>2인 가능</v>
      </c>
      <c r="J30" s="37" t="s">
        <v>781</v>
      </c>
      <c r="K30" s="17" t="str">
        <f aca="false">A30&amp;"|"&amp;B30</f>
        <v>퍼즐|블록</v>
      </c>
      <c r="L30" s="50" t="n">
        <f aca="false">COUNTIFS($K$79:$K$250,K30,$G$79:$G$250,"후보")</f>
        <v>3</v>
      </c>
    </row>
    <row r="31" customFormat="false" ht="17.15" hidden="false" customHeight="false" outlineLevel="0" collapsed="false">
      <c r="A31" s="18" t="s">
        <v>758</v>
      </c>
      <c r="B31" s="17" t="s">
        <v>782</v>
      </c>
      <c r="C31" s="85" t="n">
        <v>1</v>
      </c>
      <c r="D31" s="85" t="n">
        <v>1</v>
      </c>
      <c r="E31" s="85" t="n">
        <v>1</v>
      </c>
      <c r="F31" s="85" t="n">
        <v>1</v>
      </c>
      <c r="G31" s="85" t="n">
        <v>3</v>
      </c>
      <c r="H31" s="50" t="n">
        <f aca="false">IF(COUNT(C31:G31)&lt;5,"",ROUND((C31*$E$5+D31*$E$6+E31*$E$7+F31*$E$8+G31*$E$9)/SUM($E$5:$E$9)/5*100,0))</f>
        <v>24</v>
      </c>
      <c r="I31" s="50" t="str">
        <f aca="false">IF(H31="","판단 보류",IF(AND($E$14="예",MIN(C31:G31)=1),"2인 어려움",IF(H31&gt;=$E$12,"2인 가능",IF(H31&gt;=$E$13,"조건부 (범위를 줄이면)","2인 어려움"))))</f>
        <v>2인 어려움</v>
      </c>
      <c r="J31" s="37" t="s">
        <v>783</v>
      </c>
      <c r="K31" s="17" t="str">
        <f aca="false">A31&amp;"|"&amp;B31</f>
        <v>RPG|수집형 오픈월드</v>
      </c>
      <c r="L31" s="50" t="n">
        <f aca="false">COUNTIFS($K$79:$K$250,K31,$G$79:$G$250,"후보")</f>
        <v>2</v>
      </c>
    </row>
    <row r="32" customFormat="false" ht="17.15" hidden="false" customHeight="false" outlineLevel="0" collapsed="false">
      <c r="A32" s="17" t="s">
        <v>784</v>
      </c>
      <c r="B32" s="17" t="s">
        <v>785</v>
      </c>
      <c r="C32" s="85" t="n">
        <v>1</v>
      </c>
      <c r="D32" s="85" t="n">
        <v>3</v>
      </c>
      <c r="E32" s="85" t="n">
        <v>1</v>
      </c>
      <c r="F32" s="85" t="n">
        <v>1</v>
      </c>
      <c r="G32" s="85" t="n">
        <v>5</v>
      </c>
      <c r="H32" s="50" t="n">
        <f aca="false">IF(COUNT(C32:G32)&lt;5,"",ROUND((C32*$E$5+D32*$E$6+E32*$E$7+F32*$E$8+G32*$E$9)/SUM($E$5:$E$9)/5*100,0))</f>
        <v>38</v>
      </c>
      <c r="I32" s="50" t="str">
        <f aca="false">IF(H32="","판단 보류",IF(AND($E$14="예",MIN(C32:G32)=1),"2인 어려움",IF(H32&gt;=$E$12,"2인 가능",IF(H32&gt;=$E$13,"조건부 (범위를 줄이면)","2인 어려움"))))</f>
        <v>2인 어려움</v>
      </c>
      <c r="J32" s="37" t="s">
        <v>786</v>
      </c>
      <c r="K32" s="17" t="str">
        <f aca="false">A32&amp;"|"&amp;B32</f>
        <v>시뮬레이션|농장·타운 빌딩</v>
      </c>
      <c r="L32" s="50" t="n">
        <f aca="false">COUNTIFS($K$79:$K$250,K32,$G$79:$G$250,"후보")</f>
        <v>2</v>
      </c>
    </row>
    <row r="33" customFormat="false" ht="17.15" hidden="false" customHeight="false" outlineLevel="0" collapsed="false">
      <c r="A33" s="17" t="s">
        <v>784</v>
      </c>
      <c r="B33" s="17" t="s">
        <v>787</v>
      </c>
      <c r="C33" s="85" t="n">
        <v>3</v>
      </c>
      <c r="D33" s="85" t="n">
        <v>4</v>
      </c>
      <c r="E33" s="85" t="n">
        <v>3</v>
      </c>
      <c r="F33" s="85" t="n">
        <v>3</v>
      </c>
      <c r="G33" s="85" t="n">
        <v>4</v>
      </c>
      <c r="H33" s="50" t="n">
        <f aca="false">IF(COUNT(C33:G33)&lt;5,"",ROUND((C33*$E$5+D33*$E$6+E33*$E$7+F33*$E$8+G33*$E$9)/SUM($E$5:$E$9)/5*100,0))</f>
        <v>67</v>
      </c>
      <c r="I33" s="50" t="str">
        <f aca="false">IF(H33="","판단 보류",IF(AND($E$14="예",MIN(C33:G33)=1),"2인 어려움",IF(H33&gt;=$E$12,"2인 가능",IF(H33&gt;=$E$13,"조건부 (범위를 줄이면)","2인 어려움"))))</f>
        <v>조건부 (범위를 줄이면)</v>
      </c>
      <c r="J33" s="37" t="s">
        <v>788</v>
      </c>
      <c r="K33" s="17" t="str">
        <f aca="false">A33&amp;"|"&amp;B33</f>
        <v>시뮬레이션|샌드박스</v>
      </c>
      <c r="L33" s="50" t="n">
        <f aca="false">COUNTIFS($K$79:$K$250,K33,$G$79:$G$250,"후보")</f>
        <v>2</v>
      </c>
    </row>
    <row r="34" customFormat="false" ht="17.15" hidden="false" customHeight="false" outlineLevel="0" collapsed="false">
      <c r="A34" s="17" t="s">
        <v>761</v>
      </c>
      <c r="B34" s="17" t="s">
        <v>789</v>
      </c>
      <c r="C34" s="85" t="n">
        <v>1</v>
      </c>
      <c r="D34" s="85" t="n">
        <v>1</v>
      </c>
      <c r="E34" s="85" t="n">
        <v>2</v>
      </c>
      <c r="F34" s="85" t="n">
        <v>1</v>
      </c>
      <c r="G34" s="85" t="n">
        <v>3</v>
      </c>
      <c r="H34" s="50" t="n">
        <f aca="false">IF(COUNT(C34:G34)&lt;5,"",ROUND((C34*$E$5+D34*$E$6+E34*$E$7+F34*$E$8+G34*$E$9)/SUM($E$5:$E$9)/5*100,0))</f>
        <v>28</v>
      </c>
      <c r="I34" s="50" t="str">
        <f aca="false">IF(H34="","판단 보류",IF(AND($E$14="예",MIN(C34:G34)=1),"2인 어려움",IF(H34&gt;=$E$12,"2인 가능",IF(H34&gt;=$E$13,"조건부 (범위를 줄이면)","2인 어려움"))))</f>
        <v>2인 어려움</v>
      </c>
      <c r="J34" s="37" t="s">
        <v>790</v>
      </c>
      <c r="K34" s="17" t="str">
        <f aca="false">A34&amp;"|"&amp;B34</f>
        <v>카드·보드·카지노|트레이딩 카드</v>
      </c>
      <c r="L34" s="50" t="n">
        <f aca="false">COUNTIFS($K$79:$K$250,K34,$G$79:$G$250,"후보")</f>
        <v>2</v>
      </c>
    </row>
    <row r="35" customFormat="false" ht="32.8" hidden="false" customHeight="false" outlineLevel="0" collapsed="false">
      <c r="A35" s="17" t="s">
        <v>753</v>
      </c>
      <c r="B35" s="17" t="s">
        <v>791</v>
      </c>
      <c r="C35" s="85" t="n">
        <v>3</v>
      </c>
      <c r="D35" s="85" t="n">
        <v>5</v>
      </c>
      <c r="E35" s="85" t="n">
        <v>4</v>
      </c>
      <c r="F35" s="85" t="n">
        <v>4</v>
      </c>
      <c r="G35" s="85" t="n">
        <v>5</v>
      </c>
      <c r="H35" s="50" t="n">
        <f aca="false">IF(COUNT(C35:G35)&lt;5,"",ROUND((C35*$E$5+D35*$E$6+E35*$E$7+F35*$E$8+G35*$E$9)/SUM($E$5:$E$9)/5*100,0))</f>
        <v>82</v>
      </c>
      <c r="I35" s="50" t="str">
        <f aca="false">IF(H35="","판단 보류",IF(AND($E$14="예",MIN(C35:G35)=1),"2인 어려움",IF(H35&gt;=$E$12,"2인 가능",IF(H35&gt;=$E$13,"조건부 (범위를 줄이면)","2인 어려움"))))</f>
        <v>2인 가능</v>
      </c>
      <c r="J35" s="37" t="s">
        <v>792</v>
      </c>
      <c r="K35" s="17" t="str">
        <f aca="false">A35&amp;"|"&amp;B35</f>
        <v>퍼즐|로직·두뇌 트릭</v>
      </c>
      <c r="L35" s="50" t="n">
        <f aca="false">COUNTIFS($K$79:$K$250,K35,$G$79:$G$250,"후보")</f>
        <v>2</v>
      </c>
    </row>
    <row r="36" customFormat="false" ht="32.8" hidden="false" customHeight="false" outlineLevel="0" collapsed="false">
      <c r="A36" s="17" t="s">
        <v>753</v>
      </c>
      <c r="B36" s="17" t="s">
        <v>793</v>
      </c>
      <c r="C36" s="85" t="n">
        <v>4</v>
      </c>
      <c r="D36" s="85" t="n">
        <v>5</v>
      </c>
      <c r="E36" s="85" t="n">
        <v>5</v>
      </c>
      <c r="F36" s="85" t="n">
        <v>4</v>
      </c>
      <c r="G36" s="85" t="n">
        <v>5</v>
      </c>
      <c r="H36" s="50" t="n">
        <f aca="false">IF(COUNT(C36:G36)&lt;5,"",ROUND((C36*$E$5+D36*$E$6+E36*$E$7+F36*$E$8+G36*$E$9)/SUM($E$5:$E$9)/5*100,0))</f>
        <v>91</v>
      </c>
      <c r="I36" s="50" t="str">
        <f aca="false">IF(H36="","판단 보류",IF(AND($E$14="예",MIN(C36:G36)=1),"2인 어려움",IF(H36&gt;=$E$12,"2인 가능",IF(H36&gt;=$E$13,"조건부 (범위를 줄이면)","2인 어려움"))))</f>
        <v>2인 가능</v>
      </c>
      <c r="J36" s="37" t="s">
        <v>794</v>
      </c>
      <c r="K36" s="17" t="str">
        <f aca="false">A36&amp;"|"&amp;B36</f>
        <v>퍼즐|워드</v>
      </c>
      <c r="L36" s="50" t="n">
        <f aca="false">COUNTIFS($K$79:$K$250,K36,$G$79:$G$250,"후보")</f>
        <v>2</v>
      </c>
    </row>
    <row r="37" customFormat="false" ht="32.8" hidden="false" customHeight="false" outlineLevel="0" collapsed="false">
      <c r="A37" s="17" t="s">
        <v>753</v>
      </c>
      <c r="B37" s="17" t="s">
        <v>795</v>
      </c>
      <c r="C37" s="85" t="n">
        <v>5</v>
      </c>
      <c r="D37" s="85" t="n">
        <v>5</v>
      </c>
      <c r="E37" s="85" t="n">
        <v>5</v>
      </c>
      <c r="F37" s="85" t="n">
        <v>4</v>
      </c>
      <c r="G37" s="85" t="n">
        <v>5</v>
      </c>
      <c r="H37" s="50" t="n">
        <f aca="false">IF(COUNT(C37:G37)&lt;5,"",ROUND((C37*$E$5+D37*$E$6+E37*$E$7+F37*$E$8+G37*$E$9)/SUM($E$5:$E$9)/5*100,0))</f>
        <v>96</v>
      </c>
      <c r="I37" s="50" t="str">
        <f aca="false">IF(H37="","판단 보류",IF(AND($E$14="예",MIN(C37:G37)=1),"2인 어려움",IF(H37&gt;=$E$12,"2인 가능",IF(H37&gt;=$E$13,"조건부 (범위를 줄이면)","2인 어려움"))))</f>
        <v>2인 가능</v>
      </c>
      <c r="J37" s="37" t="s">
        <v>796</v>
      </c>
      <c r="K37" s="17" t="str">
        <f aca="false">A37&amp;"|"&amp;B37</f>
        <v>퍼즐|탭 탈출</v>
      </c>
      <c r="L37" s="50" t="n">
        <f aca="false">COUNTIFS($K$79:$K$250,K37,$G$79:$G$250,"후보")</f>
        <v>2</v>
      </c>
    </row>
    <row r="38" customFormat="false" ht="32.8" hidden="false" customHeight="false" outlineLevel="0" collapsed="false">
      <c r="A38" s="17" t="s">
        <v>770</v>
      </c>
      <c r="B38" s="17" t="s">
        <v>797</v>
      </c>
      <c r="C38" s="85" t="n">
        <v>3</v>
      </c>
      <c r="D38" s="85" t="n">
        <v>5</v>
      </c>
      <c r="E38" s="85" t="n">
        <v>3</v>
      </c>
      <c r="F38" s="85" t="n">
        <v>3</v>
      </c>
      <c r="G38" s="85" t="n">
        <v>5</v>
      </c>
      <c r="H38" s="50" t="n">
        <f aca="false">IF(COUNT(C38:G38)&lt;5,"",ROUND((C38*$E$5+D38*$E$6+E38*$E$7+F38*$E$8+G38*$E$9)/SUM($E$5:$E$9)/5*100,0))</f>
        <v>74</v>
      </c>
      <c r="I38" s="50" t="str">
        <f aca="false">IF(H38="","판단 보류",IF(AND($E$14="예",MIN(C38:G38)=1),"2인 어려움",IF(H38&gt;=$E$12,"2인 가능",IF(H38&gt;=$E$13,"조건부 (범위를 줄이면)","2인 어려움"))))</f>
        <v>2인 가능</v>
      </c>
      <c r="J38" s="37" t="s">
        <v>798</v>
      </c>
      <c r="K38" s="17" t="str">
        <f aca="false">A38&amp;"|"&amp;B38</f>
        <v>하이퍼·하이브리드 캐주얼|하이브리드 캐주얼</v>
      </c>
      <c r="L38" s="50" t="n">
        <f aca="false">COUNTIFS($K$79:$K$250,K38,$G$79:$G$250,"후보")</f>
        <v>2</v>
      </c>
    </row>
    <row r="39" customFormat="false" ht="17.15" hidden="false" customHeight="false" outlineLevel="0" collapsed="false">
      <c r="A39" s="17" t="s">
        <v>799</v>
      </c>
      <c r="B39" s="18" t="s">
        <v>800</v>
      </c>
      <c r="C39" s="85"/>
      <c r="D39" s="85"/>
      <c r="E39" s="85"/>
      <c r="F39" s="85"/>
      <c r="G39" s="85"/>
      <c r="H39" s="50" t="str">
        <f aca="false">IF(COUNT(C39:G39)&lt;5,"",ROUND((C39*$E$5+D39*$E$6+E39*$E$7+F39*$E$8+G39*$E$9)/SUM($E$5:$E$9)/5*100,0))</f>
        <v/>
      </c>
      <c r="I39" s="50" t="str">
        <f aca="false">IF(H39="","판단 보류",IF(AND($E$14="예",MIN(C39:G39)=1),"2인 어려움",IF(H39&gt;=$E$12,"2인 가능",IF(H39&gt;=$E$13,"조건부 (범위를 줄이면)","2인 어려움"))))</f>
        <v>판단 보류</v>
      </c>
      <c r="J39" s="37" t="s">
        <v>801</v>
      </c>
      <c r="K39" s="17" t="str">
        <f aca="false">A39&amp;"|"&amp;B39</f>
        <v>확인 불가|-</v>
      </c>
      <c r="L39" s="50" t="n">
        <f aca="false">COUNTIFS($K$79:$K$250,K39,$G$79:$G$250,"후보")</f>
        <v>2</v>
      </c>
    </row>
    <row r="40" customFormat="false" ht="32.8" hidden="false" customHeight="false" outlineLevel="0" collapsed="false">
      <c r="A40" s="18" t="s">
        <v>758</v>
      </c>
      <c r="B40" s="17" t="s">
        <v>212</v>
      </c>
      <c r="C40" s="85" t="n">
        <v>2</v>
      </c>
      <c r="D40" s="85" t="n">
        <v>3</v>
      </c>
      <c r="E40" s="85" t="n">
        <v>2</v>
      </c>
      <c r="F40" s="85" t="n">
        <v>2</v>
      </c>
      <c r="G40" s="85" t="n">
        <v>3</v>
      </c>
      <c r="H40" s="50" t="n">
        <f aca="false">IF(COUNT(C40:G40)&lt;5,"",ROUND((C40*$E$5+D40*$E$6+E40*$E$7+F40*$E$8+G40*$E$9)/SUM($E$5:$E$9)/5*100,0))</f>
        <v>47</v>
      </c>
      <c r="I40" s="50" t="str">
        <f aca="false">IF(H40="","판단 보류",IF(AND($E$14="예",MIN(C40:G40)=1),"2인 어려움",IF(H40&gt;=$E$12,"2인 가능",IF(H40&gt;=$E$13,"조건부 (범위를 줄이면)","2인 어려움"))))</f>
        <v>2인 어려움</v>
      </c>
      <c r="J40" s="37" t="s">
        <v>802</v>
      </c>
      <c r="K40" s="17" t="str">
        <f aca="false">A40&amp;"|"&amp;B40</f>
        <v>RPG|방치형 RPG</v>
      </c>
      <c r="L40" s="50" t="n">
        <f aca="false">COUNTIFS($K$79:$K$250,K40,$G$79:$G$250,"후보")</f>
        <v>1</v>
      </c>
    </row>
    <row r="41" customFormat="false" ht="17.15" hidden="false" customHeight="false" outlineLevel="0" collapsed="false">
      <c r="A41" s="18" t="s">
        <v>758</v>
      </c>
      <c r="B41" s="17" t="s">
        <v>803</v>
      </c>
      <c r="C41" s="85" t="n">
        <v>1</v>
      </c>
      <c r="D41" s="85" t="n">
        <v>1</v>
      </c>
      <c r="E41" s="85" t="n">
        <v>2</v>
      </c>
      <c r="F41" s="85" t="n">
        <v>1</v>
      </c>
      <c r="G41" s="85" t="n">
        <v>3</v>
      </c>
      <c r="H41" s="50" t="n">
        <f aca="false">IF(COUNT(C41:G41)&lt;5,"",ROUND((C41*$E$5+D41*$E$6+E41*$E$7+F41*$E$8+G41*$E$9)/SUM($E$5:$E$9)/5*100,0))</f>
        <v>28</v>
      </c>
      <c r="I41" s="50" t="str">
        <f aca="false">IF(H41="","판단 보류",IF(AND($E$14="예",MIN(C41:G41)=1),"2인 어려움",IF(H41&gt;=$E$12,"2인 가능",IF(H41&gt;=$E$13,"조건부 (범위를 줄이면)","2인 어려움"))))</f>
        <v>2인 어려움</v>
      </c>
      <c r="J41" s="37" t="s">
        <v>804</v>
      </c>
      <c r="K41" s="17" t="str">
        <f aca="false">A41&amp;"|"&amp;B41</f>
        <v>RPG|위치기반 수집</v>
      </c>
      <c r="L41" s="50" t="n">
        <f aca="false">COUNTIFS($K$79:$K$250,K41,$G$79:$G$250,"후보")</f>
        <v>1</v>
      </c>
    </row>
    <row r="42" customFormat="false" ht="17.15" hidden="false" customHeight="false" outlineLevel="0" collapsed="false">
      <c r="A42" s="17" t="s">
        <v>805</v>
      </c>
      <c r="B42" s="18" t="s">
        <v>806</v>
      </c>
      <c r="C42" s="85" t="n">
        <v>1</v>
      </c>
      <c r="D42" s="85" t="n">
        <v>1</v>
      </c>
      <c r="E42" s="85" t="n">
        <v>1</v>
      </c>
      <c r="F42" s="85" t="n">
        <v>1</v>
      </c>
      <c r="G42" s="85" t="n">
        <v>3</v>
      </c>
      <c r="H42" s="50" t="n">
        <f aca="false">IF(COUNT(C42:G42)&lt;5,"",ROUND((C42*$E$5+D42*$E$6+E42*$E$7+F42*$E$8+G42*$E$9)/SUM($E$5:$E$9)/5*100,0))</f>
        <v>24</v>
      </c>
      <c r="I42" s="50" t="str">
        <f aca="false">IF(H42="","판단 보류",IF(AND($E$14="예",MIN(C42:G42)=1),"2인 어려움",IF(H42&gt;=$E$12,"2인 가능",IF(H42&gt;=$E$13,"조건부 (범위를 줄이면)","2인 어려움"))))</f>
        <v>2인 어려움</v>
      </c>
      <c r="J42" s="37" t="s">
        <v>807</v>
      </c>
      <c r="K42" s="17" t="str">
        <f aca="false">A42&amp;"|"&amp;B42</f>
        <v>기타(UGC·리워드)|UGC 플랫폼</v>
      </c>
      <c r="L42" s="50" t="n">
        <f aca="false">COUNTIFS($K$79:$K$250,K42,$G$79:$G$250,"후보")</f>
        <v>1</v>
      </c>
    </row>
    <row r="43" customFormat="false" ht="17.15" hidden="false" customHeight="false" outlineLevel="0" collapsed="false">
      <c r="A43" s="17" t="s">
        <v>808</v>
      </c>
      <c r="B43" s="17" t="s">
        <v>809</v>
      </c>
      <c r="C43" s="85" t="n">
        <v>3</v>
      </c>
      <c r="D43" s="85" t="n">
        <v>2</v>
      </c>
      <c r="E43" s="85" t="n">
        <v>2</v>
      </c>
      <c r="F43" s="85" t="n">
        <v>2</v>
      </c>
      <c r="G43" s="85" t="n">
        <v>5</v>
      </c>
      <c r="H43" s="50" t="n">
        <f aca="false">IF(COUNT(C43:G43)&lt;5,"",ROUND((C43*$E$5+D43*$E$6+E43*$E$7+F43*$E$8+G43*$E$9)/SUM($E$5:$E$9)/5*100,0))</f>
        <v>51</v>
      </c>
      <c r="I43" s="50" t="str">
        <f aca="false">IF(H43="","판단 보류",IF(AND($E$14="예",MIN(C43:G43)=1),"2인 어려움",IF(H43&gt;=$E$12,"2인 가능",IF(H43&gt;=$E$13,"조건부 (범위를 줄이면)","2인 어려움"))))</f>
        <v>조건부 (범위를 줄이면)</v>
      </c>
      <c r="J43" s="37" t="s">
        <v>810</v>
      </c>
      <c r="K43" s="17" t="str">
        <f aca="false">A43&amp;"|"&amp;B43</f>
        <v>스포츠|골프</v>
      </c>
      <c r="L43" s="50" t="n">
        <f aca="false">COUNTIFS($K$79:$K$250,K43,$G$79:$G$250,"후보")</f>
        <v>1</v>
      </c>
    </row>
    <row r="44" customFormat="false" ht="17.15" hidden="false" customHeight="false" outlineLevel="0" collapsed="false">
      <c r="A44" s="17" t="s">
        <v>808</v>
      </c>
      <c r="B44" s="17" t="s">
        <v>811</v>
      </c>
      <c r="C44" s="85" t="n">
        <v>1</v>
      </c>
      <c r="D44" s="85" t="n">
        <v>1</v>
      </c>
      <c r="E44" s="85" t="n">
        <v>1</v>
      </c>
      <c r="F44" s="85" t="n">
        <v>2</v>
      </c>
      <c r="G44" s="85" t="n">
        <v>4</v>
      </c>
      <c r="H44" s="50" t="n">
        <f aca="false">IF(COUNT(C44:G44)&lt;5,"",ROUND((C44*$E$5+D44*$E$6+E44*$E$7+F44*$E$8+G44*$E$9)/SUM($E$5:$E$9)/5*100,0))</f>
        <v>30</v>
      </c>
      <c r="I44" s="50" t="str">
        <f aca="false">IF(H44="","판단 보류",IF(AND($E$14="예",MIN(C44:G44)=1),"2인 어려움",IF(H44&gt;=$E$12,"2인 가능",IF(H44&gt;=$E$13,"조건부 (범위를 줄이면)","2인 어려움"))))</f>
        <v>2인 어려움</v>
      </c>
      <c r="J44" s="37" t="s">
        <v>812</v>
      </c>
      <c r="K44" s="17" t="str">
        <f aca="false">A44&amp;"|"&amp;B44</f>
        <v>스포츠|축구</v>
      </c>
      <c r="L44" s="50" t="n">
        <f aca="false">COUNTIFS($K$79:$K$250,K44,$G$79:$G$250,"후보")</f>
        <v>1</v>
      </c>
    </row>
    <row r="45" customFormat="false" ht="17.15" hidden="false" customHeight="false" outlineLevel="0" collapsed="false">
      <c r="A45" s="17" t="s">
        <v>773</v>
      </c>
      <c r="B45" s="17" t="s">
        <v>813</v>
      </c>
      <c r="C45" s="85" t="n">
        <v>3</v>
      </c>
      <c r="D45" s="85" t="n">
        <v>4</v>
      </c>
      <c r="E45" s="85" t="n">
        <v>2</v>
      </c>
      <c r="F45" s="85" t="n">
        <v>3</v>
      </c>
      <c r="G45" s="85" t="n">
        <v>4</v>
      </c>
      <c r="H45" s="50" t="n">
        <f aca="false">IF(COUNT(C45:G45)&lt;5,"",ROUND((C45*$E$5+D45*$E$6+E45*$E$7+F45*$E$8+G45*$E$9)/SUM($E$5:$E$9)/5*100,0))</f>
        <v>63</v>
      </c>
      <c r="I45" s="50" t="str">
        <f aca="false">IF(H45="","판단 보류",IF(AND($E$14="예",MIN(C45:G45)=1),"2인 어려움",IF(H45&gt;=$E$12,"2인 가능",IF(H45&gt;=$E$13,"조건부 (범위를 줄이면)","2인 어려움"))))</f>
        <v>조건부 (범위를 줄이면)</v>
      </c>
      <c r="J45" s="37" t="s">
        <v>814</v>
      </c>
      <c r="K45" s="17" t="str">
        <f aca="false">A45&amp;"|"&amp;B45</f>
        <v>액션·슈팅|스나이퍼</v>
      </c>
      <c r="L45" s="50" t="n">
        <f aca="false">COUNTIFS($K$79:$K$250,K45,$G$79:$G$250,"후보")</f>
        <v>1</v>
      </c>
    </row>
    <row r="46" customFormat="false" ht="17.15" hidden="false" customHeight="false" outlineLevel="0" collapsed="false">
      <c r="A46" s="17" t="s">
        <v>773</v>
      </c>
      <c r="B46" s="17" t="s">
        <v>815</v>
      </c>
      <c r="C46" s="85" t="n">
        <v>1</v>
      </c>
      <c r="D46" s="85" t="n">
        <v>1</v>
      </c>
      <c r="E46" s="85" t="n">
        <v>1</v>
      </c>
      <c r="F46" s="85" t="n">
        <v>1</v>
      </c>
      <c r="G46" s="85" t="n">
        <v>4</v>
      </c>
      <c r="H46" s="50" t="n">
        <f aca="false">IF(COUNT(C46:G46)&lt;5,"",ROUND((C46*$E$5+D46*$E$6+E46*$E$7+F46*$E$8+G46*$E$9)/SUM($E$5:$E$9)/5*100,0))</f>
        <v>26</v>
      </c>
      <c r="I46" s="50" t="str">
        <f aca="false">IF(H46="","판단 보류",IF(AND($E$14="예",MIN(C46:G46)=1),"2인 어려움",IF(H46&gt;=$E$12,"2인 가능",IF(H46&gt;=$E$13,"조건부 (범위를 줄이면)","2인 어려움"))))</f>
        <v>2인 어려움</v>
      </c>
      <c r="J46" s="37" t="s">
        <v>816</v>
      </c>
      <c r="K46" s="17" t="str">
        <f aca="false">A46&amp;"|"&amp;B46</f>
        <v>액션·슈팅|팀 대전 슈터</v>
      </c>
      <c r="L46" s="50" t="n">
        <f aca="false">COUNTIFS($K$79:$K$250,K46,$G$79:$G$250,"후보")</f>
        <v>1</v>
      </c>
    </row>
    <row r="47" customFormat="false" ht="17.15" hidden="false" customHeight="false" outlineLevel="0" collapsed="false">
      <c r="A47" s="17" t="s">
        <v>750</v>
      </c>
      <c r="B47" s="17" t="s">
        <v>817</v>
      </c>
      <c r="C47" s="85" t="n">
        <v>2</v>
      </c>
      <c r="D47" s="85" t="n">
        <v>1</v>
      </c>
      <c r="E47" s="85" t="n">
        <v>2</v>
      </c>
      <c r="F47" s="85" t="n">
        <v>1</v>
      </c>
      <c r="G47" s="85" t="n">
        <v>3</v>
      </c>
      <c r="H47" s="50" t="n">
        <f aca="false">IF(COUNT(C47:G47)&lt;5,"",ROUND((C47*$E$5+D47*$E$6+E47*$E$7+F47*$E$8+G47*$E$9)/SUM($E$5:$E$9)/5*100,0))</f>
        <v>33</v>
      </c>
      <c r="I47" s="50" t="str">
        <f aca="false">IF(H47="","판단 보류",IF(AND($E$14="예",MIN(C47:G47)=1),"2인 어려움",IF(H47&gt;=$E$12,"2인 가능",IF(H47&gt;=$E$13,"조건부 (범위를 줄이면)","2인 어려움"))))</f>
        <v>2인 어려움</v>
      </c>
      <c r="J47" s="37" t="s">
        <v>818</v>
      </c>
      <c r="K47" s="17" t="str">
        <f aca="false">A47&amp;"|"&amp;B47</f>
        <v>전략|실시간 카드 배틀</v>
      </c>
      <c r="L47" s="50" t="n">
        <f aca="false">COUNTIFS($K$79:$K$250,K47,$G$79:$G$250,"후보")</f>
        <v>1</v>
      </c>
    </row>
    <row r="48" customFormat="false" ht="32.8" hidden="false" customHeight="false" outlineLevel="0" collapsed="false">
      <c r="A48" s="17" t="s">
        <v>761</v>
      </c>
      <c r="B48" s="17" t="s">
        <v>819</v>
      </c>
      <c r="C48" s="85" t="n">
        <v>5</v>
      </c>
      <c r="D48" s="85" t="n">
        <v>2</v>
      </c>
      <c r="E48" s="85" t="n">
        <v>5</v>
      </c>
      <c r="F48" s="85" t="n">
        <v>4</v>
      </c>
      <c r="G48" s="85" t="n">
        <v>5</v>
      </c>
      <c r="H48" s="50" t="n">
        <f aca="false">IF(COUNT(C48:G48)&lt;5,"",ROUND((C48*$E$5+D48*$E$6+E48*$E$7+F48*$E$8+G48*$E$9)/SUM($E$5:$E$9)/5*100,0))</f>
        <v>81</v>
      </c>
      <c r="I48" s="50" t="str">
        <f aca="false">IF(H48="","판단 보류",IF(AND($E$14="예",MIN(C48:G48)=1),"2인 어려움",IF(H48&gt;=$E$12,"2인 가능",IF(H48&gt;=$E$13,"조건부 (범위를 줄이면)","2인 어려움"))))</f>
        <v>2인 가능</v>
      </c>
      <c r="J48" s="37" t="s">
        <v>820</v>
      </c>
      <c r="K48" s="17" t="str">
        <f aca="false">A48&amp;"|"&amp;B48</f>
        <v>카드·보드·카지노|클래식 보드</v>
      </c>
      <c r="L48" s="50" t="n">
        <f aca="false">COUNTIFS($K$79:$K$250,K48,$G$79:$G$250,"후보")</f>
        <v>1</v>
      </c>
    </row>
    <row r="49" customFormat="false" ht="17.15" hidden="false" customHeight="false" outlineLevel="0" collapsed="false">
      <c r="A49" s="17" t="s">
        <v>761</v>
      </c>
      <c r="B49" s="17" t="s">
        <v>821</v>
      </c>
      <c r="C49" s="85" t="n">
        <v>4</v>
      </c>
      <c r="D49" s="85" t="n">
        <v>1</v>
      </c>
      <c r="E49" s="85" t="n">
        <v>4</v>
      </c>
      <c r="F49" s="85" t="n">
        <v>2</v>
      </c>
      <c r="G49" s="85" t="n">
        <v>1</v>
      </c>
      <c r="H49" s="50" t="n">
        <f aca="false">IF(COUNT(C49:G49)&lt;5,"",ROUND((C49*$E$5+D49*$E$6+E49*$E$7+F49*$E$8+G49*$E$9)/SUM($E$5:$E$9)/5*100,0))</f>
        <v>51</v>
      </c>
      <c r="I49" s="50" t="str">
        <f aca="false">IF(H49="","판단 보류",IF(AND($E$14="예",MIN(C49:G49)=1),"2인 어려움",IF(H49&gt;=$E$12,"2인 가능",IF(H49&gt;=$E$13,"조건부 (범위를 줄이면)","2인 어려움"))))</f>
        <v>2인 어려움</v>
      </c>
      <c r="J49" s="37" t="s">
        <v>822</v>
      </c>
      <c r="K49" s="17" t="str">
        <f aca="false">A49&amp;"|"&amp;B49</f>
        <v>카드·보드·카지노|포커</v>
      </c>
      <c r="L49" s="50" t="n">
        <f aca="false">COUNTIFS($K$79:$K$250,K49,$G$79:$G$250,"후보")</f>
        <v>1</v>
      </c>
    </row>
    <row r="50" customFormat="false" ht="17.15" hidden="false" customHeight="false" outlineLevel="0" collapsed="false">
      <c r="A50" s="17" t="s">
        <v>823</v>
      </c>
      <c r="B50" s="17" t="s">
        <v>824</v>
      </c>
      <c r="C50" s="85" t="n">
        <v>4</v>
      </c>
      <c r="D50" s="85" t="n">
        <v>5</v>
      </c>
      <c r="E50" s="85" t="n">
        <v>3</v>
      </c>
      <c r="F50" s="85" t="n">
        <v>2</v>
      </c>
      <c r="G50" s="85" t="n">
        <v>2</v>
      </c>
      <c r="H50" s="50" t="n">
        <f aca="false">IF(COUNT(C50:G50)&lt;5,"",ROUND((C50*$E$5+D50*$E$6+E50*$E$7+F50*$E$8+G50*$E$9)/SUM($E$5:$E$9)/5*100,0))</f>
        <v>69</v>
      </c>
      <c r="I50" s="50" t="str">
        <f aca="false">IF(H50="","판단 보류",IF(AND($E$14="예",MIN(C50:G50)=1),"2인 어려움",IF(H50&gt;=$E$12,"2인 가능",IF(H50&gt;=$E$13,"조건부 (범위를 줄이면)","2인 어려움"))))</f>
        <v>조건부 (범위를 줄이면)</v>
      </c>
      <c r="J50" s="37" t="s">
        <v>825</v>
      </c>
      <c r="K50" s="17" t="str">
        <f aca="false">A50&amp;"|"&amp;B50</f>
        <v>파티·음악|밈 챌린지</v>
      </c>
      <c r="L50" s="50" t="n">
        <f aca="false">COUNTIFS($K$79:$K$250,K50,$G$79:$G$250,"후보")</f>
        <v>1</v>
      </c>
    </row>
    <row r="51" customFormat="false" ht="17.15" hidden="false" customHeight="false" outlineLevel="0" collapsed="false">
      <c r="A51" s="17" t="s">
        <v>753</v>
      </c>
      <c r="B51" s="17" t="s">
        <v>826</v>
      </c>
      <c r="C51" s="85"/>
      <c r="D51" s="85"/>
      <c r="E51" s="85"/>
      <c r="F51" s="85"/>
      <c r="G51" s="85"/>
      <c r="H51" s="50" t="str">
        <f aca="false">IF(COUNT(C51:G51)&lt;5,"",ROUND((C51*$E$5+D51*$E$6+E51*$E$7+F51*$E$8+G51*$E$9)/SUM($E$5:$E$9)/5*100,0))</f>
        <v/>
      </c>
      <c r="I51" s="50" t="str">
        <f aca="false">IF(H51="","판단 보류",IF(AND($E$14="예",MIN(C51:G51)=1),"2인 어려움",IF(H51&gt;=$E$12,"2인 가능",IF(H51&gt;=$E$13,"조건부 (범위를 줄이면)","2인 어려움"))))</f>
        <v>판단 보류</v>
      </c>
      <c r="J51" s="86" t="s">
        <v>827</v>
      </c>
      <c r="K51" s="17" t="str">
        <f aca="false">A51&amp;"|"&amp;B51</f>
        <v>퍼즐|기타 퍼즐</v>
      </c>
      <c r="L51" s="50" t="n">
        <f aca="false">COUNTIFS($K$79:$K$250,K51,$G$79:$G$250,"후보")</f>
        <v>1</v>
      </c>
    </row>
    <row r="52" customFormat="false" ht="17.15" hidden="false" customHeight="false" outlineLevel="0" collapsed="false">
      <c r="A52" s="17" t="s">
        <v>753</v>
      </c>
      <c r="B52" s="17" t="s">
        <v>828</v>
      </c>
      <c r="C52" s="85" t="n">
        <v>2</v>
      </c>
      <c r="D52" s="85" t="n">
        <v>5</v>
      </c>
      <c r="E52" s="85" t="n">
        <v>1</v>
      </c>
      <c r="F52" s="85" t="n">
        <v>3</v>
      </c>
      <c r="G52" s="85" t="n">
        <v>5</v>
      </c>
      <c r="H52" s="50" t="n">
        <f aca="false">IF(COUNT(C52:G52)&lt;5,"",ROUND((C52*$E$5+D52*$E$6+E52*$E$7+F52*$E$8+G52*$E$9)/SUM($E$5:$E$9)/5*100,0))</f>
        <v>61</v>
      </c>
      <c r="I52" s="50" t="str">
        <f aca="false">IF(H52="","판단 보류",IF(AND($E$14="예",MIN(C52:G52)=1),"2인 어려움",IF(H52&gt;=$E$12,"2인 가능",IF(H52&gt;=$E$13,"조건부 (범위를 줄이면)","2인 어려움"))))</f>
        <v>2인 어려움</v>
      </c>
      <c r="J52" s="37" t="s">
        <v>829</v>
      </c>
      <c r="K52" s="17" t="str">
        <f aca="false">A52&amp;"|"&amp;B52</f>
        <v>퍼즐|숨은그림</v>
      </c>
      <c r="L52" s="50" t="n">
        <f aca="false">COUNTIFS($K$79:$K$250,K52,$G$79:$G$250,"후보")</f>
        <v>1</v>
      </c>
    </row>
    <row r="53" customFormat="false" ht="32.8" hidden="false" customHeight="false" outlineLevel="0" collapsed="false">
      <c r="A53" s="17" t="s">
        <v>753</v>
      </c>
      <c r="B53" s="17" t="s">
        <v>830</v>
      </c>
      <c r="C53" s="85" t="n">
        <v>4</v>
      </c>
      <c r="D53" s="85" t="n">
        <v>5</v>
      </c>
      <c r="E53" s="85" t="n">
        <v>3</v>
      </c>
      <c r="F53" s="85" t="n">
        <v>4</v>
      </c>
      <c r="G53" s="85" t="n">
        <v>5</v>
      </c>
      <c r="H53" s="50" t="n">
        <f aca="false">IF(COUNT(C53:G53)&lt;5,"",ROUND((C53*$E$5+D53*$E$6+E53*$E$7+F53*$E$8+G53*$E$9)/SUM($E$5:$E$9)/5*100,0))</f>
        <v>83</v>
      </c>
      <c r="I53" s="50" t="str">
        <f aca="false">IF(H53="","판단 보류",IF(AND($E$14="예",MIN(C53:G53)=1),"2인 어려움",IF(H53&gt;=$E$12,"2인 가능",IF(H53&gt;=$E$13,"조건부 (범위를 줄이면)","2인 어려움"))))</f>
        <v>2인 가능</v>
      </c>
      <c r="J53" s="37" t="s">
        <v>831</v>
      </c>
      <c r="K53" s="17" t="str">
        <f aca="false">A53&amp;"|"&amp;B53</f>
        <v>퍼즐|픽셀·컬러 아트</v>
      </c>
      <c r="L53" s="50" t="n">
        <f aca="false">COUNTIFS($K$79:$K$250,K53,$G$79:$G$250,"후보")</f>
        <v>2</v>
      </c>
    </row>
    <row r="54" customFormat="false" ht="32.8" hidden="false" customHeight="false" outlineLevel="0" collapsed="false">
      <c r="A54" s="17" t="s">
        <v>770</v>
      </c>
      <c r="B54" s="17" t="s">
        <v>832</v>
      </c>
      <c r="C54" s="85" t="n">
        <v>3</v>
      </c>
      <c r="D54" s="85" t="n">
        <v>5</v>
      </c>
      <c r="E54" s="85" t="n">
        <v>3</v>
      </c>
      <c r="F54" s="85" t="n">
        <v>3</v>
      </c>
      <c r="G54" s="85" t="n">
        <v>5</v>
      </c>
      <c r="H54" s="50" t="n">
        <f aca="false">IF(COUNT(C54:G54)&lt;5,"",ROUND((C54*$E$5+D54*$E$6+E54*$E$7+F54*$E$8+G54*$E$9)/SUM($E$5:$E$9)/5*100,0))</f>
        <v>74</v>
      </c>
      <c r="I54" s="50" t="str">
        <f aca="false">IF(H54="","판단 보류",IF(AND($E$14="예",MIN(C54:G54)=1),"2인 어려움",IF(H54&gt;=$E$12,"2인 가능",IF(H54&gt;=$E$13,"조건부 (범위를 줄이면)","2인 어려움"))))</f>
        <v>2인 가능</v>
      </c>
      <c r="J54" s="86" t="s">
        <v>833</v>
      </c>
      <c r="K54" s="17" t="str">
        <f aca="false">A54&amp;"|"&amp;B54</f>
        <v>하이퍼·하이브리드 캐주얼|군중 러너·디펜스</v>
      </c>
      <c r="L54" s="50" t="n">
        <f aca="false">COUNTIFS($K$79:$K$250,K54,$G$79:$G$250,"후보")</f>
        <v>1</v>
      </c>
    </row>
    <row r="56" customFormat="false" ht="19.4" hidden="false" customHeight="false" outlineLevel="0" collapsed="false">
      <c r="A56" s="73" t="s">
        <v>834</v>
      </c>
    </row>
    <row r="57" customFormat="false" ht="32.8" hidden="false" customHeight="false" outlineLevel="0" collapsed="false">
      <c r="A57" s="74" t="s">
        <v>835</v>
      </c>
      <c r="B57" s="74" t="s">
        <v>836</v>
      </c>
      <c r="C57" s="74" t="s">
        <v>837</v>
      </c>
      <c r="D57" s="74" t="s">
        <v>838</v>
      </c>
      <c r="E57" s="74" t="s">
        <v>839</v>
      </c>
      <c r="F57" s="75" t="s">
        <v>840</v>
      </c>
      <c r="G57" s="74" t="s">
        <v>747</v>
      </c>
      <c r="H57" s="75" t="s">
        <v>841</v>
      </c>
      <c r="I57" s="75" t="s">
        <v>842</v>
      </c>
      <c r="J57" s="75" t="s">
        <v>843</v>
      </c>
      <c r="K57" s="74" t="s">
        <v>844</v>
      </c>
    </row>
    <row r="58" customFormat="false" ht="64.15" hidden="false" customHeight="false" outlineLevel="0" collapsed="false">
      <c r="A58" s="33" t="s">
        <v>184</v>
      </c>
      <c r="B58" s="87" t="str">
        <f aca="false">INDEX($C$79:$C$250,MATCH($A58,$A$79:$A$250,0))</f>
        <v>정렬·잼</v>
      </c>
      <c r="C58" s="87" t="n">
        <f aca="false">INDEX($D$79:$D$250,MATCH($A58,$A$79:$A$250,0))</f>
        <v>57</v>
      </c>
      <c r="D58" s="87" t="n">
        <f aca="false">INDEX($E$79:$E$250,MATCH($A58,$A$79:$A$250,0))</f>
        <v>11</v>
      </c>
      <c r="E58" s="87" t="n">
        <f aca="false">INDEX($H$79:$H$250,MATCH($A58,$A$79:$A$250,0))</f>
        <v>92</v>
      </c>
      <c r="F58" s="87" t="str">
        <f aca="false">INDEX($F$79:$F$250,MATCH($A58,$A$79:$A$250,0))</f>
        <v>③ 다운로드만 높음</v>
      </c>
      <c r="G58" s="88" t="str">
        <f aca="false">INDEX($I$79:$I$250,MATCH($A58,$A$79:$A$250,0))</f>
        <v>2인 가능</v>
      </c>
      <c r="H58" s="37" t="s">
        <v>845</v>
      </c>
      <c r="I58" s="37" t="s">
        <v>846</v>
      </c>
      <c r="J58" s="37" t="s">
        <v>847</v>
      </c>
      <c r="K58" s="86" t="s">
        <v>848</v>
      </c>
    </row>
    <row r="59" customFormat="false" ht="32.8" hidden="false" customHeight="false" outlineLevel="0" collapsed="false">
      <c r="A59" s="33" t="s">
        <v>849</v>
      </c>
      <c r="B59" s="87" t="str">
        <f aca="false">INDEX($C$79:$C$250,MATCH($A59,$A$79:$A$250,0))</f>
        <v>타일·마작·트리플 매치</v>
      </c>
      <c r="C59" s="87" t="n">
        <f aca="false">INDEX($D$79:$D$250,MATCH($A59,$A$79:$A$250,0))</f>
        <v>27</v>
      </c>
      <c r="D59" s="87" t="n">
        <f aca="false">INDEX($E$79:$E$250,MATCH($A59,$A$79:$A$250,0))</f>
        <v>83</v>
      </c>
      <c r="E59" s="87" t="n">
        <f aca="false">INDEX($H$79:$H$250,MATCH($A59,$A$79:$A$250,0))</f>
        <v>87</v>
      </c>
      <c r="F59" s="87" t="str">
        <f aca="false">INDEX($F$79:$F$250,MATCH($A59,$A$79:$A$250,0))</f>
        <v>② 매출만 높음</v>
      </c>
      <c r="G59" s="88" t="str">
        <f aca="false">INDEX($I$79:$I$250,MATCH($A59,$A$79:$A$250,0))</f>
        <v>2인 가능</v>
      </c>
      <c r="H59" s="37" t="s">
        <v>850</v>
      </c>
      <c r="I59" s="37" t="s">
        <v>851</v>
      </c>
      <c r="J59" s="86" t="s">
        <v>852</v>
      </c>
      <c r="K59" s="86" t="s">
        <v>853</v>
      </c>
    </row>
    <row r="60" customFormat="false" ht="45.5" hidden="false" customHeight="false" outlineLevel="0" collapsed="false">
      <c r="A60" s="33" t="s">
        <v>854</v>
      </c>
      <c r="B60" s="87" t="str">
        <f aca="false">INDEX($C$79:$C$250,MATCH($A60,$A$79:$A$250,0))</f>
        <v>블록</v>
      </c>
      <c r="C60" s="87" t="n">
        <f aca="false">INDEX($D$79:$D$250,MATCH($A60,$A$79:$A$250,0))</f>
        <v>64</v>
      </c>
      <c r="D60" s="87" t="n">
        <f aca="false">INDEX($E$79:$E$250,MATCH($A60,$A$79:$A$250,0))</f>
        <v>27</v>
      </c>
      <c r="E60" s="87" t="n">
        <f aca="false">INDEX($H$79:$H$250,MATCH($A60,$A$79:$A$250,0))</f>
        <v>96</v>
      </c>
      <c r="F60" s="87" t="str">
        <f aca="false">INDEX($F$79:$F$250,MATCH($A60,$A$79:$A$250,0))</f>
        <v>③ 다운로드만 높음</v>
      </c>
      <c r="G60" s="88" t="str">
        <f aca="false">INDEX($I$79:$I$250,MATCH($A60,$A$79:$A$250,0))</f>
        <v>2인 가능</v>
      </c>
      <c r="H60" s="37" t="s">
        <v>845</v>
      </c>
      <c r="I60" s="37" t="s">
        <v>846</v>
      </c>
      <c r="J60" s="37" t="s">
        <v>855</v>
      </c>
      <c r="K60" s="86" t="s">
        <v>856</v>
      </c>
    </row>
    <row r="61" customFormat="false" ht="48.5" hidden="false" customHeight="false" outlineLevel="0" collapsed="false">
      <c r="A61" s="33" t="s">
        <v>857</v>
      </c>
      <c r="B61" s="87" t="str">
        <f aca="false">INDEX($C$79:$C$250,MATCH($A61,$A$79:$A$250,0))</f>
        <v>솔리테어</v>
      </c>
      <c r="C61" s="87" t="n">
        <f aca="false">INDEX($D$79:$D$250,MATCH($A61,$A$79:$A$250,0))</f>
        <v>86</v>
      </c>
      <c r="D61" s="87" t="str">
        <f aca="false">INDEX($E$79:$E$250,MATCH($A61,$A$79:$A$250,0))</f>
        <v>-</v>
      </c>
      <c r="E61" s="87" t="n">
        <f aca="false">INDEX($H$79:$H$250,MATCH($A61,$A$79:$A$250,0))</f>
        <v>92</v>
      </c>
      <c r="F61" s="87" t="str">
        <f aca="false">INDEX($F$79:$F$250,MATCH($A61,$A$79:$A$250,0))</f>
        <v>④ 둘 다 기준 밖</v>
      </c>
      <c r="G61" s="88" t="str">
        <f aca="false">INDEX($I$79:$I$250,MATCH($A61,$A$79:$A$250,0))</f>
        <v>2인 가능</v>
      </c>
      <c r="H61" s="37" t="s">
        <v>845</v>
      </c>
      <c r="I61" s="37" t="s">
        <v>846</v>
      </c>
      <c r="J61" s="37" t="s">
        <v>858</v>
      </c>
      <c r="K61" s="37" t="s">
        <v>859</v>
      </c>
    </row>
    <row r="62" customFormat="false" ht="32.8" hidden="false" customHeight="false" outlineLevel="0" collapsed="false">
      <c r="A62" s="33" t="s">
        <v>860</v>
      </c>
      <c r="B62" s="87" t="str">
        <f aca="false">INDEX($C$79:$C$250,MATCH($A62,$A$79:$A$250,0))</f>
        <v>물리 파괴</v>
      </c>
      <c r="C62" s="87" t="n">
        <f aca="false">INDEX($D$79:$D$250,MATCH($A62,$A$79:$A$250,0))</f>
        <v>70</v>
      </c>
      <c r="D62" s="87" t="n">
        <f aca="false">INDEX($E$79:$E$250,MATCH($A62,$A$79:$A$250,0))</f>
        <v>9</v>
      </c>
      <c r="E62" s="87" t="n">
        <f aca="false">INDEX($H$79:$H$250,MATCH($A62,$A$79:$A$250,0))</f>
        <v>79</v>
      </c>
      <c r="F62" s="87" t="str">
        <f aca="false">INDEX($F$79:$F$250,MATCH($A62,$A$79:$A$250,0))</f>
        <v>③ 다운로드만 높음</v>
      </c>
      <c r="G62" s="88" t="str">
        <f aca="false">INDEX($I$79:$I$250,MATCH($A62,$A$79:$A$250,0))</f>
        <v>2인 가능</v>
      </c>
      <c r="H62" s="37" t="s">
        <v>850</v>
      </c>
      <c r="I62" s="37" t="s">
        <v>851</v>
      </c>
      <c r="J62" s="37" t="s">
        <v>861</v>
      </c>
      <c r="K62" s="37" t="s">
        <v>862</v>
      </c>
    </row>
    <row r="63" customFormat="false" ht="48.5" hidden="false" customHeight="false" outlineLevel="0" collapsed="false">
      <c r="A63" s="33" t="s">
        <v>863</v>
      </c>
      <c r="B63" s="87" t="str">
        <f aca="false">INDEX($C$79:$C$250,MATCH($A63,$A$79:$A$250,0))</f>
        <v>탭 탈출</v>
      </c>
      <c r="C63" s="87" t="str">
        <f aca="false">INDEX($D$79:$D$250,MATCH($A63,$A$79:$A$250,0))</f>
        <v>-</v>
      </c>
      <c r="D63" s="87" t="n">
        <f aca="false">INDEX($E$79:$E$250,MATCH($A63,$A$79:$A$250,0))</f>
        <v>23</v>
      </c>
      <c r="E63" s="87" t="n">
        <f aca="false">INDEX($H$79:$H$250,MATCH($A63,$A$79:$A$250,0))</f>
        <v>96</v>
      </c>
      <c r="F63" s="87" t="str">
        <f aca="false">INDEX($F$79:$F$250,MATCH($A63,$A$79:$A$250,0))</f>
        <v>③ 다운로드만 높음</v>
      </c>
      <c r="G63" s="88" t="str">
        <f aca="false">INDEX($I$79:$I$250,MATCH($A63,$A$79:$A$250,0))</f>
        <v>2인 가능</v>
      </c>
      <c r="H63" s="37" t="s">
        <v>845</v>
      </c>
      <c r="I63" s="37" t="s">
        <v>864</v>
      </c>
      <c r="J63" s="37" t="s">
        <v>865</v>
      </c>
      <c r="K63" s="37" t="s">
        <v>866</v>
      </c>
    </row>
    <row r="64" customFormat="false" ht="48.5" hidden="false" customHeight="false" outlineLevel="0" collapsed="false">
      <c r="A64" s="33" t="s">
        <v>867</v>
      </c>
      <c r="B64" s="87" t="str">
        <f aca="false">INDEX($C$79:$C$250,MATCH($A64,$A$79:$A$250,0))</f>
        <v>워드</v>
      </c>
      <c r="C64" s="87" t="n">
        <f aca="false">INDEX($D$79:$D$250,MATCH($A64,$A$79:$A$250,0))</f>
        <v>94</v>
      </c>
      <c r="D64" s="87" t="str">
        <f aca="false">INDEX($E$79:$E$250,MATCH($A64,$A$79:$A$250,0))</f>
        <v>-</v>
      </c>
      <c r="E64" s="87" t="n">
        <f aca="false">INDEX($H$79:$H$250,MATCH($A64,$A$79:$A$250,0))</f>
        <v>91</v>
      </c>
      <c r="F64" s="87" t="str">
        <f aca="false">INDEX($F$79:$F$250,MATCH($A64,$A$79:$A$250,0))</f>
        <v>④ 둘 다 기준 밖</v>
      </c>
      <c r="G64" s="88" t="str">
        <f aca="false">INDEX($I$79:$I$250,MATCH($A64,$A$79:$A$250,0))</f>
        <v>2인 가능</v>
      </c>
      <c r="H64" s="37" t="s">
        <v>845</v>
      </c>
      <c r="I64" s="37" t="s">
        <v>846</v>
      </c>
      <c r="J64" s="37" t="s">
        <v>868</v>
      </c>
      <c r="K64" s="37" t="s">
        <v>869</v>
      </c>
    </row>
    <row r="66" customFormat="false" ht="17.15" hidden="false" customHeight="false" outlineLevel="0" collapsed="false">
      <c r="A66" s="22" t="s">
        <v>870</v>
      </c>
    </row>
    <row r="67" customFormat="false" ht="17.15" hidden="false" customHeight="false" outlineLevel="0" collapsed="false">
      <c r="A67" s="22" t="s">
        <v>871</v>
      </c>
    </row>
    <row r="68" customFormat="false" ht="17.15" hidden="false" customHeight="false" outlineLevel="0" collapsed="false">
      <c r="A68" s="22" t="s">
        <v>872</v>
      </c>
    </row>
    <row r="69" customFormat="false" ht="17.15" hidden="false" customHeight="false" outlineLevel="0" collapsed="false">
      <c r="A69" s="22" t="s">
        <v>873</v>
      </c>
    </row>
    <row r="70" customFormat="false" ht="17.15" hidden="false" customHeight="false" outlineLevel="0" collapsed="false">
      <c r="A70" s="22" t="s">
        <v>874</v>
      </c>
    </row>
    <row r="71" customFormat="false" ht="17.15" hidden="false" customHeight="false" outlineLevel="0" collapsed="false">
      <c r="A71" s="38" t="s">
        <v>875</v>
      </c>
    </row>
    <row r="72" customFormat="false" ht="17.15" hidden="false" customHeight="false" outlineLevel="0" collapsed="false">
      <c r="A72" s="22" t="s">
        <v>876</v>
      </c>
    </row>
    <row r="77" customFormat="false" ht="19.4" hidden="false" customHeight="false" outlineLevel="0" collapsed="false">
      <c r="A77" s="43" t="s">
        <v>877</v>
      </c>
    </row>
    <row r="78" customFormat="false" ht="32.8" hidden="false" customHeight="false" outlineLevel="0" collapsed="false">
      <c r="A78" s="74" t="s">
        <v>835</v>
      </c>
      <c r="B78" s="74" t="s">
        <v>878</v>
      </c>
      <c r="C78" s="74" t="s">
        <v>836</v>
      </c>
      <c r="D78" s="74" t="s">
        <v>837</v>
      </c>
      <c r="E78" s="74" t="s">
        <v>838</v>
      </c>
      <c r="F78" s="75" t="s">
        <v>840</v>
      </c>
      <c r="G78" s="74" t="s">
        <v>879</v>
      </c>
      <c r="H78" s="74" t="s">
        <v>839</v>
      </c>
      <c r="I78" s="74" t="s">
        <v>747</v>
      </c>
      <c r="J78" s="74"/>
      <c r="K78" s="74" t="s">
        <v>749</v>
      </c>
    </row>
    <row r="79" customFormat="false" ht="17.15" hidden="false" customHeight="false" outlineLevel="0" collapsed="false">
      <c r="A79" s="78" t="s">
        <v>197</v>
      </c>
      <c r="B79" s="47" t="str">
        <f aca="false">IFERROR(INDEX('4-5 매출 Top100(참조)'!$D$2:$D$101,MATCH($A79,'4-5 매출 Top100(참조)'!$B$2:$B$101,0)),IFERROR(INDEX('4-4 Google Play Top100(참조)'!$D$2:$D$101,MATCH($A79,'4-4 Google Play Top100(참조)'!$B$2:$B$101,0)),"확인 불가"))</f>
        <v>카드·보드·카지노</v>
      </c>
      <c r="C79" s="47" t="str">
        <f aca="false">IFERROR(INDEX('4-5 매출 Top100(참조)'!$E$2:$E$101,MATCH($A79,'4-5 매출 Top100(참조)'!$B$2:$B$101,0)),IFERROR(INDEX('4-4 Google Play Top100(참조)'!$E$2:$E$101,MATCH($A79,'4-4 Google Play Top100(참조)'!$B$2:$B$101,0)),"-"))</f>
        <v>보드·주사위 소셜캐주얼</v>
      </c>
      <c r="D79" s="49" t="n">
        <f aca="false">INDEX('4-6 매출-다운로드 비교(참조)'!$B$6:$B$177,MATCH($A79,'4-6 매출-다운로드 비교(참조)'!$A$6:$A$177,0))</f>
        <v>1</v>
      </c>
      <c r="E79" s="49" t="n">
        <f aca="false">INDEX('4-6 매출-다운로드 비교(참조)'!$C$6:$C$177,MATCH($A79,'4-6 매출-다운로드 비교(참조)'!$A$6:$A$177,0))</f>
        <v>26</v>
      </c>
      <c r="F79" s="47" t="str">
        <f aca="false">INDEX('4-6 매출-다운로드 비교(참조)'!$H$6:$H$177,MATCH($A79,'4-6 매출-다운로드 비교(참조)'!$A$6:$A$177,0))</f>
        <v>① 둘 다 높음</v>
      </c>
      <c r="G79" s="49" t="str">
        <f aca="false">IF(OR(ISNUMBER(D79),F79="③ 다운로드만 높음"),"후보","후보 아님")</f>
        <v>후보</v>
      </c>
      <c r="H79" s="49" t="n">
        <f aca="false">IF(G79&lt;&gt;"후보","",IFERROR(INDEX($H$18:$H$54,MATCH(K79,$K$18:$K$54,0)),""))</f>
        <v>38</v>
      </c>
      <c r="I79" s="89" t="str">
        <f aca="false">IF(G79&lt;&gt;"후보","-",IFERROR(INDEX($I$18:$I$54,MATCH(K79,$K$18:$K$54,0)),"판단 보류"))</f>
        <v>2인 어려움</v>
      </c>
      <c r="J79" s="47"/>
      <c r="K79" s="47" t="str">
        <f aca="false">B79&amp;"|"&amp;C79</f>
        <v>카드·보드·카지노|보드·주사위 소셜캐주얼</v>
      </c>
    </row>
    <row r="80" customFormat="false" ht="17.15" hidden="false" customHeight="false" outlineLevel="0" collapsed="false">
      <c r="A80" s="78" t="s">
        <v>880</v>
      </c>
      <c r="B80" s="47" t="str">
        <f aca="false">IFERROR(INDEX('4-5 매출 Top100(참조)'!$D$2:$D$101,MATCH($A80,'4-5 매출 Top100(참조)'!$B$2:$B$101,0)),IFERROR(INDEX('4-4 Google Play Top100(참조)'!$D$2:$D$101,MATCH($A80,'4-4 Google Play Top100(참조)'!$B$2:$B$101,0)),"확인 불가"))</f>
        <v>기타(UGC·리워드)</v>
      </c>
      <c r="C80" s="47" t="str">
        <f aca="false">IFERROR(INDEX('4-5 매출 Top100(참조)'!$E$2:$E$101,MATCH($A80,'4-5 매출 Top100(참조)'!$B$2:$B$101,0)),IFERROR(INDEX('4-4 Google Play Top100(참조)'!$E$2:$E$101,MATCH($A80,'4-4 Google Play Top100(참조)'!$B$2:$B$101,0)),"-"))</f>
        <v>UGC 플랫폼</v>
      </c>
      <c r="D80" s="49" t="n">
        <f aca="false">INDEX('4-6 매출-다운로드 비교(참조)'!$B$6:$B$177,MATCH($A80,'4-6 매출-다운로드 비교(참조)'!$A$6:$A$177,0))</f>
        <v>2</v>
      </c>
      <c r="E80" s="49" t="n">
        <f aca="false">INDEX('4-6 매출-다운로드 비교(참조)'!$C$6:$C$177,MATCH($A80,'4-6 매출-다운로드 비교(참조)'!$A$6:$A$177,0))</f>
        <v>4</v>
      </c>
      <c r="F80" s="47" t="str">
        <f aca="false">INDEX('4-6 매출-다운로드 비교(참조)'!$H$6:$H$177,MATCH($A80,'4-6 매출-다운로드 비교(참조)'!$A$6:$A$177,0))</f>
        <v>① 둘 다 높음</v>
      </c>
      <c r="G80" s="49" t="str">
        <f aca="false">IF(OR(ISNUMBER(D80),F80="③ 다운로드만 높음"),"후보","후보 아님")</f>
        <v>후보</v>
      </c>
      <c r="H80" s="49" t="n">
        <f aca="false">IF(G80&lt;&gt;"후보","",IFERROR(INDEX($H$18:$H$54,MATCH(K80,$K$18:$K$54,0)),""))</f>
        <v>24</v>
      </c>
      <c r="I80" s="89" t="str">
        <f aca="false">IF(G80&lt;&gt;"후보","-",IFERROR(INDEX($I$18:$I$54,MATCH(K80,$K$18:$K$54,0)),"판단 보류"))</f>
        <v>2인 어려움</v>
      </c>
      <c r="J80" s="47"/>
      <c r="K80" s="47" t="str">
        <f aca="false">B80&amp;"|"&amp;C80</f>
        <v>기타(UGC·리워드)|UGC 플랫폼</v>
      </c>
    </row>
    <row r="81" customFormat="false" ht="17.15" hidden="false" customHeight="false" outlineLevel="0" collapsed="false">
      <c r="A81" s="78" t="s">
        <v>374</v>
      </c>
      <c r="B81" s="47" t="str">
        <f aca="false">IFERROR(INDEX('4-5 매출 Top100(참조)'!$D$2:$D$101,MATCH($A81,'4-5 매출 Top100(참조)'!$B$2:$B$101,0)),IFERROR(INDEX('4-4 Google Play Top100(참조)'!$D$2:$D$101,MATCH($A81,'4-4 Google Play Top100(참조)'!$B$2:$B$101,0)),"확인 불가"))</f>
        <v>퍼즐</v>
      </c>
      <c r="C81" s="47" t="str">
        <f aca="false">IFERROR(INDEX('4-5 매출 Top100(참조)'!$E$2:$E$101,MATCH($A81,'4-5 매출 Top100(참조)'!$B$2:$B$101,0)),IFERROR(INDEX('4-4 Google Play Top100(참조)'!$E$2:$E$101,MATCH($A81,'4-4 Google Play Top100(참조)'!$B$2:$B$101,0)),"-"))</f>
        <v>매치3</v>
      </c>
      <c r="D81" s="49" t="n">
        <f aca="false">INDEX('4-6 매출-다운로드 비교(참조)'!$B$6:$B$177,MATCH($A81,'4-6 매출-다운로드 비교(참조)'!$A$6:$A$177,0))</f>
        <v>3</v>
      </c>
      <c r="E81" s="49" t="n">
        <f aca="false">INDEX('4-6 매출-다운로드 비교(참조)'!$C$6:$C$177,MATCH($A81,'4-6 매출-다운로드 비교(참조)'!$A$6:$A$177,0))</f>
        <v>48</v>
      </c>
      <c r="F81" s="47" t="str">
        <f aca="false">INDEX('4-6 매출-다운로드 비교(참조)'!$H$6:$H$177,MATCH($A81,'4-6 매출-다운로드 비교(참조)'!$A$6:$A$177,0))</f>
        <v>② 매출만 높음</v>
      </c>
      <c r="G81" s="49" t="str">
        <f aca="false">IF(OR(ISNUMBER(D81),F81="③ 다운로드만 높음"),"후보","후보 아님")</f>
        <v>후보</v>
      </c>
      <c r="H81" s="49" t="n">
        <f aca="false">IF(G81&lt;&gt;"후보","",IFERROR(INDEX($H$18:$H$54,MATCH(K81,$K$18:$K$54,0)),""))</f>
        <v>60</v>
      </c>
      <c r="I81" s="89" t="str">
        <f aca="false">IF(G81&lt;&gt;"후보","-",IFERROR(INDEX($I$18:$I$54,MATCH(K81,$K$18:$K$54,0)),"판단 보류"))</f>
        <v>조건부 (범위를 줄이면)</v>
      </c>
      <c r="J81" s="47"/>
      <c r="K81" s="47" t="str">
        <f aca="false">B81&amp;"|"&amp;C81</f>
        <v>퍼즐|매치3</v>
      </c>
    </row>
    <row r="82" customFormat="false" ht="17.15" hidden="false" customHeight="false" outlineLevel="0" collapsed="false">
      <c r="A82" s="78" t="s">
        <v>189</v>
      </c>
      <c r="B82" s="47" t="str">
        <f aca="false">IFERROR(INDEX('4-5 매출 Top100(참조)'!$D$2:$D$101,MATCH($A82,'4-5 매출 Top100(참조)'!$B$2:$B$101,0)),IFERROR(INDEX('4-4 Google Play Top100(참조)'!$D$2:$D$101,MATCH($A82,'4-4 Google Play Top100(참조)'!$B$2:$B$101,0)),"확인 불가"))</f>
        <v>퍼즐</v>
      </c>
      <c r="C82" s="47" t="str">
        <f aca="false">IFERROR(INDEX('4-5 매출 Top100(참조)'!$E$2:$E$101,MATCH($A82,'4-5 매출 Top100(참조)'!$B$2:$B$101,0)),IFERROR(INDEX('4-4 Google Play Top100(참조)'!$E$2:$E$101,MATCH($A82,'4-4 Google Play Top100(참조)'!$B$2:$B$101,0)),"-"))</f>
        <v>매치3</v>
      </c>
      <c r="D82" s="49" t="n">
        <f aca="false">INDEX('4-6 매출-다운로드 비교(참조)'!$B$6:$B$177,MATCH($A82,'4-6 매출-다운로드 비교(참조)'!$A$6:$A$177,0))</f>
        <v>4</v>
      </c>
      <c r="E82" s="49" t="n">
        <f aca="false">INDEX('4-6 매출-다운로드 비교(참조)'!$C$6:$C$177,MATCH($A82,'4-6 매출-다운로드 비교(참조)'!$A$6:$A$177,0))</f>
        <v>42</v>
      </c>
      <c r="F82" s="47" t="str">
        <f aca="false">INDEX('4-6 매출-다운로드 비교(참조)'!$H$6:$H$177,MATCH($A82,'4-6 매출-다운로드 비교(참조)'!$A$6:$A$177,0))</f>
        <v>② 매출만 높음</v>
      </c>
      <c r="G82" s="49" t="str">
        <f aca="false">IF(OR(ISNUMBER(D82),F82="③ 다운로드만 높음"),"후보","후보 아님")</f>
        <v>후보</v>
      </c>
      <c r="H82" s="49" t="n">
        <f aca="false">IF(G82&lt;&gt;"후보","",IFERROR(INDEX($H$18:$H$54,MATCH(K82,$K$18:$K$54,0)),""))</f>
        <v>60</v>
      </c>
      <c r="I82" s="89" t="str">
        <f aca="false">IF(G82&lt;&gt;"후보","-",IFERROR(INDEX($I$18:$I$54,MATCH(K82,$K$18:$K$54,0)),"판단 보류"))</f>
        <v>조건부 (범위를 줄이면)</v>
      </c>
      <c r="J82" s="47"/>
      <c r="K82" s="47" t="str">
        <f aca="false">B82&amp;"|"&amp;C82</f>
        <v>퍼즐|매치3</v>
      </c>
    </row>
    <row r="83" customFormat="false" ht="17.15" hidden="false" customHeight="false" outlineLevel="0" collapsed="false">
      <c r="A83" s="78" t="s">
        <v>881</v>
      </c>
      <c r="B83" s="47" t="str">
        <f aca="false">IFERROR(INDEX('4-5 매출 Top100(참조)'!$D$2:$D$101,MATCH($A83,'4-5 매출 Top100(참조)'!$B$2:$B$101,0)),IFERROR(INDEX('4-4 Google Play Top100(참조)'!$D$2:$D$101,MATCH($A83,'4-4 Google Play Top100(참조)'!$B$2:$B$101,0)),"확인 불가"))</f>
        <v>퍼즐</v>
      </c>
      <c r="C83" s="47" t="str">
        <f aca="false">IFERROR(INDEX('4-5 매출 Top100(참조)'!$E$2:$E$101,MATCH($A83,'4-5 매출 Top100(참조)'!$B$2:$B$101,0)),IFERROR(INDEX('4-4 Google Play Top100(참조)'!$E$2:$E$101,MATCH($A83,'4-4 Google Play Top100(참조)'!$B$2:$B$101,0)),"-"))</f>
        <v>머지</v>
      </c>
      <c r="D83" s="49" t="n">
        <f aca="false">INDEX('4-6 매출-다운로드 비교(참조)'!$B$6:$B$177,MATCH($A83,'4-6 매출-다운로드 비교(참조)'!$A$6:$A$177,0))</f>
        <v>5</v>
      </c>
      <c r="E83" s="49" t="n">
        <f aca="false">INDEX('4-6 매출-다운로드 비교(참조)'!$C$6:$C$177,MATCH($A83,'4-6 매출-다운로드 비교(참조)'!$A$6:$A$177,0))</f>
        <v>17</v>
      </c>
      <c r="F83" s="47" t="str">
        <f aca="false">INDEX('4-6 매출-다운로드 비교(참조)'!$H$6:$H$177,MATCH($A83,'4-6 매출-다운로드 비교(참조)'!$A$6:$A$177,0))</f>
        <v>① 둘 다 높음</v>
      </c>
      <c r="G83" s="49" t="str">
        <f aca="false">IF(OR(ISNUMBER(D83),F83="③ 다운로드만 높음"),"후보","후보 아님")</f>
        <v>후보</v>
      </c>
      <c r="H83" s="49" t="n">
        <f aca="false">IF(G83&lt;&gt;"후보","",IFERROR(INDEX($H$18:$H$54,MATCH(K83,$K$18:$K$54,0)),""))</f>
        <v>56</v>
      </c>
      <c r="I83" s="89" t="str">
        <f aca="false">IF(G83&lt;&gt;"후보","-",IFERROR(INDEX($I$18:$I$54,MATCH(K83,$K$18:$K$54,0)),"판단 보류"))</f>
        <v>조건부 (범위를 줄이면)</v>
      </c>
      <c r="J83" s="47"/>
      <c r="K83" s="47" t="str">
        <f aca="false">B83&amp;"|"&amp;C83</f>
        <v>퍼즐|머지</v>
      </c>
    </row>
    <row r="84" customFormat="false" ht="17.15" hidden="false" customHeight="false" outlineLevel="0" collapsed="false">
      <c r="A84" s="78" t="s">
        <v>882</v>
      </c>
      <c r="B84" s="47" t="str">
        <f aca="false">IFERROR(INDEX('4-5 매출 Top100(참조)'!$D$2:$D$101,MATCH($A84,'4-5 매출 Top100(참조)'!$B$2:$B$101,0)),IFERROR(INDEX('4-4 Google Play Top100(참조)'!$D$2:$D$101,MATCH($A84,'4-4 Google Play Top100(참조)'!$B$2:$B$101,0)),"확인 불가"))</f>
        <v>시뮬레이션</v>
      </c>
      <c r="C84" s="47" t="str">
        <f aca="false">IFERROR(INDEX('4-5 매출 Top100(참조)'!$E$2:$E$101,MATCH($A84,'4-5 매출 Top100(참조)'!$B$2:$B$101,0)),IFERROR(INDEX('4-4 Google Play Top100(참조)'!$E$2:$E$101,MATCH($A84,'4-4 Google Play Top100(참조)'!$B$2:$B$101,0)),"-"))</f>
        <v>농장·타운 빌딩</v>
      </c>
      <c r="D84" s="49" t="n">
        <f aca="false">INDEX('4-6 매출-다운로드 비교(참조)'!$B$6:$B$177,MATCH($A84,'4-6 매출-다운로드 비교(참조)'!$A$6:$A$177,0))</f>
        <v>6</v>
      </c>
      <c r="E84" s="49" t="n">
        <f aca="false">INDEX('4-6 매출-다운로드 비교(참조)'!$C$6:$C$177,MATCH($A84,'4-6 매출-다운로드 비교(참조)'!$A$6:$A$177,0))</f>
        <v>22</v>
      </c>
      <c r="F84" s="47" t="str">
        <f aca="false">INDEX('4-6 매출-다운로드 비교(참조)'!$H$6:$H$177,MATCH($A84,'4-6 매출-다운로드 비교(참조)'!$A$6:$A$177,0))</f>
        <v>① 둘 다 높음</v>
      </c>
      <c r="G84" s="49" t="str">
        <f aca="false">IF(OR(ISNUMBER(D84),F84="③ 다운로드만 높음"),"후보","후보 아님")</f>
        <v>후보</v>
      </c>
      <c r="H84" s="49" t="n">
        <f aca="false">IF(G84&lt;&gt;"후보","",IFERROR(INDEX($H$18:$H$54,MATCH(K84,$K$18:$K$54,0)),""))</f>
        <v>38</v>
      </c>
      <c r="I84" s="89" t="str">
        <f aca="false">IF(G84&lt;&gt;"후보","-",IFERROR(INDEX($I$18:$I$54,MATCH(K84,$K$18:$K$54,0)),"판단 보류"))</f>
        <v>2인 어려움</v>
      </c>
      <c r="J84" s="47"/>
      <c r="K84" s="47" t="str">
        <f aca="false">B84&amp;"|"&amp;C84</f>
        <v>시뮬레이션|농장·타운 빌딩</v>
      </c>
    </row>
    <row r="85" customFormat="false" ht="17.15" hidden="false" customHeight="false" outlineLevel="0" collapsed="false">
      <c r="A85" s="78" t="s">
        <v>392</v>
      </c>
      <c r="B85" s="47" t="str">
        <f aca="false">IFERROR(INDEX('4-5 매출 Top100(참조)'!$D$2:$D$101,MATCH($A85,'4-5 매출 Top100(참조)'!$B$2:$B$101,0)),IFERROR(INDEX('4-4 Google Play Top100(참조)'!$D$2:$D$101,MATCH($A85,'4-4 Google Play Top100(참조)'!$B$2:$B$101,0)),"확인 불가"))</f>
        <v>카드·보드·카지노</v>
      </c>
      <c r="C85" s="47" t="str">
        <f aca="false">IFERROR(INDEX('4-5 매출 Top100(참조)'!$E$2:$E$101,MATCH($A85,'4-5 매출 Top100(참조)'!$B$2:$B$101,0)),IFERROR(INDEX('4-4 Google Play Top100(참조)'!$E$2:$E$101,MATCH($A85,'4-4 Google Play Top100(참조)'!$B$2:$B$101,0)),"-"))</f>
        <v>보드·주사위 소셜캐주얼</v>
      </c>
      <c r="D85" s="49" t="n">
        <f aca="false">INDEX('4-6 매출-다운로드 비교(참조)'!$B$6:$B$177,MATCH($A85,'4-6 매출-다운로드 비교(참조)'!$A$6:$A$177,0))</f>
        <v>7</v>
      </c>
      <c r="E85" s="49" t="str">
        <f aca="false">INDEX('4-6 매출-다운로드 비교(참조)'!$C$6:$C$177,MATCH($A85,'4-6 매출-다운로드 비교(참조)'!$A$6:$A$177,0))</f>
        <v>-</v>
      </c>
      <c r="F85" s="47" t="str">
        <f aca="false">INDEX('4-6 매출-다운로드 비교(참조)'!$H$6:$H$177,MATCH($A85,'4-6 매출-다운로드 비교(참조)'!$A$6:$A$177,0))</f>
        <v>② 매출만 높음</v>
      </c>
      <c r="G85" s="49" t="str">
        <f aca="false">IF(OR(ISNUMBER(D85),F85="③ 다운로드만 높음"),"후보","후보 아님")</f>
        <v>후보</v>
      </c>
      <c r="H85" s="49" t="n">
        <f aca="false">IF(G85&lt;&gt;"후보","",IFERROR(INDEX($H$18:$H$54,MATCH(K85,$K$18:$K$54,0)),""))</f>
        <v>38</v>
      </c>
      <c r="I85" s="89" t="str">
        <f aca="false">IF(G85&lt;&gt;"후보","-",IFERROR(INDEX($I$18:$I$54,MATCH(K85,$K$18:$K$54,0)),"판단 보류"))</f>
        <v>2인 어려움</v>
      </c>
      <c r="J85" s="47"/>
      <c r="K85" s="47" t="str">
        <f aca="false">B85&amp;"|"&amp;C85</f>
        <v>카드·보드·카지노|보드·주사위 소셜캐주얼</v>
      </c>
    </row>
    <row r="86" customFormat="false" ht="17.15" hidden="false" customHeight="false" outlineLevel="0" collapsed="false">
      <c r="A86" s="78" t="s">
        <v>409</v>
      </c>
      <c r="B86" s="47" t="str">
        <f aca="false">IFERROR(INDEX('4-5 매출 Top100(참조)'!$D$2:$D$101,MATCH($A86,'4-5 매출 Top100(참조)'!$B$2:$B$101,0)),IFERROR(INDEX('4-4 Google Play Top100(참조)'!$D$2:$D$101,MATCH($A86,'4-4 Google Play Top100(참조)'!$B$2:$B$101,0)),"확인 불가"))</f>
        <v>전략</v>
      </c>
      <c r="C86" s="47" t="str">
        <f aca="false">IFERROR(INDEX('4-5 매출 Top100(참조)'!$E$2:$E$101,MATCH($A86,'4-5 매출 Top100(참조)'!$B$2:$B$101,0)),IFERROR(INDEX('4-4 Google Play Top100(참조)'!$E$2:$E$101,MATCH($A86,'4-4 Google Play Top100(참조)'!$B$2:$B$101,0)),"-"))</f>
        <v>4X·SLG</v>
      </c>
      <c r="D86" s="49" t="n">
        <f aca="false">INDEX('4-6 매출-다운로드 비교(참조)'!$B$6:$B$177,MATCH($A86,'4-6 매출-다운로드 비교(참조)'!$A$6:$A$177,0))</f>
        <v>8</v>
      </c>
      <c r="E86" s="49" t="str">
        <f aca="false">INDEX('4-6 매출-다운로드 비교(참조)'!$C$6:$C$177,MATCH($A86,'4-6 매출-다운로드 비교(참조)'!$A$6:$A$177,0))</f>
        <v>-</v>
      </c>
      <c r="F86" s="47" t="str">
        <f aca="false">INDEX('4-6 매출-다운로드 비교(참조)'!$H$6:$H$177,MATCH($A86,'4-6 매출-다운로드 비교(참조)'!$A$6:$A$177,0))</f>
        <v>② 매출만 높음</v>
      </c>
      <c r="G86" s="49" t="str">
        <f aca="false">IF(OR(ISNUMBER(D86),F86="③ 다운로드만 높음"),"후보","후보 아님")</f>
        <v>후보</v>
      </c>
      <c r="H86" s="49" t="n">
        <f aca="false">IF(G86&lt;&gt;"후보","",IFERROR(INDEX($H$18:$H$54,MATCH(K86,$K$18:$K$54,0)),""))</f>
        <v>24</v>
      </c>
      <c r="I86" s="89" t="str">
        <f aca="false">IF(G86&lt;&gt;"후보","-",IFERROR(INDEX($I$18:$I$54,MATCH(K86,$K$18:$K$54,0)),"판단 보류"))</f>
        <v>2인 어려움</v>
      </c>
      <c r="J86" s="47"/>
      <c r="K86" s="47" t="str">
        <f aca="false">B86&amp;"|"&amp;C86</f>
        <v>전략|4X·SLG</v>
      </c>
    </row>
    <row r="87" customFormat="false" ht="17.15" hidden="false" customHeight="false" outlineLevel="0" collapsed="false">
      <c r="A87" s="78" t="s">
        <v>383</v>
      </c>
      <c r="B87" s="47" t="str">
        <f aca="false">IFERROR(INDEX('4-5 매출 Top100(참조)'!$D$2:$D$101,MATCH($A87,'4-5 매출 Top100(참조)'!$B$2:$B$101,0)),IFERROR(INDEX('4-4 Google Play Top100(참조)'!$D$2:$D$101,MATCH($A87,'4-4 Google Play Top100(참조)'!$B$2:$B$101,0)),"확인 불가"))</f>
        <v>퍼즐</v>
      </c>
      <c r="C87" s="47" t="str">
        <f aca="false">IFERROR(INDEX('4-5 매출 Top100(참조)'!$E$2:$E$101,MATCH($A87,'4-5 매출 Top100(참조)'!$B$2:$B$101,0)),IFERROR(INDEX('4-4 Google Play Top100(참조)'!$E$2:$E$101,MATCH($A87,'4-4 Google Play Top100(참조)'!$B$2:$B$101,0)),"-"))</f>
        <v>매치3</v>
      </c>
      <c r="D87" s="49" t="n">
        <f aca="false">INDEX('4-6 매출-다운로드 비교(참조)'!$B$6:$B$177,MATCH($A87,'4-6 매출-다운로드 비교(참조)'!$A$6:$A$177,0))</f>
        <v>9</v>
      </c>
      <c r="E87" s="49" t="n">
        <f aca="false">INDEX('4-6 매출-다운로드 비교(참조)'!$C$6:$C$177,MATCH($A87,'4-6 매출-다운로드 비교(참조)'!$A$6:$A$177,0))</f>
        <v>47</v>
      </c>
      <c r="F87" s="47" t="str">
        <f aca="false">INDEX('4-6 매출-다운로드 비교(참조)'!$H$6:$H$177,MATCH($A87,'4-6 매출-다운로드 비교(참조)'!$A$6:$A$177,0))</f>
        <v>② 매출만 높음</v>
      </c>
      <c r="G87" s="49" t="str">
        <f aca="false">IF(OR(ISNUMBER(D87),F87="③ 다운로드만 높음"),"후보","후보 아님")</f>
        <v>후보</v>
      </c>
      <c r="H87" s="49" t="n">
        <f aca="false">IF(G87&lt;&gt;"후보","",IFERROR(INDEX($H$18:$H$54,MATCH(K87,$K$18:$K$54,0)),""))</f>
        <v>60</v>
      </c>
      <c r="I87" s="89" t="str">
        <f aca="false">IF(G87&lt;&gt;"후보","-",IFERROR(INDEX($I$18:$I$54,MATCH(K87,$K$18:$K$54,0)),"판단 보류"))</f>
        <v>조건부 (범위를 줄이면)</v>
      </c>
      <c r="J87" s="47"/>
      <c r="K87" s="47" t="str">
        <f aca="false">B87&amp;"|"&amp;C87</f>
        <v>퍼즐|매치3</v>
      </c>
    </row>
    <row r="88" customFormat="false" ht="17.15" hidden="false" customHeight="false" outlineLevel="0" collapsed="false">
      <c r="A88" s="78" t="s">
        <v>200</v>
      </c>
      <c r="B88" s="47" t="str">
        <f aca="false">IFERROR(INDEX('4-5 매출 Top100(참조)'!$D$2:$D$101,MATCH($A88,'4-5 매출 Top100(참조)'!$B$2:$B$101,0)),IFERROR(INDEX('4-4 Google Play Top100(참조)'!$D$2:$D$101,MATCH($A88,'4-4 Google Play Top100(참조)'!$B$2:$B$101,0)),"확인 불가"))</f>
        <v>전략</v>
      </c>
      <c r="C88" s="47" t="str">
        <f aca="false">IFERROR(INDEX('4-5 매출 Top100(참조)'!$E$2:$E$101,MATCH($A88,'4-5 매출 Top100(참조)'!$B$2:$B$101,0)),IFERROR(INDEX('4-4 Google Play Top100(참조)'!$E$2:$E$101,MATCH($A88,'4-4 Google Play Top100(참조)'!$B$2:$B$101,0)),"-"))</f>
        <v>4X·SLG</v>
      </c>
      <c r="D88" s="49" t="n">
        <f aca="false">INDEX('4-6 매출-다운로드 비교(참조)'!$B$6:$B$177,MATCH($A88,'4-6 매출-다운로드 비교(참조)'!$A$6:$A$177,0))</f>
        <v>10</v>
      </c>
      <c r="E88" s="49" t="n">
        <f aca="false">INDEX('4-6 매출-다운로드 비교(참조)'!$C$6:$C$177,MATCH($A88,'4-6 매출-다운로드 비교(참조)'!$A$6:$A$177,0))</f>
        <v>63</v>
      </c>
      <c r="F88" s="47" t="str">
        <f aca="false">INDEX('4-6 매출-다운로드 비교(참조)'!$H$6:$H$177,MATCH($A88,'4-6 매출-다운로드 비교(참조)'!$A$6:$A$177,0))</f>
        <v>② 매출만 높음</v>
      </c>
      <c r="G88" s="49" t="str">
        <f aca="false">IF(OR(ISNUMBER(D88),F88="③ 다운로드만 높음"),"후보","후보 아님")</f>
        <v>후보</v>
      </c>
      <c r="H88" s="49" t="n">
        <f aca="false">IF(G88&lt;&gt;"후보","",IFERROR(INDEX($H$18:$H$54,MATCH(K88,$K$18:$K$54,0)),""))</f>
        <v>24</v>
      </c>
      <c r="I88" s="89" t="str">
        <f aca="false">IF(G88&lt;&gt;"후보","-",IFERROR(INDEX($I$18:$I$54,MATCH(K88,$K$18:$K$54,0)),"판단 보류"))</f>
        <v>2인 어려움</v>
      </c>
      <c r="J88" s="47"/>
      <c r="K88" s="47" t="str">
        <f aca="false">B88&amp;"|"&amp;C88</f>
        <v>전략|4X·SLG</v>
      </c>
    </row>
    <row r="89" customFormat="false" ht="17.15" hidden="false" customHeight="false" outlineLevel="0" collapsed="false">
      <c r="A89" s="78" t="s">
        <v>442</v>
      </c>
      <c r="B89" s="47" t="str">
        <f aca="false">IFERROR(INDEX('4-5 매출 Top100(참조)'!$D$2:$D$101,MATCH($A89,'4-5 매출 Top100(참조)'!$B$2:$B$101,0)),IFERROR(INDEX('4-4 Google Play Top100(참조)'!$D$2:$D$101,MATCH($A89,'4-4 Google Play Top100(참조)'!$B$2:$B$101,0)),"확인 불가"))</f>
        <v>RPG</v>
      </c>
      <c r="C89" s="47" t="str">
        <f aca="false">IFERROR(INDEX('4-5 매출 Top100(참조)'!$E$2:$E$101,MATCH($A89,'4-5 매출 Top100(참조)'!$B$2:$B$101,0)),IFERROR(INDEX('4-4 Google Play Top100(참조)'!$E$2:$E$101,MATCH($A89,'4-4 Google Play Top100(참조)'!$B$2:$B$101,0)),"-"))</f>
        <v>위치기반 수집</v>
      </c>
      <c r="D89" s="49" t="n">
        <f aca="false">INDEX('4-6 매출-다운로드 비교(참조)'!$B$6:$B$177,MATCH($A89,'4-6 매출-다운로드 비교(참조)'!$A$6:$A$177,0))</f>
        <v>11</v>
      </c>
      <c r="E89" s="49" t="str">
        <f aca="false">INDEX('4-6 매출-다운로드 비교(참조)'!$C$6:$C$177,MATCH($A89,'4-6 매출-다운로드 비교(참조)'!$A$6:$A$177,0))</f>
        <v>-</v>
      </c>
      <c r="F89" s="47" t="str">
        <f aca="false">INDEX('4-6 매출-다운로드 비교(참조)'!$H$6:$H$177,MATCH($A89,'4-6 매출-다운로드 비교(참조)'!$A$6:$A$177,0))</f>
        <v>② 매출만 높음</v>
      </c>
      <c r="G89" s="49" t="str">
        <f aca="false">IF(OR(ISNUMBER(D89),F89="③ 다운로드만 높음"),"후보","후보 아님")</f>
        <v>후보</v>
      </c>
      <c r="H89" s="49" t="n">
        <f aca="false">IF(G89&lt;&gt;"후보","",IFERROR(INDEX($H$18:$H$54,MATCH(K89,$K$18:$K$54,0)),""))</f>
        <v>28</v>
      </c>
      <c r="I89" s="89" t="str">
        <f aca="false">IF(G89&lt;&gt;"후보","-",IFERROR(INDEX($I$18:$I$54,MATCH(K89,$K$18:$K$54,0)),"판단 보류"))</f>
        <v>2인 어려움</v>
      </c>
      <c r="J89" s="47"/>
      <c r="K89" s="47" t="str">
        <f aca="false">B89&amp;"|"&amp;C89</f>
        <v>RPG|위치기반 수집</v>
      </c>
    </row>
    <row r="90" customFormat="false" ht="17.15" hidden="false" customHeight="false" outlineLevel="0" collapsed="false">
      <c r="A90" s="78" t="s">
        <v>883</v>
      </c>
      <c r="B90" s="47" t="str">
        <f aca="false">IFERROR(INDEX('4-5 매출 Top100(참조)'!$D$2:$D$101,MATCH($A90,'4-5 매출 Top100(참조)'!$B$2:$B$101,0)),IFERROR(INDEX('4-4 Google Play Top100(참조)'!$D$2:$D$101,MATCH($A90,'4-4 Google Play Top100(참조)'!$B$2:$B$101,0)),"확인 불가"))</f>
        <v>전략</v>
      </c>
      <c r="C90" s="47" t="str">
        <f aca="false">IFERROR(INDEX('4-5 매출 Top100(참조)'!$E$2:$E$101,MATCH($A90,'4-5 매출 Top100(참조)'!$B$2:$B$101,0)),IFERROR(INDEX('4-4 Google Play Top100(참조)'!$E$2:$E$101,MATCH($A90,'4-4 Google Play Top100(참조)'!$B$2:$B$101,0)),"-"))</f>
        <v>4X·SLG</v>
      </c>
      <c r="D90" s="49" t="n">
        <f aca="false">INDEX('4-6 매출-다운로드 비교(참조)'!$B$6:$B$177,MATCH($A90,'4-6 매출-다운로드 비교(참조)'!$A$6:$A$177,0))</f>
        <v>12</v>
      </c>
      <c r="E90" s="49" t="str">
        <f aca="false">INDEX('4-6 매출-다운로드 비교(참조)'!$C$6:$C$177,MATCH($A90,'4-6 매출-다운로드 비교(참조)'!$A$6:$A$177,0))</f>
        <v>-</v>
      </c>
      <c r="F90" s="47" t="str">
        <f aca="false">INDEX('4-6 매출-다운로드 비교(참조)'!$H$6:$H$177,MATCH($A90,'4-6 매출-다운로드 비교(참조)'!$A$6:$A$177,0))</f>
        <v>② 매출만 높음</v>
      </c>
      <c r="G90" s="49" t="str">
        <f aca="false">IF(OR(ISNUMBER(D90),F90="③ 다운로드만 높음"),"후보","후보 아님")</f>
        <v>후보</v>
      </c>
      <c r="H90" s="49" t="n">
        <f aca="false">IF(G90&lt;&gt;"후보","",IFERROR(INDEX($H$18:$H$54,MATCH(K90,$K$18:$K$54,0)),""))</f>
        <v>24</v>
      </c>
      <c r="I90" s="89" t="str">
        <f aca="false">IF(G90&lt;&gt;"후보","-",IFERROR(INDEX($I$18:$I$54,MATCH(K90,$K$18:$K$54,0)),"판단 보류"))</f>
        <v>2인 어려움</v>
      </c>
      <c r="J90" s="47"/>
      <c r="K90" s="47" t="str">
        <f aca="false">B90&amp;"|"&amp;C90</f>
        <v>전략|4X·SLG</v>
      </c>
    </row>
    <row r="91" customFormat="false" ht="17.15" hidden="false" customHeight="false" outlineLevel="0" collapsed="false">
      <c r="A91" s="78" t="s">
        <v>884</v>
      </c>
      <c r="B91" s="47" t="str">
        <f aca="false">IFERROR(INDEX('4-5 매출 Top100(참조)'!$D$2:$D$101,MATCH($A91,'4-5 매출 Top100(참조)'!$B$2:$B$101,0)),IFERROR(INDEX('4-4 Google Play Top100(참조)'!$D$2:$D$101,MATCH($A91,'4-4 Google Play Top100(참조)'!$B$2:$B$101,0)),"확인 불가"))</f>
        <v>RPG</v>
      </c>
      <c r="C91" s="47" t="str">
        <f aca="false">IFERROR(INDEX('4-5 매출 Top100(참조)'!$E$2:$E$101,MATCH($A91,'4-5 매출 Top100(참조)'!$B$2:$B$101,0)),IFERROR(INDEX('4-4 Google Play Top100(참조)'!$E$2:$E$101,MATCH($A91,'4-4 Google Play Top100(참조)'!$B$2:$B$101,0)),"-"))</f>
        <v>수집형(가챠) RPG</v>
      </c>
      <c r="D91" s="49" t="n">
        <f aca="false">INDEX('4-6 매출-다운로드 비교(참조)'!$B$6:$B$177,MATCH($A91,'4-6 매출-다운로드 비교(참조)'!$A$6:$A$177,0))</f>
        <v>13</v>
      </c>
      <c r="E91" s="49" t="str">
        <f aca="false">INDEX('4-6 매출-다운로드 비교(참조)'!$C$6:$C$177,MATCH($A91,'4-6 매출-다운로드 비교(참조)'!$A$6:$A$177,0))</f>
        <v>-</v>
      </c>
      <c r="F91" s="47" t="str">
        <f aca="false">INDEX('4-6 매출-다운로드 비교(참조)'!$H$6:$H$177,MATCH($A91,'4-6 매출-다운로드 비교(참조)'!$A$6:$A$177,0))</f>
        <v>② 매출만 높음</v>
      </c>
      <c r="G91" s="49" t="str">
        <f aca="false">IF(OR(ISNUMBER(D91),F91="③ 다운로드만 높음"),"후보","후보 아님")</f>
        <v>후보</v>
      </c>
      <c r="H91" s="49" t="n">
        <f aca="false">IF(G91&lt;&gt;"후보","",IFERROR(INDEX($H$18:$H$54,MATCH(K91,$K$18:$K$54,0)),""))</f>
        <v>29</v>
      </c>
      <c r="I91" s="89" t="str">
        <f aca="false">IF(G91&lt;&gt;"후보","-",IFERROR(INDEX($I$18:$I$54,MATCH(K91,$K$18:$K$54,0)),"판단 보류"))</f>
        <v>2인 어려움</v>
      </c>
      <c r="J91" s="47"/>
      <c r="K91" s="47" t="str">
        <f aca="false">B91&amp;"|"&amp;C91</f>
        <v>RPG|수집형(가챠) RPG</v>
      </c>
    </row>
    <row r="92" customFormat="false" ht="17.15" hidden="false" customHeight="false" outlineLevel="0" collapsed="false">
      <c r="A92" s="78" t="s">
        <v>885</v>
      </c>
      <c r="B92" s="47" t="str">
        <f aca="false">IFERROR(INDEX('4-5 매출 Top100(참조)'!$D$2:$D$101,MATCH($A92,'4-5 매출 Top100(참조)'!$B$2:$B$101,0)),IFERROR(INDEX('4-4 Google Play Top100(참조)'!$D$2:$D$101,MATCH($A92,'4-4 Google Play Top100(참조)'!$B$2:$B$101,0)),"확인 불가"))</f>
        <v>퍼즐</v>
      </c>
      <c r="C92" s="47" t="str">
        <f aca="false">IFERROR(INDEX('4-5 매출 Top100(참조)'!$E$2:$E$101,MATCH($A92,'4-5 매출 Top100(참조)'!$B$2:$B$101,0)),IFERROR(INDEX('4-4 Google Play Top100(참조)'!$E$2:$E$101,MATCH($A92,'4-4 Google Play Top100(참조)'!$B$2:$B$101,0)),"-"))</f>
        <v>매치3</v>
      </c>
      <c r="D92" s="49" t="n">
        <f aca="false">INDEX('4-6 매출-다운로드 비교(참조)'!$B$6:$B$177,MATCH($A92,'4-6 매출-다운로드 비교(참조)'!$A$6:$A$177,0))</f>
        <v>14</v>
      </c>
      <c r="E92" s="49" t="str">
        <f aca="false">INDEX('4-6 매출-다운로드 비교(참조)'!$C$6:$C$177,MATCH($A92,'4-6 매출-다운로드 비교(참조)'!$A$6:$A$177,0))</f>
        <v>-</v>
      </c>
      <c r="F92" s="47" t="str">
        <f aca="false">INDEX('4-6 매출-다운로드 비교(참조)'!$H$6:$H$177,MATCH($A92,'4-6 매출-다운로드 비교(참조)'!$A$6:$A$177,0))</f>
        <v>② 매출만 높음</v>
      </c>
      <c r="G92" s="49" t="str">
        <f aca="false">IF(OR(ISNUMBER(D92),F92="③ 다운로드만 높음"),"후보","후보 아님")</f>
        <v>후보</v>
      </c>
      <c r="H92" s="49" t="n">
        <f aca="false">IF(G92&lt;&gt;"후보","",IFERROR(INDEX($H$18:$H$54,MATCH(K92,$K$18:$K$54,0)),""))</f>
        <v>60</v>
      </c>
      <c r="I92" s="89" t="str">
        <f aca="false">IF(G92&lt;&gt;"후보","-",IFERROR(INDEX($I$18:$I$54,MATCH(K92,$K$18:$K$54,0)),"판단 보류"))</f>
        <v>조건부 (범위를 줄이면)</v>
      </c>
      <c r="J92" s="47"/>
      <c r="K92" s="47" t="str">
        <f aca="false">B92&amp;"|"&amp;C92</f>
        <v>퍼즐|매치3</v>
      </c>
    </row>
    <row r="93" customFormat="false" ht="17.15" hidden="false" customHeight="false" outlineLevel="0" collapsed="false">
      <c r="A93" s="78" t="s">
        <v>886</v>
      </c>
      <c r="B93" s="47" t="str">
        <f aca="false">IFERROR(INDEX('4-5 매출 Top100(참조)'!$D$2:$D$101,MATCH($A93,'4-5 매출 Top100(참조)'!$B$2:$B$101,0)),IFERROR(INDEX('4-4 Google Play Top100(참조)'!$D$2:$D$101,MATCH($A93,'4-4 Google Play Top100(참조)'!$B$2:$B$101,0)),"확인 불가"))</f>
        <v>전략</v>
      </c>
      <c r="C93" s="47" t="str">
        <f aca="false">IFERROR(INDEX('4-5 매출 Top100(참조)'!$E$2:$E$101,MATCH($A93,'4-5 매출 Top100(참조)'!$B$2:$B$101,0)),IFERROR(INDEX('4-4 Google Play Top100(참조)'!$E$2:$E$101,MATCH($A93,'4-4 Google Play Top100(참조)'!$B$2:$B$101,0)),"-"))</f>
        <v>4X·SLG</v>
      </c>
      <c r="D93" s="49" t="n">
        <f aca="false">INDEX('4-6 매출-다운로드 비교(참조)'!$B$6:$B$177,MATCH($A93,'4-6 매출-다운로드 비교(참조)'!$A$6:$A$177,0))</f>
        <v>15</v>
      </c>
      <c r="E93" s="49" t="str">
        <f aca="false">INDEX('4-6 매출-다운로드 비교(참조)'!$C$6:$C$177,MATCH($A93,'4-6 매출-다운로드 비교(참조)'!$A$6:$A$177,0))</f>
        <v>-</v>
      </c>
      <c r="F93" s="47" t="str">
        <f aca="false">INDEX('4-6 매출-다운로드 비교(참조)'!$H$6:$H$177,MATCH($A93,'4-6 매출-다운로드 비교(참조)'!$A$6:$A$177,0))</f>
        <v>② 매출만 높음</v>
      </c>
      <c r="G93" s="49" t="str">
        <f aca="false">IF(OR(ISNUMBER(D93),F93="③ 다운로드만 높음"),"후보","후보 아님")</f>
        <v>후보</v>
      </c>
      <c r="H93" s="49" t="n">
        <f aca="false">IF(G93&lt;&gt;"후보","",IFERROR(INDEX($H$18:$H$54,MATCH(K93,$K$18:$K$54,0)),""))</f>
        <v>24</v>
      </c>
      <c r="I93" s="89" t="str">
        <f aca="false">IF(G93&lt;&gt;"후보","-",IFERROR(INDEX($I$18:$I$54,MATCH(K93,$K$18:$K$54,0)),"판단 보류"))</f>
        <v>2인 어려움</v>
      </c>
      <c r="J93" s="47"/>
      <c r="K93" s="47" t="str">
        <f aca="false">B93&amp;"|"&amp;C93</f>
        <v>전략|4X·SLG</v>
      </c>
    </row>
    <row r="94" customFormat="false" ht="17.15" hidden="false" customHeight="false" outlineLevel="0" collapsed="false">
      <c r="A94" s="78" t="s">
        <v>887</v>
      </c>
      <c r="B94" s="47" t="str">
        <f aca="false">IFERROR(INDEX('4-5 매출 Top100(참조)'!$D$2:$D$101,MATCH($A94,'4-5 매출 Top100(참조)'!$B$2:$B$101,0)),IFERROR(INDEX('4-4 Google Play Top100(참조)'!$D$2:$D$101,MATCH($A94,'4-4 Google Play Top100(참조)'!$B$2:$B$101,0)),"확인 불가"))</f>
        <v>전략</v>
      </c>
      <c r="C94" s="47" t="str">
        <f aca="false">IFERROR(INDEX('4-5 매출 Top100(참조)'!$E$2:$E$101,MATCH($A94,'4-5 매출 Top100(참조)'!$B$2:$B$101,0)),IFERROR(INDEX('4-4 Google Play Top100(참조)'!$E$2:$E$101,MATCH($A94,'4-4 Google Play Top100(참조)'!$B$2:$B$101,0)),"-"))</f>
        <v>4X·SLG</v>
      </c>
      <c r="D94" s="49" t="n">
        <f aca="false">INDEX('4-6 매출-다운로드 비교(참조)'!$B$6:$B$177,MATCH($A94,'4-6 매출-다운로드 비교(참조)'!$A$6:$A$177,0))</f>
        <v>16</v>
      </c>
      <c r="E94" s="49" t="str">
        <f aca="false">INDEX('4-6 매출-다운로드 비교(참조)'!$C$6:$C$177,MATCH($A94,'4-6 매출-다운로드 비교(참조)'!$A$6:$A$177,0))</f>
        <v>-</v>
      </c>
      <c r="F94" s="47" t="str">
        <f aca="false">INDEX('4-6 매출-다운로드 비교(참조)'!$H$6:$H$177,MATCH($A94,'4-6 매출-다운로드 비교(참조)'!$A$6:$A$177,0))</f>
        <v>② 매출만 높음</v>
      </c>
      <c r="G94" s="49" t="str">
        <f aca="false">IF(OR(ISNUMBER(D94),F94="③ 다운로드만 높음"),"후보","후보 아님")</f>
        <v>후보</v>
      </c>
      <c r="H94" s="49" t="n">
        <f aca="false">IF(G94&lt;&gt;"후보","",IFERROR(INDEX($H$18:$H$54,MATCH(K94,$K$18:$K$54,0)),""))</f>
        <v>24</v>
      </c>
      <c r="I94" s="89" t="str">
        <f aca="false">IF(G94&lt;&gt;"후보","-",IFERROR(INDEX($I$18:$I$54,MATCH(K94,$K$18:$K$54,0)),"판단 보류"))</f>
        <v>2인 어려움</v>
      </c>
      <c r="J94" s="47"/>
      <c r="K94" s="47" t="str">
        <f aca="false">B94&amp;"|"&amp;C94</f>
        <v>전략|4X·SLG</v>
      </c>
    </row>
    <row r="95" customFormat="false" ht="17.15" hidden="false" customHeight="false" outlineLevel="0" collapsed="false">
      <c r="A95" s="78" t="s">
        <v>888</v>
      </c>
      <c r="B95" s="47" t="str">
        <f aca="false">IFERROR(INDEX('4-5 매출 Top100(참조)'!$D$2:$D$101,MATCH($A95,'4-5 매출 Top100(참조)'!$B$2:$B$101,0)),IFERROR(INDEX('4-4 Google Play Top100(참조)'!$D$2:$D$101,MATCH($A95,'4-4 Google Play Top100(참조)'!$B$2:$B$101,0)),"확인 불가"))</f>
        <v>전략</v>
      </c>
      <c r="C95" s="47" t="str">
        <f aca="false">IFERROR(INDEX('4-5 매출 Top100(참조)'!$E$2:$E$101,MATCH($A95,'4-5 매출 Top100(참조)'!$B$2:$B$101,0)),IFERROR(INDEX('4-4 Google Play Top100(참조)'!$E$2:$E$101,MATCH($A95,'4-4 Google Play Top100(참조)'!$B$2:$B$101,0)),"-"))</f>
        <v>4X·SLG</v>
      </c>
      <c r="D95" s="49" t="n">
        <f aca="false">INDEX('4-6 매출-다운로드 비교(참조)'!$B$6:$B$177,MATCH($A95,'4-6 매출-다운로드 비교(참조)'!$A$6:$A$177,0))</f>
        <v>17</v>
      </c>
      <c r="E95" s="49" t="str">
        <f aca="false">INDEX('4-6 매출-다운로드 비교(참조)'!$C$6:$C$177,MATCH($A95,'4-6 매출-다운로드 비교(참조)'!$A$6:$A$177,0))</f>
        <v>-</v>
      </c>
      <c r="F95" s="47" t="str">
        <f aca="false">INDEX('4-6 매출-다운로드 비교(참조)'!$H$6:$H$177,MATCH($A95,'4-6 매출-다운로드 비교(참조)'!$A$6:$A$177,0))</f>
        <v>② 매출만 높음</v>
      </c>
      <c r="G95" s="49" t="str">
        <f aca="false">IF(OR(ISNUMBER(D95),F95="③ 다운로드만 높음"),"후보","후보 아님")</f>
        <v>후보</v>
      </c>
      <c r="H95" s="49" t="n">
        <f aca="false">IF(G95&lt;&gt;"후보","",IFERROR(INDEX($H$18:$H$54,MATCH(K95,$K$18:$K$54,0)),""))</f>
        <v>24</v>
      </c>
      <c r="I95" s="89" t="str">
        <f aca="false">IF(G95&lt;&gt;"후보","-",IFERROR(INDEX($I$18:$I$54,MATCH(K95,$K$18:$K$54,0)),"판단 보류"))</f>
        <v>2인 어려움</v>
      </c>
      <c r="J95" s="47"/>
      <c r="K95" s="47" t="str">
        <f aca="false">B95&amp;"|"&amp;C95</f>
        <v>전략|4X·SLG</v>
      </c>
    </row>
    <row r="96" customFormat="false" ht="17.15" hidden="false" customHeight="false" outlineLevel="0" collapsed="false">
      <c r="A96" s="78" t="s">
        <v>889</v>
      </c>
      <c r="B96" s="47" t="str">
        <f aca="false">IFERROR(INDEX('4-5 매출 Top100(참조)'!$D$2:$D$101,MATCH($A96,'4-5 매출 Top100(참조)'!$B$2:$B$101,0)),IFERROR(INDEX('4-4 Google Play Top100(참조)'!$D$2:$D$101,MATCH($A96,'4-4 Google Play Top100(참조)'!$B$2:$B$101,0)),"확인 불가"))</f>
        <v>RPG</v>
      </c>
      <c r="C96" s="47" t="str">
        <f aca="false">IFERROR(INDEX('4-5 매출 Top100(참조)'!$E$2:$E$101,MATCH($A96,'4-5 매출 Top100(참조)'!$B$2:$B$101,0)),IFERROR(INDEX('4-4 Google Play Top100(참조)'!$E$2:$E$101,MATCH($A96,'4-4 Google Play Top100(참조)'!$B$2:$B$101,0)),"-"))</f>
        <v>수집형(가챠) RPG</v>
      </c>
      <c r="D96" s="49" t="n">
        <f aca="false">INDEX('4-6 매출-다운로드 비교(참조)'!$B$6:$B$177,MATCH($A96,'4-6 매출-다운로드 비교(참조)'!$A$6:$A$177,0))</f>
        <v>18</v>
      </c>
      <c r="E96" s="49" t="str">
        <f aca="false">INDEX('4-6 매출-다운로드 비교(참조)'!$C$6:$C$177,MATCH($A96,'4-6 매출-다운로드 비교(참조)'!$A$6:$A$177,0))</f>
        <v>-</v>
      </c>
      <c r="F96" s="47" t="str">
        <f aca="false">INDEX('4-6 매출-다운로드 비교(참조)'!$H$6:$H$177,MATCH($A96,'4-6 매출-다운로드 비교(참조)'!$A$6:$A$177,0))</f>
        <v>② 매출만 높음</v>
      </c>
      <c r="G96" s="49" t="str">
        <f aca="false">IF(OR(ISNUMBER(D96),F96="③ 다운로드만 높음"),"후보","후보 아님")</f>
        <v>후보</v>
      </c>
      <c r="H96" s="49" t="n">
        <f aca="false">IF(G96&lt;&gt;"후보","",IFERROR(INDEX($H$18:$H$54,MATCH(K96,$K$18:$K$54,0)),""))</f>
        <v>29</v>
      </c>
      <c r="I96" s="89" t="str">
        <f aca="false">IF(G96&lt;&gt;"후보","-",IFERROR(INDEX($I$18:$I$54,MATCH(K96,$K$18:$K$54,0)),"판단 보류"))</f>
        <v>2인 어려움</v>
      </c>
      <c r="J96" s="47"/>
      <c r="K96" s="47" t="str">
        <f aca="false">B96&amp;"|"&amp;C96</f>
        <v>RPG|수집형(가챠) RPG</v>
      </c>
    </row>
    <row r="97" customFormat="false" ht="17.15" hidden="false" customHeight="false" outlineLevel="0" collapsed="false">
      <c r="A97" s="78" t="s">
        <v>890</v>
      </c>
      <c r="B97" s="47" t="str">
        <f aca="false">IFERROR(INDEX('4-5 매출 Top100(참조)'!$D$2:$D$101,MATCH($A97,'4-5 매출 Top100(참조)'!$B$2:$B$101,0)),IFERROR(INDEX('4-4 Google Play Top100(참조)'!$D$2:$D$101,MATCH($A97,'4-4 Google Play Top100(참조)'!$B$2:$B$101,0)),"확인 불가"))</f>
        <v>퍼즐</v>
      </c>
      <c r="C97" s="47" t="str">
        <f aca="false">IFERROR(INDEX('4-5 매출 Top100(참조)'!$E$2:$E$101,MATCH($A97,'4-5 매출 Top100(참조)'!$B$2:$B$101,0)),IFERROR(INDEX('4-4 Google Play Top100(참조)'!$E$2:$E$101,MATCH($A97,'4-4 Google Play Top100(참조)'!$B$2:$B$101,0)),"-"))</f>
        <v>매치3</v>
      </c>
      <c r="D97" s="49" t="n">
        <f aca="false">INDEX('4-6 매출-다운로드 비교(참조)'!$B$6:$B$177,MATCH($A97,'4-6 매출-다운로드 비교(참조)'!$A$6:$A$177,0))</f>
        <v>19</v>
      </c>
      <c r="E97" s="49" t="str">
        <f aca="false">INDEX('4-6 매출-다운로드 비교(참조)'!$C$6:$C$177,MATCH($A97,'4-6 매출-다운로드 비교(참조)'!$A$6:$A$177,0))</f>
        <v>-</v>
      </c>
      <c r="F97" s="47" t="str">
        <f aca="false">INDEX('4-6 매출-다운로드 비교(참조)'!$H$6:$H$177,MATCH($A97,'4-6 매출-다운로드 비교(참조)'!$A$6:$A$177,0))</f>
        <v>② 매출만 높음</v>
      </c>
      <c r="G97" s="49" t="str">
        <f aca="false">IF(OR(ISNUMBER(D97),F97="③ 다운로드만 높음"),"후보","후보 아님")</f>
        <v>후보</v>
      </c>
      <c r="H97" s="49" t="n">
        <f aca="false">IF(G97&lt;&gt;"후보","",IFERROR(INDEX($H$18:$H$54,MATCH(K97,$K$18:$K$54,0)),""))</f>
        <v>60</v>
      </c>
      <c r="I97" s="89" t="str">
        <f aca="false">IF(G97&lt;&gt;"후보","-",IFERROR(INDEX($I$18:$I$54,MATCH(K97,$K$18:$K$54,0)),"판단 보류"))</f>
        <v>조건부 (범위를 줄이면)</v>
      </c>
      <c r="J97" s="47"/>
      <c r="K97" s="47" t="str">
        <f aca="false">B97&amp;"|"&amp;C97</f>
        <v>퍼즐|매치3</v>
      </c>
    </row>
    <row r="98" customFormat="false" ht="17.15" hidden="false" customHeight="false" outlineLevel="0" collapsed="false">
      <c r="A98" s="78" t="s">
        <v>400</v>
      </c>
      <c r="B98" s="47" t="str">
        <f aca="false">IFERROR(INDEX('4-5 매출 Top100(참조)'!$D$2:$D$101,MATCH($A98,'4-5 매출 Top100(참조)'!$B$2:$B$101,0)),IFERROR(INDEX('4-4 Google Play Top100(참조)'!$D$2:$D$101,MATCH($A98,'4-4 Google Play Top100(참조)'!$B$2:$B$101,0)),"확인 불가"))</f>
        <v>카드·보드·카지노</v>
      </c>
      <c r="C98" s="47" t="str">
        <f aca="false">IFERROR(INDEX('4-5 매출 Top100(참조)'!$E$2:$E$101,MATCH($A98,'4-5 매출 Top100(참조)'!$B$2:$B$101,0)),IFERROR(INDEX('4-4 Google Play Top100(참조)'!$E$2:$E$101,MATCH($A98,'4-4 Google Play Top100(참조)'!$B$2:$B$101,0)),"-"))</f>
        <v>보드·주사위 소셜캐주얼</v>
      </c>
      <c r="D98" s="49" t="n">
        <f aca="false">INDEX('4-6 매출-다운로드 비교(참조)'!$B$6:$B$177,MATCH($A98,'4-6 매출-다운로드 비교(참조)'!$A$6:$A$177,0))</f>
        <v>20</v>
      </c>
      <c r="E98" s="49" t="n">
        <f aca="false">INDEX('4-6 매출-다운로드 비교(참조)'!$C$6:$C$177,MATCH($A98,'4-6 매출-다운로드 비교(참조)'!$A$6:$A$177,0))</f>
        <v>98</v>
      </c>
      <c r="F98" s="47" t="str">
        <f aca="false">INDEX('4-6 매출-다운로드 비교(참조)'!$H$6:$H$177,MATCH($A98,'4-6 매출-다운로드 비교(참조)'!$A$6:$A$177,0))</f>
        <v>② 매출만 높음</v>
      </c>
      <c r="G98" s="49" t="str">
        <f aca="false">IF(OR(ISNUMBER(D98),F98="③ 다운로드만 높음"),"후보","후보 아님")</f>
        <v>후보</v>
      </c>
      <c r="H98" s="49" t="n">
        <f aca="false">IF(G98&lt;&gt;"후보","",IFERROR(INDEX($H$18:$H$54,MATCH(K98,$K$18:$K$54,0)),""))</f>
        <v>38</v>
      </c>
      <c r="I98" s="89" t="str">
        <f aca="false">IF(G98&lt;&gt;"후보","-",IFERROR(INDEX($I$18:$I$54,MATCH(K98,$K$18:$K$54,0)),"판단 보류"))</f>
        <v>2인 어려움</v>
      </c>
      <c r="J98" s="47"/>
      <c r="K98" s="47" t="str">
        <f aca="false">B98&amp;"|"&amp;C98</f>
        <v>카드·보드·카지노|보드·주사위 소셜캐주얼</v>
      </c>
    </row>
    <row r="99" customFormat="false" ht="17.15" hidden="false" customHeight="false" outlineLevel="0" collapsed="false">
      <c r="A99" s="78" t="s">
        <v>891</v>
      </c>
      <c r="B99" s="47" t="str">
        <f aca="false">IFERROR(INDEX('4-5 매출 Top100(참조)'!$D$2:$D$101,MATCH($A99,'4-5 매출 Top100(참조)'!$B$2:$B$101,0)),IFERROR(INDEX('4-4 Google Play Top100(참조)'!$D$2:$D$101,MATCH($A99,'4-4 Google Play Top100(참조)'!$B$2:$B$101,0)),"확인 불가"))</f>
        <v>카드·보드·카지노</v>
      </c>
      <c r="C99" s="47" t="str">
        <f aca="false">IFERROR(INDEX('4-5 매출 Top100(참조)'!$E$2:$E$101,MATCH($A99,'4-5 매출 Top100(참조)'!$B$2:$B$101,0)),IFERROR(INDEX('4-4 Google Play Top100(참조)'!$E$2:$E$101,MATCH($A99,'4-4 Google Play Top100(참조)'!$B$2:$B$101,0)),"-"))</f>
        <v>빙고</v>
      </c>
      <c r="D99" s="49" t="n">
        <f aca="false">INDEX('4-6 매출-다운로드 비교(참조)'!$B$6:$B$177,MATCH($A99,'4-6 매출-다운로드 비교(참조)'!$A$6:$A$177,0))</f>
        <v>21</v>
      </c>
      <c r="E99" s="49" t="str">
        <f aca="false">INDEX('4-6 매출-다운로드 비교(참조)'!$C$6:$C$177,MATCH($A99,'4-6 매출-다운로드 비교(참조)'!$A$6:$A$177,0))</f>
        <v>-</v>
      </c>
      <c r="F99" s="47" t="str">
        <f aca="false">INDEX('4-6 매출-다운로드 비교(참조)'!$H$6:$H$177,MATCH($A99,'4-6 매출-다운로드 비교(참조)'!$A$6:$A$177,0))</f>
        <v>② 매출만 높음</v>
      </c>
      <c r="G99" s="49" t="str">
        <f aca="false">IF(OR(ISNUMBER(D99),F99="③ 다운로드만 높음"),"후보","후보 아님")</f>
        <v>후보</v>
      </c>
      <c r="H99" s="49" t="n">
        <f aca="false">IF(G99&lt;&gt;"후보","",IFERROR(INDEX($H$18:$H$54,MATCH(K99,$K$18:$K$54,0)),""))</f>
        <v>45</v>
      </c>
      <c r="I99" s="89" t="str">
        <f aca="false">IF(G99&lt;&gt;"후보","-",IFERROR(INDEX($I$18:$I$54,MATCH(K99,$K$18:$K$54,0)),"판단 보류"))</f>
        <v>2인 어려움</v>
      </c>
      <c r="J99" s="47"/>
      <c r="K99" s="47" t="str">
        <f aca="false">B99&amp;"|"&amp;C99</f>
        <v>카드·보드·카지노|빙고</v>
      </c>
    </row>
    <row r="100" customFormat="false" ht="17.15" hidden="false" customHeight="false" outlineLevel="0" collapsed="false">
      <c r="A100" s="78" t="s">
        <v>892</v>
      </c>
      <c r="B100" s="47" t="str">
        <f aca="false">IFERROR(INDEX('4-5 매출 Top100(참조)'!$D$2:$D$101,MATCH($A100,'4-5 매출 Top100(참조)'!$B$2:$B$101,0)),IFERROR(INDEX('4-4 Google Play Top100(참조)'!$D$2:$D$101,MATCH($A100,'4-4 Google Play Top100(참조)'!$B$2:$B$101,0)),"확인 불가"))</f>
        <v>카드·보드·카지노</v>
      </c>
      <c r="C100" s="47" t="str">
        <f aca="false">IFERROR(INDEX('4-5 매출 Top100(참조)'!$E$2:$E$101,MATCH($A100,'4-5 매출 Top100(참조)'!$B$2:$B$101,0)),IFERROR(INDEX('4-4 Google Play Top100(참조)'!$E$2:$E$101,MATCH($A100,'4-4 Google Play Top100(참조)'!$B$2:$B$101,0)),"-"))</f>
        <v>소셜 카지노</v>
      </c>
      <c r="D100" s="49" t="n">
        <f aca="false">INDEX('4-6 매출-다운로드 비교(참조)'!$B$6:$B$177,MATCH($A100,'4-6 매출-다운로드 비교(참조)'!$A$6:$A$177,0))</f>
        <v>22</v>
      </c>
      <c r="E100" s="49" t="str">
        <f aca="false">INDEX('4-6 매출-다운로드 비교(참조)'!$C$6:$C$177,MATCH($A100,'4-6 매출-다운로드 비교(참조)'!$A$6:$A$177,0))</f>
        <v>-</v>
      </c>
      <c r="F100" s="47" t="str">
        <f aca="false">INDEX('4-6 매출-다운로드 비교(참조)'!$H$6:$H$177,MATCH($A100,'4-6 매출-다운로드 비교(참조)'!$A$6:$A$177,0))</f>
        <v>② 매출만 높음</v>
      </c>
      <c r="G100" s="49" t="str">
        <f aca="false">IF(OR(ISNUMBER(D100),F100="③ 다운로드만 높음"),"후보","후보 아님")</f>
        <v>후보</v>
      </c>
      <c r="H100" s="49" t="n">
        <f aca="false">IF(G100&lt;&gt;"후보","",IFERROR(INDEX($H$18:$H$54,MATCH(K100,$K$18:$K$54,0)),""))</f>
        <v>39</v>
      </c>
      <c r="I100" s="89" t="str">
        <f aca="false">IF(G100&lt;&gt;"후보","-",IFERROR(INDEX($I$18:$I$54,MATCH(K100,$K$18:$K$54,0)),"판단 보류"))</f>
        <v>2인 어려움</v>
      </c>
      <c r="J100" s="47"/>
      <c r="K100" s="47" t="str">
        <f aca="false">B100&amp;"|"&amp;C100</f>
        <v>카드·보드·카지노|소셜 카지노</v>
      </c>
    </row>
    <row r="101" customFormat="false" ht="17.15" hidden="false" customHeight="false" outlineLevel="0" collapsed="false">
      <c r="A101" s="78" t="s">
        <v>893</v>
      </c>
      <c r="B101" s="47" t="str">
        <f aca="false">IFERROR(INDEX('4-5 매출 Top100(참조)'!$D$2:$D$101,MATCH($A101,'4-5 매출 Top100(참조)'!$B$2:$B$101,0)),IFERROR(INDEX('4-4 Google Play Top100(참조)'!$D$2:$D$101,MATCH($A101,'4-4 Google Play Top100(참조)'!$B$2:$B$101,0)),"확인 불가"))</f>
        <v>전략</v>
      </c>
      <c r="C101" s="47" t="str">
        <f aca="false">IFERROR(INDEX('4-5 매출 Top100(참조)'!$E$2:$E$101,MATCH($A101,'4-5 매출 Top100(참조)'!$B$2:$B$101,0)),IFERROR(INDEX('4-4 Google Play Top100(참조)'!$E$2:$E$101,MATCH($A101,'4-4 Google Play Top100(참조)'!$B$2:$B$101,0)),"-"))</f>
        <v>4X·SLG</v>
      </c>
      <c r="D101" s="49" t="n">
        <f aca="false">INDEX('4-6 매출-다운로드 비교(참조)'!$B$6:$B$177,MATCH($A101,'4-6 매출-다운로드 비교(참조)'!$A$6:$A$177,0))</f>
        <v>23</v>
      </c>
      <c r="E101" s="49" t="str">
        <f aca="false">INDEX('4-6 매출-다운로드 비교(참조)'!$C$6:$C$177,MATCH($A101,'4-6 매출-다운로드 비교(참조)'!$A$6:$A$177,0))</f>
        <v>-</v>
      </c>
      <c r="F101" s="47" t="str">
        <f aca="false">INDEX('4-6 매출-다운로드 비교(참조)'!$H$6:$H$177,MATCH($A101,'4-6 매출-다운로드 비교(참조)'!$A$6:$A$177,0))</f>
        <v>② 매출만 높음</v>
      </c>
      <c r="G101" s="49" t="str">
        <f aca="false">IF(OR(ISNUMBER(D101),F101="③ 다운로드만 높음"),"후보","후보 아님")</f>
        <v>후보</v>
      </c>
      <c r="H101" s="49" t="n">
        <f aca="false">IF(G101&lt;&gt;"후보","",IFERROR(INDEX($H$18:$H$54,MATCH(K101,$K$18:$K$54,0)),""))</f>
        <v>24</v>
      </c>
      <c r="I101" s="89" t="str">
        <f aca="false">IF(G101&lt;&gt;"후보","-",IFERROR(INDEX($I$18:$I$54,MATCH(K101,$K$18:$K$54,0)),"판단 보류"))</f>
        <v>2인 어려움</v>
      </c>
      <c r="J101" s="47"/>
      <c r="K101" s="47" t="str">
        <f aca="false">B101&amp;"|"&amp;C101</f>
        <v>전략|4X·SLG</v>
      </c>
    </row>
    <row r="102" customFormat="false" ht="17.15" hidden="false" customHeight="false" outlineLevel="0" collapsed="false">
      <c r="A102" s="78" t="s">
        <v>894</v>
      </c>
      <c r="B102" s="47" t="str">
        <f aca="false">IFERROR(INDEX('4-5 매출 Top100(참조)'!$D$2:$D$101,MATCH($A102,'4-5 매출 Top100(참조)'!$B$2:$B$101,0)),IFERROR(INDEX('4-4 Google Play Top100(참조)'!$D$2:$D$101,MATCH($A102,'4-4 Google Play Top100(참조)'!$B$2:$B$101,0)),"확인 불가"))</f>
        <v>퍼즐</v>
      </c>
      <c r="C102" s="47" t="str">
        <f aca="false">IFERROR(INDEX('4-5 매출 Top100(참조)'!$E$2:$E$101,MATCH($A102,'4-5 매출 Top100(참조)'!$B$2:$B$101,0)),IFERROR(INDEX('4-4 Google Play Top100(참조)'!$E$2:$E$101,MATCH($A102,'4-4 Google Play Top100(참조)'!$B$2:$B$101,0)),"-"))</f>
        <v>매치3</v>
      </c>
      <c r="D102" s="49" t="n">
        <f aca="false">INDEX('4-6 매출-다운로드 비교(참조)'!$B$6:$B$177,MATCH($A102,'4-6 매출-다운로드 비교(참조)'!$A$6:$A$177,0))</f>
        <v>24</v>
      </c>
      <c r="E102" s="49" t="str">
        <f aca="false">INDEX('4-6 매출-다운로드 비교(참조)'!$C$6:$C$177,MATCH($A102,'4-6 매출-다운로드 비교(참조)'!$A$6:$A$177,0))</f>
        <v>-</v>
      </c>
      <c r="F102" s="47" t="str">
        <f aca="false">INDEX('4-6 매출-다운로드 비교(참조)'!$H$6:$H$177,MATCH($A102,'4-6 매출-다운로드 비교(참조)'!$A$6:$A$177,0))</f>
        <v>② 매출만 높음</v>
      </c>
      <c r="G102" s="49" t="str">
        <f aca="false">IF(OR(ISNUMBER(D102),F102="③ 다운로드만 높음"),"후보","후보 아님")</f>
        <v>후보</v>
      </c>
      <c r="H102" s="49" t="n">
        <f aca="false">IF(G102&lt;&gt;"후보","",IFERROR(INDEX($H$18:$H$54,MATCH(K102,$K$18:$K$54,0)),""))</f>
        <v>60</v>
      </c>
      <c r="I102" s="89" t="str">
        <f aca="false">IF(G102&lt;&gt;"후보","-",IFERROR(INDEX($I$18:$I$54,MATCH(K102,$K$18:$K$54,0)),"판단 보류"))</f>
        <v>조건부 (범위를 줄이면)</v>
      </c>
      <c r="J102" s="47"/>
      <c r="K102" s="47" t="str">
        <f aca="false">B102&amp;"|"&amp;C102</f>
        <v>퍼즐|매치3</v>
      </c>
    </row>
    <row r="103" customFormat="false" ht="17.15" hidden="false" customHeight="false" outlineLevel="0" collapsed="false">
      <c r="A103" s="78" t="s">
        <v>895</v>
      </c>
      <c r="B103" s="47" t="str">
        <f aca="false">IFERROR(INDEX('4-5 매출 Top100(참조)'!$D$2:$D$101,MATCH($A103,'4-5 매출 Top100(참조)'!$B$2:$B$101,0)),IFERROR(INDEX('4-4 Google Play Top100(참조)'!$D$2:$D$101,MATCH($A103,'4-4 Google Play Top100(참조)'!$B$2:$B$101,0)),"확인 불가"))</f>
        <v>카드·보드·카지노</v>
      </c>
      <c r="C103" s="47" t="str">
        <f aca="false">IFERROR(INDEX('4-5 매출 Top100(참조)'!$E$2:$E$101,MATCH($A103,'4-5 매출 Top100(참조)'!$B$2:$B$101,0)),IFERROR(INDEX('4-4 Google Play Top100(참조)'!$E$2:$E$101,MATCH($A103,'4-4 Google Play Top100(참조)'!$B$2:$B$101,0)),"-"))</f>
        <v>소셜 카지노</v>
      </c>
      <c r="D103" s="49" t="n">
        <f aca="false">INDEX('4-6 매출-다운로드 비교(참조)'!$B$6:$B$177,MATCH($A103,'4-6 매출-다운로드 비교(참조)'!$A$6:$A$177,0))</f>
        <v>25</v>
      </c>
      <c r="E103" s="49" t="str">
        <f aca="false">INDEX('4-6 매출-다운로드 비교(참조)'!$C$6:$C$177,MATCH($A103,'4-6 매출-다운로드 비교(참조)'!$A$6:$A$177,0))</f>
        <v>-</v>
      </c>
      <c r="F103" s="47" t="str">
        <f aca="false">INDEX('4-6 매출-다운로드 비교(참조)'!$H$6:$H$177,MATCH($A103,'4-6 매출-다운로드 비교(참조)'!$A$6:$A$177,0))</f>
        <v>② 매출만 높음</v>
      </c>
      <c r="G103" s="49" t="str">
        <f aca="false">IF(OR(ISNUMBER(D103),F103="③ 다운로드만 높음"),"후보","후보 아님")</f>
        <v>후보</v>
      </c>
      <c r="H103" s="49" t="n">
        <f aca="false">IF(G103&lt;&gt;"후보","",IFERROR(INDEX($H$18:$H$54,MATCH(K103,$K$18:$K$54,0)),""))</f>
        <v>39</v>
      </c>
      <c r="I103" s="89" t="str">
        <f aca="false">IF(G103&lt;&gt;"후보","-",IFERROR(INDEX($I$18:$I$54,MATCH(K103,$K$18:$K$54,0)),"판단 보류"))</f>
        <v>2인 어려움</v>
      </c>
      <c r="J103" s="47"/>
      <c r="K103" s="47" t="str">
        <f aca="false">B103&amp;"|"&amp;C103</f>
        <v>카드·보드·카지노|소셜 카지노</v>
      </c>
    </row>
    <row r="104" customFormat="false" ht="17.15" hidden="false" customHeight="false" outlineLevel="0" collapsed="false">
      <c r="A104" s="78" t="s">
        <v>849</v>
      </c>
      <c r="B104" s="47" t="str">
        <f aca="false">IFERROR(INDEX('4-5 매출 Top100(참조)'!$D$2:$D$101,MATCH($A104,'4-5 매출 Top100(참조)'!$B$2:$B$101,0)),IFERROR(INDEX('4-4 Google Play Top100(참조)'!$D$2:$D$101,MATCH($A104,'4-4 Google Play Top100(참조)'!$B$2:$B$101,0)),"확인 불가"))</f>
        <v>퍼즐</v>
      </c>
      <c r="C104" s="47" t="str">
        <f aca="false">IFERROR(INDEX('4-5 매출 Top100(참조)'!$E$2:$E$101,MATCH($A104,'4-5 매출 Top100(참조)'!$B$2:$B$101,0)),IFERROR(INDEX('4-4 Google Play Top100(참조)'!$E$2:$E$101,MATCH($A104,'4-4 Google Play Top100(참조)'!$B$2:$B$101,0)),"-"))</f>
        <v>타일·마작·트리플 매치</v>
      </c>
      <c r="D104" s="49" t="n">
        <f aca="false">INDEX('4-6 매출-다운로드 비교(참조)'!$B$6:$B$177,MATCH($A104,'4-6 매출-다운로드 비교(참조)'!$A$6:$A$177,0))</f>
        <v>27</v>
      </c>
      <c r="E104" s="49" t="n">
        <f aca="false">INDEX('4-6 매출-다운로드 비교(참조)'!$C$6:$C$177,MATCH($A104,'4-6 매출-다운로드 비교(참조)'!$A$6:$A$177,0))</f>
        <v>83</v>
      </c>
      <c r="F104" s="47" t="str">
        <f aca="false">INDEX('4-6 매출-다운로드 비교(참조)'!$H$6:$H$177,MATCH($A104,'4-6 매출-다운로드 비교(참조)'!$A$6:$A$177,0))</f>
        <v>② 매출만 높음</v>
      </c>
      <c r="G104" s="49" t="str">
        <f aca="false">IF(OR(ISNUMBER(D104),F104="③ 다운로드만 높음"),"후보","후보 아님")</f>
        <v>후보</v>
      </c>
      <c r="H104" s="49" t="n">
        <f aca="false">IF(G104&lt;&gt;"후보","",IFERROR(INDEX($H$18:$H$54,MATCH(K104,$K$18:$K$54,0)),""))</f>
        <v>87</v>
      </c>
      <c r="I104" s="89" t="str">
        <f aca="false">IF(G104&lt;&gt;"후보","-",IFERROR(INDEX($I$18:$I$54,MATCH(K104,$K$18:$K$54,0)),"판단 보류"))</f>
        <v>2인 가능</v>
      </c>
      <c r="J104" s="47"/>
      <c r="K104" s="47" t="str">
        <f aca="false">B104&amp;"|"&amp;C104</f>
        <v>퍼즐|타일·마작·트리플 매치</v>
      </c>
    </row>
    <row r="105" customFormat="false" ht="17.15" hidden="false" customHeight="false" outlineLevel="0" collapsed="false">
      <c r="A105" s="78" t="s">
        <v>896</v>
      </c>
      <c r="B105" s="47" t="str">
        <f aca="false">IFERROR(INDEX('4-5 매출 Top100(참조)'!$D$2:$D$101,MATCH($A105,'4-5 매출 Top100(참조)'!$B$2:$B$101,0)),IFERROR(INDEX('4-4 Google Play Top100(참조)'!$D$2:$D$101,MATCH($A105,'4-4 Google Play Top100(참조)'!$B$2:$B$101,0)),"확인 불가"))</f>
        <v>액션·슈팅</v>
      </c>
      <c r="C105" s="47" t="str">
        <f aca="false">IFERROR(INDEX('4-5 매출 Top100(참조)'!$E$2:$E$101,MATCH($A105,'4-5 매출 Top100(참조)'!$B$2:$B$101,0)),IFERROR(INDEX('4-4 Google Play Top100(참조)'!$E$2:$E$101,MATCH($A105,'4-4 Google Play Top100(참조)'!$B$2:$B$101,0)),"-"))</f>
        <v>배틀로얄</v>
      </c>
      <c r="D105" s="49" t="n">
        <f aca="false">INDEX('4-6 매출-다운로드 비교(참조)'!$B$6:$B$177,MATCH($A105,'4-6 매출-다운로드 비교(참조)'!$A$6:$A$177,0))</f>
        <v>28</v>
      </c>
      <c r="E105" s="49" t="n">
        <f aca="false">INDEX('4-6 매출-다운로드 비교(참조)'!$C$6:$C$177,MATCH($A105,'4-6 매출-다운로드 비교(참조)'!$A$6:$A$177,0))</f>
        <v>97</v>
      </c>
      <c r="F105" s="47" t="str">
        <f aca="false">INDEX('4-6 매출-다운로드 비교(참조)'!$H$6:$H$177,MATCH($A105,'4-6 매출-다운로드 비교(참조)'!$A$6:$A$177,0))</f>
        <v>② 매출만 높음</v>
      </c>
      <c r="G105" s="49" t="str">
        <f aca="false">IF(OR(ISNUMBER(D105),F105="③ 다운로드만 높음"),"후보","후보 아님")</f>
        <v>후보</v>
      </c>
      <c r="H105" s="49" t="n">
        <f aca="false">IF(G105&lt;&gt;"후보","",IFERROR(INDEX($H$18:$H$54,MATCH(K105,$K$18:$K$54,0)),""))</f>
        <v>26</v>
      </c>
      <c r="I105" s="89" t="str">
        <f aca="false">IF(G105&lt;&gt;"후보","-",IFERROR(INDEX($I$18:$I$54,MATCH(K105,$K$18:$K$54,0)),"판단 보류"))</f>
        <v>2인 어려움</v>
      </c>
      <c r="J105" s="47"/>
      <c r="K105" s="47" t="str">
        <f aca="false">B105&amp;"|"&amp;C105</f>
        <v>액션·슈팅|배틀로얄</v>
      </c>
    </row>
    <row r="106" customFormat="false" ht="17.15" hidden="false" customHeight="false" outlineLevel="0" collapsed="false">
      <c r="A106" s="78" t="s">
        <v>449</v>
      </c>
      <c r="B106" s="47" t="str">
        <f aca="false">IFERROR(INDEX('4-5 매출 Top100(참조)'!$D$2:$D$101,MATCH($A106,'4-5 매출 Top100(참조)'!$B$2:$B$101,0)),IFERROR(INDEX('4-4 Google Play Top100(참조)'!$D$2:$D$101,MATCH($A106,'4-4 Google Play Top100(참조)'!$B$2:$B$101,0)),"확인 불가"))</f>
        <v>카드·보드·카지노</v>
      </c>
      <c r="C106" s="47" t="str">
        <f aca="false">IFERROR(INDEX('4-5 매출 Top100(참조)'!$E$2:$E$101,MATCH($A106,'4-5 매출 Top100(참조)'!$B$2:$B$101,0)),IFERROR(INDEX('4-4 Google Play Top100(참조)'!$E$2:$E$101,MATCH($A106,'4-4 Google Play Top100(참조)'!$B$2:$B$101,0)),"-"))</f>
        <v>트레이딩 카드</v>
      </c>
      <c r="D106" s="49" t="n">
        <f aca="false">INDEX('4-6 매출-다운로드 비교(참조)'!$B$6:$B$177,MATCH($A106,'4-6 매출-다운로드 비교(참조)'!$A$6:$A$177,0))</f>
        <v>29</v>
      </c>
      <c r="E106" s="49" t="n">
        <f aca="false">INDEX('4-6 매출-다운로드 비교(참조)'!$C$6:$C$177,MATCH($A106,'4-6 매출-다운로드 비교(참조)'!$A$6:$A$177,0))</f>
        <v>68</v>
      </c>
      <c r="F106" s="47" t="str">
        <f aca="false">INDEX('4-6 매출-다운로드 비교(참조)'!$H$6:$H$177,MATCH($A106,'4-6 매출-다운로드 비교(참조)'!$A$6:$A$177,0))</f>
        <v>② 매출만 높음</v>
      </c>
      <c r="G106" s="49" t="str">
        <f aca="false">IF(OR(ISNUMBER(D106),F106="③ 다운로드만 높음"),"후보","후보 아님")</f>
        <v>후보</v>
      </c>
      <c r="H106" s="49" t="n">
        <f aca="false">IF(G106&lt;&gt;"후보","",IFERROR(INDEX($H$18:$H$54,MATCH(K106,$K$18:$K$54,0)),""))</f>
        <v>28</v>
      </c>
      <c r="I106" s="89" t="str">
        <f aca="false">IF(G106&lt;&gt;"후보","-",IFERROR(INDEX($I$18:$I$54,MATCH(K106,$K$18:$K$54,0)),"판단 보류"))</f>
        <v>2인 어려움</v>
      </c>
      <c r="J106" s="47"/>
      <c r="K106" s="47" t="str">
        <f aca="false">B106&amp;"|"&amp;C106</f>
        <v>카드·보드·카지노|트레이딩 카드</v>
      </c>
    </row>
    <row r="107" customFormat="false" ht="17.15" hidden="false" customHeight="false" outlineLevel="0" collapsed="false">
      <c r="A107" s="78" t="s">
        <v>897</v>
      </c>
      <c r="B107" s="47" t="str">
        <f aca="false">IFERROR(INDEX('4-5 매출 Top100(참조)'!$D$2:$D$101,MATCH($A107,'4-5 매출 Top100(참조)'!$B$2:$B$101,0)),IFERROR(INDEX('4-4 Google Play Top100(참조)'!$D$2:$D$101,MATCH($A107,'4-4 Google Play Top100(참조)'!$B$2:$B$101,0)),"확인 불가"))</f>
        <v>퍼즐</v>
      </c>
      <c r="C107" s="47" t="str">
        <f aca="false">IFERROR(INDEX('4-5 매출 Top100(참조)'!$E$2:$E$101,MATCH($A107,'4-5 매출 Top100(참조)'!$B$2:$B$101,0)),IFERROR(INDEX('4-4 Google Play Top100(참조)'!$E$2:$E$101,MATCH($A107,'4-4 Google Play Top100(참조)'!$B$2:$B$101,0)),"-"))</f>
        <v>머지</v>
      </c>
      <c r="D107" s="49" t="n">
        <f aca="false">INDEX('4-6 매출-다운로드 비교(참조)'!$B$6:$B$177,MATCH($A107,'4-6 매출-다운로드 비교(참조)'!$A$6:$A$177,0))</f>
        <v>30</v>
      </c>
      <c r="E107" s="49" t="str">
        <f aca="false">INDEX('4-6 매출-다운로드 비교(참조)'!$C$6:$C$177,MATCH($A107,'4-6 매출-다운로드 비교(참조)'!$A$6:$A$177,0))</f>
        <v>-</v>
      </c>
      <c r="F107" s="47" t="str">
        <f aca="false">INDEX('4-6 매출-다운로드 비교(참조)'!$H$6:$H$177,MATCH($A107,'4-6 매출-다운로드 비교(참조)'!$A$6:$A$177,0))</f>
        <v>② 매출만 높음</v>
      </c>
      <c r="G107" s="49" t="str">
        <f aca="false">IF(OR(ISNUMBER(D107),F107="③ 다운로드만 높음"),"후보","후보 아님")</f>
        <v>후보</v>
      </c>
      <c r="H107" s="49" t="n">
        <f aca="false">IF(G107&lt;&gt;"후보","",IFERROR(INDEX($H$18:$H$54,MATCH(K107,$K$18:$K$54,0)),""))</f>
        <v>56</v>
      </c>
      <c r="I107" s="89" t="str">
        <f aca="false">IF(G107&lt;&gt;"후보","-",IFERROR(INDEX($I$18:$I$54,MATCH(K107,$K$18:$K$54,0)),"판단 보류"))</f>
        <v>조건부 (범위를 줄이면)</v>
      </c>
      <c r="J107" s="47"/>
      <c r="K107" s="47" t="str">
        <f aca="false">B107&amp;"|"&amp;C107</f>
        <v>퍼즐|머지</v>
      </c>
    </row>
    <row r="108" customFormat="false" ht="17.15" hidden="false" customHeight="false" outlineLevel="0" collapsed="false">
      <c r="A108" s="78" t="s">
        <v>898</v>
      </c>
      <c r="B108" s="47" t="str">
        <f aca="false">IFERROR(INDEX('4-5 매출 Top100(참조)'!$D$2:$D$101,MATCH($A108,'4-5 매출 Top100(참조)'!$B$2:$B$101,0)),IFERROR(INDEX('4-4 Google Play Top100(참조)'!$D$2:$D$101,MATCH($A108,'4-4 Google Play Top100(참조)'!$B$2:$B$101,0)),"확인 불가"))</f>
        <v>전략</v>
      </c>
      <c r="C108" s="47" t="str">
        <f aca="false">IFERROR(INDEX('4-5 매출 Top100(참조)'!$E$2:$E$101,MATCH($A108,'4-5 매출 Top100(참조)'!$B$2:$B$101,0)),IFERROR(INDEX('4-4 Google Play Top100(참조)'!$E$2:$E$101,MATCH($A108,'4-4 Google Play Top100(참조)'!$B$2:$B$101,0)),"-"))</f>
        <v>4X·SLG</v>
      </c>
      <c r="D108" s="49" t="n">
        <f aca="false">INDEX('4-6 매출-다운로드 비교(참조)'!$B$6:$B$177,MATCH($A108,'4-6 매출-다운로드 비교(참조)'!$A$6:$A$177,0))</f>
        <v>31</v>
      </c>
      <c r="E108" s="49" t="str">
        <f aca="false">INDEX('4-6 매출-다운로드 비교(참조)'!$C$6:$C$177,MATCH($A108,'4-6 매출-다운로드 비교(참조)'!$A$6:$A$177,0))</f>
        <v>-</v>
      </c>
      <c r="F108" s="47" t="str">
        <f aca="false">INDEX('4-6 매출-다운로드 비교(참조)'!$H$6:$H$177,MATCH($A108,'4-6 매출-다운로드 비교(참조)'!$A$6:$A$177,0))</f>
        <v>④ 둘 다 기준 밖</v>
      </c>
      <c r="G108" s="49" t="str">
        <f aca="false">IF(OR(ISNUMBER(D108),F108="③ 다운로드만 높음"),"후보","후보 아님")</f>
        <v>후보</v>
      </c>
      <c r="H108" s="49" t="n">
        <f aca="false">IF(G108&lt;&gt;"후보","",IFERROR(INDEX($H$18:$H$54,MATCH(K108,$K$18:$K$54,0)),""))</f>
        <v>24</v>
      </c>
      <c r="I108" s="89" t="str">
        <f aca="false">IF(G108&lt;&gt;"후보","-",IFERROR(INDEX($I$18:$I$54,MATCH(K108,$K$18:$K$54,0)),"판단 보류"))</f>
        <v>2인 어려움</v>
      </c>
      <c r="J108" s="47"/>
      <c r="K108" s="47" t="str">
        <f aca="false">B108&amp;"|"&amp;C108</f>
        <v>전략|4X·SLG</v>
      </c>
    </row>
    <row r="109" customFormat="false" ht="17.15" hidden="false" customHeight="false" outlineLevel="0" collapsed="false">
      <c r="A109" s="78" t="s">
        <v>899</v>
      </c>
      <c r="B109" s="47" t="str">
        <f aca="false">IFERROR(INDEX('4-5 매출 Top100(참조)'!$D$2:$D$101,MATCH($A109,'4-5 매출 Top100(참조)'!$B$2:$B$101,0)),IFERROR(INDEX('4-4 Google Play Top100(참조)'!$D$2:$D$101,MATCH($A109,'4-4 Google Play Top100(참조)'!$B$2:$B$101,0)),"확인 불가"))</f>
        <v>퍼즐</v>
      </c>
      <c r="C109" s="47" t="str">
        <f aca="false">IFERROR(INDEX('4-5 매출 Top100(참조)'!$E$2:$E$101,MATCH($A109,'4-5 매출 Top100(참조)'!$B$2:$B$101,0)),IFERROR(INDEX('4-4 Google Play Top100(참조)'!$E$2:$E$101,MATCH($A109,'4-4 Google Play Top100(참조)'!$B$2:$B$101,0)),"-"))</f>
        <v>매치3</v>
      </c>
      <c r="D109" s="49" t="n">
        <f aca="false">INDEX('4-6 매출-다운로드 비교(참조)'!$B$6:$B$177,MATCH($A109,'4-6 매출-다운로드 비교(참조)'!$A$6:$A$177,0))</f>
        <v>32</v>
      </c>
      <c r="E109" s="49" t="str">
        <f aca="false">INDEX('4-6 매출-다운로드 비교(참조)'!$C$6:$C$177,MATCH($A109,'4-6 매출-다운로드 비교(참조)'!$A$6:$A$177,0))</f>
        <v>-</v>
      </c>
      <c r="F109" s="47" t="str">
        <f aca="false">INDEX('4-6 매출-다운로드 비교(참조)'!$H$6:$H$177,MATCH($A109,'4-6 매출-다운로드 비교(참조)'!$A$6:$A$177,0))</f>
        <v>④ 둘 다 기준 밖</v>
      </c>
      <c r="G109" s="49" t="str">
        <f aca="false">IF(OR(ISNUMBER(D109),F109="③ 다운로드만 높음"),"후보","후보 아님")</f>
        <v>후보</v>
      </c>
      <c r="H109" s="49" t="n">
        <f aca="false">IF(G109&lt;&gt;"후보","",IFERROR(INDEX($H$18:$H$54,MATCH(K109,$K$18:$K$54,0)),""))</f>
        <v>60</v>
      </c>
      <c r="I109" s="89" t="str">
        <f aca="false">IF(G109&lt;&gt;"후보","-",IFERROR(INDEX($I$18:$I$54,MATCH(K109,$K$18:$K$54,0)),"판단 보류"))</f>
        <v>조건부 (범위를 줄이면)</v>
      </c>
      <c r="J109" s="47"/>
      <c r="K109" s="47" t="str">
        <f aca="false">B109&amp;"|"&amp;C109</f>
        <v>퍼즐|매치3</v>
      </c>
    </row>
    <row r="110" customFormat="false" ht="17.15" hidden="false" customHeight="false" outlineLevel="0" collapsed="false">
      <c r="A110" s="78" t="s">
        <v>900</v>
      </c>
      <c r="B110" s="47" t="str">
        <f aca="false">IFERROR(INDEX('4-5 매출 Top100(참조)'!$D$2:$D$101,MATCH($A110,'4-5 매출 Top100(참조)'!$B$2:$B$101,0)),IFERROR(INDEX('4-4 Google Play Top100(참조)'!$D$2:$D$101,MATCH($A110,'4-4 Google Play Top100(참조)'!$B$2:$B$101,0)),"확인 불가"))</f>
        <v>카드·보드·카지노</v>
      </c>
      <c r="C110" s="47" t="str">
        <f aca="false">IFERROR(INDEX('4-5 매출 Top100(참조)'!$E$2:$E$101,MATCH($A110,'4-5 매출 Top100(참조)'!$B$2:$B$101,0)),IFERROR(INDEX('4-4 Google Play Top100(참조)'!$E$2:$E$101,MATCH($A110,'4-4 Google Play Top100(참조)'!$B$2:$B$101,0)),"-"))</f>
        <v>소셜 카지노</v>
      </c>
      <c r="D110" s="49" t="n">
        <f aca="false">INDEX('4-6 매출-다운로드 비교(참조)'!$B$6:$B$177,MATCH($A110,'4-6 매출-다운로드 비교(참조)'!$A$6:$A$177,0))</f>
        <v>33</v>
      </c>
      <c r="E110" s="49" t="str">
        <f aca="false">INDEX('4-6 매출-다운로드 비교(참조)'!$C$6:$C$177,MATCH($A110,'4-6 매출-다운로드 비교(참조)'!$A$6:$A$177,0))</f>
        <v>-</v>
      </c>
      <c r="F110" s="47" t="str">
        <f aca="false">INDEX('4-6 매출-다운로드 비교(참조)'!$H$6:$H$177,MATCH($A110,'4-6 매출-다운로드 비교(참조)'!$A$6:$A$177,0))</f>
        <v>④ 둘 다 기준 밖</v>
      </c>
      <c r="G110" s="49" t="str">
        <f aca="false">IF(OR(ISNUMBER(D110),F110="③ 다운로드만 높음"),"후보","후보 아님")</f>
        <v>후보</v>
      </c>
      <c r="H110" s="49" t="n">
        <f aca="false">IF(G110&lt;&gt;"후보","",IFERROR(INDEX($H$18:$H$54,MATCH(K110,$K$18:$K$54,0)),""))</f>
        <v>39</v>
      </c>
      <c r="I110" s="89" t="str">
        <f aca="false">IF(G110&lt;&gt;"후보","-",IFERROR(INDEX($I$18:$I$54,MATCH(K110,$K$18:$K$54,0)),"판단 보류"))</f>
        <v>2인 어려움</v>
      </c>
      <c r="J110" s="47"/>
      <c r="K110" s="47" t="str">
        <f aca="false">B110&amp;"|"&amp;C110</f>
        <v>카드·보드·카지노|소셜 카지노</v>
      </c>
    </row>
    <row r="111" customFormat="false" ht="17.15" hidden="false" customHeight="false" outlineLevel="0" collapsed="false">
      <c r="A111" s="78" t="s">
        <v>901</v>
      </c>
      <c r="B111" s="47" t="str">
        <f aca="false">IFERROR(INDEX('4-5 매출 Top100(참조)'!$D$2:$D$101,MATCH($A111,'4-5 매출 Top100(참조)'!$B$2:$B$101,0)),IFERROR(INDEX('4-4 Google Play Top100(참조)'!$D$2:$D$101,MATCH($A111,'4-4 Google Play Top100(참조)'!$B$2:$B$101,0)),"확인 불가"))</f>
        <v>RPG</v>
      </c>
      <c r="C111" s="47" t="str">
        <f aca="false">IFERROR(INDEX('4-5 매출 Top100(참조)'!$E$2:$E$101,MATCH($A111,'4-5 매출 Top100(참조)'!$B$2:$B$101,0)),IFERROR(INDEX('4-4 Google Play Top100(참조)'!$E$2:$E$101,MATCH($A111,'4-4 Google Play Top100(참조)'!$B$2:$B$101,0)),"-"))</f>
        <v>방치형 RPG</v>
      </c>
      <c r="D111" s="49" t="n">
        <f aca="false">INDEX('4-6 매출-다운로드 비교(참조)'!$B$6:$B$177,MATCH($A111,'4-6 매출-다운로드 비교(참조)'!$A$6:$A$177,0))</f>
        <v>34</v>
      </c>
      <c r="E111" s="49" t="str">
        <f aca="false">INDEX('4-6 매출-다운로드 비교(참조)'!$C$6:$C$177,MATCH($A111,'4-6 매출-다운로드 비교(참조)'!$A$6:$A$177,0))</f>
        <v>-</v>
      </c>
      <c r="F111" s="47" t="str">
        <f aca="false">INDEX('4-6 매출-다운로드 비교(참조)'!$H$6:$H$177,MATCH($A111,'4-6 매출-다운로드 비교(참조)'!$A$6:$A$177,0))</f>
        <v>④ 둘 다 기준 밖</v>
      </c>
      <c r="G111" s="49" t="str">
        <f aca="false">IF(OR(ISNUMBER(D111),F111="③ 다운로드만 높음"),"후보","후보 아님")</f>
        <v>후보</v>
      </c>
      <c r="H111" s="49" t="n">
        <f aca="false">IF(G111&lt;&gt;"후보","",IFERROR(INDEX($H$18:$H$54,MATCH(K111,$K$18:$K$54,0)),""))</f>
        <v>47</v>
      </c>
      <c r="I111" s="89" t="str">
        <f aca="false">IF(G111&lt;&gt;"후보","-",IFERROR(INDEX($I$18:$I$54,MATCH(K111,$K$18:$K$54,0)),"판단 보류"))</f>
        <v>2인 어려움</v>
      </c>
      <c r="J111" s="47"/>
      <c r="K111" s="47" t="str">
        <f aca="false">B111&amp;"|"&amp;C111</f>
        <v>RPG|방치형 RPG</v>
      </c>
    </row>
    <row r="112" customFormat="false" ht="17.15" hidden="false" customHeight="false" outlineLevel="0" collapsed="false">
      <c r="A112" s="78" t="s">
        <v>902</v>
      </c>
      <c r="B112" s="47" t="str">
        <f aca="false">IFERROR(INDEX('4-5 매출 Top100(참조)'!$D$2:$D$101,MATCH($A112,'4-5 매출 Top100(참조)'!$B$2:$B$101,0)),IFERROR(INDEX('4-4 Google Play Top100(참조)'!$D$2:$D$101,MATCH($A112,'4-4 Google Play Top100(참조)'!$B$2:$B$101,0)),"확인 불가"))</f>
        <v>퍼즐</v>
      </c>
      <c r="C112" s="47" t="str">
        <f aca="false">IFERROR(INDEX('4-5 매출 Top100(참조)'!$E$2:$E$101,MATCH($A112,'4-5 매출 Top100(참조)'!$B$2:$B$101,0)),IFERROR(INDEX('4-4 Google Play Top100(참조)'!$E$2:$E$101,MATCH($A112,'4-4 Google Play Top100(참조)'!$B$2:$B$101,0)),"-"))</f>
        <v>픽셀·컬러 아트</v>
      </c>
      <c r="D112" s="49" t="n">
        <f aca="false">INDEX('4-6 매출-다운로드 비교(참조)'!$B$6:$B$177,MATCH($A112,'4-6 매출-다운로드 비교(참조)'!$A$6:$A$177,0))</f>
        <v>35</v>
      </c>
      <c r="E112" s="49" t="n">
        <f aca="false">INDEX('4-6 매출-다운로드 비교(참조)'!$C$6:$C$177,MATCH($A112,'4-6 매출-다운로드 비교(참조)'!$A$6:$A$177,0))</f>
        <v>49</v>
      </c>
      <c r="F112" s="47" t="str">
        <f aca="false">INDEX('4-6 매출-다운로드 비교(참조)'!$H$6:$H$177,MATCH($A112,'4-6 매출-다운로드 비교(참조)'!$A$6:$A$177,0))</f>
        <v>④ 둘 다 기준 밖</v>
      </c>
      <c r="G112" s="49" t="str">
        <f aca="false">IF(OR(ISNUMBER(D112),F112="③ 다운로드만 높음"),"후보","후보 아님")</f>
        <v>후보</v>
      </c>
      <c r="H112" s="49" t="n">
        <f aca="false">IF(G112&lt;&gt;"후보","",IFERROR(INDEX($H$18:$H$54,MATCH(K112,$K$18:$K$54,0)),""))</f>
        <v>83</v>
      </c>
      <c r="I112" s="89" t="str">
        <f aca="false">IF(G112&lt;&gt;"후보","-",IFERROR(INDEX($I$18:$I$54,MATCH(K112,$K$18:$K$54,0)),"판단 보류"))</f>
        <v>2인 가능</v>
      </c>
      <c r="J112" s="47"/>
      <c r="K112" s="47" t="str">
        <f aca="false">B112&amp;"|"&amp;C112</f>
        <v>퍼즐|픽셀·컬러 아트</v>
      </c>
    </row>
    <row r="113" customFormat="false" ht="17.15" hidden="false" customHeight="false" outlineLevel="0" collapsed="false">
      <c r="A113" s="78" t="s">
        <v>903</v>
      </c>
      <c r="B113" s="47" t="str">
        <f aca="false">IFERROR(INDEX('4-5 매출 Top100(참조)'!$D$2:$D$101,MATCH($A113,'4-5 매출 Top100(참조)'!$B$2:$B$101,0)),IFERROR(INDEX('4-4 Google Play Top100(참조)'!$D$2:$D$101,MATCH($A113,'4-4 Google Play Top100(참조)'!$B$2:$B$101,0)),"확인 불가"))</f>
        <v>카드·보드·카지노</v>
      </c>
      <c r="C113" s="47" t="str">
        <f aca="false">IFERROR(INDEX('4-5 매출 Top100(참조)'!$E$2:$E$101,MATCH($A113,'4-5 매출 Top100(참조)'!$B$2:$B$101,0)),IFERROR(INDEX('4-4 Google Play Top100(참조)'!$E$2:$E$101,MATCH($A113,'4-4 Google Play Top100(참조)'!$B$2:$B$101,0)),"-"))</f>
        <v>소셜 카지노</v>
      </c>
      <c r="D113" s="49" t="n">
        <f aca="false">INDEX('4-6 매출-다운로드 비교(참조)'!$B$6:$B$177,MATCH($A113,'4-6 매출-다운로드 비교(참조)'!$A$6:$A$177,0))</f>
        <v>36</v>
      </c>
      <c r="E113" s="49" t="str">
        <f aca="false">INDEX('4-6 매출-다운로드 비교(참조)'!$C$6:$C$177,MATCH($A113,'4-6 매출-다운로드 비교(참조)'!$A$6:$A$177,0))</f>
        <v>-</v>
      </c>
      <c r="F113" s="47" t="str">
        <f aca="false">INDEX('4-6 매출-다운로드 비교(참조)'!$H$6:$H$177,MATCH($A113,'4-6 매출-다운로드 비교(참조)'!$A$6:$A$177,0))</f>
        <v>④ 둘 다 기준 밖</v>
      </c>
      <c r="G113" s="49" t="str">
        <f aca="false">IF(OR(ISNUMBER(D113),F113="③ 다운로드만 높음"),"후보","후보 아님")</f>
        <v>후보</v>
      </c>
      <c r="H113" s="49" t="n">
        <f aca="false">IF(G113&lt;&gt;"후보","",IFERROR(INDEX($H$18:$H$54,MATCH(K113,$K$18:$K$54,0)),""))</f>
        <v>39</v>
      </c>
      <c r="I113" s="89" t="str">
        <f aca="false">IF(G113&lt;&gt;"후보","-",IFERROR(INDEX($I$18:$I$54,MATCH(K113,$K$18:$K$54,0)),"판단 보류"))</f>
        <v>2인 어려움</v>
      </c>
      <c r="J113" s="47"/>
      <c r="K113" s="47" t="str">
        <f aca="false">B113&amp;"|"&amp;C113</f>
        <v>카드·보드·카지노|소셜 카지노</v>
      </c>
    </row>
    <row r="114" customFormat="false" ht="17.15" hidden="false" customHeight="false" outlineLevel="0" collapsed="false">
      <c r="A114" s="78" t="s">
        <v>904</v>
      </c>
      <c r="B114" s="47" t="str">
        <f aca="false">IFERROR(INDEX('4-5 매출 Top100(참조)'!$D$2:$D$101,MATCH($A114,'4-5 매출 Top100(참조)'!$B$2:$B$101,0)),IFERROR(INDEX('4-4 Google Play Top100(참조)'!$D$2:$D$101,MATCH($A114,'4-4 Google Play Top100(참조)'!$B$2:$B$101,0)),"확인 불가"))</f>
        <v>퍼즐</v>
      </c>
      <c r="C114" s="47" t="str">
        <f aca="false">IFERROR(INDEX('4-5 매출 Top100(참조)'!$E$2:$E$101,MATCH($A114,'4-5 매출 Top100(참조)'!$B$2:$B$101,0)),IFERROR(INDEX('4-4 Google Play Top100(참조)'!$E$2:$E$101,MATCH($A114,'4-4 Google Play Top100(참조)'!$B$2:$B$101,0)),"-"))</f>
        <v>매치3</v>
      </c>
      <c r="D114" s="49" t="n">
        <f aca="false">INDEX('4-6 매출-다운로드 비교(참조)'!$B$6:$B$177,MATCH($A114,'4-6 매출-다운로드 비교(참조)'!$A$6:$A$177,0))</f>
        <v>37</v>
      </c>
      <c r="E114" s="49" t="str">
        <f aca="false">INDEX('4-6 매출-다운로드 비교(참조)'!$C$6:$C$177,MATCH($A114,'4-6 매출-다운로드 비교(참조)'!$A$6:$A$177,0))</f>
        <v>-</v>
      </c>
      <c r="F114" s="47" t="str">
        <f aca="false">INDEX('4-6 매출-다운로드 비교(참조)'!$H$6:$H$177,MATCH($A114,'4-6 매출-다운로드 비교(참조)'!$A$6:$A$177,0))</f>
        <v>④ 둘 다 기준 밖</v>
      </c>
      <c r="G114" s="49" t="str">
        <f aca="false">IF(OR(ISNUMBER(D114),F114="③ 다운로드만 높음"),"후보","후보 아님")</f>
        <v>후보</v>
      </c>
      <c r="H114" s="49" t="n">
        <f aca="false">IF(G114&lt;&gt;"후보","",IFERROR(INDEX($H$18:$H$54,MATCH(K114,$K$18:$K$54,0)),""))</f>
        <v>60</v>
      </c>
      <c r="I114" s="89" t="str">
        <f aca="false">IF(G114&lt;&gt;"후보","-",IFERROR(INDEX($I$18:$I$54,MATCH(K114,$K$18:$K$54,0)),"판단 보류"))</f>
        <v>조건부 (범위를 줄이면)</v>
      </c>
      <c r="J114" s="47"/>
      <c r="K114" s="47" t="str">
        <f aca="false">B114&amp;"|"&amp;C114</f>
        <v>퍼즐|매치3</v>
      </c>
    </row>
    <row r="115" customFormat="false" ht="17.15" hidden="false" customHeight="false" outlineLevel="0" collapsed="false">
      <c r="A115" s="78" t="s">
        <v>905</v>
      </c>
      <c r="B115" s="47" t="str">
        <f aca="false">IFERROR(INDEX('4-5 매출 Top100(참조)'!$D$2:$D$101,MATCH($A115,'4-5 매출 Top100(참조)'!$B$2:$B$101,0)),IFERROR(INDEX('4-4 Google Play Top100(참조)'!$D$2:$D$101,MATCH($A115,'4-4 Google Play Top100(참조)'!$B$2:$B$101,0)),"확인 불가"))</f>
        <v>전략</v>
      </c>
      <c r="C115" s="47" t="str">
        <f aca="false">IFERROR(INDEX('4-5 매출 Top100(참조)'!$E$2:$E$101,MATCH($A115,'4-5 매출 Top100(참조)'!$B$2:$B$101,0)),IFERROR(INDEX('4-4 Google Play Top100(참조)'!$E$2:$E$101,MATCH($A115,'4-4 Google Play Top100(참조)'!$B$2:$B$101,0)),"-"))</f>
        <v>4X·SLG</v>
      </c>
      <c r="D115" s="49" t="n">
        <f aca="false">INDEX('4-6 매출-다운로드 비교(참조)'!$B$6:$B$177,MATCH($A115,'4-6 매출-다운로드 비교(참조)'!$A$6:$A$177,0))</f>
        <v>38</v>
      </c>
      <c r="E115" s="49" t="str">
        <f aca="false">INDEX('4-6 매출-다운로드 비교(참조)'!$C$6:$C$177,MATCH($A115,'4-6 매출-다운로드 비교(참조)'!$A$6:$A$177,0))</f>
        <v>-</v>
      </c>
      <c r="F115" s="47" t="str">
        <f aca="false">INDEX('4-6 매출-다운로드 비교(참조)'!$H$6:$H$177,MATCH($A115,'4-6 매출-다운로드 비교(참조)'!$A$6:$A$177,0))</f>
        <v>④ 둘 다 기준 밖</v>
      </c>
      <c r="G115" s="49" t="str">
        <f aca="false">IF(OR(ISNUMBER(D115),F115="③ 다운로드만 높음"),"후보","후보 아님")</f>
        <v>후보</v>
      </c>
      <c r="H115" s="49" t="n">
        <f aca="false">IF(G115&lt;&gt;"후보","",IFERROR(INDEX($H$18:$H$54,MATCH(K115,$K$18:$K$54,0)),""))</f>
        <v>24</v>
      </c>
      <c r="I115" s="89" t="str">
        <f aca="false">IF(G115&lt;&gt;"후보","-",IFERROR(INDEX($I$18:$I$54,MATCH(K115,$K$18:$K$54,0)),"판단 보류"))</f>
        <v>2인 어려움</v>
      </c>
      <c r="J115" s="47"/>
      <c r="K115" s="47" t="str">
        <f aca="false">B115&amp;"|"&amp;C115</f>
        <v>전략|4X·SLG</v>
      </c>
    </row>
    <row r="116" customFormat="false" ht="17.15" hidden="false" customHeight="false" outlineLevel="0" collapsed="false">
      <c r="A116" s="78" t="s">
        <v>906</v>
      </c>
      <c r="B116" s="47" t="str">
        <f aca="false">IFERROR(INDEX('4-5 매출 Top100(참조)'!$D$2:$D$101,MATCH($A116,'4-5 매출 Top100(참조)'!$B$2:$B$101,0)),IFERROR(INDEX('4-4 Google Play Top100(참조)'!$D$2:$D$101,MATCH($A116,'4-4 Google Play Top100(참조)'!$B$2:$B$101,0)),"확인 불가"))</f>
        <v>퍼즐</v>
      </c>
      <c r="C116" s="47" t="str">
        <f aca="false">IFERROR(INDEX('4-5 매출 Top100(참조)'!$E$2:$E$101,MATCH($A116,'4-5 매출 Top100(참조)'!$B$2:$B$101,0)),IFERROR(INDEX('4-4 Google Play Top100(참조)'!$E$2:$E$101,MATCH($A116,'4-4 Google Play Top100(참조)'!$B$2:$B$101,0)),"-"))</f>
        <v>정렬·잼</v>
      </c>
      <c r="D116" s="49" t="n">
        <f aca="false">INDEX('4-6 매출-다운로드 비교(참조)'!$B$6:$B$177,MATCH($A116,'4-6 매출-다운로드 비교(참조)'!$A$6:$A$177,0))</f>
        <v>39</v>
      </c>
      <c r="E116" s="49" t="n">
        <f aca="false">INDEX('4-6 매출-다운로드 비교(참조)'!$C$6:$C$177,MATCH($A116,'4-6 매출-다운로드 비교(참조)'!$A$6:$A$177,0))</f>
        <v>40</v>
      </c>
      <c r="F116" s="47" t="str">
        <f aca="false">INDEX('4-6 매출-다운로드 비교(참조)'!$H$6:$H$177,MATCH($A116,'4-6 매출-다운로드 비교(참조)'!$A$6:$A$177,0))</f>
        <v>④ 둘 다 기준 밖</v>
      </c>
      <c r="G116" s="49" t="str">
        <f aca="false">IF(OR(ISNUMBER(D116),F116="③ 다운로드만 높음"),"후보","후보 아님")</f>
        <v>후보</v>
      </c>
      <c r="H116" s="49" t="n">
        <f aca="false">IF(G116&lt;&gt;"후보","",IFERROR(INDEX($H$18:$H$54,MATCH(K116,$K$18:$K$54,0)),""))</f>
        <v>92</v>
      </c>
      <c r="I116" s="89" t="str">
        <f aca="false">IF(G116&lt;&gt;"후보","-",IFERROR(INDEX($I$18:$I$54,MATCH(K116,$K$18:$K$54,0)),"판단 보류"))</f>
        <v>2인 가능</v>
      </c>
      <c r="J116" s="47"/>
      <c r="K116" s="47" t="str">
        <f aca="false">B116&amp;"|"&amp;C116</f>
        <v>퍼즐|정렬·잼</v>
      </c>
    </row>
    <row r="117" customFormat="false" ht="17.15" hidden="false" customHeight="false" outlineLevel="0" collapsed="false">
      <c r="A117" s="78" t="s">
        <v>907</v>
      </c>
      <c r="B117" s="47" t="str">
        <f aca="false">IFERROR(INDEX('4-5 매출 Top100(참조)'!$D$2:$D$101,MATCH($A117,'4-5 매출 Top100(참조)'!$B$2:$B$101,0)),IFERROR(INDEX('4-4 Google Play Top100(참조)'!$D$2:$D$101,MATCH($A117,'4-4 Google Play Top100(참조)'!$B$2:$B$101,0)),"확인 불가"))</f>
        <v>RPG</v>
      </c>
      <c r="C117" s="47" t="str">
        <f aca="false">IFERROR(INDEX('4-5 매출 Top100(참조)'!$E$2:$E$101,MATCH($A117,'4-5 매출 Top100(참조)'!$B$2:$B$101,0)),IFERROR(INDEX('4-4 Google Play Top100(참조)'!$E$2:$E$101,MATCH($A117,'4-4 Google Play Top100(참조)'!$B$2:$B$101,0)),"-"))</f>
        <v>수집형(가챠) RPG</v>
      </c>
      <c r="D117" s="49" t="n">
        <f aca="false">INDEX('4-6 매출-다운로드 비교(참조)'!$B$6:$B$177,MATCH($A117,'4-6 매출-다운로드 비교(참조)'!$A$6:$A$177,0))</f>
        <v>40</v>
      </c>
      <c r="E117" s="49" t="str">
        <f aca="false">INDEX('4-6 매출-다운로드 비교(참조)'!$C$6:$C$177,MATCH($A117,'4-6 매출-다운로드 비교(참조)'!$A$6:$A$177,0))</f>
        <v>-</v>
      </c>
      <c r="F117" s="47" t="str">
        <f aca="false">INDEX('4-6 매출-다운로드 비교(참조)'!$H$6:$H$177,MATCH($A117,'4-6 매출-다운로드 비교(참조)'!$A$6:$A$177,0))</f>
        <v>④ 둘 다 기준 밖</v>
      </c>
      <c r="G117" s="49" t="str">
        <f aca="false">IF(OR(ISNUMBER(D117),F117="③ 다운로드만 높음"),"후보","후보 아님")</f>
        <v>후보</v>
      </c>
      <c r="H117" s="49" t="n">
        <f aca="false">IF(G117&lt;&gt;"후보","",IFERROR(INDEX($H$18:$H$54,MATCH(K117,$K$18:$K$54,0)),""))</f>
        <v>29</v>
      </c>
      <c r="I117" s="89" t="str">
        <f aca="false">IF(G117&lt;&gt;"후보","-",IFERROR(INDEX($I$18:$I$54,MATCH(K117,$K$18:$K$54,0)),"판단 보류"))</f>
        <v>2인 어려움</v>
      </c>
      <c r="J117" s="47"/>
      <c r="K117" s="47" t="str">
        <f aca="false">B117&amp;"|"&amp;C117</f>
        <v>RPG|수집형(가챠) RPG</v>
      </c>
    </row>
    <row r="118" customFormat="false" ht="17.15" hidden="false" customHeight="false" outlineLevel="0" collapsed="false">
      <c r="A118" s="78" t="s">
        <v>908</v>
      </c>
      <c r="B118" s="47" t="str">
        <f aca="false">IFERROR(INDEX('4-5 매출 Top100(참조)'!$D$2:$D$101,MATCH($A118,'4-5 매출 Top100(참조)'!$B$2:$B$101,0)),IFERROR(INDEX('4-4 Google Play Top100(참조)'!$D$2:$D$101,MATCH($A118,'4-4 Google Play Top100(참조)'!$B$2:$B$101,0)),"확인 불가"))</f>
        <v>카드·보드·카지노</v>
      </c>
      <c r="C118" s="47" t="str">
        <f aca="false">IFERROR(INDEX('4-5 매출 Top100(참조)'!$E$2:$E$101,MATCH($A118,'4-5 매출 Top100(참조)'!$B$2:$B$101,0)),IFERROR(INDEX('4-4 Google Play Top100(참조)'!$E$2:$E$101,MATCH($A118,'4-4 Google Play Top100(참조)'!$B$2:$B$101,0)),"-"))</f>
        <v>솔리테어</v>
      </c>
      <c r="D118" s="49" t="n">
        <f aca="false">INDEX('4-6 매출-다운로드 비교(참조)'!$B$6:$B$177,MATCH($A118,'4-6 매출-다운로드 비교(참조)'!$A$6:$A$177,0))</f>
        <v>41</v>
      </c>
      <c r="E118" s="49" t="str">
        <f aca="false">INDEX('4-6 매출-다운로드 비교(참조)'!$C$6:$C$177,MATCH($A118,'4-6 매출-다운로드 비교(참조)'!$A$6:$A$177,0))</f>
        <v>-</v>
      </c>
      <c r="F118" s="47" t="str">
        <f aca="false">INDEX('4-6 매출-다운로드 비교(참조)'!$H$6:$H$177,MATCH($A118,'4-6 매출-다운로드 비교(참조)'!$A$6:$A$177,0))</f>
        <v>④ 둘 다 기준 밖</v>
      </c>
      <c r="G118" s="49" t="str">
        <f aca="false">IF(OR(ISNUMBER(D118),F118="③ 다운로드만 높음"),"후보","후보 아님")</f>
        <v>후보</v>
      </c>
      <c r="H118" s="49" t="n">
        <f aca="false">IF(G118&lt;&gt;"후보","",IFERROR(INDEX($H$18:$H$54,MATCH(K118,$K$18:$K$54,0)),""))</f>
        <v>92</v>
      </c>
      <c r="I118" s="89" t="str">
        <f aca="false">IF(G118&lt;&gt;"후보","-",IFERROR(INDEX($I$18:$I$54,MATCH(K118,$K$18:$K$54,0)),"판단 보류"))</f>
        <v>2인 가능</v>
      </c>
      <c r="J118" s="47"/>
      <c r="K118" s="47" t="str">
        <f aca="false">B118&amp;"|"&amp;C118</f>
        <v>카드·보드·카지노|솔리테어</v>
      </c>
    </row>
    <row r="119" customFormat="false" ht="17.15" hidden="false" customHeight="false" outlineLevel="0" collapsed="false">
      <c r="A119" s="78" t="s">
        <v>909</v>
      </c>
      <c r="B119" s="47" t="str">
        <f aca="false">IFERROR(INDEX('4-5 매출 Top100(참조)'!$D$2:$D$101,MATCH($A119,'4-5 매출 Top100(참조)'!$B$2:$B$101,0)),IFERROR(INDEX('4-4 Google Play Top100(참조)'!$D$2:$D$101,MATCH($A119,'4-4 Google Play Top100(참조)'!$B$2:$B$101,0)),"확인 불가"))</f>
        <v>RPG</v>
      </c>
      <c r="C119" s="47" t="str">
        <f aca="false">IFERROR(INDEX('4-5 매출 Top100(참조)'!$E$2:$E$101,MATCH($A119,'4-5 매출 Top100(참조)'!$B$2:$B$101,0)),IFERROR(INDEX('4-4 Google Play Top100(참조)'!$E$2:$E$101,MATCH($A119,'4-4 Google Play Top100(참조)'!$B$2:$B$101,0)),"-"))</f>
        <v>수집형 오픈월드</v>
      </c>
      <c r="D119" s="49" t="n">
        <f aca="false">INDEX('4-6 매출-다운로드 비교(참조)'!$B$6:$B$177,MATCH($A119,'4-6 매출-다운로드 비교(참조)'!$A$6:$A$177,0))</f>
        <v>42</v>
      </c>
      <c r="E119" s="49" t="str">
        <f aca="false">INDEX('4-6 매출-다운로드 비교(참조)'!$C$6:$C$177,MATCH($A119,'4-6 매출-다운로드 비교(참조)'!$A$6:$A$177,0))</f>
        <v>-</v>
      </c>
      <c r="F119" s="47" t="str">
        <f aca="false">INDEX('4-6 매출-다운로드 비교(참조)'!$H$6:$H$177,MATCH($A119,'4-6 매출-다운로드 비교(참조)'!$A$6:$A$177,0))</f>
        <v>④ 둘 다 기준 밖</v>
      </c>
      <c r="G119" s="49" t="str">
        <f aca="false">IF(OR(ISNUMBER(D119),F119="③ 다운로드만 높음"),"후보","후보 아님")</f>
        <v>후보</v>
      </c>
      <c r="H119" s="49" t="n">
        <f aca="false">IF(G119&lt;&gt;"후보","",IFERROR(INDEX($H$18:$H$54,MATCH(K119,$K$18:$K$54,0)),""))</f>
        <v>24</v>
      </c>
      <c r="I119" s="89" t="str">
        <f aca="false">IF(G119&lt;&gt;"후보","-",IFERROR(INDEX($I$18:$I$54,MATCH(K119,$K$18:$K$54,0)),"판단 보류"))</f>
        <v>2인 어려움</v>
      </c>
      <c r="J119" s="47"/>
      <c r="K119" s="47" t="str">
        <f aca="false">B119&amp;"|"&amp;C119</f>
        <v>RPG|수집형 오픈월드</v>
      </c>
    </row>
    <row r="120" customFormat="false" ht="17.15" hidden="false" customHeight="false" outlineLevel="0" collapsed="false">
      <c r="A120" s="78" t="s">
        <v>910</v>
      </c>
      <c r="B120" s="47" t="str">
        <f aca="false">IFERROR(INDEX('4-5 매출 Top100(참조)'!$D$2:$D$101,MATCH($A120,'4-5 매출 Top100(참조)'!$B$2:$B$101,0)),IFERROR(INDEX('4-4 Google Play Top100(참조)'!$D$2:$D$101,MATCH($A120,'4-4 Google Play Top100(참조)'!$B$2:$B$101,0)),"확인 불가"))</f>
        <v>카드·보드·카지노</v>
      </c>
      <c r="C120" s="47" t="str">
        <f aca="false">IFERROR(INDEX('4-5 매출 Top100(참조)'!$E$2:$E$101,MATCH($A120,'4-5 매출 Top100(참조)'!$B$2:$B$101,0)),IFERROR(INDEX('4-4 Google Play Top100(참조)'!$E$2:$E$101,MATCH($A120,'4-4 Google Play Top100(참조)'!$B$2:$B$101,0)),"-"))</f>
        <v>솔리테어</v>
      </c>
      <c r="D120" s="49" t="n">
        <f aca="false">INDEX('4-6 매출-다운로드 비교(참조)'!$B$6:$B$177,MATCH($A120,'4-6 매출-다운로드 비교(참조)'!$A$6:$A$177,0))</f>
        <v>43</v>
      </c>
      <c r="E120" s="49" t="n">
        <f aca="false">INDEX('4-6 매출-다운로드 비교(참조)'!$C$6:$C$177,MATCH($A120,'4-6 매출-다운로드 비교(참조)'!$A$6:$A$177,0))</f>
        <v>62</v>
      </c>
      <c r="F120" s="47" t="str">
        <f aca="false">INDEX('4-6 매출-다운로드 비교(참조)'!$H$6:$H$177,MATCH($A120,'4-6 매출-다운로드 비교(참조)'!$A$6:$A$177,0))</f>
        <v>④ 둘 다 기준 밖</v>
      </c>
      <c r="G120" s="49" t="str">
        <f aca="false">IF(OR(ISNUMBER(D120),F120="③ 다운로드만 높음"),"후보","후보 아님")</f>
        <v>후보</v>
      </c>
      <c r="H120" s="49" t="n">
        <f aca="false">IF(G120&lt;&gt;"후보","",IFERROR(INDEX($H$18:$H$54,MATCH(K120,$K$18:$K$54,0)),""))</f>
        <v>92</v>
      </c>
      <c r="I120" s="89" t="str">
        <f aca="false">IF(G120&lt;&gt;"후보","-",IFERROR(INDEX($I$18:$I$54,MATCH(K120,$K$18:$K$54,0)),"판단 보류"))</f>
        <v>2인 가능</v>
      </c>
      <c r="J120" s="47"/>
      <c r="K120" s="47" t="str">
        <f aca="false">B120&amp;"|"&amp;C120</f>
        <v>카드·보드·카지노|솔리테어</v>
      </c>
    </row>
    <row r="121" customFormat="false" ht="17.15" hidden="false" customHeight="false" outlineLevel="0" collapsed="false">
      <c r="A121" s="78" t="s">
        <v>911</v>
      </c>
      <c r="B121" s="47" t="str">
        <f aca="false">IFERROR(INDEX('4-5 매출 Top100(참조)'!$D$2:$D$101,MATCH($A121,'4-5 매출 Top100(참조)'!$B$2:$B$101,0)),IFERROR(INDEX('4-4 Google Play Top100(참조)'!$D$2:$D$101,MATCH($A121,'4-4 Google Play Top100(참조)'!$B$2:$B$101,0)),"확인 불가"))</f>
        <v>카드·보드·카지노</v>
      </c>
      <c r="C121" s="47" t="str">
        <f aca="false">IFERROR(INDEX('4-5 매출 Top100(참조)'!$E$2:$E$101,MATCH($A121,'4-5 매출 Top100(참조)'!$B$2:$B$101,0)),IFERROR(INDEX('4-4 Google Play Top100(참조)'!$E$2:$E$101,MATCH($A121,'4-4 Google Play Top100(참조)'!$B$2:$B$101,0)),"-"))</f>
        <v>보드·주사위 소셜캐주얼</v>
      </c>
      <c r="D121" s="49" t="n">
        <f aca="false">INDEX('4-6 매출-다운로드 비교(참조)'!$B$6:$B$177,MATCH($A121,'4-6 매출-다운로드 비교(참조)'!$A$6:$A$177,0))</f>
        <v>44</v>
      </c>
      <c r="E121" s="49" t="str">
        <f aca="false">INDEX('4-6 매출-다운로드 비교(참조)'!$C$6:$C$177,MATCH($A121,'4-6 매출-다운로드 비교(참조)'!$A$6:$A$177,0))</f>
        <v>-</v>
      </c>
      <c r="F121" s="47" t="str">
        <f aca="false">INDEX('4-6 매출-다운로드 비교(참조)'!$H$6:$H$177,MATCH($A121,'4-6 매출-다운로드 비교(참조)'!$A$6:$A$177,0))</f>
        <v>④ 둘 다 기준 밖</v>
      </c>
      <c r="G121" s="49" t="str">
        <f aca="false">IF(OR(ISNUMBER(D121),F121="③ 다운로드만 높음"),"후보","후보 아님")</f>
        <v>후보</v>
      </c>
      <c r="H121" s="49" t="n">
        <f aca="false">IF(G121&lt;&gt;"후보","",IFERROR(INDEX($H$18:$H$54,MATCH(K121,$K$18:$K$54,0)),""))</f>
        <v>38</v>
      </c>
      <c r="I121" s="89" t="str">
        <f aca="false">IF(G121&lt;&gt;"후보","-",IFERROR(INDEX($I$18:$I$54,MATCH(K121,$K$18:$K$54,0)),"판단 보류"))</f>
        <v>2인 어려움</v>
      </c>
      <c r="J121" s="47"/>
      <c r="K121" s="47" t="str">
        <f aca="false">B121&amp;"|"&amp;C121</f>
        <v>카드·보드·카지노|보드·주사위 소셜캐주얼</v>
      </c>
    </row>
    <row r="122" customFormat="false" ht="17.15" hidden="false" customHeight="false" outlineLevel="0" collapsed="false">
      <c r="A122" s="78" t="s">
        <v>912</v>
      </c>
      <c r="B122" s="47" t="str">
        <f aca="false">IFERROR(INDEX('4-5 매출 Top100(참조)'!$D$2:$D$101,MATCH($A122,'4-5 매출 Top100(참조)'!$B$2:$B$101,0)),IFERROR(INDEX('4-4 Google Play Top100(참조)'!$D$2:$D$101,MATCH($A122,'4-4 Google Play Top100(참조)'!$B$2:$B$101,0)),"확인 불가"))</f>
        <v>퍼즐</v>
      </c>
      <c r="C122" s="47" t="str">
        <f aca="false">IFERROR(INDEX('4-5 매출 Top100(참조)'!$E$2:$E$101,MATCH($A122,'4-5 매출 Top100(참조)'!$B$2:$B$101,0)),IFERROR(INDEX('4-4 Google Play Top100(참조)'!$E$2:$E$101,MATCH($A122,'4-4 Google Play Top100(참조)'!$B$2:$B$101,0)),"-"))</f>
        <v>머지</v>
      </c>
      <c r="D122" s="49" t="n">
        <f aca="false">INDEX('4-6 매출-다운로드 비교(참조)'!$B$6:$B$177,MATCH($A122,'4-6 매출-다운로드 비교(참조)'!$A$6:$A$177,0))</f>
        <v>45</v>
      </c>
      <c r="E122" s="49" t="str">
        <f aca="false">INDEX('4-6 매출-다운로드 비교(참조)'!$C$6:$C$177,MATCH($A122,'4-6 매출-다운로드 비교(참조)'!$A$6:$A$177,0))</f>
        <v>-</v>
      </c>
      <c r="F122" s="47" t="str">
        <f aca="false">INDEX('4-6 매출-다운로드 비교(참조)'!$H$6:$H$177,MATCH($A122,'4-6 매출-다운로드 비교(참조)'!$A$6:$A$177,0))</f>
        <v>④ 둘 다 기준 밖</v>
      </c>
      <c r="G122" s="49" t="str">
        <f aca="false">IF(OR(ISNUMBER(D122),F122="③ 다운로드만 높음"),"후보","후보 아님")</f>
        <v>후보</v>
      </c>
      <c r="H122" s="49" t="n">
        <f aca="false">IF(G122&lt;&gt;"후보","",IFERROR(INDEX($H$18:$H$54,MATCH(K122,$K$18:$K$54,0)),""))</f>
        <v>56</v>
      </c>
      <c r="I122" s="89" t="str">
        <f aca="false">IF(G122&lt;&gt;"후보","-",IFERROR(INDEX($I$18:$I$54,MATCH(K122,$K$18:$K$54,0)),"판단 보류"))</f>
        <v>조건부 (범위를 줄이면)</v>
      </c>
      <c r="J122" s="47"/>
      <c r="K122" s="47" t="str">
        <f aca="false">B122&amp;"|"&amp;C122</f>
        <v>퍼즐|머지</v>
      </c>
    </row>
    <row r="123" customFormat="false" ht="17.15" hidden="false" customHeight="false" outlineLevel="0" collapsed="false">
      <c r="A123" s="78" t="s">
        <v>913</v>
      </c>
      <c r="B123" s="47" t="str">
        <f aca="false">IFERROR(INDEX('4-5 매출 Top100(참조)'!$D$2:$D$101,MATCH($A123,'4-5 매출 Top100(참조)'!$B$2:$B$101,0)),IFERROR(INDEX('4-4 Google Play Top100(참조)'!$D$2:$D$101,MATCH($A123,'4-4 Google Play Top100(참조)'!$B$2:$B$101,0)),"확인 불가"))</f>
        <v>카드·보드·카지노</v>
      </c>
      <c r="C123" s="47" t="str">
        <f aca="false">IFERROR(INDEX('4-5 매출 Top100(참조)'!$E$2:$E$101,MATCH($A123,'4-5 매출 Top100(참조)'!$B$2:$B$101,0)),IFERROR(INDEX('4-4 Google Play Top100(참조)'!$E$2:$E$101,MATCH($A123,'4-4 Google Play Top100(참조)'!$B$2:$B$101,0)),"-"))</f>
        <v>소셜 카지노</v>
      </c>
      <c r="D123" s="49" t="n">
        <f aca="false">INDEX('4-6 매출-다운로드 비교(참조)'!$B$6:$B$177,MATCH($A123,'4-6 매출-다운로드 비교(참조)'!$A$6:$A$177,0))</f>
        <v>46</v>
      </c>
      <c r="E123" s="49" t="str">
        <f aca="false">INDEX('4-6 매출-다운로드 비교(참조)'!$C$6:$C$177,MATCH($A123,'4-6 매출-다운로드 비교(참조)'!$A$6:$A$177,0))</f>
        <v>-</v>
      </c>
      <c r="F123" s="47" t="str">
        <f aca="false">INDEX('4-6 매출-다운로드 비교(참조)'!$H$6:$H$177,MATCH($A123,'4-6 매출-다운로드 비교(참조)'!$A$6:$A$177,0))</f>
        <v>④ 둘 다 기준 밖</v>
      </c>
      <c r="G123" s="49" t="str">
        <f aca="false">IF(OR(ISNUMBER(D123),F123="③ 다운로드만 높음"),"후보","후보 아님")</f>
        <v>후보</v>
      </c>
      <c r="H123" s="49" t="n">
        <f aca="false">IF(G123&lt;&gt;"후보","",IFERROR(INDEX($H$18:$H$54,MATCH(K123,$K$18:$K$54,0)),""))</f>
        <v>39</v>
      </c>
      <c r="I123" s="89" t="str">
        <f aca="false">IF(G123&lt;&gt;"후보","-",IFERROR(INDEX($I$18:$I$54,MATCH(K123,$K$18:$K$54,0)),"판단 보류"))</f>
        <v>2인 어려움</v>
      </c>
      <c r="J123" s="47"/>
      <c r="K123" s="47" t="str">
        <f aca="false">B123&amp;"|"&amp;C123</f>
        <v>카드·보드·카지노|소셜 카지노</v>
      </c>
    </row>
    <row r="124" customFormat="false" ht="17.15" hidden="false" customHeight="false" outlineLevel="0" collapsed="false">
      <c r="A124" s="78" t="s">
        <v>914</v>
      </c>
      <c r="B124" s="47" t="str">
        <f aca="false">IFERROR(INDEX('4-5 매출 Top100(참조)'!$D$2:$D$101,MATCH($A124,'4-5 매출 Top100(참조)'!$B$2:$B$101,0)),IFERROR(INDEX('4-4 Google Play Top100(참조)'!$D$2:$D$101,MATCH($A124,'4-4 Google Play Top100(참조)'!$B$2:$B$101,0)),"확인 불가"))</f>
        <v>전략</v>
      </c>
      <c r="C124" s="47" t="str">
        <f aca="false">IFERROR(INDEX('4-5 매출 Top100(참조)'!$E$2:$E$101,MATCH($A124,'4-5 매출 Top100(참조)'!$B$2:$B$101,0)),IFERROR(INDEX('4-4 Google Play Top100(참조)'!$E$2:$E$101,MATCH($A124,'4-4 Google Play Top100(참조)'!$B$2:$B$101,0)),"-"))</f>
        <v>4X·SLG</v>
      </c>
      <c r="D124" s="49" t="n">
        <f aca="false">INDEX('4-6 매출-다운로드 비교(참조)'!$B$6:$B$177,MATCH($A124,'4-6 매출-다운로드 비교(참조)'!$A$6:$A$177,0))</f>
        <v>47</v>
      </c>
      <c r="E124" s="49" t="str">
        <f aca="false">INDEX('4-6 매출-다운로드 비교(참조)'!$C$6:$C$177,MATCH($A124,'4-6 매출-다운로드 비교(참조)'!$A$6:$A$177,0))</f>
        <v>-</v>
      </c>
      <c r="F124" s="47" t="str">
        <f aca="false">INDEX('4-6 매출-다운로드 비교(참조)'!$H$6:$H$177,MATCH($A124,'4-6 매출-다운로드 비교(참조)'!$A$6:$A$177,0))</f>
        <v>④ 둘 다 기준 밖</v>
      </c>
      <c r="G124" s="49" t="str">
        <f aca="false">IF(OR(ISNUMBER(D124),F124="③ 다운로드만 높음"),"후보","후보 아님")</f>
        <v>후보</v>
      </c>
      <c r="H124" s="49" t="n">
        <f aca="false">IF(G124&lt;&gt;"후보","",IFERROR(INDEX($H$18:$H$54,MATCH(K124,$K$18:$K$54,0)),""))</f>
        <v>24</v>
      </c>
      <c r="I124" s="89" t="str">
        <f aca="false">IF(G124&lt;&gt;"후보","-",IFERROR(INDEX($I$18:$I$54,MATCH(K124,$K$18:$K$54,0)),"판단 보류"))</f>
        <v>2인 어려움</v>
      </c>
      <c r="J124" s="47"/>
      <c r="K124" s="47" t="str">
        <f aca="false">B124&amp;"|"&amp;C124</f>
        <v>전략|4X·SLG</v>
      </c>
    </row>
    <row r="125" customFormat="false" ht="17.15" hidden="false" customHeight="false" outlineLevel="0" collapsed="false">
      <c r="A125" s="78" t="s">
        <v>915</v>
      </c>
      <c r="B125" s="47" t="str">
        <f aca="false">IFERROR(INDEX('4-5 매출 Top100(참조)'!$D$2:$D$101,MATCH($A125,'4-5 매출 Top100(참조)'!$B$2:$B$101,0)),IFERROR(INDEX('4-4 Google Play Top100(참조)'!$D$2:$D$101,MATCH($A125,'4-4 Google Play Top100(참조)'!$B$2:$B$101,0)),"확인 불가"))</f>
        <v>하이퍼·하이브리드 캐주얼</v>
      </c>
      <c r="C125" s="47" t="str">
        <f aca="false">IFERROR(INDEX('4-5 매출 Top100(참조)'!$E$2:$E$101,MATCH($A125,'4-5 매출 Top100(참조)'!$B$2:$B$101,0)),IFERROR(INDEX('4-4 Google Play Top100(참조)'!$E$2:$E$101,MATCH($A125,'4-4 Google Play Top100(참조)'!$B$2:$B$101,0)),"-"))</f>
        <v>하이브리드 캐주얼</v>
      </c>
      <c r="D125" s="49" t="n">
        <f aca="false">INDEX('4-6 매출-다운로드 비교(참조)'!$B$6:$B$177,MATCH($A125,'4-6 매출-다운로드 비교(참조)'!$A$6:$A$177,0))</f>
        <v>48</v>
      </c>
      <c r="E125" s="49" t="str">
        <f aca="false">INDEX('4-6 매출-다운로드 비교(참조)'!$C$6:$C$177,MATCH($A125,'4-6 매출-다운로드 비교(참조)'!$A$6:$A$177,0))</f>
        <v>-</v>
      </c>
      <c r="F125" s="47" t="str">
        <f aca="false">INDEX('4-6 매출-다운로드 비교(참조)'!$H$6:$H$177,MATCH($A125,'4-6 매출-다운로드 비교(참조)'!$A$6:$A$177,0))</f>
        <v>④ 둘 다 기준 밖</v>
      </c>
      <c r="G125" s="49" t="str">
        <f aca="false">IF(OR(ISNUMBER(D125),F125="③ 다운로드만 높음"),"후보","후보 아님")</f>
        <v>후보</v>
      </c>
      <c r="H125" s="49" t="n">
        <f aca="false">IF(G125&lt;&gt;"후보","",IFERROR(INDEX($H$18:$H$54,MATCH(K125,$K$18:$K$54,0)),""))</f>
        <v>74</v>
      </c>
      <c r="I125" s="89" t="str">
        <f aca="false">IF(G125&lt;&gt;"후보","-",IFERROR(INDEX($I$18:$I$54,MATCH(K125,$K$18:$K$54,0)),"판단 보류"))</f>
        <v>2인 가능</v>
      </c>
      <c r="J125" s="47"/>
      <c r="K125" s="47" t="str">
        <f aca="false">B125&amp;"|"&amp;C125</f>
        <v>하이퍼·하이브리드 캐주얼|하이브리드 캐주얼</v>
      </c>
    </row>
    <row r="126" customFormat="false" ht="17.15" hidden="false" customHeight="false" outlineLevel="0" collapsed="false">
      <c r="A126" s="78" t="s">
        <v>916</v>
      </c>
      <c r="B126" s="47" t="str">
        <f aca="false">IFERROR(INDEX('4-5 매출 Top100(참조)'!$D$2:$D$101,MATCH($A126,'4-5 매출 Top100(참조)'!$B$2:$B$101,0)),IFERROR(INDEX('4-4 Google Play Top100(참조)'!$D$2:$D$101,MATCH($A126,'4-4 Google Play Top100(참조)'!$B$2:$B$101,0)),"확인 불가"))</f>
        <v>전략</v>
      </c>
      <c r="C126" s="47" t="str">
        <f aca="false">IFERROR(INDEX('4-5 매출 Top100(참조)'!$E$2:$E$101,MATCH($A126,'4-5 매출 Top100(참조)'!$B$2:$B$101,0)),IFERROR(INDEX('4-4 Google Play Top100(참조)'!$E$2:$E$101,MATCH($A126,'4-4 Google Play Top100(참조)'!$B$2:$B$101,0)),"-"))</f>
        <v>4X·SLG</v>
      </c>
      <c r="D126" s="49" t="n">
        <f aca="false">INDEX('4-6 매출-다운로드 비교(참조)'!$B$6:$B$177,MATCH($A126,'4-6 매출-다운로드 비교(참조)'!$A$6:$A$177,0))</f>
        <v>49</v>
      </c>
      <c r="E126" s="49" t="n">
        <f aca="false">INDEX('4-6 매출-다운로드 비교(참조)'!$C$6:$C$177,MATCH($A126,'4-6 매출-다운로드 비교(참조)'!$A$6:$A$177,0))</f>
        <v>67</v>
      </c>
      <c r="F126" s="47" t="str">
        <f aca="false">INDEX('4-6 매출-다운로드 비교(참조)'!$H$6:$H$177,MATCH($A126,'4-6 매출-다운로드 비교(참조)'!$A$6:$A$177,0))</f>
        <v>④ 둘 다 기준 밖</v>
      </c>
      <c r="G126" s="49" t="str">
        <f aca="false">IF(OR(ISNUMBER(D126),F126="③ 다운로드만 높음"),"후보","후보 아님")</f>
        <v>후보</v>
      </c>
      <c r="H126" s="49" t="n">
        <f aca="false">IF(G126&lt;&gt;"후보","",IFERROR(INDEX($H$18:$H$54,MATCH(K126,$K$18:$K$54,0)),""))</f>
        <v>24</v>
      </c>
      <c r="I126" s="89" t="str">
        <f aca="false">IF(G126&lt;&gt;"후보","-",IFERROR(INDEX($I$18:$I$54,MATCH(K126,$K$18:$K$54,0)),"판단 보류"))</f>
        <v>2인 어려움</v>
      </c>
      <c r="J126" s="47"/>
      <c r="K126" s="47" t="str">
        <f aca="false">B126&amp;"|"&amp;C126</f>
        <v>전략|4X·SLG</v>
      </c>
    </row>
    <row r="127" customFormat="false" ht="17.15" hidden="false" customHeight="false" outlineLevel="0" collapsed="false">
      <c r="A127" s="78" t="s">
        <v>917</v>
      </c>
      <c r="B127" s="47" t="str">
        <f aca="false">IFERROR(INDEX('4-5 매출 Top100(참조)'!$D$2:$D$101,MATCH($A127,'4-5 매출 Top100(참조)'!$B$2:$B$101,0)),IFERROR(INDEX('4-4 Google Play Top100(참조)'!$D$2:$D$101,MATCH($A127,'4-4 Google Play Top100(참조)'!$B$2:$B$101,0)),"확인 불가"))</f>
        <v>카드·보드·카지노</v>
      </c>
      <c r="C127" s="47" t="str">
        <f aca="false">IFERROR(INDEX('4-5 매출 Top100(참조)'!$E$2:$E$101,MATCH($A127,'4-5 매출 Top100(참조)'!$B$2:$B$101,0)),IFERROR(INDEX('4-4 Google Play Top100(참조)'!$E$2:$E$101,MATCH($A127,'4-4 Google Play Top100(참조)'!$B$2:$B$101,0)),"-"))</f>
        <v>소셜 카지노</v>
      </c>
      <c r="D127" s="49" t="n">
        <f aca="false">INDEX('4-6 매출-다운로드 비교(참조)'!$B$6:$B$177,MATCH($A127,'4-6 매출-다운로드 비교(참조)'!$A$6:$A$177,0))</f>
        <v>50</v>
      </c>
      <c r="E127" s="49" t="str">
        <f aca="false">INDEX('4-6 매출-다운로드 비교(참조)'!$C$6:$C$177,MATCH($A127,'4-6 매출-다운로드 비교(참조)'!$A$6:$A$177,0))</f>
        <v>-</v>
      </c>
      <c r="F127" s="47" t="str">
        <f aca="false">INDEX('4-6 매출-다운로드 비교(참조)'!$H$6:$H$177,MATCH($A127,'4-6 매출-다운로드 비교(참조)'!$A$6:$A$177,0))</f>
        <v>④ 둘 다 기준 밖</v>
      </c>
      <c r="G127" s="49" t="str">
        <f aca="false">IF(OR(ISNUMBER(D127),F127="③ 다운로드만 높음"),"후보","후보 아님")</f>
        <v>후보</v>
      </c>
      <c r="H127" s="49" t="n">
        <f aca="false">IF(G127&lt;&gt;"후보","",IFERROR(INDEX($H$18:$H$54,MATCH(K127,$K$18:$K$54,0)),""))</f>
        <v>39</v>
      </c>
      <c r="I127" s="89" t="str">
        <f aca="false">IF(G127&lt;&gt;"후보","-",IFERROR(INDEX($I$18:$I$54,MATCH(K127,$K$18:$K$54,0)),"판단 보류"))</f>
        <v>2인 어려움</v>
      </c>
      <c r="J127" s="47"/>
      <c r="K127" s="47" t="str">
        <f aca="false">B127&amp;"|"&amp;C127</f>
        <v>카드·보드·카지노|소셜 카지노</v>
      </c>
    </row>
    <row r="128" customFormat="false" ht="17.15" hidden="false" customHeight="false" outlineLevel="0" collapsed="false">
      <c r="A128" s="78" t="s">
        <v>918</v>
      </c>
      <c r="B128" s="47" t="str">
        <f aca="false">IFERROR(INDEX('4-5 매출 Top100(참조)'!$D$2:$D$101,MATCH($A128,'4-5 매출 Top100(참조)'!$B$2:$B$101,0)),IFERROR(INDEX('4-4 Google Play Top100(참조)'!$D$2:$D$101,MATCH($A128,'4-4 Google Play Top100(참조)'!$B$2:$B$101,0)),"확인 불가"))</f>
        <v>퍼즐</v>
      </c>
      <c r="C128" s="47" t="str">
        <f aca="false">IFERROR(INDEX('4-5 매출 Top100(참조)'!$E$2:$E$101,MATCH($A128,'4-5 매출 Top100(참조)'!$B$2:$B$101,0)),IFERROR(INDEX('4-4 Google Play Top100(참조)'!$E$2:$E$101,MATCH($A128,'4-4 Google Play Top100(참조)'!$B$2:$B$101,0)),"-"))</f>
        <v>머지</v>
      </c>
      <c r="D128" s="49" t="n">
        <f aca="false">INDEX('4-6 매출-다운로드 비교(참조)'!$B$6:$B$177,MATCH($A128,'4-6 매출-다운로드 비교(참조)'!$A$6:$A$177,0))</f>
        <v>51</v>
      </c>
      <c r="E128" s="49" t="str">
        <f aca="false">INDEX('4-6 매출-다운로드 비교(참조)'!$C$6:$C$177,MATCH($A128,'4-6 매출-다운로드 비교(참조)'!$A$6:$A$177,0))</f>
        <v>-</v>
      </c>
      <c r="F128" s="47" t="str">
        <f aca="false">INDEX('4-6 매출-다운로드 비교(참조)'!$H$6:$H$177,MATCH($A128,'4-6 매출-다운로드 비교(참조)'!$A$6:$A$177,0))</f>
        <v>④ 둘 다 기준 밖</v>
      </c>
      <c r="G128" s="49" t="str">
        <f aca="false">IF(OR(ISNUMBER(D128),F128="③ 다운로드만 높음"),"후보","후보 아님")</f>
        <v>후보</v>
      </c>
      <c r="H128" s="49" t="n">
        <f aca="false">IF(G128&lt;&gt;"후보","",IFERROR(INDEX($H$18:$H$54,MATCH(K128,$K$18:$K$54,0)),""))</f>
        <v>56</v>
      </c>
      <c r="I128" s="89" t="str">
        <f aca="false">IF(G128&lt;&gt;"후보","-",IFERROR(INDEX($I$18:$I$54,MATCH(K128,$K$18:$K$54,0)),"판단 보류"))</f>
        <v>조건부 (범위를 줄이면)</v>
      </c>
      <c r="J128" s="47"/>
      <c r="K128" s="47" t="str">
        <f aca="false">B128&amp;"|"&amp;C128</f>
        <v>퍼즐|머지</v>
      </c>
    </row>
    <row r="129" customFormat="false" ht="17.15" hidden="false" customHeight="false" outlineLevel="0" collapsed="false">
      <c r="A129" s="78" t="s">
        <v>919</v>
      </c>
      <c r="B129" s="47" t="str">
        <f aca="false">IFERROR(INDEX('4-5 매출 Top100(참조)'!$D$2:$D$101,MATCH($A129,'4-5 매출 Top100(참조)'!$B$2:$B$101,0)),IFERROR(INDEX('4-4 Google Play Top100(참조)'!$D$2:$D$101,MATCH($A129,'4-4 Google Play Top100(참조)'!$B$2:$B$101,0)),"확인 불가"))</f>
        <v>퍼즐</v>
      </c>
      <c r="C129" s="47" t="str">
        <f aca="false">IFERROR(INDEX('4-5 매출 Top100(참조)'!$E$2:$E$101,MATCH($A129,'4-5 매출 Top100(참조)'!$B$2:$B$101,0)),IFERROR(INDEX('4-4 Google Play Top100(참조)'!$E$2:$E$101,MATCH($A129,'4-4 Google Play Top100(참조)'!$B$2:$B$101,0)),"-"))</f>
        <v>머지</v>
      </c>
      <c r="D129" s="49" t="n">
        <f aca="false">INDEX('4-6 매출-다운로드 비교(참조)'!$B$6:$B$177,MATCH($A129,'4-6 매출-다운로드 비교(참조)'!$A$6:$A$177,0))</f>
        <v>52</v>
      </c>
      <c r="E129" s="49" t="str">
        <f aca="false">INDEX('4-6 매출-다운로드 비교(참조)'!$C$6:$C$177,MATCH($A129,'4-6 매출-다운로드 비교(참조)'!$A$6:$A$177,0))</f>
        <v>-</v>
      </c>
      <c r="F129" s="47" t="str">
        <f aca="false">INDEX('4-6 매출-다운로드 비교(참조)'!$H$6:$H$177,MATCH($A129,'4-6 매출-다운로드 비교(참조)'!$A$6:$A$177,0))</f>
        <v>④ 둘 다 기준 밖</v>
      </c>
      <c r="G129" s="49" t="str">
        <f aca="false">IF(OR(ISNUMBER(D129),F129="③ 다운로드만 높음"),"후보","후보 아님")</f>
        <v>후보</v>
      </c>
      <c r="H129" s="49" t="n">
        <f aca="false">IF(G129&lt;&gt;"후보","",IFERROR(INDEX($H$18:$H$54,MATCH(K129,$K$18:$K$54,0)),""))</f>
        <v>56</v>
      </c>
      <c r="I129" s="89" t="str">
        <f aca="false">IF(G129&lt;&gt;"후보","-",IFERROR(INDEX($I$18:$I$54,MATCH(K129,$K$18:$K$54,0)),"판단 보류"))</f>
        <v>조건부 (범위를 줄이면)</v>
      </c>
      <c r="J129" s="47"/>
      <c r="K129" s="47" t="str">
        <f aca="false">B129&amp;"|"&amp;C129</f>
        <v>퍼즐|머지</v>
      </c>
    </row>
    <row r="130" customFormat="false" ht="17.15" hidden="false" customHeight="false" outlineLevel="0" collapsed="false">
      <c r="A130" s="78" t="s">
        <v>920</v>
      </c>
      <c r="B130" s="47" t="str">
        <f aca="false">IFERROR(INDEX('4-5 매출 Top100(참조)'!$D$2:$D$101,MATCH($A130,'4-5 매출 Top100(참조)'!$B$2:$B$101,0)),IFERROR(INDEX('4-4 Google Play Top100(참조)'!$D$2:$D$101,MATCH($A130,'4-4 Google Play Top100(참조)'!$B$2:$B$101,0)),"확인 불가"))</f>
        <v>퍼즐</v>
      </c>
      <c r="C130" s="47" t="str">
        <f aca="false">IFERROR(INDEX('4-5 매출 Top100(참조)'!$E$2:$E$101,MATCH($A130,'4-5 매출 Top100(참조)'!$B$2:$B$101,0)),IFERROR(INDEX('4-4 Google Play Top100(참조)'!$E$2:$E$101,MATCH($A130,'4-4 Google Play Top100(참조)'!$B$2:$B$101,0)),"-"))</f>
        <v>타일·마작·트리플 매치</v>
      </c>
      <c r="D130" s="49" t="n">
        <f aca="false">INDEX('4-6 매출-다운로드 비교(참조)'!$B$6:$B$177,MATCH($A130,'4-6 매출-다운로드 비교(참조)'!$A$6:$A$177,0))</f>
        <v>53</v>
      </c>
      <c r="E130" s="49" t="str">
        <f aca="false">INDEX('4-6 매출-다운로드 비교(참조)'!$C$6:$C$177,MATCH($A130,'4-6 매출-다운로드 비교(참조)'!$A$6:$A$177,0))</f>
        <v>-</v>
      </c>
      <c r="F130" s="47" t="str">
        <f aca="false">INDEX('4-6 매출-다운로드 비교(참조)'!$H$6:$H$177,MATCH($A130,'4-6 매출-다운로드 비교(참조)'!$A$6:$A$177,0))</f>
        <v>④ 둘 다 기준 밖</v>
      </c>
      <c r="G130" s="49" t="str">
        <f aca="false">IF(OR(ISNUMBER(D130),F130="③ 다운로드만 높음"),"후보","후보 아님")</f>
        <v>후보</v>
      </c>
      <c r="H130" s="49" t="n">
        <f aca="false">IF(G130&lt;&gt;"후보","",IFERROR(INDEX($H$18:$H$54,MATCH(K130,$K$18:$K$54,0)),""))</f>
        <v>87</v>
      </c>
      <c r="I130" s="89" t="str">
        <f aca="false">IF(G130&lt;&gt;"후보","-",IFERROR(INDEX($I$18:$I$54,MATCH(K130,$K$18:$K$54,0)),"판단 보류"))</f>
        <v>2인 가능</v>
      </c>
      <c r="J130" s="47"/>
      <c r="K130" s="47" t="str">
        <f aca="false">B130&amp;"|"&amp;C130</f>
        <v>퍼즐|타일·마작·트리플 매치</v>
      </c>
    </row>
    <row r="131" customFormat="false" ht="17.15" hidden="false" customHeight="false" outlineLevel="0" collapsed="false">
      <c r="A131" s="78" t="s">
        <v>921</v>
      </c>
      <c r="B131" s="47" t="str">
        <f aca="false">IFERROR(INDEX('4-5 매출 Top100(참조)'!$D$2:$D$101,MATCH($A131,'4-5 매출 Top100(참조)'!$B$2:$B$101,0)),IFERROR(INDEX('4-4 Google Play Top100(참조)'!$D$2:$D$101,MATCH($A131,'4-4 Google Play Top100(참조)'!$B$2:$B$101,0)),"확인 불가"))</f>
        <v>시뮬레이션</v>
      </c>
      <c r="C131" s="47" t="str">
        <f aca="false">IFERROR(INDEX('4-5 매출 Top100(참조)'!$E$2:$E$101,MATCH($A131,'4-5 매출 Top100(참조)'!$B$2:$B$101,0)),IFERROR(INDEX('4-4 Google Play Top100(참조)'!$E$2:$E$101,MATCH($A131,'4-4 Google Play Top100(참조)'!$B$2:$B$101,0)),"-"))</f>
        <v>농장·타운 빌딩</v>
      </c>
      <c r="D131" s="49" t="n">
        <f aca="false">INDEX('4-6 매출-다운로드 비교(참조)'!$B$6:$B$177,MATCH($A131,'4-6 매출-다운로드 비교(참조)'!$A$6:$A$177,0))</f>
        <v>54</v>
      </c>
      <c r="E131" s="49" t="str">
        <f aca="false">INDEX('4-6 매출-다운로드 비교(참조)'!$C$6:$C$177,MATCH($A131,'4-6 매출-다운로드 비교(참조)'!$A$6:$A$177,0))</f>
        <v>-</v>
      </c>
      <c r="F131" s="47" t="str">
        <f aca="false">INDEX('4-6 매출-다운로드 비교(참조)'!$H$6:$H$177,MATCH($A131,'4-6 매출-다운로드 비교(참조)'!$A$6:$A$177,0))</f>
        <v>④ 둘 다 기준 밖</v>
      </c>
      <c r="G131" s="49" t="str">
        <f aca="false">IF(OR(ISNUMBER(D131),F131="③ 다운로드만 높음"),"후보","후보 아님")</f>
        <v>후보</v>
      </c>
      <c r="H131" s="49" t="n">
        <f aca="false">IF(G131&lt;&gt;"후보","",IFERROR(INDEX($H$18:$H$54,MATCH(K131,$K$18:$K$54,0)),""))</f>
        <v>38</v>
      </c>
      <c r="I131" s="89" t="str">
        <f aca="false">IF(G131&lt;&gt;"후보","-",IFERROR(INDEX($I$18:$I$54,MATCH(K131,$K$18:$K$54,0)),"판단 보류"))</f>
        <v>2인 어려움</v>
      </c>
      <c r="J131" s="47"/>
      <c r="K131" s="47" t="str">
        <f aca="false">B131&amp;"|"&amp;C131</f>
        <v>시뮬레이션|농장·타운 빌딩</v>
      </c>
    </row>
    <row r="132" customFormat="false" ht="17.15" hidden="false" customHeight="false" outlineLevel="0" collapsed="false">
      <c r="A132" s="78" t="s">
        <v>922</v>
      </c>
      <c r="B132" s="47" t="str">
        <f aca="false">IFERROR(INDEX('4-5 매출 Top100(참조)'!$D$2:$D$101,MATCH($A132,'4-5 매출 Top100(참조)'!$B$2:$B$101,0)),IFERROR(INDEX('4-4 Google Play Top100(참조)'!$D$2:$D$101,MATCH($A132,'4-4 Google Play Top100(참조)'!$B$2:$B$101,0)),"확인 불가"))</f>
        <v>퍼즐</v>
      </c>
      <c r="C132" s="47" t="str">
        <f aca="false">IFERROR(INDEX('4-5 매출 Top100(참조)'!$E$2:$E$101,MATCH($A132,'4-5 매출 Top100(참조)'!$B$2:$B$101,0)),IFERROR(INDEX('4-4 Google Play Top100(참조)'!$E$2:$E$101,MATCH($A132,'4-4 Google Play Top100(참조)'!$B$2:$B$101,0)),"-"))</f>
        <v>숨은그림</v>
      </c>
      <c r="D132" s="49" t="n">
        <f aca="false">INDEX('4-6 매출-다운로드 비교(참조)'!$B$6:$B$177,MATCH($A132,'4-6 매출-다운로드 비교(참조)'!$A$6:$A$177,0))</f>
        <v>55</v>
      </c>
      <c r="E132" s="49" t="str">
        <f aca="false">INDEX('4-6 매출-다운로드 비교(참조)'!$C$6:$C$177,MATCH($A132,'4-6 매출-다운로드 비교(참조)'!$A$6:$A$177,0))</f>
        <v>-</v>
      </c>
      <c r="F132" s="47" t="str">
        <f aca="false">INDEX('4-6 매출-다운로드 비교(참조)'!$H$6:$H$177,MATCH($A132,'4-6 매출-다운로드 비교(참조)'!$A$6:$A$177,0))</f>
        <v>④ 둘 다 기준 밖</v>
      </c>
      <c r="G132" s="49" t="str">
        <f aca="false">IF(OR(ISNUMBER(D132),F132="③ 다운로드만 높음"),"후보","후보 아님")</f>
        <v>후보</v>
      </c>
      <c r="H132" s="49" t="n">
        <f aca="false">IF(G132&lt;&gt;"후보","",IFERROR(INDEX($H$18:$H$54,MATCH(K132,$K$18:$K$54,0)),""))</f>
        <v>61</v>
      </c>
      <c r="I132" s="89" t="str">
        <f aca="false">IF(G132&lt;&gt;"후보","-",IFERROR(INDEX($I$18:$I$54,MATCH(K132,$K$18:$K$54,0)),"판단 보류"))</f>
        <v>2인 어려움</v>
      </c>
      <c r="J132" s="47"/>
      <c r="K132" s="47" t="str">
        <f aca="false">B132&amp;"|"&amp;C132</f>
        <v>퍼즐|숨은그림</v>
      </c>
    </row>
    <row r="133" customFormat="false" ht="17.15" hidden="false" customHeight="false" outlineLevel="0" collapsed="false">
      <c r="A133" s="78" t="s">
        <v>923</v>
      </c>
      <c r="B133" s="47" t="str">
        <f aca="false">IFERROR(INDEX('4-5 매출 Top100(참조)'!$D$2:$D$101,MATCH($A133,'4-5 매출 Top100(참조)'!$B$2:$B$101,0)),IFERROR(INDEX('4-4 Google Play Top100(참조)'!$D$2:$D$101,MATCH($A133,'4-4 Google Play Top100(참조)'!$B$2:$B$101,0)),"확인 불가"))</f>
        <v>카드·보드·카지노</v>
      </c>
      <c r="C133" s="47" t="str">
        <f aca="false">IFERROR(INDEX('4-5 매출 Top100(참조)'!$E$2:$E$101,MATCH($A133,'4-5 매출 Top100(참조)'!$B$2:$B$101,0)),IFERROR(INDEX('4-4 Google Play Top100(참조)'!$E$2:$E$101,MATCH($A133,'4-4 Google Play Top100(참조)'!$B$2:$B$101,0)),"-"))</f>
        <v>트레이딩 카드</v>
      </c>
      <c r="D133" s="49" t="n">
        <f aca="false">INDEX('4-6 매출-다운로드 비교(참조)'!$B$6:$B$177,MATCH($A133,'4-6 매출-다운로드 비교(참조)'!$A$6:$A$177,0))</f>
        <v>56</v>
      </c>
      <c r="E133" s="49" t="str">
        <f aca="false">INDEX('4-6 매출-다운로드 비교(참조)'!$C$6:$C$177,MATCH($A133,'4-6 매출-다운로드 비교(참조)'!$A$6:$A$177,0))</f>
        <v>-</v>
      </c>
      <c r="F133" s="47" t="str">
        <f aca="false">INDEX('4-6 매출-다운로드 비교(참조)'!$H$6:$H$177,MATCH($A133,'4-6 매출-다운로드 비교(참조)'!$A$6:$A$177,0))</f>
        <v>④ 둘 다 기준 밖</v>
      </c>
      <c r="G133" s="49" t="str">
        <f aca="false">IF(OR(ISNUMBER(D133),F133="③ 다운로드만 높음"),"후보","후보 아님")</f>
        <v>후보</v>
      </c>
      <c r="H133" s="49" t="n">
        <f aca="false">IF(G133&lt;&gt;"후보","",IFERROR(INDEX($H$18:$H$54,MATCH(K133,$K$18:$K$54,0)),""))</f>
        <v>28</v>
      </c>
      <c r="I133" s="89" t="str">
        <f aca="false">IF(G133&lt;&gt;"후보","-",IFERROR(INDEX($I$18:$I$54,MATCH(K133,$K$18:$K$54,0)),"판단 보류"))</f>
        <v>2인 어려움</v>
      </c>
      <c r="J133" s="47"/>
      <c r="K133" s="47" t="str">
        <f aca="false">B133&amp;"|"&amp;C133</f>
        <v>카드·보드·카지노|트레이딩 카드</v>
      </c>
    </row>
    <row r="134" customFormat="false" ht="17.15" hidden="false" customHeight="false" outlineLevel="0" collapsed="false">
      <c r="A134" s="78" t="s">
        <v>184</v>
      </c>
      <c r="B134" s="47" t="str">
        <f aca="false">IFERROR(INDEX('4-5 매출 Top100(참조)'!$D$2:$D$101,MATCH($A134,'4-5 매출 Top100(참조)'!$B$2:$B$101,0)),IFERROR(INDEX('4-4 Google Play Top100(참조)'!$D$2:$D$101,MATCH($A134,'4-4 Google Play Top100(참조)'!$B$2:$B$101,0)),"확인 불가"))</f>
        <v>퍼즐</v>
      </c>
      <c r="C134" s="47" t="str">
        <f aca="false">IFERROR(INDEX('4-5 매출 Top100(참조)'!$E$2:$E$101,MATCH($A134,'4-5 매출 Top100(참조)'!$B$2:$B$101,0)),IFERROR(INDEX('4-4 Google Play Top100(참조)'!$E$2:$E$101,MATCH($A134,'4-4 Google Play Top100(참조)'!$B$2:$B$101,0)),"-"))</f>
        <v>정렬·잼</v>
      </c>
      <c r="D134" s="49" t="n">
        <f aca="false">INDEX('4-6 매출-다운로드 비교(참조)'!$B$6:$B$177,MATCH($A134,'4-6 매출-다운로드 비교(참조)'!$A$6:$A$177,0))</f>
        <v>57</v>
      </c>
      <c r="E134" s="49" t="n">
        <f aca="false">INDEX('4-6 매출-다운로드 비교(참조)'!$C$6:$C$177,MATCH($A134,'4-6 매출-다운로드 비교(참조)'!$A$6:$A$177,0))</f>
        <v>11</v>
      </c>
      <c r="F134" s="47" t="str">
        <f aca="false">INDEX('4-6 매출-다운로드 비교(참조)'!$H$6:$H$177,MATCH($A134,'4-6 매출-다운로드 비교(참조)'!$A$6:$A$177,0))</f>
        <v>③ 다운로드만 높음</v>
      </c>
      <c r="G134" s="49" t="str">
        <f aca="false">IF(OR(ISNUMBER(D134),F134="③ 다운로드만 높음"),"후보","후보 아님")</f>
        <v>후보</v>
      </c>
      <c r="H134" s="49" t="n">
        <f aca="false">IF(G134&lt;&gt;"후보","",IFERROR(INDEX($H$18:$H$54,MATCH(K134,$K$18:$K$54,0)),""))</f>
        <v>92</v>
      </c>
      <c r="I134" s="89" t="str">
        <f aca="false">IF(G134&lt;&gt;"후보","-",IFERROR(INDEX($I$18:$I$54,MATCH(K134,$K$18:$K$54,0)),"판단 보류"))</f>
        <v>2인 가능</v>
      </c>
      <c r="J134" s="47"/>
      <c r="K134" s="47" t="str">
        <f aca="false">B134&amp;"|"&amp;C134</f>
        <v>퍼즐|정렬·잼</v>
      </c>
    </row>
    <row r="135" customFormat="false" ht="17.15" hidden="false" customHeight="false" outlineLevel="0" collapsed="false">
      <c r="A135" s="78" t="s">
        <v>924</v>
      </c>
      <c r="B135" s="47" t="str">
        <f aca="false">IFERROR(INDEX('4-5 매출 Top100(참조)'!$D$2:$D$101,MATCH($A135,'4-5 매출 Top100(참조)'!$B$2:$B$101,0)),IFERROR(INDEX('4-4 Google Play Top100(참조)'!$D$2:$D$101,MATCH($A135,'4-4 Google Play Top100(참조)'!$B$2:$B$101,0)),"확인 불가"))</f>
        <v>카드·보드·카지노</v>
      </c>
      <c r="C135" s="47" t="str">
        <f aca="false">IFERROR(INDEX('4-5 매출 Top100(참조)'!$E$2:$E$101,MATCH($A135,'4-5 매출 Top100(참조)'!$B$2:$B$101,0)),IFERROR(INDEX('4-4 Google Play Top100(참조)'!$E$2:$E$101,MATCH($A135,'4-4 Google Play Top100(참조)'!$B$2:$B$101,0)),"-"))</f>
        <v>소셜 카지노</v>
      </c>
      <c r="D135" s="49" t="n">
        <f aca="false">INDEX('4-6 매출-다운로드 비교(참조)'!$B$6:$B$177,MATCH($A135,'4-6 매출-다운로드 비교(참조)'!$A$6:$A$177,0))</f>
        <v>58</v>
      </c>
      <c r="E135" s="49" t="str">
        <f aca="false">INDEX('4-6 매출-다운로드 비교(참조)'!$C$6:$C$177,MATCH($A135,'4-6 매출-다운로드 비교(참조)'!$A$6:$A$177,0))</f>
        <v>-</v>
      </c>
      <c r="F135" s="47" t="str">
        <f aca="false">INDEX('4-6 매출-다운로드 비교(참조)'!$H$6:$H$177,MATCH($A135,'4-6 매출-다운로드 비교(참조)'!$A$6:$A$177,0))</f>
        <v>④ 둘 다 기준 밖</v>
      </c>
      <c r="G135" s="49" t="str">
        <f aca="false">IF(OR(ISNUMBER(D135),F135="③ 다운로드만 높음"),"후보","후보 아님")</f>
        <v>후보</v>
      </c>
      <c r="H135" s="49" t="n">
        <f aca="false">IF(G135&lt;&gt;"후보","",IFERROR(INDEX($H$18:$H$54,MATCH(K135,$K$18:$K$54,0)),""))</f>
        <v>39</v>
      </c>
      <c r="I135" s="89" t="str">
        <f aca="false">IF(G135&lt;&gt;"후보","-",IFERROR(INDEX($I$18:$I$54,MATCH(K135,$K$18:$K$54,0)),"판단 보류"))</f>
        <v>2인 어려움</v>
      </c>
      <c r="J135" s="47"/>
      <c r="K135" s="47" t="str">
        <f aca="false">B135&amp;"|"&amp;C135</f>
        <v>카드·보드·카지노|소셜 카지노</v>
      </c>
    </row>
    <row r="136" customFormat="false" ht="17.15" hidden="false" customHeight="false" outlineLevel="0" collapsed="false">
      <c r="A136" s="78" t="s">
        <v>925</v>
      </c>
      <c r="B136" s="47" t="str">
        <f aca="false">IFERROR(INDEX('4-5 매출 Top100(참조)'!$D$2:$D$101,MATCH($A136,'4-5 매출 Top100(참조)'!$B$2:$B$101,0)),IFERROR(INDEX('4-4 Google Play Top100(참조)'!$D$2:$D$101,MATCH($A136,'4-4 Google Play Top100(참조)'!$B$2:$B$101,0)),"확인 불가"))</f>
        <v>퍼즐</v>
      </c>
      <c r="C136" s="47" t="str">
        <f aca="false">IFERROR(INDEX('4-5 매출 Top100(참조)'!$E$2:$E$101,MATCH($A136,'4-5 매출 Top100(참조)'!$B$2:$B$101,0)),IFERROR(INDEX('4-4 Google Play Top100(참조)'!$E$2:$E$101,MATCH($A136,'4-4 Google Play Top100(참조)'!$B$2:$B$101,0)),"-"))</f>
        <v>머지</v>
      </c>
      <c r="D136" s="49" t="n">
        <f aca="false">INDEX('4-6 매출-다운로드 비교(참조)'!$B$6:$B$177,MATCH($A136,'4-6 매출-다운로드 비교(참조)'!$A$6:$A$177,0))</f>
        <v>59</v>
      </c>
      <c r="E136" s="49" t="str">
        <f aca="false">INDEX('4-6 매출-다운로드 비교(참조)'!$C$6:$C$177,MATCH($A136,'4-6 매출-다운로드 비교(참조)'!$A$6:$A$177,0))</f>
        <v>-</v>
      </c>
      <c r="F136" s="47" t="str">
        <f aca="false">INDEX('4-6 매출-다운로드 비교(참조)'!$H$6:$H$177,MATCH($A136,'4-6 매출-다운로드 비교(참조)'!$A$6:$A$177,0))</f>
        <v>④ 둘 다 기준 밖</v>
      </c>
      <c r="G136" s="49" t="str">
        <f aca="false">IF(OR(ISNUMBER(D136),F136="③ 다운로드만 높음"),"후보","후보 아님")</f>
        <v>후보</v>
      </c>
      <c r="H136" s="49" t="n">
        <f aca="false">IF(G136&lt;&gt;"후보","",IFERROR(INDEX($H$18:$H$54,MATCH(K136,$K$18:$K$54,0)),""))</f>
        <v>56</v>
      </c>
      <c r="I136" s="89" t="str">
        <f aca="false">IF(G136&lt;&gt;"후보","-",IFERROR(INDEX($I$18:$I$54,MATCH(K136,$K$18:$K$54,0)),"판단 보류"))</f>
        <v>조건부 (범위를 줄이면)</v>
      </c>
      <c r="J136" s="47"/>
      <c r="K136" s="47" t="str">
        <f aca="false">B136&amp;"|"&amp;C136</f>
        <v>퍼즐|머지</v>
      </c>
    </row>
    <row r="137" customFormat="false" ht="17.15" hidden="false" customHeight="false" outlineLevel="0" collapsed="false">
      <c r="A137" s="78" t="s">
        <v>926</v>
      </c>
      <c r="B137" s="47" t="str">
        <f aca="false">IFERROR(INDEX('4-5 매출 Top100(참조)'!$D$2:$D$101,MATCH($A137,'4-5 매출 Top100(참조)'!$B$2:$B$101,0)),IFERROR(INDEX('4-4 Google Play Top100(참조)'!$D$2:$D$101,MATCH($A137,'4-4 Google Play Top100(참조)'!$B$2:$B$101,0)),"확인 불가"))</f>
        <v>액션·슈팅</v>
      </c>
      <c r="C137" s="47" t="str">
        <f aca="false">IFERROR(INDEX('4-5 매출 Top100(참조)'!$E$2:$E$101,MATCH($A137,'4-5 매출 Top100(참조)'!$B$2:$B$101,0)),IFERROR(INDEX('4-4 Google Play Top100(참조)'!$E$2:$E$101,MATCH($A137,'4-4 Google Play Top100(참조)'!$B$2:$B$101,0)),"-"))</f>
        <v>배틀로얄</v>
      </c>
      <c r="D137" s="49" t="n">
        <f aca="false">INDEX('4-6 매출-다운로드 비교(참조)'!$B$6:$B$177,MATCH($A137,'4-6 매출-다운로드 비교(참조)'!$A$6:$A$177,0))</f>
        <v>60</v>
      </c>
      <c r="E137" s="49" t="str">
        <f aca="false">INDEX('4-6 매출-다운로드 비교(참조)'!$C$6:$C$177,MATCH($A137,'4-6 매출-다운로드 비교(참조)'!$A$6:$A$177,0))</f>
        <v>-</v>
      </c>
      <c r="F137" s="47" t="str">
        <f aca="false">INDEX('4-6 매출-다운로드 비교(참조)'!$H$6:$H$177,MATCH($A137,'4-6 매출-다운로드 비교(참조)'!$A$6:$A$177,0))</f>
        <v>④ 둘 다 기준 밖</v>
      </c>
      <c r="G137" s="49" t="str">
        <f aca="false">IF(OR(ISNUMBER(D137),F137="③ 다운로드만 높음"),"후보","후보 아님")</f>
        <v>후보</v>
      </c>
      <c r="H137" s="49" t="n">
        <f aca="false">IF(G137&lt;&gt;"후보","",IFERROR(INDEX($H$18:$H$54,MATCH(K137,$K$18:$K$54,0)),""))</f>
        <v>26</v>
      </c>
      <c r="I137" s="89" t="str">
        <f aca="false">IF(G137&lt;&gt;"후보","-",IFERROR(INDEX($I$18:$I$54,MATCH(K137,$K$18:$K$54,0)),"판단 보류"))</f>
        <v>2인 어려움</v>
      </c>
      <c r="J137" s="47"/>
      <c r="K137" s="47" t="str">
        <f aca="false">B137&amp;"|"&amp;C137</f>
        <v>액션·슈팅|배틀로얄</v>
      </c>
    </row>
    <row r="138" customFormat="false" ht="17.15" hidden="false" customHeight="false" outlineLevel="0" collapsed="false">
      <c r="A138" s="78" t="s">
        <v>927</v>
      </c>
      <c r="B138" s="47" t="str">
        <f aca="false">IFERROR(INDEX('4-5 매출 Top100(참조)'!$D$2:$D$101,MATCH($A138,'4-5 매출 Top100(참조)'!$B$2:$B$101,0)),IFERROR(INDEX('4-4 Google Play Top100(참조)'!$D$2:$D$101,MATCH($A138,'4-4 Google Play Top100(참조)'!$B$2:$B$101,0)),"확인 불가"))</f>
        <v>전략</v>
      </c>
      <c r="C138" s="47" t="str">
        <f aca="false">IFERROR(INDEX('4-5 매출 Top100(참조)'!$E$2:$E$101,MATCH($A138,'4-5 매출 Top100(참조)'!$B$2:$B$101,0)),IFERROR(INDEX('4-4 Google Play Top100(참조)'!$E$2:$E$101,MATCH($A138,'4-4 Google Play Top100(참조)'!$B$2:$B$101,0)),"-"))</f>
        <v>4X·SLG</v>
      </c>
      <c r="D138" s="49" t="n">
        <f aca="false">INDEX('4-6 매출-다운로드 비교(참조)'!$B$6:$B$177,MATCH($A138,'4-6 매출-다운로드 비교(참조)'!$A$6:$A$177,0))</f>
        <v>61</v>
      </c>
      <c r="E138" s="49" t="str">
        <f aca="false">INDEX('4-6 매출-다운로드 비교(참조)'!$C$6:$C$177,MATCH($A138,'4-6 매출-다운로드 비교(참조)'!$A$6:$A$177,0))</f>
        <v>-</v>
      </c>
      <c r="F138" s="47" t="str">
        <f aca="false">INDEX('4-6 매출-다운로드 비교(참조)'!$H$6:$H$177,MATCH($A138,'4-6 매출-다운로드 비교(참조)'!$A$6:$A$177,0))</f>
        <v>④ 둘 다 기준 밖</v>
      </c>
      <c r="G138" s="49" t="str">
        <f aca="false">IF(OR(ISNUMBER(D138),F138="③ 다운로드만 높음"),"후보","후보 아님")</f>
        <v>후보</v>
      </c>
      <c r="H138" s="49" t="n">
        <f aca="false">IF(G138&lt;&gt;"후보","",IFERROR(INDEX($H$18:$H$54,MATCH(K138,$K$18:$K$54,0)),""))</f>
        <v>24</v>
      </c>
      <c r="I138" s="89" t="str">
        <f aca="false">IF(G138&lt;&gt;"후보","-",IFERROR(INDEX($I$18:$I$54,MATCH(K138,$K$18:$K$54,0)),"판단 보류"))</f>
        <v>2인 어려움</v>
      </c>
      <c r="J138" s="47"/>
      <c r="K138" s="47" t="str">
        <f aca="false">B138&amp;"|"&amp;C138</f>
        <v>전략|4X·SLG</v>
      </c>
    </row>
    <row r="139" customFormat="false" ht="17.15" hidden="false" customHeight="false" outlineLevel="0" collapsed="false">
      <c r="A139" s="78" t="s">
        <v>928</v>
      </c>
      <c r="B139" s="47" t="str">
        <f aca="false">IFERROR(INDEX('4-5 매출 Top100(참조)'!$D$2:$D$101,MATCH($A139,'4-5 매출 Top100(참조)'!$B$2:$B$101,0)),IFERROR(INDEX('4-4 Google Play Top100(참조)'!$D$2:$D$101,MATCH($A139,'4-4 Google Play Top100(참조)'!$B$2:$B$101,0)),"확인 불가"))</f>
        <v>RPG</v>
      </c>
      <c r="C139" s="47" t="str">
        <f aca="false">IFERROR(INDEX('4-5 매출 Top100(참조)'!$E$2:$E$101,MATCH($A139,'4-5 매출 Top100(참조)'!$B$2:$B$101,0)),IFERROR(INDEX('4-4 Google Play Top100(참조)'!$E$2:$E$101,MATCH($A139,'4-4 Google Play Top100(참조)'!$B$2:$B$101,0)),"-"))</f>
        <v>수집형(가챠) RPG</v>
      </c>
      <c r="D139" s="49" t="n">
        <f aca="false">INDEX('4-6 매출-다운로드 비교(참조)'!$B$6:$B$177,MATCH($A139,'4-6 매출-다운로드 비교(참조)'!$A$6:$A$177,0))</f>
        <v>62</v>
      </c>
      <c r="E139" s="49" t="str">
        <f aca="false">INDEX('4-6 매출-다운로드 비교(참조)'!$C$6:$C$177,MATCH($A139,'4-6 매출-다운로드 비교(참조)'!$A$6:$A$177,0))</f>
        <v>-</v>
      </c>
      <c r="F139" s="47" t="str">
        <f aca="false">INDEX('4-6 매출-다운로드 비교(참조)'!$H$6:$H$177,MATCH($A139,'4-6 매출-다운로드 비교(참조)'!$A$6:$A$177,0))</f>
        <v>④ 둘 다 기준 밖</v>
      </c>
      <c r="G139" s="49" t="str">
        <f aca="false">IF(OR(ISNUMBER(D139),F139="③ 다운로드만 높음"),"후보","후보 아님")</f>
        <v>후보</v>
      </c>
      <c r="H139" s="49" t="n">
        <f aca="false">IF(G139&lt;&gt;"후보","",IFERROR(INDEX($H$18:$H$54,MATCH(K139,$K$18:$K$54,0)),""))</f>
        <v>29</v>
      </c>
      <c r="I139" s="89" t="str">
        <f aca="false">IF(G139&lt;&gt;"후보","-",IFERROR(INDEX($I$18:$I$54,MATCH(K139,$K$18:$K$54,0)),"판단 보류"))</f>
        <v>2인 어려움</v>
      </c>
      <c r="J139" s="47"/>
      <c r="K139" s="47" t="str">
        <f aca="false">B139&amp;"|"&amp;C139</f>
        <v>RPG|수집형(가챠) RPG</v>
      </c>
    </row>
    <row r="140" customFormat="false" ht="17.15" hidden="false" customHeight="false" outlineLevel="0" collapsed="false">
      <c r="A140" s="78" t="s">
        <v>929</v>
      </c>
      <c r="B140" s="47" t="str">
        <f aca="false">IFERROR(INDEX('4-5 매출 Top100(참조)'!$D$2:$D$101,MATCH($A140,'4-5 매출 Top100(참조)'!$B$2:$B$101,0)),IFERROR(INDEX('4-4 Google Play Top100(참조)'!$D$2:$D$101,MATCH($A140,'4-4 Google Play Top100(참조)'!$B$2:$B$101,0)),"확인 불가"))</f>
        <v>카드·보드·카지노</v>
      </c>
      <c r="C140" s="47" t="str">
        <f aca="false">IFERROR(INDEX('4-5 매출 Top100(참조)'!$E$2:$E$101,MATCH($A140,'4-5 매출 Top100(참조)'!$B$2:$B$101,0)),IFERROR(INDEX('4-4 Google Play Top100(참조)'!$E$2:$E$101,MATCH($A140,'4-4 Google Play Top100(참조)'!$B$2:$B$101,0)),"-"))</f>
        <v>빙고</v>
      </c>
      <c r="D140" s="49" t="n">
        <f aca="false">INDEX('4-6 매출-다운로드 비교(참조)'!$B$6:$B$177,MATCH($A140,'4-6 매출-다운로드 비교(참조)'!$A$6:$A$177,0))</f>
        <v>63</v>
      </c>
      <c r="E140" s="49" t="str">
        <f aca="false">INDEX('4-6 매출-다운로드 비교(참조)'!$C$6:$C$177,MATCH($A140,'4-6 매출-다운로드 비교(참조)'!$A$6:$A$177,0))</f>
        <v>-</v>
      </c>
      <c r="F140" s="47" t="str">
        <f aca="false">INDEX('4-6 매출-다운로드 비교(참조)'!$H$6:$H$177,MATCH($A140,'4-6 매출-다운로드 비교(참조)'!$A$6:$A$177,0))</f>
        <v>④ 둘 다 기준 밖</v>
      </c>
      <c r="G140" s="49" t="str">
        <f aca="false">IF(OR(ISNUMBER(D140),F140="③ 다운로드만 높음"),"후보","후보 아님")</f>
        <v>후보</v>
      </c>
      <c r="H140" s="49" t="n">
        <f aca="false">IF(G140&lt;&gt;"후보","",IFERROR(INDEX($H$18:$H$54,MATCH(K140,$K$18:$K$54,0)),""))</f>
        <v>45</v>
      </c>
      <c r="I140" s="89" t="str">
        <f aca="false">IF(G140&lt;&gt;"후보","-",IFERROR(INDEX($I$18:$I$54,MATCH(K140,$K$18:$K$54,0)),"판단 보류"))</f>
        <v>2인 어려움</v>
      </c>
      <c r="J140" s="47"/>
      <c r="K140" s="47" t="str">
        <f aca="false">B140&amp;"|"&amp;C140</f>
        <v>카드·보드·카지노|빙고</v>
      </c>
    </row>
    <row r="141" customFormat="false" ht="17.15" hidden="false" customHeight="false" outlineLevel="0" collapsed="false">
      <c r="A141" s="78" t="s">
        <v>854</v>
      </c>
      <c r="B141" s="47" t="str">
        <f aca="false">IFERROR(INDEX('4-5 매출 Top100(참조)'!$D$2:$D$101,MATCH($A141,'4-5 매출 Top100(참조)'!$B$2:$B$101,0)),IFERROR(INDEX('4-4 Google Play Top100(참조)'!$D$2:$D$101,MATCH($A141,'4-4 Google Play Top100(참조)'!$B$2:$B$101,0)),"확인 불가"))</f>
        <v>퍼즐</v>
      </c>
      <c r="C141" s="47" t="str">
        <f aca="false">IFERROR(INDEX('4-5 매출 Top100(참조)'!$E$2:$E$101,MATCH($A141,'4-5 매출 Top100(참조)'!$B$2:$B$101,0)),IFERROR(INDEX('4-4 Google Play Top100(참조)'!$E$2:$E$101,MATCH($A141,'4-4 Google Play Top100(참조)'!$B$2:$B$101,0)),"-"))</f>
        <v>블록</v>
      </c>
      <c r="D141" s="49" t="n">
        <f aca="false">INDEX('4-6 매출-다운로드 비교(참조)'!$B$6:$B$177,MATCH($A141,'4-6 매출-다운로드 비교(참조)'!$A$6:$A$177,0))</f>
        <v>64</v>
      </c>
      <c r="E141" s="49" t="n">
        <f aca="false">INDEX('4-6 매출-다운로드 비교(참조)'!$C$6:$C$177,MATCH($A141,'4-6 매출-다운로드 비교(참조)'!$A$6:$A$177,0))</f>
        <v>27</v>
      </c>
      <c r="F141" s="47" t="str">
        <f aca="false">INDEX('4-6 매출-다운로드 비교(참조)'!$H$6:$H$177,MATCH($A141,'4-6 매출-다운로드 비교(참조)'!$A$6:$A$177,0))</f>
        <v>③ 다운로드만 높음</v>
      </c>
      <c r="G141" s="49" t="str">
        <f aca="false">IF(OR(ISNUMBER(D141),F141="③ 다운로드만 높음"),"후보","후보 아님")</f>
        <v>후보</v>
      </c>
      <c r="H141" s="49" t="n">
        <f aca="false">IF(G141&lt;&gt;"후보","",IFERROR(INDEX($H$18:$H$54,MATCH(K141,$K$18:$K$54,0)),""))</f>
        <v>96</v>
      </c>
      <c r="I141" s="89" t="str">
        <f aca="false">IF(G141&lt;&gt;"후보","-",IFERROR(INDEX($I$18:$I$54,MATCH(K141,$K$18:$K$54,0)),"판단 보류"))</f>
        <v>2인 가능</v>
      </c>
      <c r="J141" s="47"/>
      <c r="K141" s="47" t="str">
        <f aca="false">B141&amp;"|"&amp;C141</f>
        <v>퍼즐|블록</v>
      </c>
    </row>
    <row r="142" customFormat="false" ht="17.15" hidden="false" customHeight="false" outlineLevel="0" collapsed="false">
      <c r="A142" s="78" t="s">
        <v>930</v>
      </c>
      <c r="B142" s="47" t="str">
        <f aca="false">IFERROR(INDEX('4-5 매출 Top100(참조)'!$D$2:$D$101,MATCH($A142,'4-5 매출 Top100(참조)'!$B$2:$B$101,0)),IFERROR(INDEX('4-4 Google Play Top100(참조)'!$D$2:$D$101,MATCH($A142,'4-4 Google Play Top100(참조)'!$B$2:$B$101,0)),"확인 불가"))</f>
        <v>퍼즐</v>
      </c>
      <c r="C142" s="47" t="str">
        <f aca="false">IFERROR(INDEX('4-5 매출 Top100(참조)'!$E$2:$E$101,MATCH($A142,'4-5 매출 Top100(참조)'!$B$2:$B$101,0)),IFERROR(INDEX('4-4 Google Play Top100(참조)'!$E$2:$E$101,MATCH($A142,'4-4 Google Play Top100(참조)'!$B$2:$B$101,0)),"-"))</f>
        <v>픽셀·컬러 아트</v>
      </c>
      <c r="D142" s="49" t="n">
        <f aca="false">INDEX('4-6 매출-다운로드 비교(참조)'!$B$6:$B$177,MATCH($A142,'4-6 매출-다운로드 비교(참조)'!$A$6:$A$177,0))</f>
        <v>66</v>
      </c>
      <c r="E142" s="49" t="n">
        <f aca="false">INDEX('4-6 매출-다운로드 비교(참조)'!$C$6:$C$177,MATCH($A142,'4-6 매출-다운로드 비교(참조)'!$A$6:$A$177,0))</f>
        <v>21</v>
      </c>
      <c r="F142" s="47" t="str">
        <f aca="false">INDEX('4-6 매출-다운로드 비교(참조)'!$H$6:$H$177,MATCH($A142,'4-6 매출-다운로드 비교(참조)'!$A$6:$A$177,0))</f>
        <v>③ 다운로드만 높음</v>
      </c>
      <c r="G142" s="49" t="str">
        <f aca="false">IF(OR(ISNUMBER(D142),F142="③ 다운로드만 높음"),"후보","후보 아님")</f>
        <v>후보</v>
      </c>
      <c r="H142" s="49" t="n">
        <f aca="false">IF(G142&lt;&gt;"후보","",IFERROR(INDEX($H$18:$H$54,MATCH(K142,$K$18:$K$54,0)),""))</f>
        <v>83</v>
      </c>
      <c r="I142" s="89" t="str">
        <f aca="false">IF(G142&lt;&gt;"후보","-",IFERROR(INDEX($I$18:$I$54,MATCH(K142,$K$18:$K$54,0)),"판단 보류"))</f>
        <v>2인 가능</v>
      </c>
      <c r="J142" s="47"/>
      <c r="K142" s="47" t="str">
        <f aca="false">B142&amp;"|"&amp;C142</f>
        <v>퍼즐|픽셀·컬러 아트</v>
      </c>
    </row>
    <row r="143" customFormat="false" ht="17.15" hidden="false" customHeight="false" outlineLevel="0" collapsed="false">
      <c r="A143" s="78" t="s">
        <v>434</v>
      </c>
      <c r="B143" s="47" t="str">
        <f aca="false">IFERROR(INDEX('4-5 매출 Top100(참조)'!$D$2:$D$101,MATCH($A143,'4-5 매출 Top100(참조)'!$B$2:$B$101,0)),IFERROR(INDEX('4-4 Google Play Top100(참조)'!$D$2:$D$101,MATCH($A143,'4-4 Google Play Top100(참조)'!$B$2:$B$101,0)),"확인 불가"))</f>
        <v>액션·슈팅</v>
      </c>
      <c r="C143" s="47" t="str">
        <f aca="false">IFERROR(INDEX('4-5 매출 Top100(참조)'!$E$2:$E$101,MATCH($A143,'4-5 매출 Top100(참조)'!$B$2:$B$101,0)),IFERROR(INDEX('4-4 Google Play Top100(참조)'!$E$2:$E$101,MATCH($A143,'4-4 Google Play Top100(참조)'!$B$2:$B$101,0)),"-"))</f>
        <v>팀 대전 슈터</v>
      </c>
      <c r="D143" s="49" t="n">
        <f aca="false">INDEX('4-6 매출-다운로드 비교(참조)'!$B$6:$B$177,MATCH($A143,'4-6 매출-다운로드 비교(참조)'!$A$6:$A$177,0))</f>
        <v>67</v>
      </c>
      <c r="E143" s="49" t="str">
        <f aca="false">INDEX('4-6 매출-다운로드 비교(참조)'!$C$6:$C$177,MATCH($A143,'4-6 매출-다운로드 비교(참조)'!$A$6:$A$177,0))</f>
        <v>-</v>
      </c>
      <c r="F143" s="47" t="str">
        <f aca="false">INDEX('4-6 매출-다운로드 비교(참조)'!$H$6:$H$177,MATCH($A143,'4-6 매출-다운로드 비교(참조)'!$A$6:$A$177,0))</f>
        <v>④ 둘 다 기준 밖</v>
      </c>
      <c r="G143" s="49" t="str">
        <f aca="false">IF(OR(ISNUMBER(D143),F143="③ 다운로드만 높음"),"후보","후보 아님")</f>
        <v>후보</v>
      </c>
      <c r="H143" s="49" t="n">
        <f aca="false">IF(G143&lt;&gt;"후보","",IFERROR(INDEX($H$18:$H$54,MATCH(K143,$K$18:$K$54,0)),""))</f>
        <v>26</v>
      </c>
      <c r="I143" s="89" t="str">
        <f aca="false">IF(G143&lt;&gt;"후보","-",IFERROR(INDEX($I$18:$I$54,MATCH(K143,$K$18:$K$54,0)),"판단 보류"))</f>
        <v>2인 어려움</v>
      </c>
      <c r="J143" s="47"/>
      <c r="K143" s="47" t="str">
        <f aca="false">B143&amp;"|"&amp;C143</f>
        <v>액션·슈팅|팀 대전 슈터</v>
      </c>
    </row>
    <row r="144" customFormat="false" ht="17.15" hidden="false" customHeight="false" outlineLevel="0" collapsed="false">
      <c r="A144" s="78" t="s">
        <v>931</v>
      </c>
      <c r="B144" s="47" t="str">
        <f aca="false">IFERROR(INDEX('4-5 매출 Top100(참조)'!$D$2:$D$101,MATCH($A144,'4-5 매출 Top100(참조)'!$B$2:$B$101,0)),IFERROR(INDEX('4-4 Google Play Top100(참조)'!$D$2:$D$101,MATCH($A144,'4-4 Google Play Top100(참조)'!$B$2:$B$101,0)),"확인 불가"))</f>
        <v>전략</v>
      </c>
      <c r="C144" s="47" t="str">
        <f aca="false">IFERROR(INDEX('4-5 매출 Top100(참조)'!$E$2:$E$101,MATCH($A144,'4-5 매출 Top100(참조)'!$B$2:$B$101,0)),IFERROR(INDEX('4-4 Google Play Top100(참조)'!$E$2:$E$101,MATCH($A144,'4-4 Google Play Top100(참조)'!$B$2:$B$101,0)),"-"))</f>
        <v>4X·SLG</v>
      </c>
      <c r="D144" s="49" t="n">
        <f aca="false">INDEX('4-6 매출-다운로드 비교(참조)'!$B$6:$B$177,MATCH($A144,'4-6 매출-다운로드 비교(참조)'!$A$6:$A$177,0))</f>
        <v>68</v>
      </c>
      <c r="E144" s="49" t="n">
        <f aca="false">INDEX('4-6 매출-다운로드 비교(참조)'!$C$6:$C$177,MATCH($A144,'4-6 매출-다운로드 비교(참조)'!$A$6:$A$177,0))</f>
        <v>87</v>
      </c>
      <c r="F144" s="47" t="str">
        <f aca="false">INDEX('4-6 매출-다운로드 비교(참조)'!$H$6:$H$177,MATCH($A144,'4-6 매출-다운로드 비교(참조)'!$A$6:$A$177,0))</f>
        <v>④ 둘 다 기준 밖</v>
      </c>
      <c r="G144" s="49" t="str">
        <f aca="false">IF(OR(ISNUMBER(D144),F144="③ 다운로드만 높음"),"후보","후보 아님")</f>
        <v>후보</v>
      </c>
      <c r="H144" s="49" t="n">
        <f aca="false">IF(G144&lt;&gt;"후보","",IFERROR(INDEX($H$18:$H$54,MATCH(K144,$K$18:$K$54,0)),""))</f>
        <v>24</v>
      </c>
      <c r="I144" s="89" t="str">
        <f aca="false">IF(G144&lt;&gt;"후보","-",IFERROR(INDEX($I$18:$I$54,MATCH(K144,$K$18:$K$54,0)),"판단 보류"))</f>
        <v>2인 어려움</v>
      </c>
      <c r="J144" s="47"/>
      <c r="K144" s="47" t="str">
        <f aca="false">B144&amp;"|"&amp;C144</f>
        <v>전략|4X·SLG</v>
      </c>
    </row>
    <row r="145" customFormat="false" ht="17.15" hidden="false" customHeight="false" outlineLevel="0" collapsed="false">
      <c r="A145" s="78" t="s">
        <v>932</v>
      </c>
      <c r="B145" s="47" t="str">
        <f aca="false">IFERROR(INDEX('4-5 매출 Top100(참조)'!$D$2:$D$101,MATCH($A145,'4-5 매출 Top100(참조)'!$B$2:$B$101,0)),IFERROR(INDEX('4-4 Google Play Top100(참조)'!$D$2:$D$101,MATCH($A145,'4-4 Google Play Top100(참조)'!$B$2:$B$101,0)),"확인 불가"))</f>
        <v>스포츠</v>
      </c>
      <c r="C145" s="47" t="str">
        <f aca="false">IFERROR(INDEX('4-5 매출 Top100(참조)'!$E$2:$E$101,MATCH($A145,'4-5 매출 Top100(참조)'!$B$2:$B$101,0)),IFERROR(INDEX('4-4 Google Play Top100(참조)'!$E$2:$E$101,MATCH($A145,'4-4 Google Play Top100(참조)'!$B$2:$B$101,0)),"-"))</f>
        <v>축구</v>
      </c>
      <c r="D145" s="49" t="n">
        <f aca="false">INDEX('4-6 매출-다운로드 비교(참조)'!$B$6:$B$177,MATCH($A145,'4-6 매출-다운로드 비교(참조)'!$A$6:$A$177,0))</f>
        <v>69</v>
      </c>
      <c r="E145" s="49" t="str">
        <f aca="false">INDEX('4-6 매출-다운로드 비교(참조)'!$C$6:$C$177,MATCH($A145,'4-6 매출-다운로드 비교(참조)'!$A$6:$A$177,0))</f>
        <v>-</v>
      </c>
      <c r="F145" s="47" t="str">
        <f aca="false">INDEX('4-6 매출-다운로드 비교(참조)'!$H$6:$H$177,MATCH($A145,'4-6 매출-다운로드 비교(참조)'!$A$6:$A$177,0))</f>
        <v>④ 둘 다 기준 밖</v>
      </c>
      <c r="G145" s="49" t="str">
        <f aca="false">IF(OR(ISNUMBER(D145),F145="③ 다운로드만 높음"),"후보","후보 아님")</f>
        <v>후보</v>
      </c>
      <c r="H145" s="49" t="n">
        <f aca="false">IF(G145&lt;&gt;"후보","",IFERROR(INDEX($H$18:$H$54,MATCH(K145,$K$18:$K$54,0)),""))</f>
        <v>30</v>
      </c>
      <c r="I145" s="89" t="str">
        <f aca="false">IF(G145&lt;&gt;"후보","-",IFERROR(INDEX($I$18:$I$54,MATCH(K145,$K$18:$K$54,0)),"판단 보류"))</f>
        <v>2인 어려움</v>
      </c>
      <c r="J145" s="47"/>
      <c r="K145" s="47" t="str">
        <f aca="false">B145&amp;"|"&amp;C145</f>
        <v>스포츠|축구</v>
      </c>
    </row>
    <row r="146" customFormat="false" ht="17.15" hidden="false" customHeight="false" outlineLevel="0" collapsed="false">
      <c r="A146" s="78" t="s">
        <v>860</v>
      </c>
      <c r="B146" s="47" t="str">
        <f aca="false">IFERROR(INDEX('4-5 매출 Top100(참조)'!$D$2:$D$101,MATCH($A146,'4-5 매출 Top100(참조)'!$B$2:$B$101,0)),IFERROR(INDEX('4-4 Google Play Top100(참조)'!$D$2:$D$101,MATCH($A146,'4-4 Google Play Top100(참조)'!$B$2:$B$101,0)),"확인 불가"))</f>
        <v>하이퍼·하이브리드 캐주얼</v>
      </c>
      <c r="C146" s="47" t="str">
        <f aca="false">IFERROR(INDEX('4-5 매출 Top100(참조)'!$E$2:$E$101,MATCH($A146,'4-5 매출 Top100(참조)'!$B$2:$B$101,0)),IFERROR(INDEX('4-4 Google Play Top100(참조)'!$E$2:$E$101,MATCH($A146,'4-4 Google Play Top100(참조)'!$B$2:$B$101,0)),"-"))</f>
        <v>물리 파괴</v>
      </c>
      <c r="D146" s="49" t="n">
        <f aca="false">INDEX('4-6 매출-다운로드 비교(참조)'!$B$6:$B$177,MATCH($A146,'4-6 매출-다운로드 비교(참조)'!$A$6:$A$177,0))</f>
        <v>70</v>
      </c>
      <c r="E146" s="49" t="n">
        <f aca="false">INDEX('4-6 매출-다운로드 비교(참조)'!$C$6:$C$177,MATCH($A146,'4-6 매출-다운로드 비교(참조)'!$A$6:$A$177,0))</f>
        <v>9</v>
      </c>
      <c r="F146" s="47" t="str">
        <f aca="false">INDEX('4-6 매출-다운로드 비교(참조)'!$H$6:$H$177,MATCH($A146,'4-6 매출-다운로드 비교(참조)'!$A$6:$A$177,0))</f>
        <v>③ 다운로드만 높음</v>
      </c>
      <c r="G146" s="49" t="str">
        <f aca="false">IF(OR(ISNUMBER(D146),F146="③ 다운로드만 높음"),"후보","후보 아님")</f>
        <v>후보</v>
      </c>
      <c r="H146" s="49" t="n">
        <f aca="false">IF(G146&lt;&gt;"후보","",IFERROR(INDEX($H$18:$H$54,MATCH(K146,$K$18:$K$54,0)),""))</f>
        <v>79</v>
      </c>
      <c r="I146" s="89" t="str">
        <f aca="false">IF(G146&lt;&gt;"후보","-",IFERROR(INDEX($I$18:$I$54,MATCH(K146,$K$18:$K$54,0)),"판단 보류"))</f>
        <v>2인 가능</v>
      </c>
      <c r="J146" s="47"/>
      <c r="K146" s="47" t="str">
        <f aca="false">B146&amp;"|"&amp;C146</f>
        <v>하이퍼·하이브리드 캐주얼|물리 파괴</v>
      </c>
    </row>
    <row r="147" customFormat="false" ht="17.15" hidden="false" customHeight="false" outlineLevel="0" collapsed="false">
      <c r="A147" s="78" t="s">
        <v>933</v>
      </c>
      <c r="B147" s="47" t="str">
        <f aca="false">IFERROR(INDEX('4-5 매출 Top100(참조)'!$D$2:$D$101,MATCH($A147,'4-5 매출 Top100(참조)'!$B$2:$B$101,0)),IFERROR(INDEX('4-4 Google Play Top100(참조)'!$D$2:$D$101,MATCH($A147,'4-4 Google Play Top100(참조)'!$B$2:$B$101,0)),"확인 불가"))</f>
        <v>시뮬레이션</v>
      </c>
      <c r="C147" s="47" t="str">
        <f aca="false">IFERROR(INDEX('4-5 매출 Top100(참조)'!$E$2:$E$101,MATCH($A147,'4-5 매출 Top100(참조)'!$B$2:$B$101,0)),IFERROR(INDEX('4-4 Google Play Top100(참조)'!$E$2:$E$101,MATCH($A147,'4-4 Google Play Top100(참조)'!$B$2:$B$101,0)),"-"))</f>
        <v>샌드박스</v>
      </c>
      <c r="D147" s="49" t="n">
        <f aca="false">INDEX('4-6 매출-다운로드 비교(참조)'!$B$6:$B$177,MATCH($A147,'4-6 매출-다운로드 비교(참조)'!$A$6:$A$177,0))</f>
        <v>71</v>
      </c>
      <c r="E147" s="49" t="str">
        <f aca="false">INDEX('4-6 매출-다운로드 비교(참조)'!$C$6:$C$177,MATCH($A147,'4-6 매출-다운로드 비교(참조)'!$A$6:$A$177,0))</f>
        <v>-</v>
      </c>
      <c r="F147" s="47" t="str">
        <f aca="false">INDEX('4-6 매출-다운로드 비교(참조)'!$H$6:$H$177,MATCH($A147,'4-6 매출-다운로드 비교(참조)'!$A$6:$A$177,0))</f>
        <v>④ 둘 다 기준 밖</v>
      </c>
      <c r="G147" s="49" t="str">
        <f aca="false">IF(OR(ISNUMBER(D147),F147="③ 다운로드만 높음"),"후보","후보 아님")</f>
        <v>후보</v>
      </c>
      <c r="H147" s="49" t="n">
        <f aca="false">IF(G147&lt;&gt;"후보","",IFERROR(INDEX($H$18:$H$54,MATCH(K147,$K$18:$K$54,0)),""))</f>
        <v>67</v>
      </c>
      <c r="I147" s="89" t="str">
        <f aca="false">IF(G147&lt;&gt;"후보","-",IFERROR(INDEX($I$18:$I$54,MATCH(K147,$K$18:$K$54,0)),"판단 보류"))</f>
        <v>조건부 (범위를 줄이면)</v>
      </c>
      <c r="J147" s="47"/>
      <c r="K147" s="47" t="str">
        <f aca="false">B147&amp;"|"&amp;C147</f>
        <v>시뮬레이션|샌드박스</v>
      </c>
    </row>
    <row r="148" customFormat="false" ht="17.15" hidden="false" customHeight="false" outlineLevel="0" collapsed="false">
      <c r="A148" s="78" t="s">
        <v>934</v>
      </c>
      <c r="B148" s="47" t="str">
        <f aca="false">IFERROR(INDEX('4-5 매출 Top100(참조)'!$D$2:$D$101,MATCH($A148,'4-5 매출 Top100(참조)'!$B$2:$B$101,0)),IFERROR(INDEX('4-4 Google Play Top100(참조)'!$D$2:$D$101,MATCH($A148,'4-4 Google Play Top100(참조)'!$B$2:$B$101,0)),"확인 불가"))</f>
        <v>퍼즐</v>
      </c>
      <c r="C148" s="47" t="str">
        <f aca="false">IFERROR(INDEX('4-5 매출 Top100(참조)'!$E$2:$E$101,MATCH($A148,'4-5 매출 Top100(참조)'!$B$2:$B$101,0)),IFERROR(INDEX('4-4 Google Play Top100(참조)'!$E$2:$E$101,MATCH($A148,'4-4 Google Play Top100(참조)'!$B$2:$B$101,0)),"-"))</f>
        <v>머지</v>
      </c>
      <c r="D148" s="49" t="n">
        <f aca="false">INDEX('4-6 매출-다운로드 비교(참조)'!$B$6:$B$177,MATCH($A148,'4-6 매출-다운로드 비교(참조)'!$A$6:$A$177,0))</f>
        <v>72</v>
      </c>
      <c r="E148" s="49" t="str">
        <f aca="false">INDEX('4-6 매출-다운로드 비교(참조)'!$C$6:$C$177,MATCH($A148,'4-6 매출-다운로드 비교(참조)'!$A$6:$A$177,0))</f>
        <v>-</v>
      </c>
      <c r="F148" s="47" t="str">
        <f aca="false">INDEX('4-6 매출-다운로드 비교(참조)'!$H$6:$H$177,MATCH($A148,'4-6 매출-다운로드 비교(참조)'!$A$6:$A$177,0))</f>
        <v>④ 둘 다 기준 밖</v>
      </c>
      <c r="G148" s="49" t="str">
        <f aca="false">IF(OR(ISNUMBER(D148),F148="③ 다운로드만 높음"),"후보","후보 아님")</f>
        <v>후보</v>
      </c>
      <c r="H148" s="49" t="n">
        <f aca="false">IF(G148&lt;&gt;"후보","",IFERROR(INDEX($H$18:$H$54,MATCH(K148,$K$18:$K$54,0)),""))</f>
        <v>56</v>
      </c>
      <c r="I148" s="89" t="str">
        <f aca="false">IF(G148&lt;&gt;"후보","-",IFERROR(INDEX($I$18:$I$54,MATCH(K148,$K$18:$K$54,0)),"판단 보류"))</f>
        <v>조건부 (범위를 줄이면)</v>
      </c>
      <c r="J148" s="47"/>
      <c r="K148" s="47" t="str">
        <f aca="false">B148&amp;"|"&amp;C148</f>
        <v>퍼즐|머지</v>
      </c>
    </row>
    <row r="149" customFormat="false" ht="17.15" hidden="false" customHeight="false" outlineLevel="0" collapsed="false">
      <c r="A149" s="78" t="s">
        <v>935</v>
      </c>
      <c r="B149" s="47" t="str">
        <f aca="false">IFERROR(INDEX('4-5 매출 Top100(참조)'!$D$2:$D$101,MATCH($A149,'4-5 매출 Top100(참조)'!$B$2:$B$101,0)),IFERROR(INDEX('4-4 Google Play Top100(참조)'!$D$2:$D$101,MATCH($A149,'4-4 Google Play Top100(참조)'!$B$2:$B$101,0)),"확인 불가"))</f>
        <v>확인 불가</v>
      </c>
      <c r="C149" s="47" t="str">
        <f aca="false">IFERROR(INDEX('4-5 매출 Top100(참조)'!$E$2:$E$101,MATCH($A149,'4-5 매출 Top100(참조)'!$B$2:$B$101,0)),IFERROR(INDEX('4-4 Google Play Top100(참조)'!$E$2:$E$101,MATCH($A149,'4-4 Google Play Top100(참조)'!$B$2:$B$101,0)),"-"))</f>
        <v>-</v>
      </c>
      <c r="D149" s="49" t="n">
        <f aca="false">INDEX('4-6 매출-다운로드 비교(참조)'!$B$6:$B$177,MATCH($A149,'4-6 매출-다운로드 비교(참조)'!$A$6:$A$177,0))</f>
        <v>73</v>
      </c>
      <c r="E149" s="49" t="str">
        <f aca="false">INDEX('4-6 매출-다운로드 비교(참조)'!$C$6:$C$177,MATCH($A149,'4-6 매출-다운로드 비교(참조)'!$A$6:$A$177,0))</f>
        <v>-</v>
      </c>
      <c r="F149" s="47" t="str">
        <f aca="false">INDEX('4-6 매출-다운로드 비교(참조)'!$H$6:$H$177,MATCH($A149,'4-6 매출-다운로드 비교(참조)'!$A$6:$A$177,0))</f>
        <v>④ 둘 다 기준 밖</v>
      </c>
      <c r="G149" s="49" t="str">
        <f aca="false">IF(OR(ISNUMBER(D149),F149="③ 다운로드만 높음"),"후보","후보 아님")</f>
        <v>후보</v>
      </c>
      <c r="H149" s="49" t="str">
        <f aca="false">IF(G149&lt;&gt;"후보","",IFERROR(INDEX($H$18:$H$54,MATCH(K149,$K$18:$K$54,0)),""))</f>
        <v/>
      </c>
      <c r="I149" s="89" t="str">
        <f aca="false">IF(G149&lt;&gt;"후보","-",IFERROR(INDEX($I$18:$I$54,MATCH(K149,$K$18:$K$54,0)),"판단 보류"))</f>
        <v>판단 보류</v>
      </c>
      <c r="J149" s="47"/>
      <c r="K149" s="47" t="str">
        <f aca="false">B149&amp;"|"&amp;C149</f>
        <v>확인 불가|-</v>
      </c>
    </row>
    <row r="150" customFormat="false" ht="17.15" hidden="false" customHeight="false" outlineLevel="0" collapsed="false">
      <c r="A150" s="78" t="s">
        <v>936</v>
      </c>
      <c r="B150" s="47" t="str">
        <f aca="false">IFERROR(INDEX('4-5 매출 Top100(참조)'!$D$2:$D$101,MATCH($A150,'4-5 매출 Top100(참조)'!$B$2:$B$101,0)),IFERROR(INDEX('4-4 Google Play Top100(참조)'!$D$2:$D$101,MATCH($A150,'4-4 Google Play Top100(참조)'!$B$2:$B$101,0)),"확인 불가"))</f>
        <v>RPG</v>
      </c>
      <c r="C150" s="47" t="str">
        <f aca="false">IFERROR(INDEX('4-5 매출 Top100(참조)'!$E$2:$E$101,MATCH($A150,'4-5 매출 Top100(참조)'!$B$2:$B$101,0)),IFERROR(INDEX('4-4 Google Play Top100(참조)'!$E$2:$E$101,MATCH($A150,'4-4 Google Play Top100(참조)'!$B$2:$B$101,0)),"-"))</f>
        <v>수집형(가챠) RPG</v>
      </c>
      <c r="D150" s="49" t="n">
        <f aca="false">INDEX('4-6 매출-다운로드 비교(참조)'!$B$6:$B$177,MATCH($A150,'4-6 매출-다운로드 비교(참조)'!$A$6:$A$177,0))</f>
        <v>74</v>
      </c>
      <c r="E150" s="49" t="str">
        <f aca="false">INDEX('4-6 매출-다운로드 비교(참조)'!$C$6:$C$177,MATCH($A150,'4-6 매출-다운로드 비교(참조)'!$A$6:$A$177,0))</f>
        <v>-</v>
      </c>
      <c r="F150" s="47" t="str">
        <f aca="false">INDEX('4-6 매출-다운로드 비교(참조)'!$H$6:$H$177,MATCH($A150,'4-6 매출-다운로드 비교(참조)'!$A$6:$A$177,0))</f>
        <v>④ 둘 다 기준 밖</v>
      </c>
      <c r="G150" s="49" t="str">
        <f aca="false">IF(OR(ISNUMBER(D150),F150="③ 다운로드만 높음"),"후보","후보 아님")</f>
        <v>후보</v>
      </c>
      <c r="H150" s="49" t="n">
        <f aca="false">IF(G150&lt;&gt;"후보","",IFERROR(INDEX($H$18:$H$54,MATCH(K150,$K$18:$K$54,0)),""))</f>
        <v>29</v>
      </c>
      <c r="I150" s="89" t="str">
        <f aca="false">IF(G150&lt;&gt;"후보","-",IFERROR(INDEX($I$18:$I$54,MATCH(K150,$K$18:$K$54,0)),"판단 보류"))</f>
        <v>2인 어려움</v>
      </c>
      <c r="J150" s="47"/>
      <c r="K150" s="47" t="str">
        <f aca="false">B150&amp;"|"&amp;C150</f>
        <v>RPG|수집형(가챠) RPG</v>
      </c>
    </row>
    <row r="151" customFormat="false" ht="17.15" hidden="false" customHeight="false" outlineLevel="0" collapsed="false">
      <c r="A151" s="78" t="s">
        <v>937</v>
      </c>
      <c r="B151" s="47" t="str">
        <f aca="false">IFERROR(INDEX('4-5 매출 Top100(참조)'!$D$2:$D$101,MATCH($A151,'4-5 매출 Top100(참조)'!$B$2:$B$101,0)),IFERROR(INDEX('4-4 Google Play Top100(참조)'!$D$2:$D$101,MATCH($A151,'4-4 Google Play Top100(참조)'!$B$2:$B$101,0)),"확인 불가"))</f>
        <v>스포츠</v>
      </c>
      <c r="C151" s="47" t="str">
        <f aca="false">IFERROR(INDEX('4-5 매출 Top100(참조)'!$E$2:$E$101,MATCH($A151,'4-5 매출 Top100(참조)'!$B$2:$B$101,0)),IFERROR(INDEX('4-4 Google Play Top100(참조)'!$E$2:$E$101,MATCH($A151,'4-4 Google Play Top100(참조)'!$B$2:$B$101,0)),"-"))</f>
        <v>골프</v>
      </c>
      <c r="D151" s="49" t="n">
        <f aca="false">INDEX('4-6 매출-다운로드 비교(참조)'!$B$6:$B$177,MATCH($A151,'4-6 매출-다운로드 비교(참조)'!$A$6:$A$177,0))</f>
        <v>75</v>
      </c>
      <c r="E151" s="49" t="str">
        <f aca="false">INDEX('4-6 매출-다운로드 비교(참조)'!$C$6:$C$177,MATCH($A151,'4-6 매출-다운로드 비교(참조)'!$A$6:$A$177,0))</f>
        <v>-</v>
      </c>
      <c r="F151" s="47" t="str">
        <f aca="false">INDEX('4-6 매출-다운로드 비교(참조)'!$H$6:$H$177,MATCH($A151,'4-6 매출-다운로드 비교(참조)'!$A$6:$A$177,0))</f>
        <v>④ 둘 다 기준 밖</v>
      </c>
      <c r="G151" s="49" t="str">
        <f aca="false">IF(OR(ISNUMBER(D151),F151="③ 다운로드만 높음"),"후보","후보 아님")</f>
        <v>후보</v>
      </c>
      <c r="H151" s="49" t="n">
        <f aca="false">IF(G151&lt;&gt;"후보","",IFERROR(INDEX($H$18:$H$54,MATCH(K151,$K$18:$K$54,0)),""))</f>
        <v>51</v>
      </c>
      <c r="I151" s="89" t="str">
        <f aca="false">IF(G151&lt;&gt;"후보","-",IFERROR(INDEX($I$18:$I$54,MATCH(K151,$K$18:$K$54,0)),"판단 보류"))</f>
        <v>조건부 (범위를 줄이면)</v>
      </c>
      <c r="J151" s="47"/>
      <c r="K151" s="47" t="str">
        <f aca="false">B151&amp;"|"&amp;C151</f>
        <v>스포츠|골프</v>
      </c>
    </row>
    <row r="152" customFormat="false" ht="17.15" hidden="false" customHeight="false" outlineLevel="0" collapsed="false">
      <c r="A152" s="78" t="s">
        <v>938</v>
      </c>
      <c r="B152" s="47" t="str">
        <f aca="false">IFERROR(INDEX('4-5 매출 Top100(참조)'!$D$2:$D$101,MATCH($A152,'4-5 매출 Top100(참조)'!$B$2:$B$101,0)),IFERROR(INDEX('4-4 Google Play Top100(참조)'!$D$2:$D$101,MATCH($A152,'4-4 Google Play Top100(참조)'!$B$2:$B$101,0)),"확인 불가"))</f>
        <v>카드·보드·카지노</v>
      </c>
      <c r="C152" s="47" t="str">
        <f aca="false">IFERROR(INDEX('4-5 매출 Top100(참조)'!$E$2:$E$101,MATCH($A152,'4-5 매출 Top100(참조)'!$B$2:$B$101,0)),IFERROR(INDEX('4-4 Google Play Top100(참조)'!$E$2:$E$101,MATCH($A152,'4-4 Google Play Top100(참조)'!$B$2:$B$101,0)),"-"))</f>
        <v>빙고</v>
      </c>
      <c r="D152" s="49" t="n">
        <f aca="false">INDEX('4-6 매출-다운로드 비교(참조)'!$B$6:$B$177,MATCH($A152,'4-6 매출-다운로드 비교(참조)'!$A$6:$A$177,0))</f>
        <v>76</v>
      </c>
      <c r="E152" s="49" t="str">
        <f aca="false">INDEX('4-6 매출-다운로드 비교(참조)'!$C$6:$C$177,MATCH($A152,'4-6 매출-다운로드 비교(참조)'!$A$6:$A$177,0))</f>
        <v>-</v>
      </c>
      <c r="F152" s="47" t="str">
        <f aca="false">INDEX('4-6 매출-다운로드 비교(참조)'!$H$6:$H$177,MATCH($A152,'4-6 매출-다운로드 비교(참조)'!$A$6:$A$177,0))</f>
        <v>④ 둘 다 기준 밖</v>
      </c>
      <c r="G152" s="49" t="str">
        <f aca="false">IF(OR(ISNUMBER(D152),F152="③ 다운로드만 높음"),"후보","후보 아님")</f>
        <v>후보</v>
      </c>
      <c r="H152" s="49" t="n">
        <f aca="false">IF(G152&lt;&gt;"후보","",IFERROR(INDEX($H$18:$H$54,MATCH(K152,$K$18:$K$54,0)),""))</f>
        <v>45</v>
      </c>
      <c r="I152" s="89" t="str">
        <f aca="false">IF(G152&lt;&gt;"후보","-",IFERROR(INDEX($I$18:$I$54,MATCH(K152,$K$18:$K$54,0)),"판단 보류"))</f>
        <v>2인 어려움</v>
      </c>
      <c r="J152" s="47"/>
      <c r="K152" s="47" t="str">
        <f aca="false">B152&amp;"|"&amp;C152</f>
        <v>카드·보드·카지노|빙고</v>
      </c>
    </row>
    <row r="153" customFormat="false" ht="17.15" hidden="false" customHeight="false" outlineLevel="0" collapsed="false">
      <c r="A153" s="78" t="s">
        <v>939</v>
      </c>
      <c r="B153" s="47" t="str">
        <f aca="false">IFERROR(INDEX('4-5 매출 Top100(참조)'!$D$2:$D$101,MATCH($A153,'4-5 매출 Top100(참조)'!$B$2:$B$101,0)),IFERROR(INDEX('4-4 Google Play Top100(참조)'!$D$2:$D$101,MATCH($A153,'4-4 Google Play Top100(참조)'!$B$2:$B$101,0)),"확인 불가"))</f>
        <v>확인 불가</v>
      </c>
      <c r="C153" s="47" t="str">
        <f aca="false">IFERROR(INDEX('4-5 매출 Top100(참조)'!$E$2:$E$101,MATCH($A153,'4-5 매출 Top100(참조)'!$B$2:$B$101,0)),IFERROR(INDEX('4-4 Google Play Top100(참조)'!$E$2:$E$101,MATCH($A153,'4-4 Google Play Top100(참조)'!$B$2:$B$101,0)),"-"))</f>
        <v>-</v>
      </c>
      <c r="D153" s="49" t="n">
        <f aca="false">INDEX('4-6 매출-다운로드 비교(참조)'!$B$6:$B$177,MATCH($A153,'4-6 매출-다운로드 비교(참조)'!$A$6:$A$177,0))</f>
        <v>77</v>
      </c>
      <c r="E153" s="49" t="str">
        <f aca="false">INDEX('4-6 매출-다운로드 비교(참조)'!$C$6:$C$177,MATCH($A153,'4-6 매출-다운로드 비교(참조)'!$A$6:$A$177,0))</f>
        <v>-</v>
      </c>
      <c r="F153" s="47" t="str">
        <f aca="false">INDEX('4-6 매출-다운로드 비교(참조)'!$H$6:$H$177,MATCH($A153,'4-6 매출-다운로드 비교(참조)'!$A$6:$A$177,0))</f>
        <v>④ 둘 다 기준 밖</v>
      </c>
      <c r="G153" s="49" t="str">
        <f aca="false">IF(OR(ISNUMBER(D153),F153="③ 다운로드만 높음"),"후보","후보 아님")</f>
        <v>후보</v>
      </c>
      <c r="H153" s="49" t="str">
        <f aca="false">IF(G153&lt;&gt;"후보","",IFERROR(INDEX($H$18:$H$54,MATCH(K153,$K$18:$K$54,0)),""))</f>
        <v/>
      </c>
      <c r="I153" s="89" t="str">
        <f aca="false">IF(G153&lt;&gt;"후보","-",IFERROR(INDEX($I$18:$I$54,MATCH(K153,$K$18:$K$54,0)),"판단 보류"))</f>
        <v>판단 보류</v>
      </c>
      <c r="J153" s="47"/>
      <c r="K153" s="47" t="str">
        <f aca="false">B153&amp;"|"&amp;C153</f>
        <v>확인 불가|-</v>
      </c>
    </row>
    <row r="154" customFormat="false" ht="17.15" hidden="false" customHeight="false" outlineLevel="0" collapsed="false">
      <c r="A154" s="78" t="s">
        <v>940</v>
      </c>
      <c r="B154" s="47" t="str">
        <f aca="false">IFERROR(INDEX('4-5 매출 Top100(참조)'!$D$2:$D$101,MATCH($A154,'4-5 매출 Top100(참조)'!$B$2:$B$101,0)),IFERROR(INDEX('4-4 Google Play Top100(참조)'!$D$2:$D$101,MATCH($A154,'4-4 Google Play Top100(참조)'!$B$2:$B$101,0)),"확인 불가"))</f>
        <v>카드·보드·카지노</v>
      </c>
      <c r="C154" s="47" t="str">
        <f aca="false">IFERROR(INDEX('4-5 매출 Top100(참조)'!$E$2:$E$101,MATCH($A154,'4-5 매출 Top100(참조)'!$B$2:$B$101,0)),IFERROR(INDEX('4-4 Google Play Top100(참조)'!$E$2:$E$101,MATCH($A154,'4-4 Google Play Top100(참조)'!$B$2:$B$101,0)),"-"))</f>
        <v>포커</v>
      </c>
      <c r="D154" s="49" t="n">
        <f aca="false">INDEX('4-6 매출-다운로드 비교(참조)'!$B$6:$B$177,MATCH($A154,'4-6 매출-다운로드 비교(참조)'!$A$6:$A$177,0))</f>
        <v>78</v>
      </c>
      <c r="E154" s="49" t="str">
        <f aca="false">INDEX('4-6 매출-다운로드 비교(참조)'!$C$6:$C$177,MATCH($A154,'4-6 매출-다운로드 비교(참조)'!$A$6:$A$177,0))</f>
        <v>-</v>
      </c>
      <c r="F154" s="47" t="str">
        <f aca="false">INDEX('4-6 매출-다운로드 비교(참조)'!$H$6:$H$177,MATCH($A154,'4-6 매출-다운로드 비교(참조)'!$A$6:$A$177,0))</f>
        <v>④ 둘 다 기준 밖</v>
      </c>
      <c r="G154" s="49" t="str">
        <f aca="false">IF(OR(ISNUMBER(D154),F154="③ 다운로드만 높음"),"후보","후보 아님")</f>
        <v>후보</v>
      </c>
      <c r="H154" s="49" t="n">
        <f aca="false">IF(G154&lt;&gt;"후보","",IFERROR(INDEX($H$18:$H$54,MATCH(K154,$K$18:$K$54,0)),""))</f>
        <v>51</v>
      </c>
      <c r="I154" s="89" t="str">
        <f aca="false">IF(G154&lt;&gt;"후보","-",IFERROR(INDEX($I$18:$I$54,MATCH(K154,$K$18:$K$54,0)),"판단 보류"))</f>
        <v>2인 어려움</v>
      </c>
      <c r="J154" s="47"/>
      <c r="K154" s="47" t="str">
        <f aca="false">B154&amp;"|"&amp;C154</f>
        <v>카드·보드·카지노|포커</v>
      </c>
    </row>
    <row r="155" customFormat="false" ht="17.15" hidden="false" customHeight="false" outlineLevel="0" collapsed="false">
      <c r="A155" s="78" t="s">
        <v>941</v>
      </c>
      <c r="B155" s="47" t="str">
        <f aca="false">IFERROR(INDEX('4-5 매출 Top100(참조)'!$D$2:$D$101,MATCH($A155,'4-5 매출 Top100(참조)'!$B$2:$B$101,0)),IFERROR(INDEX('4-4 Google Play Top100(참조)'!$D$2:$D$101,MATCH($A155,'4-4 Google Play Top100(참조)'!$B$2:$B$101,0)),"확인 불가"))</f>
        <v>퍼즐</v>
      </c>
      <c r="C155" s="47" t="str">
        <f aca="false">IFERROR(INDEX('4-5 매출 Top100(참조)'!$E$2:$E$101,MATCH($A155,'4-5 매출 Top100(참조)'!$B$2:$B$101,0)),IFERROR(INDEX('4-4 Google Play Top100(참조)'!$E$2:$E$101,MATCH($A155,'4-4 Google Play Top100(참조)'!$B$2:$B$101,0)),"-"))</f>
        <v>매치3</v>
      </c>
      <c r="D155" s="49" t="n">
        <f aca="false">INDEX('4-6 매출-다운로드 비교(참조)'!$B$6:$B$177,MATCH($A155,'4-6 매출-다운로드 비교(참조)'!$A$6:$A$177,0))</f>
        <v>79</v>
      </c>
      <c r="E155" s="49" t="str">
        <f aca="false">INDEX('4-6 매출-다운로드 비교(참조)'!$C$6:$C$177,MATCH($A155,'4-6 매출-다운로드 비교(참조)'!$A$6:$A$177,0))</f>
        <v>-</v>
      </c>
      <c r="F155" s="47" t="str">
        <f aca="false">INDEX('4-6 매출-다운로드 비교(참조)'!$H$6:$H$177,MATCH($A155,'4-6 매출-다운로드 비교(참조)'!$A$6:$A$177,0))</f>
        <v>④ 둘 다 기준 밖</v>
      </c>
      <c r="G155" s="49" t="str">
        <f aca="false">IF(OR(ISNUMBER(D155),F155="③ 다운로드만 높음"),"후보","후보 아님")</f>
        <v>후보</v>
      </c>
      <c r="H155" s="49" t="n">
        <f aca="false">IF(G155&lt;&gt;"후보","",IFERROR(INDEX($H$18:$H$54,MATCH(K155,$K$18:$K$54,0)),""))</f>
        <v>60</v>
      </c>
      <c r="I155" s="89" t="str">
        <f aca="false">IF(G155&lt;&gt;"후보","-",IFERROR(INDEX($I$18:$I$54,MATCH(K155,$K$18:$K$54,0)),"판단 보류"))</f>
        <v>조건부 (범위를 줄이면)</v>
      </c>
      <c r="J155" s="47"/>
      <c r="K155" s="47" t="str">
        <f aca="false">B155&amp;"|"&amp;C155</f>
        <v>퍼즐|매치3</v>
      </c>
    </row>
    <row r="156" customFormat="false" ht="17.15" hidden="false" customHeight="false" outlineLevel="0" collapsed="false">
      <c r="A156" s="78" t="s">
        <v>942</v>
      </c>
      <c r="B156" s="47" t="str">
        <f aca="false">IFERROR(INDEX('4-5 매출 Top100(참조)'!$D$2:$D$101,MATCH($A156,'4-5 매출 Top100(참조)'!$B$2:$B$101,0)),IFERROR(INDEX('4-4 Google Play Top100(참조)'!$D$2:$D$101,MATCH($A156,'4-4 Google Play Top100(참조)'!$B$2:$B$101,0)),"확인 불가"))</f>
        <v>카드·보드·카지노</v>
      </c>
      <c r="C156" s="47" t="str">
        <f aca="false">IFERROR(INDEX('4-5 매출 Top100(참조)'!$E$2:$E$101,MATCH($A156,'4-5 매출 Top100(참조)'!$B$2:$B$101,0)),IFERROR(INDEX('4-4 Google Play Top100(참조)'!$E$2:$E$101,MATCH($A156,'4-4 Google Play Top100(참조)'!$B$2:$B$101,0)),"-"))</f>
        <v>소셜 카지노</v>
      </c>
      <c r="D156" s="49" t="n">
        <f aca="false">INDEX('4-6 매출-다운로드 비교(참조)'!$B$6:$B$177,MATCH($A156,'4-6 매출-다운로드 비교(참조)'!$A$6:$A$177,0))</f>
        <v>80</v>
      </c>
      <c r="E156" s="49" t="str">
        <f aca="false">INDEX('4-6 매출-다운로드 비교(참조)'!$C$6:$C$177,MATCH($A156,'4-6 매출-다운로드 비교(참조)'!$A$6:$A$177,0))</f>
        <v>-</v>
      </c>
      <c r="F156" s="47" t="str">
        <f aca="false">INDEX('4-6 매출-다운로드 비교(참조)'!$H$6:$H$177,MATCH($A156,'4-6 매출-다운로드 비교(참조)'!$A$6:$A$177,0))</f>
        <v>④ 둘 다 기준 밖</v>
      </c>
      <c r="G156" s="49" t="str">
        <f aca="false">IF(OR(ISNUMBER(D156),F156="③ 다운로드만 높음"),"후보","후보 아님")</f>
        <v>후보</v>
      </c>
      <c r="H156" s="49" t="n">
        <f aca="false">IF(G156&lt;&gt;"후보","",IFERROR(INDEX($H$18:$H$54,MATCH(K156,$K$18:$K$54,0)),""))</f>
        <v>39</v>
      </c>
      <c r="I156" s="89" t="str">
        <f aca="false">IF(G156&lt;&gt;"후보","-",IFERROR(INDEX($I$18:$I$54,MATCH(K156,$K$18:$K$54,0)),"판단 보류"))</f>
        <v>2인 어려움</v>
      </c>
      <c r="J156" s="47"/>
      <c r="K156" s="47" t="str">
        <f aca="false">B156&amp;"|"&amp;C156</f>
        <v>카드·보드·카지노|소셜 카지노</v>
      </c>
    </row>
    <row r="157" customFormat="false" ht="17.15" hidden="false" customHeight="false" outlineLevel="0" collapsed="false">
      <c r="A157" s="78" t="s">
        <v>943</v>
      </c>
      <c r="B157" s="47" t="str">
        <f aca="false">IFERROR(INDEX('4-5 매출 Top100(참조)'!$D$2:$D$101,MATCH($A157,'4-5 매출 Top100(참조)'!$B$2:$B$101,0)),IFERROR(INDEX('4-4 Google Play Top100(참조)'!$D$2:$D$101,MATCH($A157,'4-4 Google Play Top100(참조)'!$B$2:$B$101,0)),"확인 불가"))</f>
        <v>카드·보드·카지노</v>
      </c>
      <c r="C157" s="47" t="str">
        <f aca="false">IFERROR(INDEX('4-5 매출 Top100(참조)'!$E$2:$E$101,MATCH($A157,'4-5 매출 Top100(참조)'!$B$2:$B$101,0)),IFERROR(INDEX('4-4 Google Play Top100(참조)'!$E$2:$E$101,MATCH($A157,'4-4 Google Play Top100(참조)'!$B$2:$B$101,0)),"-"))</f>
        <v>클래식 보드</v>
      </c>
      <c r="D157" s="49" t="n">
        <f aca="false">INDEX('4-6 매출-다운로드 비교(참조)'!$B$6:$B$177,MATCH($A157,'4-6 매출-다운로드 비교(참조)'!$A$6:$A$177,0))</f>
        <v>81</v>
      </c>
      <c r="E157" s="49" t="str">
        <f aca="false">INDEX('4-6 매출-다운로드 비교(참조)'!$C$6:$C$177,MATCH($A157,'4-6 매출-다운로드 비교(참조)'!$A$6:$A$177,0))</f>
        <v>-</v>
      </c>
      <c r="F157" s="47" t="str">
        <f aca="false">INDEX('4-6 매출-다운로드 비교(참조)'!$H$6:$H$177,MATCH($A157,'4-6 매출-다운로드 비교(참조)'!$A$6:$A$177,0))</f>
        <v>④ 둘 다 기준 밖</v>
      </c>
      <c r="G157" s="49" t="str">
        <f aca="false">IF(OR(ISNUMBER(D157),F157="③ 다운로드만 높음"),"후보","후보 아님")</f>
        <v>후보</v>
      </c>
      <c r="H157" s="49" t="n">
        <f aca="false">IF(G157&lt;&gt;"후보","",IFERROR(INDEX($H$18:$H$54,MATCH(K157,$K$18:$K$54,0)),""))</f>
        <v>81</v>
      </c>
      <c r="I157" s="89" t="str">
        <f aca="false">IF(G157&lt;&gt;"후보","-",IFERROR(INDEX($I$18:$I$54,MATCH(K157,$K$18:$K$54,0)),"판단 보류"))</f>
        <v>2인 가능</v>
      </c>
      <c r="J157" s="47"/>
      <c r="K157" s="47" t="str">
        <f aca="false">B157&amp;"|"&amp;C157</f>
        <v>카드·보드·카지노|클래식 보드</v>
      </c>
    </row>
    <row r="158" customFormat="false" ht="17.15" hidden="false" customHeight="false" outlineLevel="0" collapsed="false">
      <c r="A158" s="78" t="s">
        <v>944</v>
      </c>
      <c r="B158" s="47" t="str">
        <f aca="false">IFERROR(INDEX('4-5 매출 Top100(참조)'!$D$2:$D$101,MATCH($A158,'4-5 매출 Top100(참조)'!$B$2:$B$101,0)),IFERROR(INDEX('4-4 Google Play Top100(참조)'!$D$2:$D$101,MATCH($A158,'4-4 Google Play Top100(참조)'!$B$2:$B$101,0)),"확인 불가"))</f>
        <v>퍼즐</v>
      </c>
      <c r="C158" s="47" t="str">
        <f aca="false">IFERROR(INDEX('4-5 매출 Top100(참조)'!$E$2:$E$101,MATCH($A158,'4-5 매출 Top100(참조)'!$B$2:$B$101,0)),IFERROR(INDEX('4-4 Google Play Top100(참조)'!$E$2:$E$101,MATCH($A158,'4-4 Google Play Top100(참조)'!$B$2:$B$101,0)),"-"))</f>
        <v>기타 퍼즐</v>
      </c>
      <c r="D158" s="49" t="n">
        <f aca="false">INDEX('4-6 매출-다운로드 비교(참조)'!$B$6:$B$177,MATCH($A158,'4-6 매출-다운로드 비교(참조)'!$A$6:$A$177,0))</f>
        <v>82</v>
      </c>
      <c r="E158" s="49" t="n">
        <f aca="false">INDEX('4-6 매출-다운로드 비교(참조)'!$C$6:$C$177,MATCH($A158,'4-6 매출-다운로드 비교(참조)'!$A$6:$A$177,0))</f>
        <v>73</v>
      </c>
      <c r="F158" s="47" t="str">
        <f aca="false">INDEX('4-6 매출-다운로드 비교(참조)'!$H$6:$H$177,MATCH($A158,'4-6 매출-다운로드 비교(참조)'!$A$6:$A$177,0))</f>
        <v>④ 둘 다 기준 밖</v>
      </c>
      <c r="G158" s="49" t="str">
        <f aca="false">IF(OR(ISNUMBER(D158),F158="③ 다운로드만 높음"),"후보","후보 아님")</f>
        <v>후보</v>
      </c>
      <c r="H158" s="49" t="str">
        <f aca="false">IF(G158&lt;&gt;"후보","",IFERROR(INDEX($H$18:$H$54,MATCH(K158,$K$18:$K$54,0)),""))</f>
        <v/>
      </c>
      <c r="I158" s="89" t="str">
        <f aca="false">IF(G158&lt;&gt;"후보","-",IFERROR(INDEX($I$18:$I$54,MATCH(K158,$K$18:$K$54,0)),"판단 보류"))</f>
        <v>판단 보류</v>
      </c>
      <c r="J158" s="47"/>
      <c r="K158" s="47" t="str">
        <f aca="false">B158&amp;"|"&amp;C158</f>
        <v>퍼즐|기타 퍼즐</v>
      </c>
    </row>
    <row r="159" customFormat="false" ht="17.15" hidden="false" customHeight="false" outlineLevel="0" collapsed="false">
      <c r="A159" s="78" t="s">
        <v>945</v>
      </c>
      <c r="B159" s="47" t="str">
        <f aca="false">IFERROR(INDEX('4-5 매출 Top100(참조)'!$D$2:$D$101,MATCH($A159,'4-5 매출 Top100(참조)'!$B$2:$B$101,0)),IFERROR(INDEX('4-4 Google Play Top100(참조)'!$D$2:$D$101,MATCH($A159,'4-4 Google Play Top100(참조)'!$B$2:$B$101,0)),"확인 불가"))</f>
        <v>액션·슈팅</v>
      </c>
      <c r="C159" s="47" t="str">
        <f aca="false">IFERROR(INDEX('4-5 매출 Top100(참조)'!$E$2:$E$101,MATCH($A159,'4-5 매출 Top100(참조)'!$B$2:$B$101,0)),IFERROR(INDEX('4-4 Google Play Top100(참조)'!$E$2:$E$101,MATCH($A159,'4-4 Google Play Top100(참조)'!$B$2:$B$101,0)),"-"))</f>
        <v>스나이퍼</v>
      </c>
      <c r="D159" s="49" t="n">
        <f aca="false">INDEX('4-6 매출-다운로드 비교(참조)'!$B$6:$B$177,MATCH($A159,'4-6 매출-다운로드 비교(참조)'!$A$6:$A$177,0))</f>
        <v>83</v>
      </c>
      <c r="E159" s="49" t="str">
        <f aca="false">INDEX('4-6 매출-다운로드 비교(참조)'!$C$6:$C$177,MATCH($A159,'4-6 매출-다운로드 비교(참조)'!$A$6:$A$177,0))</f>
        <v>-</v>
      </c>
      <c r="F159" s="47" t="str">
        <f aca="false">INDEX('4-6 매출-다운로드 비교(참조)'!$H$6:$H$177,MATCH($A159,'4-6 매출-다운로드 비교(참조)'!$A$6:$A$177,0))</f>
        <v>④ 둘 다 기준 밖</v>
      </c>
      <c r="G159" s="49" t="str">
        <f aca="false">IF(OR(ISNUMBER(D159),F159="③ 다운로드만 높음"),"후보","후보 아님")</f>
        <v>후보</v>
      </c>
      <c r="H159" s="49" t="n">
        <f aca="false">IF(G159&lt;&gt;"후보","",IFERROR(INDEX($H$18:$H$54,MATCH(K159,$K$18:$K$54,0)),""))</f>
        <v>63</v>
      </c>
      <c r="I159" s="89" t="str">
        <f aca="false">IF(G159&lt;&gt;"후보","-",IFERROR(INDEX($I$18:$I$54,MATCH(K159,$K$18:$K$54,0)),"판단 보류"))</f>
        <v>조건부 (범위를 줄이면)</v>
      </c>
      <c r="J159" s="47"/>
      <c r="K159" s="47" t="str">
        <f aca="false">B159&amp;"|"&amp;C159</f>
        <v>액션·슈팅|스나이퍼</v>
      </c>
    </row>
    <row r="160" customFormat="false" ht="17.15" hidden="false" customHeight="false" outlineLevel="0" collapsed="false">
      <c r="A160" s="78" t="s">
        <v>946</v>
      </c>
      <c r="B160" s="47" t="str">
        <f aca="false">IFERROR(INDEX('4-5 매출 Top100(참조)'!$D$2:$D$101,MATCH($A160,'4-5 매출 Top100(참조)'!$B$2:$B$101,0)),IFERROR(INDEX('4-4 Google Play Top100(참조)'!$D$2:$D$101,MATCH($A160,'4-4 Google Play Top100(참조)'!$B$2:$B$101,0)),"확인 불가"))</f>
        <v>퍼즐</v>
      </c>
      <c r="C160" s="47" t="str">
        <f aca="false">IFERROR(INDEX('4-5 매출 Top100(참조)'!$E$2:$E$101,MATCH($A160,'4-5 매출 Top100(참조)'!$B$2:$B$101,0)),IFERROR(INDEX('4-4 Google Play Top100(참조)'!$E$2:$E$101,MATCH($A160,'4-4 Google Play Top100(참조)'!$B$2:$B$101,0)),"-"))</f>
        <v>정렬·잼</v>
      </c>
      <c r="D160" s="49" t="n">
        <f aca="false">INDEX('4-6 매출-다운로드 비교(참조)'!$B$6:$B$177,MATCH($A160,'4-6 매출-다운로드 비교(참조)'!$A$6:$A$177,0))</f>
        <v>84</v>
      </c>
      <c r="E160" s="49" t="n">
        <f aca="false">INDEX('4-6 매출-다운로드 비교(참조)'!$C$6:$C$177,MATCH($A160,'4-6 매출-다운로드 비교(참조)'!$A$6:$A$177,0))</f>
        <v>35</v>
      </c>
      <c r="F160" s="47" t="str">
        <f aca="false">INDEX('4-6 매출-다운로드 비교(참조)'!$H$6:$H$177,MATCH($A160,'4-6 매출-다운로드 비교(참조)'!$A$6:$A$177,0))</f>
        <v>④ 둘 다 기준 밖</v>
      </c>
      <c r="G160" s="49" t="str">
        <f aca="false">IF(OR(ISNUMBER(D160),F160="③ 다운로드만 높음"),"후보","후보 아님")</f>
        <v>후보</v>
      </c>
      <c r="H160" s="49" t="n">
        <f aca="false">IF(G160&lt;&gt;"후보","",IFERROR(INDEX($H$18:$H$54,MATCH(K160,$K$18:$K$54,0)),""))</f>
        <v>92</v>
      </c>
      <c r="I160" s="89" t="str">
        <f aca="false">IF(G160&lt;&gt;"후보","-",IFERROR(INDEX($I$18:$I$54,MATCH(K160,$K$18:$K$54,0)),"판단 보류"))</f>
        <v>2인 가능</v>
      </c>
      <c r="J160" s="47"/>
      <c r="K160" s="47" t="str">
        <f aca="false">B160&amp;"|"&amp;C160</f>
        <v>퍼즐|정렬·잼</v>
      </c>
    </row>
    <row r="161" customFormat="false" ht="17.15" hidden="false" customHeight="false" outlineLevel="0" collapsed="false">
      <c r="A161" s="78" t="s">
        <v>947</v>
      </c>
      <c r="B161" s="47" t="str">
        <f aca="false">IFERROR(INDEX('4-5 매출 Top100(참조)'!$D$2:$D$101,MATCH($A161,'4-5 매출 Top100(참조)'!$B$2:$B$101,0)),IFERROR(INDEX('4-4 Google Play Top100(참조)'!$D$2:$D$101,MATCH($A161,'4-4 Google Play Top100(참조)'!$B$2:$B$101,0)),"확인 불가"))</f>
        <v>RPG</v>
      </c>
      <c r="C161" s="47" t="str">
        <f aca="false">IFERROR(INDEX('4-5 매출 Top100(참조)'!$E$2:$E$101,MATCH($A161,'4-5 매출 Top100(참조)'!$B$2:$B$101,0)),IFERROR(INDEX('4-4 Google Play Top100(참조)'!$E$2:$E$101,MATCH($A161,'4-4 Google Play Top100(참조)'!$B$2:$B$101,0)),"-"))</f>
        <v>수집형(가챠) RPG</v>
      </c>
      <c r="D161" s="49" t="n">
        <f aca="false">INDEX('4-6 매출-다운로드 비교(참조)'!$B$6:$B$177,MATCH($A161,'4-6 매출-다운로드 비교(참조)'!$A$6:$A$177,0))</f>
        <v>85</v>
      </c>
      <c r="E161" s="49" t="str">
        <f aca="false">INDEX('4-6 매출-다운로드 비교(참조)'!$C$6:$C$177,MATCH($A161,'4-6 매출-다운로드 비교(참조)'!$A$6:$A$177,0))</f>
        <v>-</v>
      </c>
      <c r="F161" s="47" t="str">
        <f aca="false">INDEX('4-6 매출-다운로드 비교(참조)'!$H$6:$H$177,MATCH($A161,'4-6 매출-다운로드 비교(참조)'!$A$6:$A$177,0))</f>
        <v>④ 둘 다 기준 밖</v>
      </c>
      <c r="G161" s="49" t="str">
        <f aca="false">IF(OR(ISNUMBER(D161),F161="③ 다운로드만 높음"),"후보","후보 아님")</f>
        <v>후보</v>
      </c>
      <c r="H161" s="49" t="n">
        <f aca="false">IF(G161&lt;&gt;"후보","",IFERROR(INDEX($H$18:$H$54,MATCH(K161,$K$18:$K$54,0)),""))</f>
        <v>29</v>
      </c>
      <c r="I161" s="89" t="str">
        <f aca="false">IF(G161&lt;&gt;"후보","-",IFERROR(INDEX($I$18:$I$54,MATCH(K161,$K$18:$K$54,0)),"판단 보류"))</f>
        <v>2인 어려움</v>
      </c>
      <c r="J161" s="47"/>
      <c r="K161" s="47" t="str">
        <f aca="false">B161&amp;"|"&amp;C161</f>
        <v>RPG|수집형(가챠) RPG</v>
      </c>
    </row>
    <row r="162" customFormat="false" ht="17.15" hidden="false" customHeight="false" outlineLevel="0" collapsed="false">
      <c r="A162" s="78" t="s">
        <v>857</v>
      </c>
      <c r="B162" s="47" t="str">
        <f aca="false">IFERROR(INDEX('4-5 매출 Top100(참조)'!$D$2:$D$101,MATCH($A162,'4-5 매출 Top100(참조)'!$B$2:$B$101,0)),IFERROR(INDEX('4-4 Google Play Top100(참조)'!$D$2:$D$101,MATCH($A162,'4-4 Google Play Top100(참조)'!$B$2:$B$101,0)),"확인 불가"))</f>
        <v>카드·보드·카지노</v>
      </c>
      <c r="C162" s="47" t="str">
        <f aca="false">IFERROR(INDEX('4-5 매출 Top100(참조)'!$E$2:$E$101,MATCH($A162,'4-5 매출 Top100(참조)'!$B$2:$B$101,0)),IFERROR(INDEX('4-4 Google Play Top100(참조)'!$E$2:$E$101,MATCH($A162,'4-4 Google Play Top100(참조)'!$B$2:$B$101,0)),"-"))</f>
        <v>솔리테어</v>
      </c>
      <c r="D162" s="49" t="n">
        <f aca="false">INDEX('4-6 매출-다운로드 비교(참조)'!$B$6:$B$177,MATCH($A162,'4-6 매출-다운로드 비교(참조)'!$A$6:$A$177,0))</f>
        <v>86</v>
      </c>
      <c r="E162" s="49" t="str">
        <f aca="false">INDEX('4-6 매출-다운로드 비교(참조)'!$C$6:$C$177,MATCH($A162,'4-6 매출-다운로드 비교(참조)'!$A$6:$A$177,0))</f>
        <v>-</v>
      </c>
      <c r="F162" s="47" t="str">
        <f aca="false">INDEX('4-6 매출-다운로드 비교(참조)'!$H$6:$H$177,MATCH($A162,'4-6 매출-다운로드 비교(참조)'!$A$6:$A$177,0))</f>
        <v>④ 둘 다 기준 밖</v>
      </c>
      <c r="G162" s="49" t="str">
        <f aca="false">IF(OR(ISNUMBER(D162),F162="③ 다운로드만 높음"),"후보","후보 아님")</f>
        <v>후보</v>
      </c>
      <c r="H162" s="49" t="n">
        <f aca="false">IF(G162&lt;&gt;"후보","",IFERROR(INDEX($H$18:$H$54,MATCH(K162,$K$18:$K$54,0)),""))</f>
        <v>92</v>
      </c>
      <c r="I162" s="89" t="str">
        <f aca="false">IF(G162&lt;&gt;"후보","-",IFERROR(INDEX($I$18:$I$54,MATCH(K162,$K$18:$K$54,0)),"판단 보류"))</f>
        <v>2인 가능</v>
      </c>
      <c r="J162" s="47"/>
      <c r="K162" s="47" t="str">
        <f aca="false">B162&amp;"|"&amp;C162</f>
        <v>카드·보드·카지노|솔리테어</v>
      </c>
    </row>
    <row r="163" customFormat="false" ht="17.15" hidden="false" customHeight="false" outlineLevel="0" collapsed="false">
      <c r="A163" s="78" t="s">
        <v>948</v>
      </c>
      <c r="B163" s="47" t="str">
        <f aca="false">IFERROR(INDEX('4-5 매출 Top100(참조)'!$D$2:$D$101,MATCH($A163,'4-5 매출 Top100(참조)'!$B$2:$B$101,0)),IFERROR(INDEX('4-4 Google Play Top100(참조)'!$D$2:$D$101,MATCH($A163,'4-4 Google Play Top100(참조)'!$B$2:$B$101,0)),"확인 불가"))</f>
        <v>RPG</v>
      </c>
      <c r="C163" s="47" t="str">
        <f aca="false">IFERROR(INDEX('4-5 매출 Top100(참조)'!$E$2:$E$101,MATCH($A163,'4-5 매출 Top100(참조)'!$B$2:$B$101,0)),IFERROR(INDEX('4-4 Google Play Top100(참조)'!$E$2:$E$101,MATCH($A163,'4-4 Google Play Top100(참조)'!$B$2:$B$101,0)),"-"))</f>
        <v>수집형(가챠) RPG</v>
      </c>
      <c r="D163" s="49" t="n">
        <f aca="false">INDEX('4-6 매출-다운로드 비교(참조)'!$B$6:$B$177,MATCH($A163,'4-6 매출-다운로드 비교(참조)'!$A$6:$A$177,0))</f>
        <v>87</v>
      </c>
      <c r="E163" s="49" t="str">
        <f aca="false">INDEX('4-6 매출-다운로드 비교(참조)'!$C$6:$C$177,MATCH($A163,'4-6 매출-다운로드 비교(참조)'!$A$6:$A$177,0))</f>
        <v>-</v>
      </c>
      <c r="F163" s="47" t="str">
        <f aca="false">INDEX('4-6 매출-다운로드 비교(참조)'!$H$6:$H$177,MATCH($A163,'4-6 매출-다운로드 비교(참조)'!$A$6:$A$177,0))</f>
        <v>④ 둘 다 기준 밖</v>
      </c>
      <c r="G163" s="49" t="str">
        <f aca="false">IF(OR(ISNUMBER(D163),F163="③ 다운로드만 높음"),"후보","후보 아님")</f>
        <v>후보</v>
      </c>
      <c r="H163" s="49" t="n">
        <f aca="false">IF(G163&lt;&gt;"후보","",IFERROR(INDEX($H$18:$H$54,MATCH(K163,$K$18:$K$54,0)),""))</f>
        <v>29</v>
      </c>
      <c r="I163" s="89" t="str">
        <f aca="false">IF(G163&lt;&gt;"후보","-",IFERROR(INDEX($I$18:$I$54,MATCH(K163,$K$18:$K$54,0)),"판단 보류"))</f>
        <v>2인 어려움</v>
      </c>
      <c r="J163" s="47"/>
      <c r="K163" s="47" t="str">
        <f aca="false">B163&amp;"|"&amp;C163</f>
        <v>RPG|수집형(가챠) RPG</v>
      </c>
    </row>
    <row r="164" customFormat="false" ht="17.15" hidden="false" customHeight="false" outlineLevel="0" collapsed="false">
      <c r="A164" s="78" t="s">
        <v>949</v>
      </c>
      <c r="B164" s="47" t="str">
        <f aca="false">IFERROR(INDEX('4-5 매출 Top100(참조)'!$D$2:$D$101,MATCH($A164,'4-5 매출 Top100(참조)'!$B$2:$B$101,0)),IFERROR(INDEX('4-4 Google Play Top100(참조)'!$D$2:$D$101,MATCH($A164,'4-4 Google Play Top100(참조)'!$B$2:$B$101,0)),"확인 불가"))</f>
        <v>카드·보드·카지노</v>
      </c>
      <c r="C164" s="47" t="str">
        <f aca="false">IFERROR(INDEX('4-5 매출 Top100(참조)'!$E$2:$E$101,MATCH($A164,'4-5 매출 Top100(참조)'!$B$2:$B$101,0)),IFERROR(INDEX('4-4 Google Play Top100(참조)'!$E$2:$E$101,MATCH($A164,'4-4 Google Play Top100(참조)'!$B$2:$B$101,0)),"-"))</f>
        <v>보드·주사위 소셜캐주얼</v>
      </c>
      <c r="D164" s="49" t="n">
        <f aca="false">INDEX('4-6 매출-다운로드 비교(참조)'!$B$6:$B$177,MATCH($A164,'4-6 매출-다운로드 비교(참조)'!$A$6:$A$177,0))</f>
        <v>88</v>
      </c>
      <c r="E164" s="49" t="str">
        <f aca="false">INDEX('4-6 매출-다운로드 비교(참조)'!$C$6:$C$177,MATCH($A164,'4-6 매출-다운로드 비교(참조)'!$A$6:$A$177,0))</f>
        <v>-</v>
      </c>
      <c r="F164" s="47" t="str">
        <f aca="false">INDEX('4-6 매출-다운로드 비교(참조)'!$H$6:$H$177,MATCH($A164,'4-6 매출-다운로드 비교(참조)'!$A$6:$A$177,0))</f>
        <v>④ 둘 다 기준 밖</v>
      </c>
      <c r="G164" s="49" t="str">
        <f aca="false">IF(OR(ISNUMBER(D164),F164="③ 다운로드만 높음"),"후보","후보 아님")</f>
        <v>후보</v>
      </c>
      <c r="H164" s="49" t="n">
        <f aca="false">IF(G164&lt;&gt;"후보","",IFERROR(INDEX($H$18:$H$54,MATCH(K164,$K$18:$K$54,0)),""))</f>
        <v>38</v>
      </c>
      <c r="I164" s="89" t="str">
        <f aca="false">IF(G164&lt;&gt;"후보","-",IFERROR(INDEX($I$18:$I$54,MATCH(K164,$K$18:$K$54,0)),"판단 보류"))</f>
        <v>2인 어려움</v>
      </c>
      <c r="J164" s="47"/>
      <c r="K164" s="47" t="str">
        <f aca="false">B164&amp;"|"&amp;C164</f>
        <v>카드·보드·카지노|보드·주사위 소셜캐주얼</v>
      </c>
    </row>
    <row r="165" customFormat="false" ht="17.15" hidden="false" customHeight="false" outlineLevel="0" collapsed="false">
      <c r="A165" s="78" t="s">
        <v>950</v>
      </c>
      <c r="B165" s="47" t="str">
        <f aca="false">IFERROR(INDEX('4-5 매출 Top100(참조)'!$D$2:$D$101,MATCH($A165,'4-5 매출 Top100(참조)'!$B$2:$B$101,0)),IFERROR(INDEX('4-4 Google Play Top100(참조)'!$D$2:$D$101,MATCH($A165,'4-4 Google Play Top100(참조)'!$B$2:$B$101,0)),"확인 불가"))</f>
        <v>RPG</v>
      </c>
      <c r="C165" s="47" t="str">
        <f aca="false">IFERROR(INDEX('4-5 매출 Top100(참조)'!$E$2:$E$101,MATCH($A165,'4-5 매출 Top100(참조)'!$B$2:$B$101,0)),IFERROR(INDEX('4-4 Google Play Top100(참조)'!$E$2:$E$101,MATCH($A165,'4-4 Google Play Top100(참조)'!$B$2:$B$101,0)),"-"))</f>
        <v>수집형(가챠) RPG</v>
      </c>
      <c r="D165" s="49" t="n">
        <f aca="false">INDEX('4-6 매출-다운로드 비교(참조)'!$B$6:$B$177,MATCH($A165,'4-6 매출-다운로드 비교(참조)'!$A$6:$A$177,0))</f>
        <v>89</v>
      </c>
      <c r="E165" s="49" t="str">
        <f aca="false">INDEX('4-6 매출-다운로드 비교(참조)'!$C$6:$C$177,MATCH($A165,'4-6 매출-다운로드 비교(참조)'!$A$6:$A$177,0))</f>
        <v>-</v>
      </c>
      <c r="F165" s="47" t="str">
        <f aca="false">INDEX('4-6 매출-다운로드 비교(참조)'!$H$6:$H$177,MATCH($A165,'4-6 매출-다운로드 비교(참조)'!$A$6:$A$177,0))</f>
        <v>④ 둘 다 기준 밖</v>
      </c>
      <c r="G165" s="49" t="str">
        <f aca="false">IF(OR(ISNUMBER(D165),F165="③ 다운로드만 높음"),"후보","후보 아님")</f>
        <v>후보</v>
      </c>
      <c r="H165" s="49" t="n">
        <f aca="false">IF(G165&lt;&gt;"후보","",IFERROR(INDEX($H$18:$H$54,MATCH(K165,$K$18:$K$54,0)),""))</f>
        <v>29</v>
      </c>
      <c r="I165" s="89" t="str">
        <f aca="false">IF(G165&lt;&gt;"후보","-",IFERROR(INDEX($I$18:$I$54,MATCH(K165,$K$18:$K$54,0)),"판단 보류"))</f>
        <v>2인 어려움</v>
      </c>
      <c r="J165" s="47"/>
      <c r="K165" s="47" t="str">
        <f aca="false">B165&amp;"|"&amp;C165</f>
        <v>RPG|수집형(가챠) RPG</v>
      </c>
    </row>
    <row r="166" customFormat="false" ht="17.15" hidden="false" customHeight="false" outlineLevel="0" collapsed="false">
      <c r="A166" s="78" t="s">
        <v>951</v>
      </c>
      <c r="B166" s="47" t="str">
        <f aca="false">IFERROR(INDEX('4-5 매출 Top100(참조)'!$D$2:$D$101,MATCH($A166,'4-5 매출 Top100(참조)'!$B$2:$B$101,0)),IFERROR(INDEX('4-4 Google Play Top100(참조)'!$D$2:$D$101,MATCH($A166,'4-4 Google Play Top100(참조)'!$B$2:$B$101,0)),"확인 불가"))</f>
        <v>전략</v>
      </c>
      <c r="C166" s="47" t="str">
        <f aca="false">IFERROR(INDEX('4-5 매출 Top100(참조)'!$E$2:$E$101,MATCH($A166,'4-5 매출 Top100(참조)'!$B$2:$B$101,0)),IFERROR(INDEX('4-4 Google Play Top100(참조)'!$E$2:$E$101,MATCH($A166,'4-4 Google Play Top100(참조)'!$B$2:$B$101,0)),"-"))</f>
        <v>4X·SLG</v>
      </c>
      <c r="D166" s="49" t="n">
        <f aca="false">INDEX('4-6 매출-다운로드 비교(참조)'!$B$6:$B$177,MATCH($A166,'4-6 매출-다운로드 비교(참조)'!$A$6:$A$177,0))</f>
        <v>90</v>
      </c>
      <c r="E166" s="49" t="str">
        <f aca="false">INDEX('4-6 매출-다운로드 비교(참조)'!$C$6:$C$177,MATCH($A166,'4-6 매출-다운로드 비교(참조)'!$A$6:$A$177,0))</f>
        <v>-</v>
      </c>
      <c r="F166" s="47" t="str">
        <f aca="false">INDEX('4-6 매출-다운로드 비교(참조)'!$H$6:$H$177,MATCH($A166,'4-6 매출-다운로드 비교(참조)'!$A$6:$A$177,0))</f>
        <v>④ 둘 다 기준 밖</v>
      </c>
      <c r="G166" s="49" t="str">
        <f aca="false">IF(OR(ISNUMBER(D166),F166="③ 다운로드만 높음"),"후보","후보 아님")</f>
        <v>후보</v>
      </c>
      <c r="H166" s="49" t="n">
        <f aca="false">IF(G166&lt;&gt;"후보","",IFERROR(INDEX($H$18:$H$54,MATCH(K166,$K$18:$K$54,0)),""))</f>
        <v>24</v>
      </c>
      <c r="I166" s="89" t="str">
        <f aca="false">IF(G166&lt;&gt;"후보","-",IFERROR(INDEX($I$18:$I$54,MATCH(K166,$K$18:$K$54,0)),"판단 보류"))</f>
        <v>2인 어려움</v>
      </c>
      <c r="J166" s="47"/>
      <c r="K166" s="47" t="str">
        <f aca="false">B166&amp;"|"&amp;C166</f>
        <v>전략|4X·SLG</v>
      </c>
    </row>
    <row r="167" customFormat="false" ht="17.15" hidden="false" customHeight="false" outlineLevel="0" collapsed="false">
      <c r="A167" s="78" t="s">
        <v>952</v>
      </c>
      <c r="B167" s="47" t="str">
        <f aca="false">IFERROR(INDEX('4-5 매출 Top100(참조)'!$D$2:$D$101,MATCH($A167,'4-5 매출 Top100(참조)'!$B$2:$B$101,0)),IFERROR(INDEX('4-4 Google Play Top100(참조)'!$D$2:$D$101,MATCH($A167,'4-4 Google Play Top100(참조)'!$B$2:$B$101,0)),"확인 불가"))</f>
        <v>퍼즐</v>
      </c>
      <c r="C167" s="47" t="str">
        <f aca="false">IFERROR(INDEX('4-5 매출 Top100(참조)'!$E$2:$E$101,MATCH($A167,'4-5 매출 Top100(참조)'!$B$2:$B$101,0)),IFERROR(INDEX('4-4 Google Play Top100(참조)'!$E$2:$E$101,MATCH($A167,'4-4 Google Play Top100(참조)'!$B$2:$B$101,0)),"-"))</f>
        <v>정렬·잼</v>
      </c>
      <c r="D167" s="49" t="n">
        <f aca="false">INDEX('4-6 매출-다운로드 비교(참조)'!$B$6:$B$177,MATCH($A167,'4-6 매출-다운로드 비교(참조)'!$A$6:$A$177,0))</f>
        <v>91</v>
      </c>
      <c r="E167" s="49" t="str">
        <f aca="false">INDEX('4-6 매출-다운로드 비교(참조)'!$C$6:$C$177,MATCH($A167,'4-6 매출-다운로드 비교(참조)'!$A$6:$A$177,0))</f>
        <v>-</v>
      </c>
      <c r="F167" s="47" t="str">
        <f aca="false">INDEX('4-6 매출-다운로드 비교(참조)'!$H$6:$H$177,MATCH($A167,'4-6 매출-다운로드 비교(참조)'!$A$6:$A$177,0))</f>
        <v>④ 둘 다 기준 밖</v>
      </c>
      <c r="G167" s="49" t="str">
        <f aca="false">IF(OR(ISNUMBER(D167),F167="③ 다운로드만 높음"),"후보","후보 아님")</f>
        <v>후보</v>
      </c>
      <c r="H167" s="49" t="n">
        <f aca="false">IF(G167&lt;&gt;"후보","",IFERROR(INDEX($H$18:$H$54,MATCH(K167,$K$18:$K$54,0)),""))</f>
        <v>92</v>
      </c>
      <c r="I167" s="89" t="str">
        <f aca="false">IF(G167&lt;&gt;"후보","-",IFERROR(INDEX($I$18:$I$54,MATCH(K167,$K$18:$K$54,0)),"판단 보류"))</f>
        <v>2인 가능</v>
      </c>
      <c r="J167" s="47"/>
      <c r="K167" s="47" t="str">
        <f aca="false">B167&amp;"|"&amp;C167</f>
        <v>퍼즐|정렬·잼</v>
      </c>
    </row>
    <row r="168" customFormat="false" ht="17.15" hidden="false" customHeight="false" outlineLevel="0" collapsed="false">
      <c r="A168" s="78" t="s">
        <v>953</v>
      </c>
      <c r="B168" s="47" t="str">
        <f aca="false">IFERROR(INDEX('4-5 매출 Top100(참조)'!$D$2:$D$101,MATCH($A168,'4-5 매출 Top100(참조)'!$B$2:$B$101,0)),IFERROR(INDEX('4-4 Google Play Top100(참조)'!$D$2:$D$101,MATCH($A168,'4-4 Google Play Top100(참조)'!$B$2:$B$101,0)),"확인 불가"))</f>
        <v>전략</v>
      </c>
      <c r="C168" s="47" t="str">
        <f aca="false">IFERROR(INDEX('4-5 매출 Top100(참조)'!$E$2:$E$101,MATCH($A168,'4-5 매출 Top100(참조)'!$B$2:$B$101,0)),IFERROR(INDEX('4-4 Google Play Top100(참조)'!$E$2:$E$101,MATCH($A168,'4-4 Google Play Top100(참조)'!$B$2:$B$101,0)),"-"))</f>
        <v>4X·SLG</v>
      </c>
      <c r="D168" s="49" t="n">
        <f aca="false">INDEX('4-6 매출-다운로드 비교(참조)'!$B$6:$B$177,MATCH($A168,'4-6 매출-다운로드 비교(참조)'!$A$6:$A$177,0))</f>
        <v>92</v>
      </c>
      <c r="E168" s="49" t="str">
        <f aca="false">INDEX('4-6 매출-다운로드 비교(참조)'!$C$6:$C$177,MATCH($A168,'4-6 매출-다운로드 비교(참조)'!$A$6:$A$177,0))</f>
        <v>-</v>
      </c>
      <c r="F168" s="47" t="str">
        <f aca="false">INDEX('4-6 매출-다운로드 비교(참조)'!$H$6:$H$177,MATCH($A168,'4-6 매출-다운로드 비교(참조)'!$A$6:$A$177,0))</f>
        <v>④ 둘 다 기준 밖</v>
      </c>
      <c r="G168" s="49" t="str">
        <f aca="false">IF(OR(ISNUMBER(D168),F168="③ 다운로드만 높음"),"후보","후보 아님")</f>
        <v>후보</v>
      </c>
      <c r="H168" s="49" t="n">
        <f aca="false">IF(G168&lt;&gt;"후보","",IFERROR(INDEX($H$18:$H$54,MATCH(K168,$K$18:$K$54,0)),""))</f>
        <v>24</v>
      </c>
      <c r="I168" s="89" t="str">
        <f aca="false">IF(G168&lt;&gt;"후보","-",IFERROR(INDEX($I$18:$I$54,MATCH(K168,$K$18:$K$54,0)),"판단 보류"))</f>
        <v>2인 어려움</v>
      </c>
      <c r="J168" s="47"/>
      <c r="K168" s="47" t="str">
        <f aca="false">B168&amp;"|"&amp;C168</f>
        <v>전략|4X·SLG</v>
      </c>
    </row>
    <row r="169" customFormat="false" ht="17.15" hidden="false" customHeight="false" outlineLevel="0" collapsed="false">
      <c r="A169" s="78" t="s">
        <v>954</v>
      </c>
      <c r="B169" s="47" t="str">
        <f aca="false">IFERROR(INDEX('4-5 매출 Top100(참조)'!$D$2:$D$101,MATCH($A169,'4-5 매출 Top100(참조)'!$B$2:$B$101,0)),IFERROR(INDEX('4-4 Google Play Top100(참조)'!$D$2:$D$101,MATCH($A169,'4-4 Google Play Top100(참조)'!$B$2:$B$101,0)),"확인 불가"))</f>
        <v>전략</v>
      </c>
      <c r="C169" s="47" t="str">
        <f aca="false">IFERROR(INDEX('4-5 매출 Top100(참조)'!$E$2:$E$101,MATCH($A169,'4-5 매출 Top100(참조)'!$B$2:$B$101,0)),IFERROR(INDEX('4-4 Google Play Top100(참조)'!$E$2:$E$101,MATCH($A169,'4-4 Google Play Top100(참조)'!$B$2:$B$101,0)),"-"))</f>
        <v>4X·SLG</v>
      </c>
      <c r="D169" s="49" t="n">
        <f aca="false">INDEX('4-6 매출-다운로드 비교(참조)'!$B$6:$B$177,MATCH($A169,'4-6 매출-다운로드 비교(참조)'!$A$6:$A$177,0))</f>
        <v>93</v>
      </c>
      <c r="E169" s="49" t="str">
        <f aca="false">INDEX('4-6 매출-다운로드 비교(참조)'!$C$6:$C$177,MATCH($A169,'4-6 매출-다운로드 비교(참조)'!$A$6:$A$177,0))</f>
        <v>-</v>
      </c>
      <c r="F169" s="47" t="str">
        <f aca="false">INDEX('4-6 매출-다운로드 비교(참조)'!$H$6:$H$177,MATCH($A169,'4-6 매출-다운로드 비교(참조)'!$A$6:$A$177,0))</f>
        <v>④ 둘 다 기준 밖</v>
      </c>
      <c r="G169" s="49" t="str">
        <f aca="false">IF(OR(ISNUMBER(D169),F169="③ 다운로드만 높음"),"후보","후보 아님")</f>
        <v>후보</v>
      </c>
      <c r="H169" s="49" t="n">
        <f aca="false">IF(G169&lt;&gt;"후보","",IFERROR(INDEX($H$18:$H$54,MATCH(K169,$K$18:$K$54,0)),""))</f>
        <v>24</v>
      </c>
      <c r="I169" s="89" t="str">
        <f aca="false">IF(G169&lt;&gt;"후보","-",IFERROR(INDEX($I$18:$I$54,MATCH(K169,$K$18:$K$54,0)),"판단 보류"))</f>
        <v>2인 어려움</v>
      </c>
      <c r="J169" s="47"/>
      <c r="K169" s="47" t="str">
        <f aca="false">B169&amp;"|"&amp;C169</f>
        <v>전략|4X·SLG</v>
      </c>
    </row>
    <row r="170" customFormat="false" ht="17.15" hidden="false" customHeight="false" outlineLevel="0" collapsed="false">
      <c r="A170" s="78" t="s">
        <v>867</v>
      </c>
      <c r="B170" s="47" t="str">
        <f aca="false">IFERROR(INDEX('4-5 매출 Top100(참조)'!$D$2:$D$101,MATCH($A170,'4-5 매출 Top100(참조)'!$B$2:$B$101,0)),IFERROR(INDEX('4-4 Google Play Top100(참조)'!$D$2:$D$101,MATCH($A170,'4-4 Google Play Top100(참조)'!$B$2:$B$101,0)),"확인 불가"))</f>
        <v>퍼즐</v>
      </c>
      <c r="C170" s="47" t="str">
        <f aca="false">IFERROR(INDEX('4-5 매출 Top100(참조)'!$E$2:$E$101,MATCH($A170,'4-5 매출 Top100(참조)'!$B$2:$B$101,0)),IFERROR(INDEX('4-4 Google Play Top100(참조)'!$E$2:$E$101,MATCH($A170,'4-4 Google Play Top100(참조)'!$B$2:$B$101,0)),"-"))</f>
        <v>워드</v>
      </c>
      <c r="D170" s="49" t="n">
        <f aca="false">INDEX('4-6 매출-다운로드 비교(참조)'!$B$6:$B$177,MATCH($A170,'4-6 매출-다운로드 비교(참조)'!$A$6:$A$177,0))</f>
        <v>94</v>
      </c>
      <c r="E170" s="49" t="str">
        <f aca="false">INDEX('4-6 매출-다운로드 비교(참조)'!$C$6:$C$177,MATCH($A170,'4-6 매출-다운로드 비교(참조)'!$A$6:$A$177,0))</f>
        <v>-</v>
      </c>
      <c r="F170" s="47" t="str">
        <f aca="false">INDEX('4-6 매출-다운로드 비교(참조)'!$H$6:$H$177,MATCH($A170,'4-6 매출-다운로드 비교(참조)'!$A$6:$A$177,0))</f>
        <v>④ 둘 다 기준 밖</v>
      </c>
      <c r="G170" s="49" t="str">
        <f aca="false">IF(OR(ISNUMBER(D170),F170="③ 다운로드만 높음"),"후보","후보 아님")</f>
        <v>후보</v>
      </c>
      <c r="H170" s="49" t="n">
        <f aca="false">IF(G170&lt;&gt;"후보","",IFERROR(INDEX($H$18:$H$54,MATCH(K170,$K$18:$K$54,0)),""))</f>
        <v>91</v>
      </c>
      <c r="I170" s="89" t="str">
        <f aca="false">IF(G170&lt;&gt;"후보","-",IFERROR(INDEX($I$18:$I$54,MATCH(K170,$K$18:$K$54,0)),"판단 보류"))</f>
        <v>2인 가능</v>
      </c>
      <c r="J170" s="47"/>
      <c r="K170" s="47" t="str">
        <f aca="false">B170&amp;"|"&amp;C170</f>
        <v>퍼즐|워드</v>
      </c>
    </row>
    <row r="171" customFormat="false" ht="17.15" hidden="false" customHeight="false" outlineLevel="0" collapsed="false">
      <c r="A171" s="78" t="s">
        <v>955</v>
      </c>
      <c r="B171" s="47" t="str">
        <f aca="false">IFERROR(INDEX('4-5 매출 Top100(참조)'!$D$2:$D$101,MATCH($A171,'4-5 매출 Top100(참조)'!$B$2:$B$101,0)),IFERROR(INDEX('4-4 Google Play Top100(참조)'!$D$2:$D$101,MATCH($A171,'4-4 Google Play Top100(참조)'!$B$2:$B$101,0)),"확인 불가"))</f>
        <v>퍼즐</v>
      </c>
      <c r="C171" s="47" t="str">
        <f aca="false">IFERROR(INDEX('4-5 매출 Top100(참조)'!$E$2:$E$101,MATCH($A171,'4-5 매출 Top100(참조)'!$B$2:$B$101,0)),IFERROR(INDEX('4-4 Google Play Top100(참조)'!$E$2:$E$101,MATCH($A171,'4-4 Google Play Top100(참조)'!$B$2:$B$101,0)),"-"))</f>
        <v>머지</v>
      </c>
      <c r="D171" s="49" t="n">
        <f aca="false">INDEX('4-6 매출-다운로드 비교(참조)'!$B$6:$B$177,MATCH($A171,'4-6 매출-다운로드 비교(참조)'!$A$6:$A$177,0))</f>
        <v>95</v>
      </c>
      <c r="E171" s="49" t="str">
        <f aca="false">INDEX('4-6 매출-다운로드 비교(참조)'!$C$6:$C$177,MATCH($A171,'4-6 매출-다운로드 비교(참조)'!$A$6:$A$177,0))</f>
        <v>-</v>
      </c>
      <c r="F171" s="47" t="str">
        <f aca="false">INDEX('4-6 매출-다운로드 비교(참조)'!$H$6:$H$177,MATCH($A171,'4-6 매출-다운로드 비교(참조)'!$A$6:$A$177,0))</f>
        <v>④ 둘 다 기준 밖</v>
      </c>
      <c r="G171" s="49" t="str">
        <f aca="false">IF(OR(ISNUMBER(D171),F171="③ 다운로드만 높음"),"후보","후보 아님")</f>
        <v>후보</v>
      </c>
      <c r="H171" s="49" t="n">
        <f aca="false">IF(G171&lt;&gt;"후보","",IFERROR(INDEX($H$18:$H$54,MATCH(K171,$K$18:$K$54,0)),""))</f>
        <v>56</v>
      </c>
      <c r="I171" s="89" t="str">
        <f aca="false">IF(G171&lt;&gt;"후보","-",IFERROR(INDEX($I$18:$I$54,MATCH(K171,$K$18:$K$54,0)),"판단 보류"))</f>
        <v>조건부 (범위를 줄이면)</v>
      </c>
      <c r="J171" s="47"/>
      <c r="K171" s="47" t="str">
        <f aca="false">B171&amp;"|"&amp;C171</f>
        <v>퍼즐|머지</v>
      </c>
    </row>
    <row r="172" customFormat="false" ht="17.15" hidden="false" customHeight="false" outlineLevel="0" collapsed="false">
      <c r="A172" s="78" t="s">
        <v>417</v>
      </c>
      <c r="B172" s="47" t="str">
        <f aca="false">IFERROR(INDEX('4-5 매출 Top100(참조)'!$D$2:$D$101,MATCH($A172,'4-5 매출 Top100(참조)'!$B$2:$B$101,0)),IFERROR(INDEX('4-4 Google Play Top100(참조)'!$D$2:$D$101,MATCH($A172,'4-4 Google Play Top100(참조)'!$B$2:$B$101,0)),"확인 불가"))</f>
        <v>전략</v>
      </c>
      <c r="C172" s="47" t="str">
        <f aca="false">IFERROR(INDEX('4-5 매출 Top100(참조)'!$E$2:$E$101,MATCH($A172,'4-5 매출 Top100(참조)'!$B$2:$B$101,0)),IFERROR(INDEX('4-4 Google Play Top100(참조)'!$E$2:$E$101,MATCH($A172,'4-4 Google Play Top100(참조)'!$B$2:$B$101,0)),"-"))</f>
        <v>실시간 카드 배틀</v>
      </c>
      <c r="D172" s="49" t="n">
        <f aca="false">INDEX('4-6 매출-다운로드 비교(참조)'!$B$6:$B$177,MATCH($A172,'4-6 매출-다운로드 비교(참조)'!$A$6:$A$177,0))</f>
        <v>96</v>
      </c>
      <c r="E172" s="49" t="str">
        <f aca="false">INDEX('4-6 매출-다운로드 비교(참조)'!$C$6:$C$177,MATCH($A172,'4-6 매출-다운로드 비교(참조)'!$A$6:$A$177,0))</f>
        <v>-</v>
      </c>
      <c r="F172" s="47" t="str">
        <f aca="false">INDEX('4-6 매출-다운로드 비교(참조)'!$H$6:$H$177,MATCH($A172,'4-6 매출-다운로드 비교(참조)'!$A$6:$A$177,0))</f>
        <v>④ 둘 다 기준 밖</v>
      </c>
      <c r="G172" s="49" t="str">
        <f aca="false">IF(OR(ISNUMBER(D172),F172="③ 다운로드만 높음"),"후보","후보 아님")</f>
        <v>후보</v>
      </c>
      <c r="H172" s="49" t="n">
        <f aca="false">IF(G172&lt;&gt;"후보","",IFERROR(INDEX($H$18:$H$54,MATCH(K172,$K$18:$K$54,0)),""))</f>
        <v>33</v>
      </c>
      <c r="I172" s="89" t="str">
        <f aca="false">IF(G172&lt;&gt;"후보","-",IFERROR(INDEX($I$18:$I$54,MATCH(K172,$K$18:$K$54,0)),"판단 보류"))</f>
        <v>2인 어려움</v>
      </c>
      <c r="J172" s="47"/>
      <c r="K172" s="47" t="str">
        <f aca="false">B172&amp;"|"&amp;C172</f>
        <v>전략|실시간 카드 배틀</v>
      </c>
    </row>
    <row r="173" customFormat="false" ht="17.15" hidden="false" customHeight="false" outlineLevel="0" collapsed="false">
      <c r="A173" s="78" t="s">
        <v>956</v>
      </c>
      <c r="B173" s="47" t="str">
        <f aca="false">IFERROR(INDEX('4-5 매출 Top100(참조)'!$D$2:$D$101,MATCH($A173,'4-5 매출 Top100(참조)'!$B$2:$B$101,0)),IFERROR(INDEX('4-4 Google Play Top100(참조)'!$D$2:$D$101,MATCH($A173,'4-4 Google Play Top100(참조)'!$B$2:$B$101,0)),"확인 불가"))</f>
        <v>퍼즐</v>
      </c>
      <c r="C173" s="47" t="str">
        <f aca="false">IFERROR(INDEX('4-5 매출 Top100(참조)'!$E$2:$E$101,MATCH($A173,'4-5 매출 Top100(참조)'!$B$2:$B$101,0)),IFERROR(INDEX('4-4 Google Play Top100(참조)'!$E$2:$E$101,MATCH($A173,'4-4 Google Play Top100(참조)'!$B$2:$B$101,0)),"-"))</f>
        <v>정렬·잼</v>
      </c>
      <c r="D173" s="49" t="n">
        <f aca="false">INDEX('4-6 매출-다운로드 비교(참조)'!$B$6:$B$177,MATCH($A173,'4-6 매출-다운로드 비교(참조)'!$A$6:$A$177,0))</f>
        <v>97</v>
      </c>
      <c r="E173" s="49" t="n">
        <f aca="false">INDEX('4-6 매출-다운로드 비교(참조)'!$C$6:$C$177,MATCH($A173,'4-6 매출-다운로드 비교(참조)'!$A$6:$A$177,0))</f>
        <v>24</v>
      </c>
      <c r="F173" s="47" t="str">
        <f aca="false">INDEX('4-6 매출-다운로드 비교(참조)'!$H$6:$H$177,MATCH($A173,'4-6 매출-다운로드 비교(참조)'!$A$6:$A$177,0))</f>
        <v>③ 다운로드만 높음</v>
      </c>
      <c r="G173" s="49" t="str">
        <f aca="false">IF(OR(ISNUMBER(D173),F173="③ 다운로드만 높음"),"후보","후보 아님")</f>
        <v>후보</v>
      </c>
      <c r="H173" s="49" t="n">
        <f aca="false">IF(G173&lt;&gt;"후보","",IFERROR(INDEX($H$18:$H$54,MATCH(K173,$K$18:$K$54,0)),""))</f>
        <v>92</v>
      </c>
      <c r="I173" s="89" t="str">
        <f aca="false">IF(G173&lt;&gt;"후보","-",IFERROR(INDEX($I$18:$I$54,MATCH(K173,$K$18:$K$54,0)),"판단 보류"))</f>
        <v>2인 가능</v>
      </c>
      <c r="J173" s="47"/>
      <c r="K173" s="47" t="str">
        <f aca="false">B173&amp;"|"&amp;C173</f>
        <v>퍼즐|정렬·잼</v>
      </c>
    </row>
    <row r="174" customFormat="false" ht="17.15" hidden="false" customHeight="false" outlineLevel="0" collapsed="false">
      <c r="A174" s="78" t="s">
        <v>957</v>
      </c>
      <c r="B174" s="47" t="str">
        <f aca="false">IFERROR(INDEX('4-5 매출 Top100(참조)'!$D$2:$D$101,MATCH($A174,'4-5 매출 Top100(참조)'!$B$2:$B$101,0)),IFERROR(INDEX('4-4 Google Play Top100(참조)'!$D$2:$D$101,MATCH($A174,'4-4 Google Play Top100(참조)'!$B$2:$B$101,0)),"확인 불가"))</f>
        <v>하이퍼·하이브리드 캐주얼</v>
      </c>
      <c r="C174" s="47" t="str">
        <f aca="false">IFERROR(INDEX('4-5 매출 Top100(참조)'!$E$2:$E$101,MATCH($A174,'4-5 매출 Top100(참조)'!$B$2:$B$101,0)),IFERROR(INDEX('4-4 Google Play Top100(참조)'!$E$2:$E$101,MATCH($A174,'4-4 Google Play Top100(참조)'!$B$2:$B$101,0)),"-"))</f>
        <v>물리 파괴</v>
      </c>
      <c r="D174" s="49" t="n">
        <f aca="false">INDEX('4-6 매출-다운로드 비교(참조)'!$B$6:$B$177,MATCH($A174,'4-6 매출-다운로드 비교(참조)'!$A$6:$A$177,0))</f>
        <v>98</v>
      </c>
      <c r="E174" s="49" t="n">
        <f aca="false">INDEX('4-6 매출-다운로드 비교(참조)'!$C$6:$C$177,MATCH($A174,'4-6 매출-다운로드 비교(참조)'!$A$6:$A$177,0))</f>
        <v>3</v>
      </c>
      <c r="F174" s="47" t="str">
        <f aca="false">INDEX('4-6 매출-다운로드 비교(참조)'!$H$6:$H$177,MATCH($A174,'4-6 매출-다운로드 비교(참조)'!$A$6:$A$177,0))</f>
        <v>③ 다운로드만 높음</v>
      </c>
      <c r="G174" s="49" t="str">
        <f aca="false">IF(OR(ISNUMBER(D174),F174="③ 다운로드만 높음"),"후보","후보 아님")</f>
        <v>후보</v>
      </c>
      <c r="H174" s="49" t="n">
        <f aca="false">IF(G174&lt;&gt;"후보","",IFERROR(INDEX($H$18:$H$54,MATCH(K174,$K$18:$K$54,0)),""))</f>
        <v>79</v>
      </c>
      <c r="I174" s="89" t="str">
        <f aca="false">IF(G174&lt;&gt;"후보","-",IFERROR(INDEX($I$18:$I$54,MATCH(K174,$K$18:$K$54,0)),"판단 보류"))</f>
        <v>2인 가능</v>
      </c>
      <c r="J174" s="47"/>
      <c r="K174" s="47" t="str">
        <f aca="false">B174&amp;"|"&amp;C174</f>
        <v>하이퍼·하이브리드 캐주얼|물리 파괴</v>
      </c>
    </row>
    <row r="175" customFormat="false" ht="17.15" hidden="false" customHeight="false" outlineLevel="0" collapsed="false">
      <c r="A175" s="78" t="s">
        <v>958</v>
      </c>
      <c r="B175" s="47" t="str">
        <f aca="false">IFERROR(INDEX('4-5 매출 Top100(참조)'!$D$2:$D$101,MATCH($A175,'4-5 매출 Top100(참조)'!$B$2:$B$101,0)),IFERROR(INDEX('4-4 Google Play Top100(참조)'!$D$2:$D$101,MATCH($A175,'4-4 Google Play Top100(참조)'!$B$2:$B$101,0)),"확인 불가"))</f>
        <v>퍼즐</v>
      </c>
      <c r="C175" s="47" t="str">
        <f aca="false">IFERROR(INDEX('4-5 매출 Top100(참조)'!$E$2:$E$101,MATCH($A175,'4-5 매출 Top100(참조)'!$B$2:$B$101,0)),IFERROR(INDEX('4-4 Google Play Top100(참조)'!$E$2:$E$101,MATCH($A175,'4-4 Google Play Top100(참조)'!$B$2:$B$101,0)),"-"))</f>
        <v>매치3</v>
      </c>
      <c r="D175" s="49" t="n">
        <f aca="false">INDEX('4-6 매출-다운로드 비교(참조)'!$B$6:$B$177,MATCH($A175,'4-6 매출-다운로드 비교(참조)'!$A$6:$A$177,0))</f>
        <v>99</v>
      </c>
      <c r="E175" s="49" t="str">
        <f aca="false">INDEX('4-6 매출-다운로드 비교(참조)'!$C$6:$C$177,MATCH($A175,'4-6 매출-다운로드 비교(참조)'!$A$6:$A$177,0))</f>
        <v>-</v>
      </c>
      <c r="F175" s="47" t="str">
        <f aca="false">INDEX('4-6 매출-다운로드 비교(참조)'!$H$6:$H$177,MATCH($A175,'4-6 매출-다운로드 비교(참조)'!$A$6:$A$177,0))</f>
        <v>④ 둘 다 기준 밖</v>
      </c>
      <c r="G175" s="49" t="str">
        <f aca="false">IF(OR(ISNUMBER(D175),F175="③ 다운로드만 높음"),"후보","후보 아님")</f>
        <v>후보</v>
      </c>
      <c r="H175" s="49" t="n">
        <f aca="false">IF(G175&lt;&gt;"후보","",IFERROR(INDEX($H$18:$H$54,MATCH(K175,$K$18:$K$54,0)),""))</f>
        <v>60</v>
      </c>
      <c r="I175" s="89" t="str">
        <f aca="false">IF(G175&lt;&gt;"후보","-",IFERROR(INDEX($I$18:$I$54,MATCH(K175,$K$18:$K$54,0)),"판단 보류"))</f>
        <v>조건부 (범위를 줄이면)</v>
      </c>
      <c r="J175" s="47"/>
      <c r="K175" s="47" t="str">
        <f aca="false">B175&amp;"|"&amp;C175</f>
        <v>퍼즐|매치3</v>
      </c>
    </row>
    <row r="176" customFormat="false" ht="17.15" hidden="false" customHeight="false" outlineLevel="0" collapsed="false">
      <c r="A176" s="78" t="s">
        <v>959</v>
      </c>
      <c r="B176" s="47" t="str">
        <f aca="false">IFERROR(INDEX('4-5 매출 Top100(참조)'!$D$2:$D$101,MATCH($A176,'4-5 매출 Top100(참조)'!$B$2:$B$101,0)),IFERROR(INDEX('4-4 Google Play Top100(참조)'!$D$2:$D$101,MATCH($A176,'4-4 Google Play Top100(참조)'!$B$2:$B$101,0)),"확인 불가"))</f>
        <v>RPG</v>
      </c>
      <c r="C176" s="47" t="str">
        <f aca="false">IFERROR(INDEX('4-5 매출 Top100(참조)'!$E$2:$E$101,MATCH($A176,'4-5 매출 Top100(참조)'!$B$2:$B$101,0)),IFERROR(INDEX('4-4 Google Play Top100(참조)'!$E$2:$E$101,MATCH($A176,'4-4 Google Play Top100(참조)'!$B$2:$B$101,0)),"-"))</f>
        <v>수집형 오픈월드</v>
      </c>
      <c r="D176" s="49" t="n">
        <f aca="false">INDEX('4-6 매출-다운로드 비교(참조)'!$B$6:$B$177,MATCH($A176,'4-6 매출-다운로드 비교(참조)'!$A$6:$A$177,0))</f>
        <v>100</v>
      </c>
      <c r="E176" s="49" t="str">
        <f aca="false">INDEX('4-6 매출-다운로드 비교(참조)'!$C$6:$C$177,MATCH($A176,'4-6 매출-다운로드 비교(참조)'!$A$6:$A$177,0))</f>
        <v>-</v>
      </c>
      <c r="F176" s="47" t="str">
        <f aca="false">INDEX('4-6 매출-다운로드 비교(참조)'!$H$6:$H$177,MATCH($A176,'4-6 매출-다운로드 비교(참조)'!$A$6:$A$177,0))</f>
        <v>④ 둘 다 기준 밖</v>
      </c>
      <c r="G176" s="49" t="str">
        <f aca="false">IF(OR(ISNUMBER(D176),F176="③ 다운로드만 높음"),"후보","후보 아님")</f>
        <v>후보</v>
      </c>
      <c r="H176" s="49" t="n">
        <f aca="false">IF(G176&lt;&gt;"후보","",IFERROR(INDEX($H$18:$H$54,MATCH(K176,$K$18:$K$54,0)),""))</f>
        <v>24</v>
      </c>
      <c r="I176" s="89" t="str">
        <f aca="false">IF(G176&lt;&gt;"후보","-",IFERROR(INDEX($I$18:$I$54,MATCH(K176,$K$18:$K$54,0)),"판단 보류"))</f>
        <v>2인 어려움</v>
      </c>
      <c r="J176" s="47"/>
      <c r="K176" s="47" t="str">
        <f aca="false">B176&amp;"|"&amp;C176</f>
        <v>RPG|수집형 오픈월드</v>
      </c>
    </row>
    <row r="177" customFormat="false" ht="17.15" hidden="false" customHeight="false" outlineLevel="0" collapsed="false">
      <c r="A177" s="78" t="s">
        <v>178</v>
      </c>
      <c r="B177" s="47" t="str">
        <f aca="false">IFERROR(INDEX('4-5 매출 Top100(참조)'!$D$2:$D$101,MATCH($A177,'4-5 매출 Top100(참조)'!$B$2:$B$101,0)),IFERROR(INDEX('4-4 Google Play Top100(참조)'!$D$2:$D$101,MATCH($A177,'4-4 Google Play Top100(참조)'!$B$2:$B$101,0)),"확인 불가"))</f>
        <v>퍼즐</v>
      </c>
      <c r="C177" s="47" t="str">
        <f aca="false">IFERROR(INDEX('4-5 매출 Top100(참조)'!$E$2:$E$101,MATCH($A177,'4-5 매출 Top100(참조)'!$B$2:$B$101,0)),IFERROR(INDEX('4-4 Google Play Top100(참조)'!$E$2:$E$101,MATCH($A177,'4-4 Google Play Top100(참조)'!$B$2:$B$101,0)),"-"))</f>
        <v>정렬·잼</v>
      </c>
      <c r="D177" s="49" t="str">
        <f aca="false">INDEX('4-6 매출-다운로드 비교(참조)'!$B$6:$B$177,MATCH($A177,'4-6 매출-다운로드 비교(참조)'!$A$6:$A$177,0))</f>
        <v>-</v>
      </c>
      <c r="E177" s="49" t="n">
        <f aca="false">INDEX('4-6 매출-다운로드 비교(참조)'!$C$6:$C$177,MATCH($A177,'4-6 매출-다운로드 비교(참조)'!$A$6:$A$177,0))</f>
        <v>1</v>
      </c>
      <c r="F177" s="47" t="str">
        <f aca="false">INDEX('4-6 매출-다운로드 비교(참조)'!$H$6:$H$177,MATCH($A177,'4-6 매출-다운로드 비교(참조)'!$A$6:$A$177,0))</f>
        <v>③ 다운로드만 높음</v>
      </c>
      <c r="G177" s="49" t="str">
        <f aca="false">IF(OR(ISNUMBER(D177),F177="③ 다운로드만 높음"),"후보","후보 아님")</f>
        <v>후보</v>
      </c>
      <c r="H177" s="49" t="n">
        <f aca="false">IF(G177&lt;&gt;"후보","",IFERROR(INDEX($H$18:$H$54,MATCH(K177,$K$18:$K$54,0)),""))</f>
        <v>92</v>
      </c>
      <c r="I177" s="89" t="str">
        <f aca="false">IF(G177&lt;&gt;"후보","-",IFERROR(INDEX($I$18:$I$54,MATCH(K177,$K$18:$K$54,0)),"판단 보류"))</f>
        <v>2인 가능</v>
      </c>
      <c r="J177" s="47"/>
      <c r="K177" s="47" t="str">
        <f aca="false">B177&amp;"|"&amp;C177</f>
        <v>퍼즐|정렬·잼</v>
      </c>
    </row>
    <row r="178" customFormat="false" ht="17.15" hidden="false" customHeight="false" outlineLevel="0" collapsed="false">
      <c r="A178" s="78" t="s">
        <v>960</v>
      </c>
      <c r="B178" s="47" t="str">
        <f aca="false">IFERROR(INDEX('4-5 매출 Top100(참조)'!$D$2:$D$101,MATCH($A178,'4-5 매출 Top100(참조)'!$B$2:$B$101,0)),IFERROR(INDEX('4-4 Google Play Top100(참조)'!$D$2:$D$101,MATCH($A178,'4-4 Google Play Top100(참조)'!$B$2:$B$101,0)),"확인 불가"))</f>
        <v>퍼즐</v>
      </c>
      <c r="C178" s="47" t="str">
        <f aca="false">IFERROR(INDEX('4-5 매출 Top100(참조)'!$E$2:$E$101,MATCH($A178,'4-5 매출 Top100(참조)'!$B$2:$B$101,0)),IFERROR(INDEX('4-4 Google Play Top100(참조)'!$E$2:$E$101,MATCH($A178,'4-4 Google Play Top100(참조)'!$B$2:$B$101,0)),"-"))</f>
        <v>로직·두뇌 트릭</v>
      </c>
      <c r="D178" s="49" t="str">
        <f aca="false">INDEX('4-6 매출-다운로드 비교(참조)'!$B$6:$B$177,MATCH($A178,'4-6 매출-다운로드 비교(참조)'!$A$6:$A$177,0))</f>
        <v>-</v>
      </c>
      <c r="E178" s="49" t="n">
        <f aca="false">INDEX('4-6 매출-다운로드 비교(참조)'!$C$6:$C$177,MATCH($A178,'4-6 매출-다운로드 비교(참조)'!$A$6:$A$177,0))</f>
        <v>2</v>
      </c>
      <c r="F178" s="47" t="str">
        <f aca="false">INDEX('4-6 매출-다운로드 비교(참조)'!$H$6:$H$177,MATCH($A178,'4-6 매출-다운로드 비교(참조)'!$A$6:$A$177,0))</f>
        <v>③ 다운로드만 높음</v>
      </c>
      <c r="G178" s="49" t="str">
        <f aca="false">IF(OR(ISNUMBER(D178),F178="③ 다운로드만 높음"),"후보","후보 아님")</f>
        <v>후보</v>
      </c>
      <c r="H178" s="49" t="n">
        <f aca="false">IF(G178&lt;&gt;"후보","",IFERROR(INDEX($H$18:$H$54,MATCH(K178,$K$18:$K$54,0)),""))</f>
        <v>82</v>
      </c>
      <c r="I178" s="89" t="str">
        <f aca="false">IF(G178&lt;&gt;"후보","-",IFERROR(INDEX($I$18:$I$54,MATCH(K178,$K$18:$K$54,0)),"판단 보류"))</f>
        <v>2인 가능</v>
      </c>
      <c r="J178" s="47"/>
      <c r="K178" s="47" t="str">
        <f aca="false">B178&amp;"|"&amp;C178</f>
        <v>퍼즐|로직·두뇌 트릭</v>
      </c>
    </row>
    <row r="179" customFormat="false" ht="17.15" hidden="false" customHeight="false" outlineLevel="0" collapsed="false">
      <c r="A179" s="78" t="s">
        <v>365</v>
      </c>
      <c r="B179" s="47" t="str">
        <f aca="false">IFERROR(INDEX('4-5 매출 Top100(참조)'!$D$2:$D$101,MATCH($A179,'4-5 매출 Top100(참조)'!$B$2:$B$101,0)),IFERROR(INDEX('4-4 Google Play Top100(참조)'!$D$2:$D$101,MATCH($A179,'4-4 Google Play Top100(참조)'!$B$2:$B$101,0)),"확인 불가"))</f>
        <v>퍼즐</v>
      </c>
      <c r="C179" s="47" t="str">
        <f aca="false">IFERROR(INDEX('4-5 매출 Top100(참조)'!$E$2:$E$101,MATCH($A179,'4-5 매출 Top100(참조)'!$B$2:$B$101,0)),IFERROR(INDEX('4-4 Google Play Top100(참조)'!$E$2:$E$101,MATCH($A179,'4-4 Google Play Top100(참조)'!$B$2:$B$101,0)),"-"))</f>
        <v>타일·마작·트리플 매치</v>
      </c>
      <c r="D179" s="49" t="str">
        <f aca="false">INDEX('4-6 매출-다운로드 비교(참조)'!$B$6:$B$177,MATCH($A179,'4-6 매출-다운로드 비교(참조)'!$A$6:$A$177,0))</f>
        <v>-</v>
      </c>
      <c r="E179" s="49" t="n">
        <f aca="false">INDEX('4-6 매출-다운로드 비교(참조)'!$C$6:$C$177,MATCH($A179,'4-6 매출-다운로드 비교(참조)'!$A$6:$A$177,0))</f>
        <v>5</v>
      </c>
      <c r="F179" s="47" t="str">
        <f aca="false">INDEX('4-6 매출-다운로드 비교(참조)'!$H$6:$H$177,MATCH($A179,'4-6 매출-다운로드 비교(참조)'!$A$6:$A$177,0))</f>
        <v>③ 다운로드만 높음</v>
      </c>
      <c r="G179" s="49" t="str">
        <f aca="false">IF(OR(ISNUMBER(D179),F179="③ 다운로드만 높음"),"후보","후보 아님")</f>
        <v>후보</v>
      </c>
      <c r="H179" s="49" t="n">
        <f aca="false">IF(G179&lt;&gt;"후보","",IFERROR(INDEX($H$18:$H$54,MATCH(K179,$K$18:$K$54,0)),""))</f>
        <v>87</v>
      </c>
      <c r="I179" s="89" t="str">
        <f aca="false">IF(G179&lt;&gt;"후보","-",IFERROR(INDEX($I$18:$I$54,MATCH(K179,$K$18:$K$54,0)),"판단 보류"))</f>
        <v>2인 가능</v>
      </c>
      <c r="J179" s="47"/>
      <c r="K179" s="47" t="str">
        <f aca="false">B179&amp;"|"&amp;C179</f>
        <v>퍼즐|타일·마작·트리플 매치</v>
      </c>
    </row>
    <row r="180" customFormat="false" ht="17.15" hidden="false" customHeight="false" outlineLevel="0" collapsed="false">
      <c r="A180" s="78" t="s">
        <v>961</v>
      </c>
      <c r="B180" s="47" t="str">
        <f aca="false">IFERROR(INDEX('4-5 매출 Top100(참조)'!$D$2:$D$101,MATCH($A180,'4-5 매출 Top100(참조)'!$B$2:$B$101,0)),IFERROR(INDEX('4-4 Google Play Top100(참조)'!$D$2:$D$101,MATCH($A180,'4-4 Google Play Top100(참조)'!$B$2:$B$101,0)),"확인 불가"))</f>
        <v>하이퍼·하이브리드 캐주얼</v>
      </c>
      <c r="C180" s="47" t="str">
        <f aca="false">IFERROR(INDEX('4-5 매출 Top100(참조)'!$E$2:$E$101,MATCH($A180,'4-5 매출 Top100(참조)'!$B$2:$B$101,0)),IFERROR(INDEX('4-4 Google Play Top100(참조)'!$E$2:$E$101,MATCH($A180,'4-4 Google Play Top100(참조)'!$B$2:$B$101,0)),"-"))</f>
        <v>물리 파괴</v>
      </c>
      <c r="D180" s="49" t="str">
        <f aca="false">INDEX('4-6 매출-다운로드 비교(참조)'!$B$6:$B$177,MATCH($A180,'4-6 매출-다운로드 비교(참조)'!$A$6:$A$177,0))</f>
        <v>-</v>
      </c>
      <c r="E180" s="49" t="n">
        <f aca="false">INDEX('4-6 매출-다운로드 비교(참조)'!$C$6:$C$177,MATCH($A180,'4-6 매출-다운로드 비교(참조)'!$A$6:$A$177,0))</f>
        <v>6</v>
      </c>
      <c r="F180" s="47" t="str">
        <f aca="false">INDEX('4-6 매출-다운로드 비교(참조)'!$H$6:$H$177,MATCH($A180,'4-6 매출-다운로드 비교(참조)'!$A$6:$A$177,0))</f>
        <v>③ 다운로드만 높음</v>
      </c>
      <c r="G180" s="49" t="str">
        <f aca="false">IF(OR(ISNUMBER(D180),F180="③ 다운로드만 높음"),"후보","후보 아님")</f>
        <v>후보</v>
      </c>
      <c r="H180" s="49" t="n">
        <f aca="false">IF(G180&lt;&gt;"후보","",IFERROR(INDEX($H$18:$H$54,MATCH(K180,$K$18:$K$54,0)),""))</f>
        <v>79</v>
      </c>
      <c r="I180" s="89" t="str">
        <f aca="false">IF(G180&lt;&gt;"후보","-",IFERROR(INDEX($I$18:$I$54,MATCH(K180,$K$18:$K$54,0)),"판단 보류"))</f>
        <v>2인 가능</v>
      </c>
      <c r="J180" s="47"/>
      <c r="K180" s="47" t="str">
        <f aca="false">B180&amp;"|"&amp;C180</f>
        <v>하이퍼·하이브리드 캐주얼|물리 파괴</v>
      </c>
    </row>
    <row r="181" customFormat="false" ht="17.15" hidden="false" customHeight="false" outlineLevel="0" collapsed="false">
      <c r="A181" s="78" t="s">
        <v>181</v>
      </c>
      <c r="B181" s="47" t="str">
        <f aca="false">IFERROR(INDEX('4-5 매출 Top100(참조)'!$D$2:$D$101,MATCH($A181,'4-5 매출 Top100(참조)'!$B$2:$B$101,0)),IFERROR(INDEX('4-4 Google Play Top100(참조)'!$D$2:$D$101,MATCH($A181,'4-4 Google Play Top100(참조)'!$B$2:$B$101,0)),"확인 불가"))</f>
        <v>퍼즐</v>
      </c>
      <c r="C181" s="47" t="str">
        <f aca="false">IFERROR(INDEX('4-5 매출 Top100(참조)'!$E$2:$E$101,MATCH($A181,'4-5 매출 Top100(참조)'!$B$2:$B$101,0)),IFERROR(INDEX('4-4 Google Play Top100(참조)'!$E$2:$E$101,MATCH($A181,'4-4 Google Play Top100(참조)'!$B$2:$B$101,0)),"-"))</f>
        <v>블록</v>
      </c>
      <c r="D181" s="49" t="str">
        <f aca="false">INDEX('4-6 매출-다운로드 비교(참조)'!$B$6:$B$177,MATCH($A181,'4-6 매출-다운로드 비교(참조)'!$A$6:$A$177,0))</f>
        <v>-</v>
      </c>
      <c r="E181" s="49" t="n">
        <f aca="false">INDEX('4-6 매출-다운로드 비교(참조)'!$C$6:$C$177,MATCH($A181,'4-6 매출-다운로드 비교(참조)'!$A$6:$A$177,0))</f>
        <v>7</v>
      </c>
      <c r="F181" s="47" t="str">
        <f aca="false">INDEX('4-6 매출-다운로드 비교(참조)'!$H$6:$H$177,MATCH($A181,'4-6 매출-다운로드 비교(참조)'!$A$6:$A$177,0))</f>
        <v>③ 다운로드만 높음</v>
      </c>
      <c r="G181" s="49" t="str">
        <f aca="false">IF(OR(ISNUMBER(D181),F181="③ 다운로드만 높음"),"후보","후보 아님")</f>
        <v>후보</v>
      </c>
      <c r="H181" s="49" t="n">
        <f aca="false">IF(G181&lt;&gt;"후보","",IFERROR(INDEX($H$18:$H$54,MATCH(K181,$K$18:$K$54,0)),""))</f>
        <v>96</v>
      </c>
      <c r="I181" s="89" t="str">
        <f aca="false">IF(G181&lt;&gt;"후보","-",IFERROR(INDEX($I$18:$I$54,MATCH(K181,$K$18:$K$54,0)),"판단 보류"))</f>
        <v>2인 가능</v>
      </c>
      <c r="J181" s="47"/>
      <c r="K181" s="47" t="str">
        <f aca="false">B181&amp;"|"&amp;C181</f>
        <v>퍼즐|블록</v>
      </c>
    </row>
    <row r="182" customFormat="false" ht="17.15" hidden="false" customHeight="false" outlineLevel="0" collapsed="false">
      <c r="A182" s="78" t="s">
        <v>186</v>
      </c>
      <c r="B182" s="47" t="str">
        <f aca="false">IFERROR(INDEX('4-5 매출 Top100(참조)'!$D$2:$D$101,MATCH($A182,'4-5 매출 Top100(참조)'!$B$2:$B$101,0)),IFERROR(INDEX('4-4 Google Play Top100(참조)'!$D$2:$D$101,MATCH($A182,'4-4 Google Play Top100(참조)'!$B$2:$B$101,0)),"확인 불가"))</f>
        <v>퍼즐</v>
      </c>
      <c r="C182" s="47" t="str">
        <f aca="false">IFERROR(INDEX('4-5 매출 Top100(참조)'!$E$2:$E$101,MATCH($A182,'4-5 매출 Top100(참조)'!$B$2:$B$101,0)),IFERROR(INDEX('4-4 Google Play Top100(참조)'!$E$2:$E$101,MATCH($A182,'4-4 Google Play Top100(참조)'!$B$2:$B$101,0)),"-"))</f>
        <v>정렬·잼</v>
      </c>
      <c r="D182" s="49" t="str">
        <f aca="false">INDEX('4-6 매출-다운로드 비교(참조)'!$B$6:$B$177,MATCH($A182,'4-6 매출-다운로드 비교(참조)'!$A$6:$A$177,0))</f>
        <v>-</v>
      </c>
      <c r="E182" s="49" t="n">
        <f aca="false">INDEX('4-6 매출-다운로드 비교(참조)'!$C$6:$C$177,MATCH($A182,'4-6 매출-다운로드 비교(참조)'!$A$6:$A$177,0))</f>
        <v>8</v>
      </c>
      <c r="F182" s="47" t="str">
        <f aca="false">INDEX('4-6 매출-다운로드 비교(참조)'!$H$6:$H$177,MATCH($A182,'4-6 매출-다운로드 비교(참조)'!$A$6:$A$177,0))</f>
        <v>③ 다운로드만 높음</v>
      </c>
      <c r="G182" s="49" t="str">
        <f aca="false">IF(OR(ISNUMBER(D182),F182="③ 다운로드만 높음"),"후보","후보 아님")</f>
        <v>후보</v>
      </c>
      <c r="H182" s="49" t="n">
        <f aca="false">IF(G182&lt;&gt;"후보","",IFERROR(INDEX($H$18:$H$54,MATCH(K182,$K$18:$K$54,0)),""))</f>
        <v>92</v>
      </c>
      <c r="I182" s="89" t="str">
        <f aca="false">IF(G182&lt;&gt;"후보","-",IFERROR(INDEX($I$18:$I$54,MATCH(K182,$K$18:$K$54,0)),"판단 보류"))</f>
        <v>2인 가능</v>
      </c>
      <c r="J182" s="47"/>
      <c r="K182" s="47" t="str">
        <f aca="false">B182&amp;"|"&amp;C182</f>
        <v>퍼즐|정렬·잼</v>
      </c>
    </row>
    <row r="183" customFormat="false" ht="17.15" hidden="false" customHeight="false" outlineLevel="0" collapsed="false">
      <c r="A183" s="78" t="s">
        <v>962</v>
      </c>
      <c r="B183" s="47" t="str">
        <f aca="false">IFERROR(INDEX('4-5 매출 Top100(참조)'!$D$2:$D$101,MATCH($A183,'4-5 매출 Top100(참조)'!$B$2:$B$101,0)),IFERROR(INDEX('4-4 Google Play Top100(참조)'!$D$2:$D$101,MATCH($A183,'4-4 Google Play Top100(참조)'!$B$2:$B$101,0)),"확인 불가"))</f>
        <v>파티·음악</v>
      </c>
      <c r="C183" s="47" t="str">
        <f aca="false">IFERROR(INDEX('4-5 매출 Top100(참조)'!$E$2:$E$101,MATCH($A183,'4-5 매출 Top100(참조)'!$B$2:$B$101,0)),IFERROR(INDEX('4-4 Google Play Top100(참조)'!$E$2:$E$101,MATCH($A183,'4-4 Google Play Top100(참조)'!$B$2:$B$101,0)),"-"))</f>
        <v>밈 챌린지</v>
      </c>
      <c r="D183" s="49" t="str">
        <f aca="false">INDEX('4-6 매출-다운로드 비교(참조)'!$B$6:$B$177,MATCH($A183,'4-6 매출-다운로드 비교(참조)'!$A$6:$A$177,0))</f>
        <v>-</v>
      </c>
      <c r="E183" s="49" t="n">
        <f aca="false">INDEX('4-6 매출-다운로드 비교(참조)'!$C$6:$C$177,MATCH($A183,'4-6 매출-다운로드 비교(참조)'!$A$6:$A$177,0))</f>
        <v>10</v>
      </c>
      <c r="F183" s="47" t="str">
        <f aca="false">INDEX('4-6 매출-다운로드 비교(참조)'!$H$6:$H$177,MATCH($A183,'4-6 매출-다운로드 비교(참조)'!$A$6:$A$177,0))</f>
        <v>③ 다운로드만 높음</v>
      </c>
      <c r="G183" s="49" t="str">
        <f aca="false">IF(OR(ISNUMBER(D183),F183="③ 다운로드만 높음"),"후보","후보 아님")</f>
        <v>후보</v>
      </c>
      <c r="H183" s="49" t="n">
        <f aca="false">IF(G183&lt;&gt;"후보","",IFERROR(INDEX($H$18:$H$54,MATCH(K183,$K$18:$K$54,0)),""))</f>
        <v>69</v>
      </c>
      <c r="I183" s="89" t="str">
        <f aca="false">IF(G183&lt;&gt;"후보","-",IFERROR(INDEX($I$18:$I$54,MATCH(K183,$K$18:$K$54,0)),"판단 보류"))</f>
        <v>조건부 (범위를 줄이면)</v>
      </c>
      <c r="J183" s="47"/>
      <c r="K183" s="47" t="str">
        <f aca="false">B183&amp;"|"&amp;C183</f>
        <v>파티·음악|밈 챌린지</v>
      </c>
    </row>
    <row r="184" customFormat="false" ht="17.15" hidden="false" customHeight="false" outlineLevel="0" collapsed="false">
      <c r="A184" s="78" t="s">
        <v>963</v>
      </c>
      <c r="B184" s="47" t="str">
        <f aca="false">IFERROR(INDEX('4-5 매출 Top100(참조)'!$D$2:$D$101,MATCH($A184,'4-5 매출 Top100(참조)'!$B$2:$B$101,0)),IFERROR(INDEX('4-4 Google Play Top100(참조)'!$D$2:$D$101,MATCH($A184,'4-4 Google Play Top100(참조)'!$B$2:$B$101,0)),"확인 불가"))</f>
        <v>퍼즐</v>
      </c>
      <c r="C184" s="47" t="str">
        <f aca="false">IFERROR(INDEX('4-5 매출 Top100(참조)'!$E$2:$E$101,MATCH($A184,'4-5 매출 Top100(참조)'!$B$2:$B$101,0)),IFERROR(INDEX('4-4 Google Play Top100(참조)'!$E$2:$E$101,MATCH($A184,'4-4 Google Play Top100(참조)'!$B$2:$B$101,0)),"-"))</f>
        <v>로직·두뇌 트릭</v>
      </c>
      <c r="D184" s="49" t="str">
        <f aca="false">INDEX('4-6 매출-다운로드 비교(참조)'!$B$6:$B$177,MATCH($A184,'4-6 매출-다운로드 비교(참조)'!$A$6:$A$177,0))</f>
        <v>-</v>
      </c>
      <c r="E184" s="49" t="n">
        <f aca="false">INDEX('4-6 매출-다운로드 비교(참조)'!$C$6:$C$177,MATCH($A184,'4-6 매출-다운로드 비교(참조)'!$A$6:$A$177,0))</f>
        <v>12</v>
      </c>
      <c r="F184" s="47" t="str">
        <f aca="false">INDEX('4-6 매출-다운로드 비교(참조)'!$H$6:$H$177,MATCH($A184,'4-6 매출-다운로드 비교(참조)'!$A$6:$A$177,0))</f>
        <v>③ 다운로드만 높음</v>
      </c>
      <c r="G184" s="49" t="str">
        <f aca="false">IF(OR(ISNUMBER(D184),F184="③ 다운로드만 높음"),"후보","후보 아님")</f>
        <v>후보</v>
      </c>
      <c r="H184" s="49" t="n">
        <f aca="false">IF(G184&lt;&gt;"후보","",IFERROR(INDEX($H$18:$H$54,MATCH(K184,$K$18:$K$54,0)),""))</f>
        <v>82</v>
      </c>
      <c r="I184" s="89" t="str">
        <f aca="false">IF(G184&lt;&gt;"후보","-",IFERROR(INDEX($I$18:$I$54,MATCH(K184,$K$18:$K$54,0)),"판단 보류"))</f>
        <v>2인 가능</v>
      </c>
      <c r="J184" s="47"/>
      <c r="K184" s="47" t="str">
        <f aca="false">B184&amp;"|"&amp;C184</f>
        <v>퍼즐|로직·두뇌 트릭</v>
      </c>
    </row>
    <row r="185" customFormat="false" ht="17.15" hidden="false" customHeight="false" outlineLevel="0" collapsed="false">
      <c r="A185" s="78" t="s">
        <v>964</v>
      </c>
      <c r="B185" s="47" t="str">
        <f aca="false">IFERROR(INDEX('4-5 매출 Top100(참조)'!$D$2:$D$101,MATCH($A185,'4-5 매출 Top100(참조)'!$B$2:$B$101,0)),IFERROR(INDEX('4-4 Google Play Top100(참조)'!$D$2:$D$101,MATCH($A185,'4-4 Google Play Top100(참조)'!$B$2:$B$101,0)),"확인 불가"))</f>
        <v>퍼즐</v>
      </c>
      <c r="C185" s="47" t="str">
        <f aca="false">IFERROR(INDEX('4-5 매출 Top100(참조)'!$E$2:$E$101,MATCH($A185,'4-5 매출 Top100(참조)'!$B$2:$B$101,0)),IFERROR(INDEX('4-4 Google Play Top100(참조)'!$E$2:$E$101,MATCH($A185,'4-4 Google Play Top100(참조)'!$B$2:$B$101,0)),"-"))</f>
        <v>블록</v>
      </c>
      <c r="D185" s="49" t="str">
        <f aca="false">INDEX('4-6 매출-다운로드 비교(참조)'!$B$6:$B$177,MATCH($A185,'4-6 매출-다운로드 비교(참조)'!$A$6:$A$177,0))</f>
        <v>-</v>
      </c>
      <c r="E185" s="49" t="n">
        <f aca="false">INDEX('4-6 매출-다운로드 비교(참조)'!$C$6:$C$177,MATCH($A185,'4-6 매출-다운로드 비교(참조)'!$A$6:$A$177,0))</f>
        <v>13</v>
      </c>
      <c r="F185" s="47" t="str">
        <f aca="false">INDEX('4-6 매출-다운로드 비교(참조)'!$H$6:$H$177,MATCH($A185,'4-6 매출-다운로드 비교(참조)'!$A$6:$A$177,0))</f>
        <v>③ 다운로드만 높음</v>
      </c>
      <c r="G185" s="49" t="str">
        <f aca="false">IF(OR(ISNUMBER(D185),F185="③ 다운로드만 높음"),"후보","후보 아님")</f>
        <v>후보</v>
      </c>
      <c r="H185" s="49" t="n">
        <f aca="false">IF(G185&lt;&gt;"후보","",IFERROR(INDEX($H$18:$H$54,MATCH(K185,$K$18:$K$54,0)),""))</f>
        <v>96</v>
      </c>
      <c r="I185" s="89" t="str">
        <f aca="false">IF(G185&lt;&gt;"후보","-",IFERROR(INDEX($I$18:$I$54,MATCH(K185,$K$18:$K$54,0)),"판단 보류"))</f>
        <v>2인 가능</v>
      </c>
      <c r="J185" s="47"/>
      <c r="K185" s="47" t="str">
        <f aca="false">B185&amp;"|"&amp;C185</f>
        <v>퍼즐|블록</v>
      </c>
    </row>
    <row r="186" customFormat="false" ht="17.15" hidden="false" customHeight="false" outlineLevel="0" collapsed="false">
      <c r="A186" s="78" t="s">
        <v>965</v>
      </c>
      <c r="B186" s="47" t="str">
        <f aca="false">IFERROR(INDEX('4-5 매출 Top100(참조)'!$D$2:$D$101,MATCH($A186,'4-5 매출 Top100(참조)'!$B$2:$B$101,0)),IFERROR(INDEX('4-4 Google Play Top100(참조)'!$D$2:$D$101,MATCH($A186,'4-4 Google Play Top100(참조)'!$B$2:$B$101,0)),"확인 불가"))</f>
        <v>퍼즐</v>
      </c>
      <c r="C186" s="47" t="str">
        <f aca="false">IFERROR(INDEX('4-5 매출 Top100(참조)'!$E$2:$E$101,MATCH($A186,'4-5 매출 Top100(참조)'!$B$2:$B$101,0)),IFERROR(INDEX('4-4 Google Play Top100(참조)'!$E$2:$E$101,MATCH($A186,'4-4 Google Play Top100(참조)'!$B$2:$B$101,0)),"-"))</f>
        <v>탭 탈출</v>
      </c>
      <c r="D186" s="49" t="str">
        <f aca="false">INDEX('4-6 매출-다운로드 비교(참조)'!$B$6:$B$177,MATCH($A186,'4-6 매출-다운로드 비교(참조)'!$A$6:$A$177,0))</f>
        <v>-</v>
      </c>
      <c r="E186" s="49" t="n">
        <f aca="false">INDEX('4-6 매출-다운로드 비교(참조)'!$C$6:$C$177,MATCH($A186,'4-6 매출-다운로드 비교(참조)'!$A$6:$A$177,0))</f>
        <v>14</v>
      </c>
      <c r="F186" s="47" t="str">
        <f aca="false">INDEX('4-6 매출-다운로드 비교(참조)'!$H$6:$H$177,MATCH($A186,'4-6 매출-다운로드 비교(참조)'!$A$6:$A$177,0))</f>
        <v>③ 다운로드만 높음</v>
      </c>
      <c r="G186" s="49" t="str">
        <f aca="false">IF(OR(ISNUMBER(D186),F186="③ 다운로드만 높음"),"후보","후보 아님")</f>
        <v>후보</v>
      </c>
      <c r="H186" s="49" t="n">
        <f aca="false">IF(G186&lt;&gt;"후보","",IFERROR(INDEX($H$18:$H$54,MATCH(K186,$K$18:$K$54,0)),""))</f>
        <v>96</v>
      </c>
      <c r="I186" s="89" t="str">
        <f aca="false">IF(G186&lt;&gt;"후보","-",IFERROR(INDEX($I$18:$I$54,MATCH(K186,$K$18:$K$54,0)),"판단 보류"))</f>
        <v>2인 가능</v>
      </c>
      <c r="J186" s="47"/>
      <c r="K186" s="47" t="str">
        <f aca="false">B186&amp;"|"&amp;C186</f>
        <v>퍼즐|탭 탈출</v>
      </c>
    </row>
    <row r="187" customFormat="false" ht="17.15" hidden="false" customHeight="false" outlineLevel="0" collapsed="false">
      <c r="A187" s="78" t="s">
        <v>966</v>
      </c>
      <c r="B187" s="47" t="str">
        <f aca="false">IFERROR(INDEX('4-5 매출 Top100(참조)'!$D$2:$D$101,MATCH($A187,'4-5 매출 Top100(참조)'!$B$2:$B$101,0)),IFERROR(INDEX('4-4 Google Play Top100(참조)'!$D$2:$D$101,MATCH($A187,'4-4 Google Play Top100(참조)'!$B$2:$B$101,0)),"확인 불가"))</f>
        <v>시뮬레이션</v>
      </c>
      <c r="C187" s="47" t="str">
        <f aca="false">IFERROR(INDEX('4-5 매출 Top100(참조)'!$E$2:$E$101,MATCH($A187,'4-5 매출 Top100(참조)'!$B$2:$B$101,0)),IFERROR(INDEX('4-4 Google Play Top100(참조)'!$E$2:$E$101,MATCH($A187,'4-4 Google Play Top100(참조)'!$B$2:$B$101,0)),"-"))</f>
        <v>샌드박스</v>
      </c>
      <c r="D187" s="49" t="str">
        <f aca="false">INDEX('4-6 매출-다운로드 비교(참조)'!$B$6:$B$177,MATCH($A187,'4-6 매출-다운로드 비교(참조)'!$A$6:$A$177,0))</f>
        <v>-</v>
      </c>
      <c r="E187" s="49" t="n">
        <f aca="false">INDEX('4-6 매출-다운로드 비교(참조)'!$C$6:$C$177,MATCH($A187,'4-6 매출-다운로드 비교(참조)'!$A$6:$A$177,0))</f>
        <v>15</v>
      </c>
      <c r="F187" s="47" t="str">
        <f aca="false">INDEX('4-6 매출-다운로드 비교(참조)'!$H$6:$H$177,MATCH($A187,'4-6 매출-다운로드 비교(참조)'!$A$6:$A$177,0))</f>
        <v>③ 다운로드만 높음</v>
      </c>
      <c r="G187" s="49" t="str">
        <f aca="false">IF(OR(ISNUMBER(D187),F187="③ 다운로드만 높음"),"후보","후보 아님")</f>
        <v>후보</v>
      </c>
      <c r="H187" s="49" t="n">
        <f aca="false">IF(G187&lt;&gt;"후보","",IFERROR(INDEX($H$18:$H$54,MATCH(K187,$K$18:$K$54,0)),""))</f>
        <v>67</v>
      </c>
      <c r="I187" s="89" t="str">
        <f aca="false">IF(G187&lt;&gt;"후보","-",IFERROR(INDEX($I$18:$I$54,MATCH(K187,$K$18:$K$54,0)),"판단 보류"))</f>
        <v>조건부 (범위를 줄이면)</v>
      </c>
      <c r="J187" s="47"/>
      <c r="K187" s="47" t="str">
        <f aca="false">B187&amp;"|"&amp;C187</f>
        <v>시뮬레이션|샌드박스</v>
      </c>
    </row>
    <row r="188" customFormat="false" ht="17.15" hidden="false" customHeight="false" outlineLevel="0" collapsed="false">
      <c r="A188" s="78" t="s">
        <v>967</v>
      </c>
      <c r="B188" s="47" t="str">
        <f aca="false">IFERROR(INDEX('4-5 매출 Top100(참조)'!$D$2:$D$101,MATCH($A188,'4-5 매출 Top100(참조)'!$B$2:$B$101,0)),IFERROR(INDEX('4-4 Google Play Top100(참조)'!$D$2:$D$101,MATCH($A188,'4-4 Google Play Top100(참조)'!$B$2:$B$101,0)),"확인 불가"))</f>
        <v>퍼즐</v>
      </c>
      <c r="C188" s="47" t="str">
        <f aca="false">IFERROR(INDEX('4-5 매출 Top100(참조)'!$E$2:$E$101,MATCH($A188,'4-5 매출 Top100(참조)'!$B$2:$B$101,0)),IFERROR(INDEX('4-4 Google Play Top100(참조)'!$E$2:$E$101,MATCH($A188,'4-4 Google Play Top100(참조)'!$B$2:$B$101,0)),"-"))</f>
        <v>워드</v>
      </c>
      <c r="D188" s="49" t="str">
        <f aca="false">INDEX('4-6 매출-다운로드 비교(참조)'!$B$6:$B$177,MATCH($A188,'4-6 매출-다운로드 비교(참조)'!$A$6:$A$177,0))</f>
        <v>-</v>
      </c>
      <c r="E188" s="49" t="n">
        <f aca="false">INDEX('4-6 매출-다운로드 비교(참조)'!$C$6:$C$177,MATCH($A188,'4-6 매출-다운로드 비교(참조)'!$A$6:$A$177,0))</f>
        <v>16</v>
      </c>
      <c r="F188" s="47" t="str">
        <f aca="false">INDEX('4-6 매출-다운로드 비교(참조)'!$H$6:$H$177,MATCH($A188,'4-6 매출-다운로드 비교(참조)'!$A$6:$A$177,0))</f>
        <v>③ 다운로드만 높음</v>
      </c>
      <c r="G188" s="49" t="str">
        <f aca="false">IF(OR(ISNUMBER(D188),F188="③ 다운로드만 높음"),"후보","후보 아님")</f>
        <v>후보</v>
      </c>
      <c r="H188" s="49" t="n">
        <f aca="false">IF(G188&lt;&gt;"후보","",IFERROR(INDEX($H$18:$H$54,MATCH(K188,$K$18:$K$54,0)),""))</f>
        <v>91</v>
      </c>
      <c r="I188" s="89" t="str">
        <f aca="false">IF(G188&lt;&gt;"후보","-",IFERROR(INDEX($I$18:$I$54,MATCH(K188,$K$18:$K$54,0)),"판단 보류"))</f>
        <v>2인 가능</v>
      </c>
      <c r="J188" s="47"/>
      <c r="K188" s="47" t="str">
        <f aca="false">B188&amp;"|"&amp;C188</f>
        <v>퍼즐|워드</v>
      </c>
    </row>
    <row r="189" customFormat="false" ht="17.15" hidden="false" customHeight="false" outlineLevel="0" collapsed="false">
      <c r="A189" s="78" t="s">
        <v>968</v>
      </c>
      <c r="B189" s="47" t="str">
        <f aca="false">IFERROR(INDEX('4-5 매출 Top100(참조)'!$D$2:$D$101,MATCH($A189,'4-5 매출 Top100(참조)'!$B$2:$B$101,0)),IFERROR(INDEX('4-4 Google Play Top100(참조)'!$D$2:$D$101,MATCH($A189,'4-4 Google Play Top100(참조)'!$B$2:$B$101,0)),"확인 불가"))</f>
        <v>퍼즐</v>
      </c>
      <c r="C189" s="47" t="str">
        <f aca="false">IFERROR(INDEX('4-5 매출 Top100(참조)'!$E$2:$E$101,MATCH($A189,'4-5 매출 Top100(참조)'!$B$2:$B$101,0)),IFERROR(INDEX('4-4 Google Play Top100(참조)'!$E$2:$E$101,MATCH($A189,'4-4 Google Play Top100(참조)'!$B$2:$B$101,0)),"-"))</f>
        <v>정렬·잼</v>
      </c>
      <c r="D189" s="49" t="str">
        <f aca="false">INDEX('4-6 매출-다운로드 비교(참조)'!$B$6:$B$177,MATCH($A189,'4-6 매출-다운로드 비교(참조)'!$A$6:$A$177,0))</f>
        <v>-</v>
      </c>
      <c r="E189" s="49" t="n">
        <f aca="false">INDEX('4-6 매출-다운로드 비교(참조)'!$C$6:$C$177,MATCH($A189,'4-6 매출-다운로드 비교(참조)'!$A$6:$A$177,0))</f>
        <v>18</v>
      </c>
      <c r="F189" s="47" t="str">
        <f aca="false">INDEX('4-6 매출-다운로드 비교(참조)'!$H$6:$H$177,MATCH($A189,'4-6 매출-다운로드 비교(참조)'!$A$6:$A$177,0))</f>
        <v>③ 다운로드만 높음</v>
      </c>
      <c r="G189" s="49" t="str">
        <f aca="false">IF(OR(ISNUMBER(D189),F189="③ 다운로드만 높음"),"후보","후보 아님")</f>
        <v>후보</v>
      </c>
      <c r="H189" s="49" t="n">
        <f aca="false">IF(G189&lt;&gt;"후보","",IFERROR(INDEX($H$18:$H$54,MATCH(K189,$K$18:$K$54,0)),""))</f>
        <v>92</v>
      </c>
      <c r="I189" s="89" t="str">
        <f aca="false">IF(G189&lt;&gt;"후보","-",IFERROR(INDEX($I$18:$I$54,MATCH(K189,$K$18:$K$54,0)),"판단 보류"))</f>
        <v>2인 가능</v>
      </c>
      <c r="J189" s="47"/>
      <c r="K189" s="47" t="str">
        <f aca="false">B189&amp;"|"&amp;C189</f>
        <v>퍼즐|정렬·잼</v>
      </c>
    </row>
    <row r="190" customFormat="false" ht="17.15" hidden="false" customHeight="false" outlineLevel="0" collapsed="false">
      <c r="A190" s="78" t="s">
        <v>969</v>
      </c>
      <c r="B190" s="47" t="str">
        <f aca="false">IFERROR(INDEX('4-5 매출 Top100(참조)'!$D$2:$D$101,MATCH($A190,'4-5 매출 Top100(참조)'!$B$2:$B$101,0)),IFERROR(INDEX('4-4 Google Play Top100(참조)'!$D$2:$D$101,MATCH($A190,'4-4 Google Play Top100(참조)'!$B$2:$B$101,0)),"확인 불가"))</f>
        <v>퍼즐</v>
      </c>
      <c r="C190" s="47" t="str">
        <f aca="false">IFERROR(INDEX('4-5 매출 Top100(참조)'!$E$2:$E$101,MATCH($A190,'4-5 매출 Top100(참조)'!$B$2:$B$101,0)),IFERROR(INDEX('4-4 Google Play Top100(참조)'!$E$2:$E$101,MATCH($A190,'4-4 Google Play Top100(참조)'!$B$2:$B$101,0)),"-"))</f>
        <v>타일·마작·트리플 매치</v>
      </c>
      <c r="D190" s="49" t="str">
        <f aca="false">INDEX('4-6 매출-다운로드 비교(참조)'!$B$6:$B$177,MATCH($A190,'4-6 매출-다운로드 비교(참조)'!$A$6:$A$177,0))</f>
        <v>-</v>
      </c>
      <c r="E190" s="49" t="n">
        <f aca="false">INDEX('4-6 매출-다운로드 비교(참조)'!$C$6:$C$177,MATCH($A190,'4-6 매출-다운로드 비교(참조)'!$A$6:$A$177,0))</f>
        <v>19</v>
      </c>
      <c r="F190" s="47" t="str">
        <f aca="false">INDEX('4-6 매출-다운로드 비교(참조)'!$H$6:$H$177,MATCH($A190,'4-6 매출-다운로드 비교(참조)'!$A$6:$A$177,0))</f>
        <v>③ 다운로드만 높음</v>
      </c>
      <c r="G190" s="49" t="str">
        <f aca="false">IF(OR(ISNUMBER(D190),F190="③ 다운로드만 높음"),"후보","후보 아님")</f>
        <v>후보</v>
      </c>
      <c r="H190" s="49" t="n">
        <f aca="false">IF(G190&lt;&gt;"후보","",IFERROR(INDEX($H$18:$H$54,MATCH(K190,$K$18:$K$54,0)),""))</f>
        <v>87</v>
      </c>
      <c r="I190" s="89" t="str">
        <f aca="false">IF(G190&lt;&gt;"후보","-",IFERROR(INDEX($I$18:$I$54,MATCH(K190,$K$18:$K$54,0)),"판단 보류"))</f>
        <v>2인 가능</v>
      </c>
      <c r="J190" s="47"/>
      <c r="K190" s="47" t="str">
        <f aca="false">B190&amp;"|"&amp;C190</f>
        <v>퍼즐|타일·마작·트리플 매치</v>
      </c>
    </row>
    <row r="191" customFormat="false" ht="17.15" hidden="false" customHeight="false" outlineLevel="0" collapsed="false">
      <c r="A191" s="78" t="s">
        <v>970</v>
      </c>
      <c r="B191" s="47" t="str">
        <f aca="false">IFERROR(INDEX('4-5 매출 Top100(참조)'!$D$2:$D$101,MATCH($A191,'4-5 매출 Top100(참조)'!$B$2:$B$101,0)),IFERROR(INDEX('4-4 Google Play Top100(참조)'!$D$2:$D$101,MATCH($A191,'4-4 Google Play Top100(참조)'!$B$2:$B$101,0)),"확인 불가"))</f>
        <v>퍼즐</v>
      </c>
      <c r="C191" s="47" t="str">
        <f aca="false">IFERROR(INDEX('4-5 매출 Top100(참조)'!$E$2:$E$101,MATCH($A191,'4-5 매출 Top100(참조)'!$B$2:$B$101,0)),IFERROR(INDEX('4-4 Google Play Top100(참조)'!$E$2:$E$101,MATCH($A191,'4-4 Google Play Top100(참조)'!$B$2:$B$101,0)),"-"))</f>
        <v>정렬·잼</v>
      </c>
      <c r="D191" s="49" t="str">
        <f aca="false">INDEX('4-6 매출-다운로드 비교(참조)'!$B$6:$B$177,MATCH($A191,'4-6 매출-다운로드 비교(참조)'!$A$6:$A$177,0))</f>
        <v>-</v>
      </c>
      <c r="E191" s="49" t="n">
        <f aca="false">INDEX('4-6 매출-다운로드 비교(참조)'!$C$6:$C$177,MATCH($A191,'4-6 매출-다운로드 비교(참조)'!$A$6:$A$177,0))</f>
        <v>20</v>
      </c>
      <c r="F191" s="47" t="str">
        <f aca="false">INDEX('4-6 매출-다운로드 비교(참조)'!$H$6:$H$177,MATCH($A191,'4-6 매출-다운로드 비교(참조)'!$A$6:$A$177,0))</f>
        <v>③ 다운로드만 높음</v>
      </c>
      <c r="G191" s="49" t="str">
        <f aca="false">IF(OR(ISNUMBER(D191),F191="③ 다운로드만 높음"),"후보","후보 아님")</f>
        <v>후보</v>
      </c>
      <c r="H191" s="49" t="n">
        <f aca="false">IF(G191&lt;&gt;"후보","",IFERROR(INDEX($H$18:$H$54,MATCH(K191,$K$18:$K$54,0)),""))</f>
        <v>92</v>
      </c>
      <c r="I191" s="89" t="str">
        <f aca="false">IF(G191&lt;&gt;"후보","-",IFERROR(INDEX($I$18:$I$54,MATCH(K191,$K$18:$K$54,0)),"판단 보류"))</f>
        <v>2인 가능</v>
      </c>
      <c r="J191" s="47"/>
      <c r="K191" s="47" t="str">
        <f aca="false">B191&amp;"|"&amp;C191</f>
        <v>퍼즐|정렬·잼</v>
      </c>
    </row>
    <row r="192" customFormat="false" ht="17.15" hidden="false" customHeight="false" outlineLevel="0" collapsed="false">
      <c r="A192" s="78" t="s">
        <v>863</v>
      </c>
      <c r="B192" s="47" t="str">
        <f aca="false">IFERROR(INDEX('4-5 매출 Top100(참조)'!$D$2:$D$101,MATCH($A192,'4-5 매출 Top100(참조)'!$B$2:$B$101,0)),IFERROR(INDEX('4-4 Google Play Top100(참조)'!$D$2:$D$101,MATCH($A192,'4-4 Google Play Top100(참조)'!$B$2:$B$101,0)),"확인 불가"))</f>
        <v>퍼즐</v>
      </c>
      <c r="C192" s="47" t="str">
        <f aca="false">IFERROR(INDEX('4-5 매출 Top100(참조)'!$E$2:$E$101,MATCH($A192,'4-5 매출 Top100(참조)'!$B$2:$B$101,0)),IFERROR(INDEX('4-4 Google Play Top100(참조)'!$E$2:$E$101,MATCH($A192,'4-4 Google Play Top100(참조)'!$B$2:$B$101,0)),"-"))</f>
        <v>탭 탈출</v>
      </c>
      <c r="D192" s="49" t="str">
        <f aca="false">INDEX('4-6 매출-다운로드 비교(참조)'!$B$6:$B$177,MATCH($A192,'4-6 매출-다운로드 비교(참조)'!$A$6:$A$177,0))</f>
        <v>-</v>
      </c>
      <c r="E192" s="49" t="n">
        <f aca="false">INDEX('4-6 매출-다운로드 비교(참조)'!$C$6:$C$177,MATCH($A192,'4-6 매출-다운로드 비교(참조)'!$A$6:$A$177,0))</f>
        <v>23</v>
      </c>
      <c r="F192" s="47" t="str">
        <f aca="false">INDEX('4-6 매출-다운로드 비교(참조)'!$H$6:$H$177,MATCH($A192,'4-6 매출-다운로드 비교(참조)'!$A$6:$A$177,0))</f>
        <v>③ 다운로드만 높음</v>
      </c>
      <c r="G192" s="49" t="str">
        <f aca="false">IF(OR(ISNUMBER(D192),F192="③ 다운로드만 높음"),"후보","후보 아님")</f>
        <v>후보</v>
      </c>
      <c r="H192" s="49" t="n">
        <f aca="false">IF(G192&lt;&gt;"후보","",IFERROR(INDEX($H$18:$H$54,MATCH(K192,$K$18:$K$54,0)),""))</f>
        <v>96</v>
      </c>
      <c r="I192" s="89" t="str">
        <f aca="false">IF(G192&lt;&gt;"후보","-",IFERROR(INDEX($I$18:$I$54,MATCH(K192,$K$18:$K$54,0)),"판단 보류"))</f>
        <v>2인 가능</v>
      </c>
      <c r="J192" s="47"/>
      <c r="K192" s="47" t="str">
        <f aca="false">B192&amp;"|"&amp;C192</f>
        <v>퍼즐|탭 탈출</v>
      </c>
    </row>
    <row r="193" customFormat="false" ht="17.15" hidden="false" customHeight="false" outlineLevel="0" collapsed="false">
      <c r="A193" s="78" t="s">
        <v>426</v>
      </c>
      <c r="B193" s="47" t="str">
        <f aca="false">IFERROR(INDEX('4-5 매출 Top100(참조)'!$D$2:$D$101,MATCH($A193,'4-5 매출 Top100(참조)'!$B$2:$B$101,0)),IFERROR(INDEX('4-4 Google Play Top100(참조)'!$D$2:$D$101,MATCH($A193,'4-4 Google Play Top100(참조)'!$B$2:$B$101,0)),"확인 불가"))</f>
        <v>액션·슈팅</v>
      </c>
      <c r="C193" s="47" t="str">
        <f aca="false">IFERROR(INDEX('4-5 매출 Top100(참조)'!$E$2:$E$101,MATCH($A193,'4-5 매출 Top100(참조)'!$B$2:$B$101,0)),IFERROR(INDEX('4-4 Google Play Top100(참조)'!$E$2:$E$101,MATCH($A193,'4-4 Google Play Top100(참조)'!$B$2:$B$101,0)),"-"))</f>
        <v>배틀로얄</v>
      </c>
      <c r="D193" s="49" t="str">
        <f aca="false">INDEX('4-6 매출-다운로드 비교(참조)'!$B$6:$B$177,MATCH($A193,'4-6 매출-다운로드 비교(참조)'!$A$6:$A$177,0))</f>
        <v>-</v>
      </c>
      <c r="E193" s="49" t="n">
        <f aca="false">INDEX('4-6 매출-다운로드 비교(참조)'!$C$6:$C$177,MATCH($A193,'4-6 매출-다운로드 비교(참조)'!$A$6:$A$177,0))</f>
        <v>25</v>
      </c>
      <c r="F193" s="47" t="str">
        <f aca="false">INDEX('4-6 매출-다운로드 비교(참조)'!$H$6:$H$177,MATCH($A193,'4-6 매출-다운로드 비교(참조)'!$A$6:$A$177,0))</f>
        <v>③ 다운로드만 높음</v>
      </c>
      <c r="G193" s="49" t="str">
        <f aca="false">IF(OR(ISNUMBER(D193),F193="③ 다운로드만 높음"),"후보","후보 아님")</f>
        <v>후보</v>
      </c>
      <c r="H193" s="49" t="n">
        <f aca="false">IF(G193&lt;&gt;"후보","",IFERROR(INDEX($H$18:$H$54,MATCH(K193,$K$18:$K$54,0)),""))</f>
        <v>26</v>
      </c>
      <c r="I193" s="89" t="str">
        <f aca="false">IF(G193&lt;&gt;"후보","-",IFERROR(INDEX($I$18:$I$54,MATCH(K193,$K$18:$K$54,0)),"판단 보류"))</f>
        <v>2인 어려움</v>
      </c>
      <c r="J193" s="47"/>
      <c r="K193" s="47" t="str">
        <f aca="false">B193&amp;"|"&amp;C193</f>
        <v>액션·슈팅|배틀로얄</v>
      </c>
    </row>
    <row r="194" customFormat="false" ht="17.15" hidden="false" customHeight="false" outlineLevel="0" collapsed="false">
      <c r="A194" s="78" t="s">
        <v>971</v>
      </c>
      <c r="B194" s="47" t="str">
        <f aca="false">IFERROR(INDEX('4-5 매출 Top100(참조)'!$D$2:$D$101,MATCH($A194,'4-5 매출 Top100(참조)'!$B$2:$B$101,0)),IFERROR(INDEX('4-4 Google Play Top100(참조)'!$D$2:$D$101,MATCH($A194,'4-4 Google Play Top100(참조)'!$B$2:$B$101,0)),"확인 불가"))</f>
        <v>하이퍼·하이브리드 캐주얼</v>
      </c>
      <c r="C194" s="47" t="str">
        <f aca="false">IFERROR(INDEX('4-5 매출 Top100(참조)'!$E$2:$E$101,MATCH($A194,'4-5 매출 Top100(참조)'!$B$2:$B$101,0)),IFERROR(INDEX('4-4 Google Play Top100(참조)'!$E$2:$E$101,MATCH($A194,'4-4 Google Play Top100(참조)'!$B$2:$B$101,0)),"-"))</f>
        <v>하이브리드 캐주얼</v>
      </c>
      <c r="D194" s="49" t="str">
        <f aca="false">INDEX('4-6 매출-다운로드 비교(참조)'!$B$6:$B$177,MATCH($A194,'4-6 매출-다운로드 비교(참조)'!$A$6:$A$177,0))</f>
        <v>-</v>
      </c>
      <c r="E194" s="49" t="n">
        <f aca="false">INDEX('4-6 매출-다운로드 비교(참조)'!$C$6:$C$177,MATCH($A194,'4-6 매출-다운로드 비교(참조)'!$A$6:$A$177,0))</f>
        <v>28</v>
      </c>
      <c r="F194" s="47" t="str">
        <f aca="false">INDEX('4-6 매출-다운로드 비교(참조)'!$H$6:$H$177,MATCH($A194,'4-6 매출-다운로드 비교(참조)'!$A$6:$A$177,0))</f>
        <v>③ 다운로드만 높음</v>
      </c>
      <c r="G194" s="49" t="str">
        <f aca="false">IF(OR(ISNUMBER(D194),F194="③ 다운로드만 높음"),"후보","후보 아님")</f>
        <v>후보</v>
      </c>
      <c r="H194" s="49" t="n">
        <f aca="false">IF(G194&lt;&gt;"후보","",IFERROR(INDEX($H$18:$H$54,MATCH(K194,$K$18:$K$54,0)),""))</f>
        <v>74</v>
      </c>
      <c r="I194" s="89" t="str">
        <f aca="false">IF(G194&lt;&gt;"후보","-",IFERROR(INDEX($I$18:$I$54,MATCH(K194,$K$18:$K$54,0)),"판단 보류"))</f>
        <v>2인 가능</v>
      </c>
      <c r="J194" s="47"/>
      <c r="K194" s="47" t="str">
        <f aca="false">B194&amp;"|"&amp;C194</f>
        <v>하이퍼·하이브리드 캐주얼|하이브리드 캐주얼</v>
      </c>
    </row>
    <row r="195" customFormat="false" ht="17.15" hidden="false" customHeight="false" outlineLevel="0" collapsed="false">
      <c r="A195" s="78" t="s">
        <v>972</v>
      </c>
      <c r="B195" s="47" t="str">
        <f aca="false">IFERROR(INDEX('4-5 매출 Top100(참조)'!$D$2:$D$101,MATCH($A195,'4-5 매출 Top100(참조)'!$B$2:$B$101,0)),IFERROR(INDEX('4-4 Google Play Top100(참조)'!$D$2:$D$101,MATCH($A195,'4-4 Google Play Top100(참조)'!$B$2:$B$101,0)),"확인 불가"))</f>
        <v>하이퍼·하이브리드 캐주얼</v>
      </c>
      <c r="C195" s="47" t="str">
        <f aca="false">IFERROR(INDEX('4-5 매출 Top100(참조)'!$E$2:$E$101,MATCH($A195,'4-5 매출 Top100(참조)'!$B$2:$B$101,0)),IFERROR(INDEX('4-4 Google Play Top100(참조)'!$E$2:$E$101,MATCH($A195,'4-4 Google Play Top100(참조)'!$B$2:$B$101,0)),"-"))</f>
        <v>물리 파괴</v>
      </c>
      <c r="D195" s="49" t="str">
        <f aca="false">INDEX('4-6 매출-다운로드 비교(참조)'!$B$6:$B$177,MATCH($A195,'4-6 매출-다운로드 비교(참조)'!$A$6:$A$177,0))</f>
        <v>-</v>
      </c>
      <c r="E195" s="49" t="n">
        <f aca="false">INDEX('4-6 매출-다운로드 비교(참조)'!$C$6:$C$177,MATCH($A195,'4-6 매출-다운로드 비교(참조)'!$A$6:$A$177,0))</f>
        <v>29</v>
      </c>
      <c r="F195" s="47" t="str">
        <f aca="false">INDEX('4-6 매출-다운로드 비교(참조)'!$H$6:$H$177,MATCH($A195,'4-6 매출-다운로드 비교(참조)'!$A$6:$A$177,0))</f>
        <v>③ 다운로드만 높음</v>
      </c>
      <c r="G195" s="49" t="str">
        <f aca="false">IF(OR(ISNUMBER(D195),F195="③ 다운로드만 높음"),"후보","후보 아님")</f>
        <v>후보</v>
      </c>
      <c r="H195" s="49" t="n">
        <f aca="false">IF(G195&lt;&gt;"후보","",IFERROR(INDEX($H$18:$H$54,MATCH(K195,$K$18:$K$54,0)),""))</f>
        <v>79</v>
      </c>
      <c r="I195" s="89" t="str">
        <f aca="false">IF(G195&lt;&gt;"후보","-",IFERROR(INDEX($I$18:$I$54,MATCH(K195,$K$18:$K$54,0)),"판단 보류"))</f>
        <v>2인 가능</v>
      </c>
      <c r="J195" s="47"/>
      <c r="K195" s="47" t="str">
        <f aca="false">B195&amp;"|"&amp;C195</f>
        <v>하이퍼·하이브리드 캐주얼|물리 파괴</v>
      </c>
    </row>
    <row r="196" customFormat="false" ht="17.15" hidden="false" customHeight="false" outlineLevel="0" collapsed="false">
      <c r="A196" s="78" t="s">
        <v>973</v>
      </c>
      <c r="B196" s="47" t="str">
        <f aca="false">IFERROR(INDEX('4-5 매출 Top100(참조)'!$D$2:$D$101,MATCH($A196,'4-5 매출 Top100(참조)'!$B$2:$B$101,0)),IFERROR(INDEX('4-4 Google Play Top100(참조)'!$D$2:$D$101,MATCH($A196,'4-4 Google Play Top100(참조)'!$B$2:$B$101,0)),"확인 불가"))</f>
        <v>하이퍼·하이브리드 캐주얼</v>
      </c>
      <c r="C196" s="47" t="str">
        <f aca="false">IFERROR(INDEX('4-5 매출 Top100(참조)'!$E$2:$E$101,MATCH($A196,'4-5 매출 Top100(참조)'!$B$2:$B$101,0)),IFERROR(INDEX('4-4 Google Play Top100(참조)'!$E$2:$E$101,MATCH($A196,'4-4 Google Play Top100(참조)'!$B$2:$B$101,0)),"-"))</f>
        <v>군중 러너·디펜스</v>
      </c>
      <c r="D196" s="49" t="str">
        <f aca="false">INDEX('4-6 매출-다운로드 비교(참조)'!$B$6:$B$177,MATCH($A196,'4-6 매출-다운로드 비교(참조)'!$A$6:$A$177,0))</f>
        <v>-</v>
      </c>
      <c r="E196" s="49" t="n">
        <f aca="false">INDEX('4-6 매출-다운로드 비교(참조)'!$C$6:$C$177,MATCH($A196,'4-6 매출-다운로드 비교(참조)'!$A$6:$A$177,0))</f>
        <v>30</v>
      </c>
      <c r="F196" s="47" t="str">
        <f aca="false">INDEX('4-6 매출-다운로드 비교(참조)'!$H$6:$H$177,MATCH($A196,'4-6 매출-다운로드 비교(참조)'!$A$6:$A$177,0))</f>
        <v>③ 다운로드만 높음</v>
      </c>
      <c r="G196" s="49" t="str">
        <f aca="false">IF(OR(ISNUMBER(D196),F196="③ 다운로드만 높음"),"후보","후보 아님")</f>
        <v>후보</v>
      </c>
      <c r="H196" s="49" t="n">
        <f aca="false">IF(G196&lt;&gt;"후보","",IFERROR(INDEX($H$18:$H$54,MATCH(K196,$K$18:$K$54,0)),""))</f>
        <v>74</v>
      </c>
      <c r="I196" s="89" t="str">
        <f aca="false">IF(G196&lt;&gt;"후보","-",IFERROR(INDEX($I$18:$I$54,MATCH(K196,$K$18:$K$54,0)),"판단 보류"))</f>
        <v>2인 가능</v>
      </c>
      <c r="J196" s="47"/>
      <c r="K196" s="47" t="str">
        <f aca="false">B196&amp;"|"&amp;C196</f>
        <v>하이퍼·하이브리드 캐주얼|군중 러너·디펜스</v>
      </c>
    </row>
    <row r="197" customFormat="false" ht="17.15" hidden="false" customHeight="false" outlineLevel="0" collapsed="false">
      <c r="A197" s="78" t="s">
        <v>974</v>
      </c>
      <c r="B197" s="47" t="str">
        <f aca="false">IFERROR(INDEX('4-5 매출 Top100(참조)'!$D$2:$D$101,MATCH($A197,'4-5 매출 Top100(참조)'!$B$2:$B$101,0)),IFERROR(INDEX('4-4 Google Play Top100(참조)'!$D$2:$D$101,MATCH($A197,'4-4 Google Play Top100(참조)'!$B$2:$B$101,0)),"확인 불가"))</f>
        <v>퍼즐</v>
      </c>
      <c r="C197" s="47" t="str">
        <f aca="false">IFERROR(INDEX('4-5 매출 Top100(참조)'!$E$2:$E$101,MATCH($A197,'4-5 매출 Top100(참조)'!$B$2:$B$101,0)),IFERROR(INDEX('4-4 Google Play Top100(참조)'!$E$2:$E$101,MATCH($A197,'4-4 Google Play Top100(참조)'!$B$2:$B$101,0)),"-"))</f>
        <v>탭 탈출</v>
      </c>
      <c r="D197" s="49" t="str">
        <f aca="false">INDEX('4-6 매출-다운로드 비교(참조)'!$B$6:$B$177,MATCH($A197,'4-6 매출-다운로드 비교(참조)'!$A$6:$A$177,0))</f>
        <v>-</v>
      </c>
      <c r="E197" s="49" t="n">
        <f aca="false">INDEX('4-6 매출-다운로드 비교(참조)'!$C$6:$C$177,MATCH($A197,'4-6 매출-다운로드 비교(참조)'!$A$6:$A$177,0))</f>
        <v>31</v>
      </c>
      <c r="F197" s="47" t="str">
        <f aca="false">INDEX('4-6 매출-다운로드 비교(참조)'!$H$6:$H$177,MATCH($A197,'4-6 매출-다운로드 비교(참조)'!$A$6:$A$177,0))</f>
        <v>④ 둘 다 기준 밖</v>
      </c>
      <c r="G197" s="49" t="str">
        <f aca="false">IF(OR(ISNUMBER(D197),F197="③ 다운로드만 높음"),"후보","후보 아님")</f>
        <v>후보 아님</v>
      </c>
      <c r="H197" s="49" t="str">
        <f aca="false">IF(G197&lt;&gt;"후보","",IFERROR(INDEX($H$18:$H$54,MATCH(K197,$K$18:$K$54,0)),""))</f>
        <v/>
      </c>
      <c r="I197" s="89" t="str">
        <f aca="false">IF(G197&lt;&gt;"후보","-",IFERROR(INDEX($I$18:$I$54,MATCH(K197,$K$18:$K$54,0)),"판단 보류"))</f>
        <v>-</v>
      </c>
      <c r="J197" s="47"/>
      <c r="K197" s="47" t="str">
        <f aca="false">B197&amp;"|"&amp;C197</f>
        <v>퍼즐|탭 탈출</v>
      </c>
    </row>
    <row r="198" customFormat="false" ht="17.15" hidden="false" customHeight="false" outlineLevel="0" collapsed="false">
      <c r="A198" s="78" t="s">
        <v>975</v>
      </c>
      <c r="B198" s="47" t="str">
        <f aca="false">IFERROR(INDEX('4-5 매출 Top100(참조)'!$D$2:$D$101,MATCH($A198,'4-5 매출 Top100(참조)'!$B$2:$B$101,0)),IFERROR(INDEX('4-4 Google Play Top100(참조)'!$D$2:$D$101,MATCH($A198,'4-4 Google Play Top100(참조)'!$B$2:$B$101,0)),"확인 불가"))</f>
        <v>하이퍼·하이브리드 캐주얼</v>
      </c>
      <c r="C198" s="47" t="str">
        <f aca="false">IFERROR(INDEX('4-5 매출 Top100(참조)'!$E$2:$E$101,MATCH($A198,'4-5 매출 Top100(참조)'!$B$2:$B$101,0)),IFERROR(INDEX('4-4 Google Play Top100(참조)'!$E$2:$E$101,MATCH($A198,'4-4 Google Play Top100(참조)'!$B$2:$B$101,0)),"-"))</f>
        <v>io</v>
      </c>
      <c r="D198" s="49" t="str">
        <f aca="false">INDEX('4-6 매출-다운로드 비교(참조)'!$B$6:$B$177,MATCH($A198,'4-6 매출-다운로드 비교(참조)'!$A$6:$A$177,0))</f>
        <v>-</v>
      </c>
      <c r="E198" s="49" t="n">
        <f aca="false">INDEX('4-6 매출-다운로드 비교(참조)'!$C$6:$C$177,MATCH($A198,'4-6 매출-다운로드 비교(참조)'!$A$6:$A$177,0))</f>
        <v>32</v>
      </c>
      <c r="F198" s="47" t="str">
        <f aca="false">INDEX('4-6 매출-다운로드 비교(참조)'!$H$6:$H$177,MATCH($A198,'4-6 매출-다운로드 비교(참조)'!$A$6:$A$177,0))</f>
        <v>④ 둘 다 기준 밖</v>
      </c>
      <c r="G198" s="49" t="str">
        <f aca="false">IF(OR(ISNUMBER(D198),F198="③ 다운로드만 높음"),"후보","후보 아님")</f>
        <v>후보 아님</v>
      </c>
      <c r="H198" s="49" t="str">
        <f aca="false">IF(G198&lt;&gt;"후보","",IFERROR(INDEX($H$18:$H$54,MATCH(K198,$K$18:$K$54,0)),""))</f>
        <v/>
      </c>
      <c r="I198" s="89" t="str">
        <f aca="false">IF(G198&lt;&gt;"후보","-",IFERROR(INDEX($I$18:$I$54,MATCH(K198,$K$18:$K$54,0)),"판단 보류"))</f>
        <v>-</v>
      </c>
      <c r="J198" s="47"/>
      <c r="K198" s="47" t="str">
        <f aca="false">B198&amp;"|"&amp;C198</f>
        <v>하이퍼·하이브리드 캐주얼|io</v>
      </c>
    </row>
    <row r="199" customFormat="false" ht="17.15" hidden="false" customHeight="false" outlineLevel="0" collapsed="false">
      <c r="A199" s="78" t="s">
        <v>976</v>
      </c>
      <c r="B199" s="47" t="str">
        <f aca="false">IFERROR(INDEX('4-5 매출 Top100(참조)'!$D$2:$D$101,MATCH($A199,'4-5 매출 Top100(참조)'!$B$2:$B$101,0)),IFERROR(INDEX('4-4 Google Play Top100(참조)'!$D$2:$D$101,MATCH($A199,'4-4 Google Play Top100(참조)'!$B$2:$B$101,0)),"확인 불가"))</f>
        <v>파티·음악</v>
      </c>
      <c r="C199" s="47" t="str">
        <f aca="false">IFERROR(INDEX('4-5 매출 Top100(참조)'!$E$2:$E$101,MATCH($A199,'4-5 매출 Top100(참조)'!$B$2:$B$101,0)),IFERROR(INDEX('4-4 Google Play Top100(참조)'!$E$2:$E$101,MATCH($A199,'4-4 Google Play Top100(참조)'!$B$2:$B$101,0)),"-"))</f>
        <v>리듬</v>
      </c>
      <c r="D199" s="49" t="str">
        <f aca="false">INDEX('4-6 매출-다운로드 비교(참조)'!$B$6:$B$177,MATCH($A199,'4-6 매출-다운로드 비교(참조)'!$A$6:$A$177,0))</f>
        <v>-</v>
      </c>
      <c r="E199" s="49" t="n">
        <f aca="false">INDEX('4-6 매출-다운로드 비교(참조)'!$C$6:$C$177,MATCH($A199,'4-6 매출-다운로드 비교(참조)'!$A$6:$A$177,0))</f>
        <v>33</v>
      </c>
      <c r="F199" s="47" t="str">
        <f aca="false">INDEX('4-6 매출-다운로드 비교(참조)'!$H$6:$H$177,MATCH($A199,'4-6 매출-다운로드 비교(참조)'!$A$6:$A$177,0))</f>
        <v>④ 둘 다 기준 밖</v>
      </c>
      <c r="G199" s="49" t="str">
        <f aca="false">IF(OR(ISNUMBER(D199),F199="③ 다운로드만 높음"),"후보","후보 아님")</f>
        <v>후보 아님</v>
      </c>
      <c r="H199" s="49" t="str">
        <f aca="false">IF(G199&lt;&gt;"후보","",IFERROR(INDEX($H$18:$H$54,MATCH(K199,$K$18:$K$54,0)),""))</f>
        <v/>
      </c>
      <c r="I199" s="89" t="str">
        <f aca="false">IF(G199&lt;&gt;"후보","-",IFERROR(INDEX($I$18:$I$54,MATCH(K199,$K$18:$K$54,0)),"판단 보류"))</f>
        <v>-</v>
      </c>
      <c r="J199" s="47"/>
      <c r="K199" s="47" t="str">
        <f aca="false">B199&amp;"|"&amp;C199</f>
        <v>파티·음악|리듬</v>
      </c>
    </row>
    <row r="200" customFormat="false" ht="17.15" hidden="false" customHeight="false" outlineLevel="0" collapsed="false">
      <c r="A200" s="78" t="s">
        <v>977</v>
      </c>
      <c r="B200" s="47" t="str">
        <f aca="false">IFERROR(INDEX('4-5 매출 Top100(참조)'!$D$2:$D$101,MATCH($A200,'4-5 매출 Top100(참조)'!$B$2:$B$101,0)),IFERROR(INDEX('4-4 Google Play Top100(참조)'!$D$2:$D$101,MATCH($A200,'4-4 Google Play Top100(참조)'!$B$2:$B$101,0)),"확인 불가"))</f>
        <v>퍼즐</v>
      </c>
      <c r="C200" s="47" t="str">
        <f aca="false">IFERROR(INDEX('4-5 매출 Top100(참조)'!$E$2:$E$101,MATCH($A200,'4-5 매출 Top100(참조)'!$B$2:$B$101,0)),IFERROR(INDEX('4-4 Google Play Top100(참조)'!$E$2:$E$101,MATCH($A200,'4-4 Google Play Top100(참조)'!$B$2:$B$101,0)),"-"))</f>
        <v>탭 탈출</v>
      </c>
      <c r="D200" s="49" t="str">
        <f aca="false">INDEX('4-6 매출-다운로드 비교(참조)'!$B$6:$B$177,MATCH($A200,'4-6 매출-다운로드 비교(참조)'!$A$6:$A$177,0))</f>
        <v>-</v>
      </c>
      <c r="E200" s="49" t="n">
        <f aca="false">INDEX('4-6 매출-다운로드 비교(참조)'!$C$6:$C$177,MATCH($A200,'4-6 매출-다운로드 비교(참조)'!$A$6:$A$177,0))</f>
        <v>34</v>
      </c>
      <c r="F200" s="47" t="str">
        <f aca="false">INDEX('4-6 매출-다운로드 비교(참조)'!$H$6:$H$177,MATCH($A200,'4-6 매출-다운로드 비교(참조)'!$A$6:$A$177,0))</f>
        <v>④ 둘 다 기준 밖</v>
      </c>
      <c r="G200" s="49" t="str">
        <f aca="false">IF(OR(ISNUMBER(D200),F200="③ 다운로드만 높음"),"후보","후보 아님")</f>
        <v>후보 아님</v>
      </c>
      <c r="H200" s="49" t="str">
        <f aca="false">IF(G200&lt;&gt;"후보","",IFERROR(INDEX($H$18:$H$54,MATCH(K200,$K$18:$K$54,0)),""))</f>
        <v/>
      </c>
      <c r="I200" s="89" t="str">
        <f aca="false">IF(G200&lt;&gt;"후보","-",IFERROR(INDEX($I$18:$I$54,MATCH(K200,$K$18:$K$54,0)),"판단 보류"))</f>
        <v>-</v>
      </c>
      <c r="J200" s="47"/>
      <c r="K200" s="47" t="str">
        <f aca="false">B200&amp;"|"&amp;C200</f>
        <v>퍼즐|탭 탈출</v>
      </c>
    </row>
    <row r="201" customFormat="false" ht="17.15" hidden="false" customHeight="false" outlineLevel="0" collapsed="false">
      <c r="A201" s="78" t="s">
        <v>978</v>
      </c>
      <c r="B201" s="47" t="str">
        <f aca="false">IFERROR(INDEX('4-5 매출 Top100(참조)'!$D$2:$D$101,MATCH($A201,'4-5 매출 Top100(참조)'!$B$2:$B$101,0)),IFERROR(INDEX('4-4 Google Play Top100(참조)'!$D$2:$D$101,MATCH($A201,'4-4 Google Play Top100(참조)'!$B$2:$B$101,0)),"확인 불가"))</f>
        <v>스포츠</v>
      </c>
      <c r="C201" s="47" t="str">
        <f aca="false">IFERROR(INDEX('4-5 매출 Top100(참조)'!$E$2:$E$101,MATCH($A201,'4-5 매출 Top100(참조)'!$B$2:$B$101,0)),IFERROR(INDEX('4-4 Google Play Top100(참조)'!$E$2:$E$101,MATCH($A201,'4-4 Google Play Top100(참조)'!$B$2:$B$101,0)),"-"))</f>
        <v>당구 PvP</v>
      </c>
      <c r="D201" s="49" t="str">
        <f aca="false">INDEX('4-6 매출-다운로드 비교(참조)'!$B$6:$B$177,MATCH($A201,'4-6 매출-다운로드 비교(참조)'!$A$6:$A$177,0))</f>
        <v>-</v>
      </c>
      <c r="E201" s="49" t="n">
        <f aca="false">INDEX('4-6 매출-다운로드 비교(참조)'!$C$6:$C$177,MATCH($A201,'4-6 매출-다운로드 비교(참조)'!$A$6:$A$177,0))</f>
        <v>36</v>
      </c>
      <c r="F201" s="47" t="str">
        <f aca="false">INDEX('4-6 매출-다운로드 비교(참조)'!$H$6:$H$177,MATCH($A201,'4-6 매출-다운로드 비교(참조)'!$A$6:$A$177,0))</f>
        <v>④ 둘 다 기준 밖</v>
      </c>
      <c r="G201" s="49" t="str">
        <f aca="false">IF(OR(ISNUMBER(D201),F201="③ 다운로드만 높음"),"후보","후보 아님")</f>
        <v>후보 아님</v>
      </c>
      <c r="H201" s="49" t="str">
        <f aca="false">IF(G201&lt;&gt;"후보","",IFERROR(INDEX($H$18:$H$54,MATCH(K201,$K$18:$K$54,0)),""))</f>
        <v/>
      </c>
      <c r="I201" s="89" t="str">
        <f aca="false">IF(G201&lt;&gt;"후보","-",IFERROR(INDEX($I$18:$I$54,MATCH(K201,$K$18:$K$54,0)),"판단 보류"))</f>
        <v>-</v>
      </c>
      <c r="J201" s="47"/>
      <c r="K201" s="47" t="str">
        <f aca="false">B201&amp;"|"&amp;C201</f>
        <v>스포츠|당구 PvP</v>
      </c>
    </row>
    <row r="202" customFormat="false" ht="17.15" hidden="false" customHeight="false" outlineLevel="0" collapsed="false">
      <c r="A202" s="78" t="s">
        <v>979</v>
      </c>
      <c r="B202" s="47" t="str">
        <f aca="false">IFERROR(INDEX('4-5 매출 Top100(참조)'!$D$2:$D$101,MATCH($A202,'4-5 매출 Top100(참조)'!$B$2:$B$101,0)),IFERROR(INDEX('4-4 Google Play Top100(참조)'!$D$2:$D$101,MATCH($A202,'4-4 Google Play Top100(참조)'!$B$2:$B$101,0)),"확인 불가"))</f>
        <v>하이퍼·하이브리드 캐주얼</v>
      </c>
      <c r="C202" s="47" t="str">
        <f aca="false">IFERROR(INDEX('4-5 매출 Top100(참조)'!$E$2:$E$101,MATCH($A202,'4-5 매출 Top100(참조)'!$B$2:$B$101,0)),IFERROR(INDEX('4-4 Google Play Top100(참조)'!$E$2:$E$101,MATCH($A202,'4-4 Google Play Top100(참조)'!$B$2:$B$101,0)),"-"))</f>
        <v>러너</v>
      </c>
      <c r="D202" s="49" t="str">
        <f aca="false">INDEX('4-6 매출-다운로드 비교(참조)'!$B$6:$B$177,MATCH($A202,'4-6 매출-다운로드 비교(참조)'!$A$6:$A$177,0))</f>
        <v>-</v>
      </c>
      <c r="E202" s="49" t="n">
        <f aca="false">INDEX('4-6 매출-다운로드 비교(참조)'!$C$6:$C$177,MATCH($A202,'4-6 매출-다운로드 비교(참조)'!$A$6:$A$177,0))</f>
        <v>37</v>
      </c>
      <c r="F202" s="47" t="str">
        <f aca="false">INDEX('4-6 매출-다운로드 비교(참조)'!$H$6:$H$177,MATCH($A202,'4-6 매출-다운로드 비교(참조)'!$A$6:$A$177,0))</f>
        <v>④ 둘 다 기준 밖</v>
      </c>
      <c r="G202" s="49" t="str">
        <f aca="false">IF(OR(ISNUMBER(D202),F202="③ 다운로드만 높음"),"후보","후보 아님")</f>
        <v>후보 아님</v>
      </c>
      <c r="H202" s="49" t="str">
        <f aca="false">IF(G202&lt;&gt;"후보","",IFERROR(INDEX($H$18:$H$54,MATCH(K202,$K$18:$K$54,0)),""))</f>
        <v/>
      </c>
      <c r="I202" s="89" t="str">
        <f aca="false">IF(G202&lt;&gt;"후보","-",IFERROR(INDEX($I$18:$I$54,MATCH(K202,$K$18:$K$54,0)),"판단 보류"))</f>
        <v>-</v>
      </c>
      <c r="J202" s="47"/>
      <c r="K202" s="47" t="str">
        <f aca="false">B202&amp;"|"&amp;C202</f>
        <v>하이퍼·하이브리드 캐주얼|러너</v>
      </c>
    </row>
    <row r="203" customFormat="false" ht="17.15" hidden="false" customHeight="false" outlineLevel="0" collapsed="false">
      <c r="A203" s="78" t="s">
        <v>980</v>
      </c>
      <c r="B203" s="47" t="str">
        <f aca="false">IFERROR(INDEX('4-5 매출 Top100(참조)'!$D$2:$D$101,MATCH($A203,'4-5 매출 Top100(참조)'!$B$2:$B$101,0)),IFERROR(INDEX('4-4 Google Play Top100(참조)'!$D$2:$D$101,MATCH($A203,'4-4 Google Play Top100(참조)'!$B$2:$B$101,0)),"확인 불가"))</f>
        <v>퍼즐</v>
      </c>
      <c r="C203" s="47" t="str">
        <f aca="false">IFERROR(INDEX('4-5 매출 Top100(참조)'!$E$2:$E$101,MATCH($A203,'4-5 매출 Top100(참조)'!$B$2:$B$101,0)),IFERROR(INDEX('4-4 Google Play Top100(참조)'!$E$2:$E$101,MATCH($A203,'4-4 Google Play Top100(참조)'!$B$2:$B$101,0)),"-"))</f>
        <v>직소·솔리테어 하이브리드</v>
      </c>
      <c r="D203" s="49" t="str">
        <f aca="false">INDEX('4-6 매출-다운로드 비교(참조)'!$B$6:$B$177,MATCH($A203,'4-6 매출-다운로드 비교(참조)'!$A$6:$A$177,0))</f>
        <v>-</v>
      </c>
      <c r="E203" s="49" t="n">
        <f aca="false">INDEX('4-6 매출-다운로드 비교(참조)'!$C$6:$C$177,MATCH($A203,'4-6 매출-다운로드 비교(참조)'!$A$6:$A$177,0))</f>
        <v>38</v>
      </c>
      <c r="F203" s="47" t="str">
        <f aca="false">INDEX('4-6 매출-다운로드 비교(참조)'!$H$6:$H$177,MATCH($A203,'4-6 매출-다운로드 비교(참조)'!$A$6:$A$177,0))</f>
        <v>④ 둘 다 기준 밖</v>
      </c>
      <c r="G203" s="49" t="str">
        <f aca="false">IF(OR(ISNUMBER(D203),F203="③ 다운로드만 높음"),"후보","후보 아님")</f>
        <v>후보 아님</v>
      </c>
      <c r="H203" s="49" t="str">
        <f aca="false">IF(G203&lt;&gt;"후보","",IFERROR(INDEX($H$18:$H$54,MATCH(K203,$K$18:$K$54,0)),""))</f>
        <v/>
      </c>
      <c r="I203" s="89" t="str">
        <f aca="false">IF(G203&lt;&gt;"후보","-",IFERROR(INDEX($I$18:$I$54,MATCH(K203,$K$18:$K$54,0)),"판단 보류"))</f>
        <v>-</v>
      </c>
      <c r="J203" s="47"/>
      <c r="K203" s="47" t="str">
        <f aca="false">B203&amp;"|"&amp;C203</f>
        <v>퍼즐|직소·솔리테어 하이브리드</v>
      </c>
    </row>
    <row r="204" customFormat="false" ht="17.15" hidden="false" customHeight="false" outlineLevel="0" collapsed="false">
      <c r="A204" s="78" t="s">
        <v>981</v>
      </c>
      <c r="B204" s="47" t="str">
        <f aca="false">IFERROR(INDEX('4-5 매출 Top100(참조)'!$D$2:$D$101,MATCH($A204,'4-5 매출 Top100(참조)'!$B$2:$B$101,0)),IFERROR(INDEX('4-4 Google Play Top100(참조)'!$D$2:$D$101,MATCH($A204,'4-4 Google Play Top100(참조)'!$B$2:$B$101,0)),"확인 불가"))</f>
        <v>퍼즐</v>
      </c>
      <c r="C204" s="47" t="str">
        <f aca="false">IFERROR(INDEX('4-5 매출 Top100(참조)'!$E$2:$E$101,MATCH($A204,'4-5 매출 Top100(참조)'!$B$2:$B$101,0)),IFERROR(INDEX('4-4 Google Play Top100(참조)'!$E$2:$E$101,MATCH($A204,'4-4 Google Play Top100(참조)'!$B$2:$B$101,0)),"-"))</f>
        <v>픽셀·컬러 아트</v>
      </c>
      <c r="D204" s="49" t="str">
        <f aca="false">INDEX('4-6 매출-다운로드 비교(참조)'!$B$6:$B$177,MATCH($A204,'4-6 매출-다운로드 비교(참조)'!$A$6:$A$177,0))</f>
        <v>-</v>
      </c>
      <c r="E204" s="49" t="n">
        <f aca="false">INDEX('4-6 매출-다운로드 비교(참조)'!$C$6:$C$177,MATCH($A204,'4-6 매출-다운로드 비교(참조)'!$A$6:$A$177,0))</f>
        <v>39</v>
      </c>
      <c r="F204" s="47" t="str">
        <f aca="false">INDEX('4-6 매출-다운로드 비교(참조)'!$H$6:$H$177,MATCH($A204,'4-6 매출-다운로드 비교(참조)'!$A$6:$A$177,0))</f>
        <v>④ 둘 다 기준 밖</v>
      </c>
      <c r="G204" s="49" t="str">
        <f aca="false">IF(OR(ISNUMBER(D204),F204="③ 다운로드만 높음"),"후보","후보 아님")</f>
        <v>후보 아님</v>
      </c>
      <c r="H204" s="49" t="str">
        <f aca="false">IF(G204&lt;&gt;"후보","",IFERROR(INDEX($H$18:$H$54,MATCH(K204,$K$18:$K$54,0)),""))</f>
        <v/>
      </c>
      <c r="I204" s="89" t="str">
        <f aca="false">IF(G204&lt;&gt;"후보","-",IFERROR(INDEX($I$18:$I$54,MATCH(K204,$K$18:$K$54,0)),"판단 보류"))</f>
        <v>-</v>
      </c>
      <c r="J204" s="47"/>
      <c r="K204" s="47" t="str">
        <f aca="false">B204&amp;"|"&amp;C204</f>
        <v>퍼즐|픽셀·컬러 아트</v>
      </c>
    </row>
    <row r="205" customFormat="false" ht="17.15" hidden="false" customHeight="false" outlineLevel="0" collapsed="false">
      <c r="A205" s="78" t="s">
        <v>982</v>
      </c>
      <c r="B205" s="47" t="str">
        <f aca="false">IFERROR(INDEX('4-5 매출 Top100(참조)'!$D$2:$D$101,MATCH($A205,'4-5 매출 Top100(참조)'!$B$2:$B$101,0)),IFERROR(INDEX('4-4 Google Play Top100(참조)'!$D$2:$D$101,MATCH($A205,'4-4 Google Play Top100(참조)'!$B$2:$B$101,0)),"확인 불가"))</f>
        <v>액션·슈팅</v>
      </c>
      <c r="C205" s="47" t="str">
        <f aca="false">IFERROR(INDEX('4-5 매출 Top100(참조)'!$E$2:$E$101,MATCH($A205,'4-5 매출 Top100(참조)'!$B$2:$B$101,0)),IFERROR(INDEX('4-4 Google Play Top100(참조)'!$E$2:$E$101,MATCH($A205,'4-4 Google Play Top100(참조)'!$B$2:$B$101,0)),"-"))</f>
        <v>스나이퍼</v>
      </c>
      <c r="D205" s="49" t="str">
        <f aca="false">INDEX('4-6 매출-다운로드 비교(참조)'!$B$6:$B$177,MATCH($A205,'4-6 매출-다운로드 비교(참조)'!$A$6:$A$177,0))</f>
        <v>-</v>
      </c>
      <c r="E205" s="49" t="n">
        <f aca="false">INDEX('4-6 매출-다운로드 비교(참조)'!$C$6:$C$177,MATCH($A205,'4-6 매출-다운로드 비교(참조)'!$A$6:$A$177,0))</f>
        <v>41</v>
      </c>
      <c r="F205" s="47" t="str">
        <f aca="false">INDEX('4-6 매출-다운로드 비교(참조)'!$H$6:$H$177,MATCH($A205,'4-6 매출-다운로드 비교(참조)'!$A$6:$A$177,0))</f>
        <v>④ 둘 다 기준 밖</v>
      </c>
      <c r="G205" s="49" t="str">
        <f aca="false">IF(OR(ISNUMBER(D205),F205="③ 다운로드만 높음"),"후보","후보 아님")</f>
        <v>후보 아님</v>
      </c>
      <c r="H205" s="49" t="str">
        <f aca="false">IF(G205&lt;&gt;"후보","",IFERROR(INDEX($H$18:$H$54,MATCH(K205,$K$18:$K$54,0)),""))</f>
        <v/>
      </c>
      <c r="I205" s="89" t="str">
        <f aca="false">IF(G205&lt;&gt;"후보","-",IFERROR(INDEX($I$18:$I$54,MATCH(K205,$K$18:$K$54,0)),"판단 보류"))</f>
        <v>-</v>
      </c>
      <c r="J205" s="47"/>
      <c r="K205" s="47" t="str">
        <f aca="false">B205&amp;"|"&amp;C205</f>
        <v>액션·슈팅|스나이퍼</v>
      </c>
    </row>
    <row r="206" customFormat="false" ht="17.15" hidden="false" customHeight="false" outlineLevel="0" collapsed="false">
      <c r="A206" s="78" t="s">
        <v>983</v>
      </c>
      <c r="B206" s="47" t="str">
        <f aca="false">IFERROR(INDEX('4-5 매출 Top100(참조)'!$D$2:$D$101,MATCH($A206,'4-5 매출 Top100(참조)'!$B$2:$B$101,0)),IFERROR(INDEX('4-4 Google Play Top100(참조)'!$D$2:$D$101,MATCH($A206,'4-4 Google Play Top100(참조)'!$B$2:$B$101,0)),"확인 불가"))</f>
        <v>퍼즐</v>
      </c>
      <c r="C206" s="47" t="str">
        <f aca="false">IFERROR(INDEX('4-5 매출 Top100(참조)'!$E$2:$E$101,MATCH($A206,'4-5 매출 Top100(참조)'!$B$2:$B$101,0)),IFERROR(INDEX('4-4 Google Play Top100(참조)'!$E$2:$E$101,MATCH($A206,'4-4 Google Play Top100(참조)'!$B$2:$B$101,0)),"-"))</f>
        <v>블록</v>
      </c>
      <c r="D206" s="49" t="str">
        <f aca="false">INDEX('4-6 매출-다운로드 비교(참조)'!$B$6:$B$177,MATCH($A206,'4-6 매출-다운로드 비교(참조)'!$A$6:$A$177,0))</f>
        <v>-</v>
      </c>
      <c r="E206" s="49" t="n">
        <f aca="false">INDEX('4-6 매출-다운로드 비교(참조)'!$C$6:$C$177,MATCH($A206,'4-6 매출-다운로드 비교(참조)'!$A$6:$A$177,0))</f>
        <v>43</v>
      </c>
      <c r="F206" s="47" t="str">
        <f aca="false">INDEX('4-6 매출-다운로드 비교(참조)'!$H$6:$H$177,MATCH($A206,'4-6 매출-다운로드 비교(참조)'!$A$6:$A$177,0))</f>
        <v>④ 둘 다 기준 밖</v>
      </c>
      <c r="G206" s="49" t="str">
        <f aca="false">IF(OR(ISNUMBER(D206),F206="③ 다운로드만 높음"),"후보","후보 아님")</f>
        <v>후보 아님</v>
      </c>
      <c r="H206" s="49" t="str">
        <f aca="false">IF(G206&lt;&gt;"후보","",IFERROR(INDEX($H$18:$H$54,MATCH(K206,$K$18:$K$54,0)),""))</f>
        <v/>
      </c>
      <c r="I206" s="89" t="str">
        <f aca="false">IF(G206&lt;&gt;"후보","-",IFERROR(INDEX($I$18:$I$54,MATCH(K206,$K$18:$K$54,0)),"판단 보류"))</f>
        <v>-</v>
      </c>
      <c r="J206" s="47"/>
      <c r="K206" s="47" t="str">
        <f aca="false">B206&amp;"|"&amp;C206</f>
        <v>퍼즐|블록</v>
      </c>
    </row>
    <row r="207" customFormat="false" ht="17.15" hidden="false" customHeight="false" outlineLevel="0" collapsed="false">
      <c r="A207" s="78" t="s">
        <v>984</v>
      </c>
      <c r="B207" s="47" t="str">
        <f aca="false">IFERROR(INDEX('4-5 매출 Top100(참조)'!$D$2:$D$101,MATCH($A207,'4-5 매출 Top100(참조)'!$B$2:$B$101,0)),IFERROR(INDEX('4-4 Google Play Top100(참조)'!$D$2:$D$101,MATCH($A207,'4-4 Google Play Top100(참조)'!$B$2:$B$101,0)),"확인 불가"))</f>
        <v>퍼즐</v>
      </c>
      <c r="C207" s="47" t="str">
        <f aca="false">IFERROR(INDEX('4-5 매출 Top100(참조)'!$E$2:$E$101,MATCH($A207,'4-5 매출 Top100(참조)'!$B$2:$B$101,0)),IFERROR(INDEX('4-4 Google Play Top100(참조)'!$E$2:$E$101,MATCH($A207,'4-4 Google Play Top100(참조)'!$B$2:$B$101,0)),"-"))</f>
        <v>로직·두뇌 트릭</v>
      </c>
      <c r="D207" s="49" t="str">
        <f aca="false">INDEX('4-6 매출-다운로드 비교(참조)'!$B$6:$B$177,MATCH($A207,'4-6 매출-다운로드 비교(참조)'!$A$6:$A$177,0))</f>
        <v>-</v>
      </c>
      <c r="E207" s="49" t="n">
        <f aca="false">INDEX('4-6 매출-다운로드 비교(참조)'!$C$6:$C$177,MATCH($A207,'4-6 매출-다운로드 비교(참조)'!$A$6:$A$177,0))</f>
        <v>44</v>
      </c>
      <c r="F207" s="47" t="str">
        <f aca="false">INDEX('4-6 매출-다운로드 비교(참조)'!$H$6:$H$177,MATCH($A207,'4-6 매출-다운로드 비교(참조)'!$A$6:$A$177,0))</f>
        <v>④ 둘 다 기준 밖</v>
      </c>
      <c r="G207" s="49" t="str">
        <f aca="false">IF(OR(ISNUMBER(D207),F207="③ 다운로드만 높음"),"후보","후보 아님")</f>
        <v>후보 아님</v>
      </c>
      <c r="H207" s="49" t="str">
        <f aca="false">IF(G207&lt;&gt;"후보","",IFERROR(INDEX($H$18:$H$54,MATCH(K207,$K$18:$K$54,0)),""))</f>
        <v/>
      </c>
      <c r="I207" s="89" t="str">
        <f aca="false">IF(G207&lt;&gt;"후보","-",IFERROR(INDEX($I$18:$I$54,MATCH(K207,$K$18:$K$54,0)),"판단 보류"))</f>
        <v>-</v>
      </c>
      <c r="J207" s="47"/>
      <c r="K207" s="47" t="str">
        <f aca="false">B207&amp;"|"&amp;C207</f>
        <v>퍼즐|로직·두뇌 트릭</v>
      </c>
    </row>
    <row r="208" customFormat="false" ht="17.15" hidden="false" customHeight="false" outlineLevel="0" collapsed="false">
      <c r="A208" s="78" t="s">
        <v>985</v>
      </c>
      <c r="B208" s="47" t="str">
        <f aca="false">IFERROR(INDEX('4-5 매출 Top100(참조)'!$D$2:$D$101,MATCH($A208,'4-5 매출 Top100(참조)'!$B$2:$B$101,0)),IFERROR(INDEX('4-4 Google Play Top100(참조)'!$D$2:$D$101,MATCH($A208,'4-4 Google Play Top100(참조)'!$B$2:$B$101,0)),"확인 불가"))</f>
        <v>퍼즐</v>
      </c>
      <c r="C208" s="47" t="str">
        <f aca="false">IFERROR(INDEX('4-5 매출 Top100(참조)'!$E$2:$E$101,MATCH($A208,'4-5 매출 Top100(참조)'!$B$2:$B$101,0)),IFERROR(INDEX('4-4 Google Play Top100(참조)'!$E$2:$E$101,MATCH($A208,'4-4 Google Play Top100(참조)'!$B$2:$B$101,0)),"-"))</f>
        <v>정렬·잼</v>
      </c>
      <c r="D208" s="49" t="str">
        <f aca="false">INDEX('4-6 매출-다운로드 비교(참조)'!$B$6:$B$177,MATCH($A208,'4-6 매출-다운로드 비교(참조)'!$A$6:$A$177,0))</f>
        <v>-</v>
      </c>
      <c r="E208" s="49" t="n">
        <f aca="false">INDEX('4-6 매출-다운로드 비교(참조)'!$C$6:$C$177,MATCH($A208,'4-6 매출-다운로드 비교(참조)'!$A$6:$A$177,0))</f>
        <v>45</v>
      </c>
      <c r="F208" s="47" t="str">
        <f aca="false">INDEX('4-6 매출-다운로드 비교(참조)'!$H$6:$H$177,MATCH($A208,'4-6 매출-다운로드 비교(참조)'!$A$6:$A$177,0))</f>
        <v>④ 둘 다 기준 밖</v>
      </c>
      <c r="G208" s="49" t="str">
        <f aca="false">IF(OR(ISNUMBER(D208),F208="③ 다운로드만 높음"),"후보","후보 아님")</f>
        <v>후보 아님</v>
      </c>
      <c r="H208" s="49" t="str">
        <f aca="false">IF(G208&lt;&gt;"후보","",IFERROR(INDEX($H$18:$H$54,MATCH(K208,$K$18:$K$54,0)),""))</f>
        <v/>
      </c>
      <c r="I208" s="89" t="str">
        <f aca="false">IF(G208&lt;&gt;"후보","-",IFERROR(INDEX($I$18:$I$54,MATCH(K208,$K$18:$K$54,0)),"판단 보류"))</f>
        <v>-</v>
      </c>
      <c r="J208" s="47"/>
      <c r="K208" s="47" t="str">
        <f aca="false">B208&amp;"|"&amp;C208</f>
        <v>퍼즐|정렬·잼</v>
      </c>
    </row>
    <row r="209" customFormat="false" ht="17.15" hidden="false" customHeight="false" outlineLevel="0" collapsed="false">
      <c r="A209" s="78" t="s">
        <v>986</v>
      </c>
      <c r="B209" s="47" t="str">
        <f aca="false">IFERROR(INDEX('4-5 매출 Top100(참조)'!$D$2:$D$101,MATCH($A209,'4-5 매출 Top100(참조)'!$B$2:$B$101,0)),IFERROR(INDEX('4-4 Google Play Top100(참조)'!$D$2:$D$101,MATCH($A209,'4-4 Google Play Top100(참조)'!$B$2:$B$101,0)),"확인 불가"))</f>
        <v>카드·보드·카지노</v>
      </c>
      <c r="C209" s="47" t="str">
        <f aca="false">IFERROR(INDEX('4-5 매출 Top100(참조)'!$E$2:$E$101,MATCH($A209,'4-5 매출 Top100(참조)'!$B$2:$B$101,0)),IFERROR(INDEX('4-4 Google Play Top100(참조)'!$E$2:$E$101,MATCH($A209,'4-4 Google Play Top100(참조)'!$B$2:$B$101,0)),"-"))</f>
        <v>솔리테어</v>
      </c>
      <c r="D209" s="49" t="str">
        <f aca="false">INDEX('4-6 매출-다운로드 비교(참조)'!$B$6:$B$177,MATCH($A209,'4-6 매출-다운로드 비교(참조)'!$A$6:$A$177,0))</f>
        <v>-</v>
      </c>
      <c r="E209" s="49" t="n">
        <f aca="false">INDEX('4-6 매출-다운로드 비교(참조)'!$C$6:$C$177,MATCH($A209,'4-6 매출-다운로드 비교(참조)'!$A$6:$A$177,0))</f>
        <v>46</v>
      </c>
      <c r="F209" s="47" t="str">
        <f aca="false">INDEX('4-6 매출-다운로드 비교(참조)'!$H$6:$H$177,MATCH($A209,'4-6 매출-다운로드 비교(참조)'!$A$6:$A$177,0))</f>
        <v>④ 둘 다 기준 밖</v>
      </c>
      <c r="G209" s="49" t="str">
        <f aca="false">IF(OR(ISNUMBER(D209),F209="③ 다운로드만 높음"),"후보","후보 아님")</f>
        <v>후보 아님</v>
      </c>
      <c r="H209" s="49" t="str">
        <f aca="false">IF(G209&lt;&gt;"후보","",IFERROR(INDEX($H$18:$H$54,MATCH(K209,$K$18:$K$54,0)),""))</f>
        <v/>
      </c>
      <c r="I209" s="89" t="str">
        <f aca="false">IF(G209&lt;&gt;"후보","-",IFERROR(INDEX($I$18:$I$54,MATCH(K209,$K$18:$K$54,0)),"판단 보류"))</f>
        <v>-</v>
      </c>
      <c r="J209" s="47"/>
      <c r="K209" s="47" t="str">
        <f aca="false">B209&amp;"|"&amp;C209</f>
        <v>카드·보드·카지노|솔리테어</v>
      </c>
    </row>
    <row r="210" customFormat="false" ht="17.15" hidden="false" customHeight="false" outlineLevel="0" collapsed="false">
      <c r="A210" s="78" t="s">
        <v>987</v>
      </c>
      <c r="B210" s="47" t="str">
        <f aca="false">IFERROR(INDEX('4-5 매출 Top100(참조)'!$D$2:$D$101,MATCH($A210,'4-5 매출 Top100(참조)'!$B$2:$B$101,0)),IFERROR(INDEX('4-4 Google Play Top100(참조)'!$D$2:$D$101,MATCH($A210,'4-4 Google Play Top100(참조)'!$B$2:$B$101,0)),"확인 불가"))</f>
        <v>하이퍼·하이브리드 캐주얼</v>
      </c>
      <c r="C210" s="47" t="str">
        <f aca="false">IFERROR(INDEX('4-5 매출 Top100(참조)'!$E$2:$E$101,MATCH($A210,'4-5 매출 Top100(참조)'!$B$2:$B$101,0)),IFERROR(INDEX('4-4 Google Play Top100(참조)'!$E$2:$E$101,MATCH($A210,'4-4 Google Play Top100(참조)'!$B$2:$B$101,0)),"-"))</f>
        <v>아케이드</v>
      </c>
      <c r="D210" s="49" t="str">
        <f aca="false">INDEX('4-6 매출-다운로드 비교(참조)'!$B$6:$B$177,MATCH($A210,'4-6 매출-다운로드 비교(참조)'!$A$6:$A$177,0))</f>
        <v>-</v>
      </c>
      <c r="E210" s="49" t="n">
        <f aca="false">INDEX('4-6 매출-다운로드 비교(참조)'!$C$6:$C$177,MATCH($A210,'4-6 매출-다운로드 비교(참조)'!$A$6:$A$177,0))</f>
        <v>50</v>
      </c>
      <c r="F210" s="47" t="str">
        <f aca="false">INDEX('4-6 매출-다운로드 비교(참조)'!$H$6:$H$177,MATCH($A210,'4-6 매출-다운로드 비교(참조)'!$A$6:$A$177,0))</f>
        <v>④ 둘 다 기준 밖</v>
      </c>
      <c r="G210" s="49" t="str">
        <f aca="false">IF(OR(ISNUMBER(D210),F210="③ 다운로드만 높음"),"후보","후보 아님")</f>
        <v>후보 아님</v>
      </c>
      <c r="H210" s="49" t="str">
        <f aca="false">IF(G210&lt;&gt;"후보","",IFERROR(INDEX($H$18:$H$54,MATCH(K210,$K$18:$K$54,0)),""))</f>
        <v/>
      </c>
      <c r="I210" s="89" t="str">
        <f aca="false">IF(G210&lt;&gt;"후보","-",IFERROR(INDEX($I$18:$I$54,MATCH(K210,$K$18:$K$54,0)),"판단 보류"))</f>
        <v>-</v>
      </c>
      <c r="J210" s="47"/>
      <c r="K210" s="47" t="str">
        <f aca="false">B210&amp;"|"&amp;C210</f>
        <v>하이퍼·하이브리드 캐주얼|아케이드</v>
      </c>
    </row>
    <row r="211" customFormat="false" ht="17.15" hidden="false" customHeight="false" outlineLevel="0" collapsed="false">
      <c r="A211" s="78" t="s">
        <v>988</v>
      </c>
      <c r="B211" s="47" t="str">
        <f aca="false">IFERROR(INDEX('4-5 매출 Top100(참조)'!$D$2:$D$101,MATCH($A211,'4-5 매출 Top100(참조)'!$B$2:$B$101,0)),IFERROR(INDEX('4-4 Google Play Top100(참조)'!$D$2:$D$101,MATCH($A211,'4-4 Google Play Top100(참조)'!$B$2:$B$101,0)),"확인 불가"))</f>
        <v>RPG</v>
      </c>
      <c r="C211" s="47" t="str">
        <f aca="false">IFERROR(INDEX('4-5 매출 Top100(참조)'!$E$2:$E$101,MATCH($A211,'4-5 매출 Top100(참조)'!$B$2:$B$101,0)),IFERROR(INDEX('4-4 Google Play Top100(참조)'!$E$2:$E$101,MATCH($A211,'4-4 Google Play Top100(참조)'!$B$2:$B$101,0)),"-"))</f>
        <v>방치형 슈터</v>
      </c>
      <c r="D211" s="49" t="str">
        <f aca="false">INDEX('4-6 매출-다운로드 비교(참조)'!$B$6:$B$177,MATCH($A211,'4-6 매출-다운로드 비교(참조)'!$A$6:$A$177,0))</f>
        <v>-</v>
      </c>
      <c r="E211" s="49" t="n">
        <f aca="false">INDEX('4-6 매출-다운로드 비교(참조)'!$C$6:$C$177,MATCH($A211,'4-6 매출-다운로드 비교(참조)'!$A$6:$A$177,0))</f>
        <v>51</v>
      </c>
      <c r="F211" s="47" t="str">
        <f aca="false">INDEX('4-6 매출-다운로드 비교(참조)'!$H$6:$H$177,MATCH($A211,'4-6 매출-다운로드 비교(참조)'!$A$6:$A$177,0))</f>
        <v>④ 둘 다 기준 밖</v>
      </c>
      <c r="G211" s="49" t="str">
        <f aca="false">IF(OR(ISNUMBER(D211),F211="③ 다운로드만 높음"),"후보","후보 아님")</f>
        <v>후보 아님</v>
      </c>
      <c r="H211" s="49" t="str">
        <f aca="false">IF(G211&lt;&gt;"후보","",IFERROR(INDEX($H$18:$H$54,MATCH(K211,$K$18:$K$54,0)),""))</f>
        <v/>
      </c>
      <c r="I211" s="89" t="str">
        <f aca="false">IF(G211&lt;&gt;"후보","-",IFERROR(INDEX($I$18:$I$54,MATCH(K211,$K$18:$K$54,0)),"판단 보류"))</f>
        <v>-</v>
      </c>
      <c r="J211" s="47"/>
      <c r="K211" s="47" t="str">
        <f aca="false">B211&amp;"|"&amp;C211</f>
        <v>RPG|방치형 슈터</v>
      </c>
    </row>
    <row r="212" customFormat="false" ht="17.15" hidden="false" customHeight="false" outlineLevel="0" collapsed="false">
      <c r="A212" s="78" t="s">
        <v>989</v>
      </c>
      <c r="B212" s="47" t="str">
        <f aca="false">IFERROR(INDEX('4-5 매출 Top100(참조)'!$D$2:$D$101,MATCH($A212,'4-5 매출 Top100(참조)'!$B$2:$B$101,0)),IFERROR(INDEX('4-4 Google Play Top100(참조)'!$D$2:$D$101,MATCH($A212,'4-4 Google Play Top100(참조)'!$B$2:$B$101,0)),"확인 불가"))</f>
        <v>하이퍼·하이브리드 캐주얼</v>
      </c>
      <c r="C212" s="47" t="str">
        <f aca="false">IFERROR(INDEX('4-5 매출 Top100(참조)'!$E$2:$E$101,MATCH($A212,'4-5 매출 Top100(참조)'!$B$2:$B$101,0)),IFERROR(INDEX('4-4 Google Play Top100(참조)'!$E$2:$E$101,MATCH($A212,'4-4 Google Play Top100(참조)'!$B$2:$B$101,0)),"-"))</f>
        <v>러너</v>
      </c>
      <c r="D212" s="49" t="str">
        <f aca="false">INDEX('4-6 매출-다운로드 비교(참조)'!$B$6:$B$177,MATCH($A212,'4-6 매출-다운로드 비교(참조)'!$A$6:$A$177,0))</f>
        <v>-</v>
      </c>
      <c r="E212" s="49" t="n">
        <f aca="false">INDEX('4-6 매출-다운로드 비교(참조)'!$C$6:$C$177,MATCH($A212,'4-6 매출-다운로드 비교(참조)'!$A$6:$A$177,0))</f>
        <v>52</v>
      </c>
      <c r="F212" s="47" t="str">
        <f aca="false">INDEX('4-6 매출-다운로드 비교(참조)'!$H$6:$H$177,MATCH($A212,'4-6 매출-다운로드 비교(참조)'!$A$6:$A$177,0))</f>
        <v>④ 둘 다 기준 밖</v>
      </c>
      <c r="G212" s="49" t="str">
        <f aca="false">IF(OR(ISNUMBER(D212),F212="③ 다운로드만 높음"),"후보","후보 아님")</f>
        <v>후보 아님</v>
      </c>
      <c r="H212" s="49" t="str">
        <f aca="false">IF(G212&lt;&gt;"후보","",IFERROR(INDEX($H$18:$H$54,MATCH(K212,$K$18:$K$54,0)),""))</f>
        <v/>
      </c>
      <c r="I212" s="89" t="str">
        <f aca="false">IF(G212&lt;&gt;"후보","-",IFERROR(INDEX($I$18:$I$54,MATCH(K212,$K$18:$K$54,0)),"판단 보류"))</f>
        <v>-</v>
      </c>
      <c r="J212" s="47"/>
      <c r="K212" s="47" t="str">
        <f aca="false">B212&amp;"|"&amp;C212</f>
        <v>하이퍼·하이브리드 캐주얼|러너</v>
      </c>
    </row>
    <row r="213" customFormat="false" ht="17.15" hidden="false" customHeight="false" outlineLevel="0" collapsed="false">
      <c r="A213" s="78" t="s">
        <v>990</v>
      </c>
      <c r="B213" s="47" t="str">
        <f aca="false">IFERROR(INDEX('4-5 매출 Top100(참조)'!$D$2:$D$101,MATCH($A213,'4-5 매출 Top100(참조)'!$B$2:$B$101,0)),IFERROR(INDEX('4-4 Google Play Top100(참조)'!$D$2:$D$101,MATCH($A213,'4-4 Google Play Top100(참조)'!$B$2:$B$101,0)),"확인 불가"))</f>
        <v>퍼즐</v>
      </c>
      <c r="C213" s="47" t="str">
        <f aca="false">IFERROR(INDEX('4-5 매출 Top100(참조)'!$E$2:$E$101,MATCH($A213,'4-5 매출 Top100(참조)'!$B$2:$B$101,0)),IFERROR(INDEX('4-4 Google Play Top100(참조)'!$E$2:$E$101,MATCH($A213,'4-4 Google Play Top100(참조)'!$B$2:$B$101,0)),"-"))</f>
        <v>워드</v>
      </c>
      <c r="D213" s="49" t="str">
        <f aca="false">INDEX('4-6 매출-다운로드 비교(참조)'!$B$6:$B$177,MATCH($A213,'4-6 매출-다운로드 비교(참조)'!$A$6:$A$177,0))</f>
        <v>-</v>
      </c>
      <c r="E213" s="49" t="n">
        <f aca="false">INDEX('4-6 매출-다운로드 비교(참조)'!$C$6:$C$177,MATCH($A213,'4-6 매출-다운로드 비교(참조)'!$A$6:$A$177,0))</f>
        <v>53</v>
      </c>
      <c r="F213" s="47" t="str">
        <f aca="false">INDEX('4-6 매출-다운로드 비교(참조)'!$H$6:$H$177,MATCH($A213,'4-6 매출-다운로드 비교(참조)'!$A$6:$A$177,0))</f>
        <v>④ 둘 다 기준 밖</v>
      </c>
      <c r="G213" s="49" t="str">
        <f aca="false">IF(OR(ISNUMBER(D213),F213="③ 다운로드만 높음"),"후보","후보 아님")</f>
        <v>후보 아님</v>
      </c>
      <c r="H213" s="49" t="str">
        <f aca="false">IF(G213&lt;&gt;"후보","",IFERROR(INDEX($H$18:$H$54,MATCH(K213,$K$18:$K$54,0)),""))</f>
        <v/>
      </c>
      <c r="I213" s="89" t="str">
        <f aca="false">IF(G213&lt;&gt;"후보","-",IFERROR(INDEX($I$18:$I$54,MATCH(K213,$K$18:$K$54,0)),"판단 보류"))</f>
        <v>-</v>
      </c>
      <c r="J213" s="47"/>
      <c r="K213" s="47" t="str">
        <f aca="false">B213&amp;"|"&amp;C213</f>
        <v>퍼즐|워드</v>
      </c>
    </row>
    <row r="214" customFormat="false" ht="17.15" hidden="false" customHeight="false" outlineLevel="0" collapsed="false">
      <c r="A214" s="78" t="s">
        <v>991</v>
      </c>
      <c r="B214" s="47" t="str">
        <f aca="false">IFERROR(INDEX('4-5 매출 Top100(참조)'!$D$2:$D$101,MATCH($A214,'4-5 매출 Top100(참조)'!$B$2:$B$101,0)),IFERROR(INDEX('4-4 Google Play Top100(참조)'!$D$2:$D$101,MATCH($A214,'4-4 Google Play Top100(참조)'!$B$2:$B$101,0)),"확인 불가"))</f>
        <v>하이퍼·하이브리드 캐주얼</v>
      </c>
      <c r="C214" s="47" t="str">
        <f aca="false">IFERROR(INDEX('4-5 매출 Top100(참조)'!$E$2:$E$101,MATCH($A214,'4-5 매출 Top100(참조)'!$B$2:$B$101,0)),IFERROR(INDEX('4-4 Google Play Top100(참조)'!$E$2:$E$101,MATCH($A214,'4-4 Google Play Top100(참조)'!$B$2:$B$101,0)),"-"))</f>
        <v>아케이드</v>
      </c>
      <c r="D214" s="49" t="str">
        <f aca="false">INDEX('4-6 매출-다운로드 비교(참조)'!$B$6:$B$177,MATCH($A214,'4-6 매출-다운로드 비교(참조)'!$A$6:$A$177,0))</f>
        <v>-</v>
      </c>
      <c r="E214" s="49" t="n">
        <f aca="false">INDEX('4-6 매출-다운로드 비교(참조)'!$C$6:$C$177,MATCH($A214,'4-6 매출-다운로드 비교(참조)'!$A$6:$A$177,0))</f>
        <v>54</v>
      </c>
      <c r="F214" s="47" t="str">
        <f aca="false">INDEX('4-6 매출-다운로드 비교(참조)'!$H$6:$H$177,MATCH($A214,'4-6 매출-다운로드 비교(참조)'!$A$6:$A$177,0))</f>
        <v>④ 둘 다 기준 밖</v>
      </c>
      <c r="G214" s="49" t="str">
        <f aca="false">IF(OR(ISNUMBER(D214),F214="③ 다운로드만 높음"),"후보","후보 아님")</f>
        <v>후보 아님</v>
      </c>
      <c r="H214" s="49" t="str">
        <f aca="false">IF(G214&lt;&gt;"후보","",IFERROR(INDEX($H$18:$H$54,MATCH(K214,$K$18:$K$54,0)),""))</f>
        <v/>
      </c>
      <c r="I214" s="89" t="str">
        <f aca="false">IF(G214&lt;&gt;"후보","-",IFERROR(INDEX($I$18:$I$54,MATCH(K214,$K$18:$K$54,0)),"판단 보류"))</f>
        <v>-</v>
      </c>
      <c r="J214" s="47"/>
      <c r="K214" s="47" t="str">
        <f aca="false">B214&amp;"|"&amp;C214</f>
        <v>하이퍼·하이브리드 캐주얼|아케이드</v>
      </c>
    </row>
    <row r="215" customFormat="false" ht="17.15" hidden="false" customHeight="false" outlineLevel="0" collapsed="false">
      <c r="A215" s="78" t="s">
        <v>992</v>
      </c>
      <c r="B215" s="47" t="str">
        <f aca="false">IFERROR(INDEX('4-5 매출 Top100(참조)'!$D$2:$D$101,MATCH($A215,'4-5 매출 Top100(참조)'!$B$2:$B$101,0)),IFERROR(INDEX('4-4 Google Play Top100(참조)'!$D$2:$D$101,MATCH($A215,'4-4 Google Play Top100(참조)'!$B$2:$B$101,0)),"확인 불가"))</f>
        <v>퍼즐</v>
      </c>
      <c r="C215" s="47" t="str">
        <f aca="false">IFERROR(INDEX('4-5 매출 Top100(참조)'!$E$2:$E$101,MATCH($A215,'4-5 매출 Top100(참조)'!$B$2:$B$101,0)),IFERROR(INDEX('4-4 Google Play Top100(참조)'!$E$2:$E$101,MATCH($A215,'4-4 Google Play Top100(참조)'!$B$2:$B$101,0)),"-"))</f>
        <v>타일·마작·트리플 매치</v>
      </c>
      <c r="D215" s="49" t="str">
        <f aca="false">INDEX('4-6 매출-다운로드 비교(참조)'!$B$6:$B$177,MATCH($A215,'4-6 매출-다운로드 비교(참조)'!$A$6:$A$177,0))</f>
        <v>-</v>
      </c>
      <c r="E215" s="49" t="n">
        <f aca="false">INDEX('4-6 매출-다운로드 비교(참조)'!$C$6:$C$177,MATCH($A215,'4-6 매출-다운로드 비교(참조)'!$A$6:$A$177,0))</f>
        <v>55</v>
      </c>
      <c r="F215" s="47" t="str">
        <f aca="false">INDEX('4-6 매출-다운로드 비교(참조)'!$H$6:$H$177,MATCH($A215,'4-6 매출-다운로드 비교(참조)'!$A$6:$A$177,0))</f>
        <v>④ 둘 다 기준 밖</v>
      </c>
      <c r="G215" s="49" t="str">
        <f aca="false">IF(OR(ISNUMBER(D215),F215="③ 다운로드만 높음"),"후보","후보 아님")</f>
        <v>후보 아님</v>
      </c>
      <c r="H215" s="49" t="str">
        <f aca="false">IF(G215&lt;&gt;"후보","",IFERROR(INDEX($H$18:$H$54,MATCH(K215,$K$18:$K$54,0)),""))</f>
        <v/>
      </c>
      <c r="I215" s="89" t="str">
        <f aca="false">IF(G215&lt;&gt;"후보","-",IFERROR(INDEX($I$18:$I$54,MATCH(K215,$K$18:$K$54,0)),"판단 보류"))</f>
        <v>-</v>
      </c>
      <c r="J215" s="47"/>
      <c r="K215" s="47" t="str">
        <f aca="false">B215&amp;"|"&amp;C215</f>
        <v>퍼즐|타일·마작·트리플 매치</v>
      </c>
    </row>
    <row r="216" customFormat="false" ht="17.15" hidden="false" customHeight="false" outlineLevel="0" collapsed="false">
      <c r="A216" s="78" t="s">
        <v>993</v>
      </c>
      <c r="B216" s="47" t="str">
        <f aca="false">IFERROR(INDEX('4-5 매출 Top100(참조)'!$D$2:$D$101,MATCH($A216,'4-5 매출 Top100(참조)'!$B$2:$B$101,0)),IFERROR(INDEX('4-4 Google Play Top100(참조)'!$D$2:$D$101,MATCH($A216,'4-4 Google Play Top100(참조)'!$B$2:$B$101,0)),"확인 불가"))</f>
        <v>퍼즐</v>
      </c>
      <c r="C216" s="47" t="str">
        <f aca="false">IFERROR(INDEX('4-5 매출 Top100(참조)'!$E$2:$E$101,MATCH($A216,'4-5 매출 Top100(참조)'!$B$2:$B$101,0)),IFERROR(INDEX('4-4 Google Play Top100(참조)'!$E$2:$E$101,MATCH($A216,'4-4 Google Play Top100(참조)'!$B$2:$B$101,0)),"-"))</f>
        <v>숨은그림</v>
      </c>
      <c r="D216" s="49" t="str">
        <f aca="false">INDEX('4-6 매출-다운로드 비교(참조)'!$B$6:$B$177,MATCH($A216,'4-6 매출-다운로드 비교(참조)'!$A$6:$A$177,0))</f>
        <v>-</v>
      </c>
      <c r="E216" s="49" t="n">
        <f aca="false">INDEX('4-6 매출-다운로드 비교(참조)'!$C$6:$C$177,MATCH($A216,'4-6 매출-다운로드 비교(참조)'!$A$6:$A$177,0))</f>
        <v>56</v>
      </c>
      <c r="F216" s="47" t="str">
        <f aca="false">INDEX('4-6 매출-다운로드 비교(참조)'!$H$6:$H$177,MATCH($A216,'4-6 매출-다운로드 비교(참조)'!$A$6:$A$177,0))</f>
        <v>④ 둘 다 기준 밖</v>
      </c>
      <c r="G216" s="49" t="str">
        <f aca="false">IF(OR(ISNUMBER(D216),F216="③ 다운로드만 높음"),"후보","후보 아님")</f>
        <v>후보 아님</v>
      </c>
      <c r="H216" s="49" t="str">
        <f aca="false">IF(G216&lt;&gt;"후보","",IFERROR(INDEX($H$18:$H$54,MATCH(K216,$K$18:$K$54,0)),""))</f>
        <v/>
      </c>
      <c r="I216" s="89" t="str">
        <f aca="false">IF(G216&lt;&gt;"후보","-",IFERROR(INDEX($I$18:$I$54,MATCH(K216,$K$18:$K$54,0)),"판단 보류"))</f>
        <v>-</v>
      </c>
      <c r="J216" s="47"/>
      <c r="K216" s="47" t="str">
        <f aca="false">B216&amp;"|"&amp;C216</f>
        <v>퍼즐|숨은그림</v>
      </c>
    </row>
    <row r="217" customFormat="false" ht="17.15" hidden="false" customHeight="false" outlineLevel="0" collapsed="false">
      <c r="A217" s="78" t="s">
        <v>994</v>
      </c>
      <c r="B217" s="47" t="str">
        <f aca="false">IFERROR(INDEX('4-5 매출 Top100(참조)'!$D$2:$D$101,MATCH($A217,'4-5 매출 Top100(참조)'!$B$2:$B$101,0)),IFERROR(INDEX('4-4 Google Play Top100(참조)'!$D$2:$D$101,MATCH($A217,'4-4 Google Play Top100(참조)'!$B$2:$B$101,0)),"확인 불가"))</f>
        <v>퍼즐</v>
      </c>
      <c r="C217" s="47" t="str">
        <f aca="false">IFERROR(INDEX('4-5 매출 Top100(참조)'!$E$2:$E$101,MATCH($A217,'4-5 매출 Top100(참조)'!$B$2:$B$101,0)),IFERROR(INDEX('4-4 Google Play Top100(참조)'!$E$2:$E$101,MATCH($A217,'4-4 Google Play Top100(참조)'!$B$2:$B$101,0)),"-"))</f>
        <v>픽셀·컬러 아트</v>
      </c>
      <c r="D217" s="49" t="str">
        <f aca="false">INDEX('4-6 매출-다운로드 비교(참조)'!$B$6:$B$177,MATCH($A217,'4-6 매출-다운로드 비교(참조)'!$A$6:$A$177,0))</f>
        <v>-</v>
      </c>
      <c r="E217" s="49" t="n">
        <f aca="false">INDEX('4-6 매출-다운로드 비교(참조)'!$C$6:$C$177,MATCH($A217,'4-6 매출-다운로드 비교(참조)'!$A$6:$A$177,0))</f>
        <v>57</v>
      </c>
      <c r="F217" s="47" t="str">
        <f aca="false">INDEX('4-6 매출-다운로드 비교(참조)'!$H$6:$H$177,MATCH($A217,'4-6 매출-다운로드 비교(참조)'!$A$6:$A$177,0))</f>
        <v>④ 둘 다 기준 밖</v>
      </c>
      <c r="G217" s="49" t="str">
        <f aca="false">IF(OR(ISNUMBER(D217),F217="③ 다운로드만 높음"),"후보","후보 아님")</f>
        <v>후보 아님</v>
      </c>
      <c r="H217" s="49" t="str">
        <f aca="false">IF(G217&lt;&gt;"후보","",IFERROR(INDEX($H$18:$H$54,MATCH(K217,$K$18:$K$54,0)),""))</f>
        <v/>
      </c>
      <c r="I217" s="89" t="str">
        <f aca="false">IF(G217&lt;&gt;"후보","-",IFERROR(INDEX($I$18:$I$54,MATCH(K217,$K$18:$K$54,0)),"판단 보류"))</f>
        <v>-</v>
      </c>
      <c r="J217" s="47"/>
      <c r="K217" s="47" t="str">
        <f aca="false">B217&amp;"|"&amp;C217</f>
        <v>퍼즐|픽셀·컬러 아트</v>
      </c>
    </row>
    <row r="218" customFormat="false" ht="17.15" hidden="false" customHeight="false" outlineLevel="0" collapsed="false">
      <c r="A218" s="78" t="s">
        <v>995</v>
      </c>
      <c r="B218" s="47" t="str">
        <f aca="false">IFERROR(INDEX('4-5 매출 Top100(참조)'!$D$2:$D$101,MATCH($A218,'4-5 매출 Top100(참조)'!$B$2:$B$101,0)),IFERROR(INDEX('4-4 Google Play Top100(참조)'!$D$2:$D$101,MATCH($A218,'4-4 Google Play Top100(참조)'!$B$2:$B$101,0)),"확인 불가"))</f>
        <v>액션·슈팅</v>
      </c>
      <c r="C218" s="47" t="str">
        <f aca="false">IFERROR(INDEX('4-5 매출 Top100(참조)'!$E$2:$E$101,MATCH($A218,'4-5 매출 Top100(참조)'!$B$2:$B$101,0)),IFERROR(INDEX('4-4 Google Play Top100(참조)'!$E$2:$E$101,MATCH($A218,'4-4 Google Play Top100(참조)'!$B$2:$B$101,0)),"-"))</f>
        <v>스나이퍼</v>
      </c>
      <c r="D218" s="49" t="str">
        <f aca="false">INDEX('4-6 매출-다운로드 비교(참조)'!$B$6:$B$177,MATCH($A218,'4-6 매출-다운로드 비교(참조)'!$A$6:$A$177,0))</f>
        <v>-</v>
      </c>
      <c r="E218" s="49" t="n">
        <f aca="false">INDEX('4-6 매출-다운로드 비교(참조)'!$C$6:$C$177,MATCH($A218,'4-6 매출-다운로드 비교(참조)'!$A$6:$A$177,0))</f>
        <v>58</v>
      </c>
      <c r="F218" s="47" t="str">
        <f aca="false">INDEX('4-6 매출-다운로드 비교(참조)'!$H$6:$H$177,MATCH($A218,'4-6 매출-다운로드 비교(참조)'!$A$6:$A$177,0))</f>
        <v>④ 둘 다 기준 밖</v>
      </c>
      <c r="G218" s="49" t="str">
        <f aca="false">IF(OR(ISNUMBER(D218),F218="③ 다운로드만 높음"),"후보","후보 아님")</f>
        <v>후보 아님</v>
      </c>
      <c r="H218" s="49" t="str">
        <f aca="false">IF(G218&lt;&gt;"후보","",IFERROR(INDEX($H$18:$H$54,MATCH(K218,$K$18:$K$54,0)),""))</f>
        <v/>
      </c>
      <c r="I218" s="89" t="str">
        <f aca="false">IF(G218&lt;&gt;"후보","-",IFERROR(INDEX($I$18:$I$54,MATCH(K218,$K$18:$K$54,0)),"판단 보류"))</f>
        <v>-</v>
      </c>
      <c r="J218" s="47"/>
      <c r="K218" s="47" t="str">
        <f aca="false">B218&amp;"|"&amp;C218</f>
        <v>액션·슈팅|스나이퍼</v>
      </c>
    </row>
    <row r="219" customFormat="false" ht="17.15" hidden="false" customHeight="false" outlineLevel="0" collapsed="false">
      <c r="A219" s="78" t="s">
        <v>996</v>
      </c>
      <c r="B219" s="47" t="str">
        <f aca="false">IFERROR(INDEX('4-5 매출 Top100(참조)'!$D$2:$D$101,MATCH($A219,'4-5 매출 Top100(참조)'!$B$2:$B$101,0)),IFERROR(INDEX('4-4 Google Play Top100(참조)'!$D$2:$D$101,MATCH($A219,'4-4 Google Play Top100(참조)'!$B$2:$B$101,0)),"확인 불가"))</f>
        <v>시뮬레이션</v>
      </c>
      <c r="C219" s="47" t="str">
        <f aca="false">IFERROR(INDEX('4-5 매출 Top100(참조)'!$E$2:$E$101,MATCH($A219,'4-5 매출 Top100(참조)'!$B$2:$B$101,0)),IFERROR(INDEX('4-4 Google Play Top100(참조)'!$E$2:$E$101,MATCH($A219,'4-4 Google Play Top100(참조)'!$B$2:$B$101,0)),"-"))</f>
        <v>샌드박스</v>
      </c>
      <c r="D219" s="49" t="str">
        <f aca="false">INDEX('4-6 매출-다운로드 비교(참조)'!$B$6:$B$177,MATCH($A219,'4-6 매출-다운로드 비교(참조)'!$A$6:$A$177,0))</f>
        <v>-</v>
      </c>
      <c r="E219" s="49" t="n">
        <f aca="false">INDEX('4-6 매출-다운로드 비교(참조)'!$C$6:$C$177,MATCH($A219,'4-6 매출-다운로드 비교(참조)'!$A$6:$A$177,0))</f>
        <v>59</v>
      </c>
      <c r="F219" s="47" t="str">
        <f aca="false">INDEX('4-6 매출-다운로드 비교(참조)'!$H$6:$H$177,MATCH($A219,'4-6 매출-다운로드 비교(참조)'!$A$6:$A$177,0))</f>
        <v>④ 둘 다 기준 밖</v>
      </c>
      <c r="G219" s="49" t="str">
        <f aca="false">IF(OR(ISNUMBER(D219),F219="③ 다운로드만 높음"),"후보","후보 아님")</f>
        <v>후보 아님</v>
      </c>
      <c r="H219" s="49" t="str">
        <f aca="false">IF(G219&lt;&gt;"후보","",IFERROR(INDEX($H$18:$H$54,MATCH(K219,$K$18:$K$54,0)),""))</f>
        <v/>
      </c>
      <c r="I219" s="89" t="str">
        <f aca="false">IF(G219&lt;&gt;"후보","-",IFERROR(INDEX($I$18:$I$54,MATCH(K219,$K$18:$K$54,0)),"판단 보류"))</f>
        <v>-</v>
      </c>
      <c r="J219" s="47"/>
      <c r="K219" s="47" t="str">
        <f aca="false">B219&amp;"|"&amp;C219</f>
        <v>시뮬레이션|샌드박스</v>
      </c>
    </row>
    <row r="220" customFormat="false" ht="17.15" hidden="false" customHeight="false" outlineLevel="0" collapsed="false">
      <c r="A220" s="78" t="s">
        <v>997</v>
      </c>
      <c r="B220" s="47" t="str">
        <f aca="false">IFERROR(INDEX('4-5 매출 Top100(참조)'!$D$2:$D$101,MATCH($A220,'4-5 매출 Top100(참조)'!$B$2:$B$101,0)),IFERROR(INDEX('4-4 Google Play Top100(참조)'!$D$2:$D$101,MATCH($A220,'4-4 Google Play Top100(참조)'!$B$2:$B$101,0)),"확인 불가"))</f>
        <v>파티·음악</v>
      </c>
      <c r="C220" s="47" t="str">
        <f aca="false">IFERROR(INDEX('4-5 매출 Top100(참조)'!$E$2:$E$101,MATCH($A220,'4-5 매출 Top100(참조)'!$B$2:$B$101,0)),IFERROR(INDEX('4-4 Google Play Top100(참조)'!$E$2:$E$101,MATCH($A220,'4-4 Google Play Top100(참조)'!$B$2:$B$101,0)),"-"))</f>
        <v>소셜 디덕션</v>
      </c>
      <c r="D220" s="49" t="str">
        <f aca="false">INDEX('4-6 매출-다운로드 비교(참조)'!$B$6:$B$177,MATCH($A220,'4-6 매출-다운로드 비교(참조)'!$A$6:$A$177,0))</f>
        <v>-</v>
      </c>
      <c r="E220" s="49" t="n">
        <f aca="false">INDEX('4-6 매출-다운로드 비교(참조)'!$C$6:$C$177,MATCH($A220,'4-6 매출-다운로드 비교(참조)'!$A$6:$A$177,0))</f>
        <v>60</v>
      </c>
      <c r="F220" s="47" t="str">
        <f aca="false">INDEX('4-6 매출-다운로드 비교(참조)'!$H$6:$H$177,MATCH($A220,'4-6 매출-다운로드 비교(참조)'!$A$6:$A$177,0))</f>
        <v>④ 둘 다 기준 밖</v>
      </c>
      <c r="G220" s="49" t="str">
        <f aca="false">IF(OR(ISNUMBER(D220),F220="③ 다운로드만 높음"),"후보","후보 아님")</f>
        <v>후보 아님</v>
      </c>
      <c r="H220" s="49" t="str">
        <f aca="false">IF(G220&lt;&gt;"후보","",IFERROR(INDEX($H$18:$H$54,MATCH(K220,$K$18:$K$54,0)),""))</f>
        <v/>
      </c>
      <c r="I220" s="89" t="str">
        <f aca="false">IF(G220&lt;&gt;"후보","-",IFERROR(INDEX($I$18:$I$54,MATCH(K220,$K$18:$K$54,0)),"판단 보류"))</f>
        <v>-</v>
      </c>
      <c r="J220" s="47"/>
      <c r="K220" s="47" t="str">
        <f aca="false">B220&amp;"|"&amp;C220</f>
        <v>파티·음악|소셜 디덕션</v>
      </c>
    </row>
    <row r="221" customFormat="false" ht="17.15" hidden="false" customHeight="false" outlineLevel="0" collapsed="false">
      <c r="A221" s="78" t="s">
        <v>998</v>
      </c>
      <c r="B221" s="47" t="str">
        <f aca="false">IFERROR(INDEX('4-5 매출 Top100(참조)'!$D$2:$D$101,MATCH($A221,'4-5 매출 Top100(참조)'!$B$2:$B$101,0)),IFERROR(INDEX('4-4 Google Play Top100(참조)'!$D$2:$D$101,MATCH($A221,'4-4 Google Play Top100(참조)'!$B$2:$B$101,0)),"확인 불가"))</f>
        <v>퍼즐</v>
      </c>
      <c r="C221" s="47" t="str">
        <f aca="false">IFERROR(INDEX('4-5 매출 Top100(참조)'!$E$2:$E$101,MATCH($A221,'4-5 매출 Top100(참조)'!$B$2:$B$101,0)),IFERROR(INDEX('4-4 Google Play Top100(참조)'!$E$2:$E$101,MATCH($A221,'4-4 Google Play Top100(참조)'!$B$2:$B$101,0)),"-"))</f>
        <v>정렬·잼</v>
      </c>
      <c r="D221" s="49" t="str">
        <f aca="false">INDEX('4-6 매출-다운로드 비교(참조)'!$B$6:$B$177,MATCH($A221,'4-6 매출-다운로드 비교(참조)'!$A$6:$A$177,0))</f>
        <v>-</v>
      </c>
      <c r="E221" s="49" t="n">
        <f aca="false">INDEX('4-6 매출-다운로드 비교(참조)'!$C$6:$C$177,MATCH($A221,'4-6 매출-다운로드 비교(참조)'!$A$6:$A$177,0))</f>
        <v>61</v>
      </c>
      <c r="F221" s="47" t="str">
        <f aca="false">INDEX('4-6 매출-다운로드 비교(참조)'!$H$6:$H$177,MATCH($A221,'4-6 매출-다운로드 비교(참조)'!$A$6:$A$177,0))</f>
        <v>④ 둘 다 기준 밖</v>
      </c>
      <c r="G221" s="49" t="str">
        <f aca="false">IF(OR(ISNUMBER(D221),F221="③ 다운로드만 높음"),"후보","후보 아님")</f>
        <v>후보 아님</v>
      </c>
      <c r="H221" s="49" t="str">
        <f aca="false">IF(G221&lt;&gt;"후보","",IFERROR(INDEX($H$18:$H$54,MATCH(K221,$K$18:$K$54,0)),""))</f>
        <v/>
      </c>
      <c r="I221" s="89" t="str">
        <f aca="false">IF(G221&lt;&gt;"후보","-",IFERROR(INDEX($I$18:$I$54,MATCH(K221,$K$18:$K$54,0)),"판단 보류"))</f>
        <v>-</v>
      </c>
      <c r="J221" s="47"/>
      <c r="K221" s="47" t="str">
        <f aca="false">B221&amp;"|"&amp;C221</f>
        <v>퍼즐|정렬·잼</v>
      </c>
    </row>
    <row r="222" customFormat="false" ht="17.15" hidden="false" customHeight="false" outlineLevel="0" collapsed="false">
      <c r="A222" s="78" t="s">
        <v>999</v>
      </c>
      <c r="B222" s="47" t="str">
        <f aca="false">IFERROR(INDEX('4-5 매출 Top100(참조)'!$D$2:$D$101,MATCH($A222,'4-5 매출 Top100(참조)'!$B$2:$B$101,0)),IFERROR(INDEX('4-4 Google Play Top100(참조)'!$D$2:$D$101,MATCH($A222,'4-4 Google Play Top100(참조)'!$B$2:$B$101,0)),"확인 불가"))</f>
        <v>스포츠</v>
      </c>
      <c r="C222" s="47" t="str">
        <f aca="false">IFERROR(INDEX('4-5 매출 Top100(참조)'!$E$2:$E$101,MATCH($A222,'4-5 매출 Top100(참조)'!$B$2:$B$101,0)),IFERROR(INDEX('4-4 Google Play Top100(참조)'!$E$2:$E$101,MATCH($A222,'4-4 Google Play Top100(참조)'!$B$2:$B$101,0)),"-"))</f>
        <v>축구</v>
      </c>
      <c r="D222" s="49" t="str">
        <f aca="false">INDEX('4-6 매출-다운로드 비교(참조)'!$B$6:$B$177,MATCH($A222,'4-6 매출-다운로드 비교(참조)'!$A$6:$A$177,0))</f>
        <v>-</v>
      </c>
      <c r="E222" s="49" t="n">
        <f aca="false">INDEX('4-6 매출-다운로드 비교(참조)'!$C$6:$C$177,MATCH($A222,'4-6 매출-다운로드 비교(참조)'!$A$6:$A$177,0))</f>
        <v>64</v>
      </c>
      <c r="F222" s="47" t="str">
        <f aca="false">INDEX('4-6 매출-다운로드 비교(참조)'!$H$6:$H$177,MATCH($A222,'4-6 매출-다운로드 비교(참조)'!$A$6:$A$177,0))</f>
        <v>④ 둘 다 기준 밖</v>
      </c>
      <c r="G222" s="49" t="str">
        <f aca="false">IF(OR(ISNUMBER(D222),F222="③ 다운로드만 높음"),"후보","후보 아님")</f>
        <v>후보 아님</v>
      </c>
      <c r="H222" s="49" t="str">
        <f aca="false">IF(G222&lt;&gt;"후보","",IFERROR(INDEX($H$18:$H$54,MATCH(K222,$K$18:$K$54,0)),""))</f>
        <v/>
      </c>
      <c r="I222" s="89" t="str">
        <f aca="false">IF(G222&lt;&gt;"후보","-",IFERROR(INDEX($I$18:$I$54,MATCH(K222,$K$18:$K$54,0)),"판단 보류"))</f>
        <v>-</v>
      </c>
      <c r="J222" s="47"/>
      <c r="K222" s="47" t="str">
        <f aca="false">B222&amp;"|"&amp;C222</f>
        <v>스포츠|축구</v>
      </c>
    </row>
    <row r="223" customFormat="false" ht="17.15" hidden="false" customHeight="false" outlineLevel="0" collapsed="false">
      <c r="A223" s="78" t="s">
        <v>1000</v>
      </c>
      <c r="B223" s="47" t="str">
        <f aca="false">IFERROR(INDEX('4-5 매출 Top100(참조)'!$D$2:$D$101,MATCH($A223,'4-5 매출 Top100(참조)'!$B$2:$B$101,0)),IFERROR(INDEX('4-4 Google Play Top100(참조)'!$D$2:$D$101,MATCH($A223,'4-4 Google Play Top100(참조)'!$B$2:$B$101,0)),"확인 불가"))</f>
        <v>퍼즐</v>
      </c>
      <c r="C223" s="47" t="str">
        <f aca="false">IFERROR(INDEX('4-5 매출 Top100(참조)'!$E$2:$E$101,MATCH($A223,'4-5 매출 Top100(참조)'!$B$2:$B$101,0)),IFERROR(INDEX('4-4 Google Play Top100(참조)'!$E$2:$E$101,MATCH($A223,'4-4 Google Play Top100(참조)'!$B$2:$B$101,0)),"-"))</f>
        <v>숨은그림</v>
      </c>
      <c r="D223" s="49" t="str">
        <f aca="false">INDEX('4-6 매출-다운로드 비교(참조)'!$B$6:$B$177,MATCH($A223,'4-6 매출-다운로드 비교(참조)'!$A$6:$A$177,0))</f>
        <v>-</v>
      </c>
      <c r="E223" s="49" t="n">
        <f aca="false">INDEX('4-6 매출-다운로드 비교(참조)'!$C$6:$C$177,MATCH($A223,'4-6 매출-다운로드 비교(참조)'!$A$6:$A$177,0))</f>
        <v>65</v>
      </c>
      <c r="F223" s="47" t="str">
        <f aca="false">INDEX('4-6 매출-다운로드 비교(참조)'!$H$6:$H$177,MATCH($A223,'4-6 매출-다운로드 비교(참조)'!$A$6:$A$177,0))</f>
        <v>④ 둘 다 기준 밖</v>
      </c>
      <c r="G223" s="49" t="str">
        <f aca="false">IF(OR(ISNUMBER(D223),F223="③ 다운로드만 높음"),"후보","후보 아님")</f>
        <v>후보 아님</v>
      </c>
      <c r="H223" s="49" t="str">
        <f aca="false">IF(G223&lt;&gt;"후보","",IFERROR(INDEX($H$18:$H$54,MATCH(K223,$K$18:$K$54,0)),""))</f>
        <v/>
      </c>
      <c r="I223" s="89" t="str">
        <f aca="false">IF(G223&lt;&gt;"후보","-",IFERROR(INDEX($I$18:$I$54,MATCH(K223,$K$18:$K$54,0)),"판단 보류"))</f>
        <v>-</v>
      </c>
      <c r="J223" s="47"/>
      <c r="K223" s="47" t="str">
        <f aca="false">B223&amp;"|"&amp;C223</f>
        <v>퍼즐|숨은그림</v>
      </c>
    </row>
    <row r="224" customFormat="false" ht="17.15" hidden="false" customHeight="false" outlineLevel="0" collapsed="false">
      <c r="A224" s="78" t="s">
        <v>1001</v>
      </c>
      <c r="B224" s="47" t="str">
        <f aca="false">IFERROR(INDEX('4-5 매출 Top100(참조)'!$D$2:$D$101,MATCH($A224,'4-5 매출 Top100(참조)'!$B$2:$B$101,0)),IFERROR(INDEX('4-4 Google Play Top100(참조)'!$D$2:$D$101,MATCH($A224,'4-4 Google Play Top100(참조)'!$B$2:$B$101,0)),"확인 불가"))</f>
        <v>RPG</v>
      </c>
      <c r="C224" s="47" t="str">
        <f aca="false">IFERROR(INDEX('4-5 매출 Top100(참조)'!$E$2:$E$101,MATCH($A224,'4-5 매출 Top100(참조)'!$B$2:$B$101,0)),IFERROR(INDEX('4-4 Google Play Top100(참조)'!$E$2:$E$101,MATCH($A224,'4-4 Google Play Top100(참조)'!$B$2:$B$101,0)),"-"))</f>
        <v>수집형 오픈월드</v>
      </c>
      <c r="D224" s="49" t="str">
        <f aca="false">INDEX('4-6 매출-다운로드 비교(참조)'!$B$6:$B$177,MATCH($A224,'4-6 매출-다운로드 비교(참조)'!$A$6:$A$177,0))</f>
        <v>-</v>
      </c>
      <c r="E224" s="49" t="n">
        <f aca="false">INDEX('4-6 매출-다운로드 비교(참조)'!$C$6:$C$177,MATCH($A224,'4-6 매출-다운로드 비교(참조)'!$A$6:$A$177,0))</f>
        <v>66</v>
      </c>
      <c r="F224" s="47" t="str">
        <f aca="false">INDEX('4-6 매출-다운로드 비교(참조)'!$H$6:$H$177,MATCH($A224,'4-6 매출-다운로드 비교(참조)'!$A$6:$A$177,0))</f>
        <v>④ 둘 다 기준 밖</v>
      </c>
      <c r="G224" s="49" t="str">
        <f aca="false">IF(OR(ISNUMBER(D224),F224="③ 다운로드만 높음"),"후보","후보 아님")</f>
        <v>후보 아님</v>
      </c>
      <c r="H224" s="49" t="str">
        <f aca="false">IF(G224&lt;&gt;"후보","",IFERROR(INDEX($H$18:$H$54,MATCH(K224,$K$18:$K$54,0)),""))</f>
        <v/>
      </c>
      <c r="I224" s="89" t="str">
        <f aca="false">IF(G224&lt;&gt;"후보","-",IFERROR(INDEX($I$18:$I$54,MATCH(K224,$K$18:$K$54,0)),"판단 보류"))</f>
        <v>-</v>
      </c>
      <c r="J224" s="47"/>
      <c r="K224" s="47" t="str">
        <f aca="false">B224&amp;"|"&amp;C224</f>
        <v>RPG|수집형 오픈월드</v>
      </c>
    </row>
    <row r="225" customFormat="false" ht="17.15" hidden="false" customHeight="false" outlineLevel="0" collapsed="false">
      <c r="A225" s="78" t="s">
        <v>1002</v>
      </c>
      <c r="B225" s="47" t="str">
        <f aca="false">IFERROR(INDEX('4-5 매출 Top100(참조)'!$D$2:$D$101,MATCH($A225,'4-5 매출 Top100(참조)'!$B$2:$B$101,0)),IFERROR(INDEX('4-4 Google Play Top100(참조)'!$D$2:$D$101,MATCH($A225,'4-4 Google Play Top100(참조)'!$B$2:$B$101,0)),"확인 불가"))</f>
        <v>하이퍼·하이브리드 캐주얼</v>
      </c>
      <c r="C225" s="47" t="str">
        <f aca="false">IFERROR(INDEX('4-5 매출 Top100(참조)'!$E$2:$E$101,MATCH($A225,'4-5 매출 Top100(참조)'!$B$2:$B$101,0)),IFERROR(INDEX('4-4 Google Play Top100(참조)'!$E$2:$E$101,MATCH($A225,'4-4 Google Play Top100(참조)'!$B$2:$B$101,0)),"-"))</f>
        <v>물리 파괴</v>
      </c>
      <c r="D225" s="49" t="str">
        <f aca="false">INDEX('4-6 매출-다운로드 비교(참조)'!$B$6:$B$177,MATCH($A225,'4-6 매출-다운로드 비교(참조)'!$A$6:$A$177,0))</f>
        <v>-</v>
      </c>
      <c r="E225" s="49" t="n">
        <f aca="false">INDEX('4-6 매출-다운로드 비교(참조)'!$C$6:$C$177,MATCH($A225,'4-6 매출-다운로드 비교(참조)'!$A$6:$A$177,0))</f>
        <v>69</v>
      </c>
      <c r="F225" s="47" t="str">
        <f aca="false">INDEX('4-6 매출-다운로드 비교(참조)'!$H$6:$H$177,MATCH($A225,'4-6 매출-다운로드 비교(참조)'!$A$6:$A$177,0))</f>
        <v>④ 둘 다 기준 밖</v>
      </c>
      <c r="G225" s="49" t="str">
        <f aca="false">IF(OR(ISNUMBER(D225),F225="③ 다운로드만 높음"),"후보","후보 아님")</f>
        <v>후보 아님</v>
      </c>
      <c r="H225" s="49" t="str">
        <f aca="false">IF(G225&lt;&gt;"후보","",IFERROR(INDEX($H$18:$H$54,MATCH(K225,$K$18:$K$54,0)),""))</f>
        <v/>
      </c>
      <c r="I225" s="89" t="str">
        <f aca="false">IF(G225&lt;&gt;"후보","-",IFERROR(INDEX($I$18:$I$54,MATCH(K225,$K$18:$K$54,0)),"판단 보류"))</f>
        <v>-</v>
      </c>
      <c r="J225" s="47"/>
      <c r="K225" s="47" t="str">
        <f aca="false">B225&amp;"|"&amp;C225</f>
        <v>하이퍼·하이브리드 캐주얼|물리 파괴</v>
      </c>
    </row>
    <row r="226" customFormat="false" ht="17.15" hidden="false" customHeight="false" outlineLevel="0" collapsed="false">
      <c r="A226" s="78" t="s">
        <v>1003</v>
      </c>
      <c r="B226" s="47" t="str">
        <f aca="false">IFERROR(INDEX('4-5 매출 Top100(참조)'!$D$2:$D$101,MATCH($A226,'4-5 매출 Top100(참조)'!$B$2:$B$101,0)),IFERROR(INDEX('4-4 Google Play Top100(참조)'!$D$2:$D$101,MATCH($A226,'4-4 Google Play Top100(참조)'!$B$2:$B$101,0)),"확인 불가"))</f>
        <v>퍼즐</v>
      </c>
      <c r="C226" s="47" t="str">
        <f aca="false">IFERROR(INDEX('4-5 매출 Top100(참조)'!$E$2:$E$101,MATCH($A226,'4-5 매출 Top100(참조)'!$B$2:$B$101,0)),IFERROR(INDEX('4-4 Google Play Top100(참조)'!$E$2:$E$101,MATCH($A226,'4-4 Google Play Top100(참조)'!$B$2:$B$101,0)),"-"))</f>
        <v>블록</v>
      </c>
      <c r="D226" s="49" t="str">
        <f aca="false">INDEX('4-6 매출-다운로드 비교(참조)'!$B$6:$B$177,MATCH($A226,'4-6 매출-다운로드 비교(참조)'!$A$6:$A$177,0))</f>
        <v>-</v>
      </c>
      <c r="E226" s="49" t="n">
        <f aca="false">INDEX('4-6 매출-다운로드 비교(참조)'!$C$6:$C$177,MATCH($A226,'4-6 매출-다운로드 비교(참조)'!$A$6:$A$177,0))</f>
        <v>70</v>
      </c>
      <c r="F226" s="47" t="str">
        <f aca="false">INDEX('4-6 매출-다운로드 비교(참조)'!$H$6:$H$177,MATCH($A226,'4-6 매출-다운로드 비교(참조)'!$A$6:$A$177,0))</f>
        <v>④ 둘 다 기준 밖</v>
      </c>
      <c r="G226" s="49" t="str">
        <f aca="false">IF(OR(ISNUMBER(D226),F226="③ 다운로드만 높음"),"후보","후보 아님")</f>
        <v>후보 아님</v>
      </c>
      <c r="H226" s="49" t="str">
        <f aca="false">IF(G226&lt;&gt;"후보","",IFERROR(INDEX($H$18:$H$54,MATCH(K226,$K$18:$K$54,0)),""))</f>
        <v/>
      </c>
      <c r="I226" s="89" t="str">
        <f aca="false">IF(G226&lt;&gt;"후보","-",IFERROR(INDEX($I$18:$I$54,MATCH(K226,$K$18:$K$54,0)),"판단 보류"))</f>
        <v>-</v>
      </c>
      <c r="J226" s="47"/>
      <c r="K226" s="47" t="str">
        <f aca="false">B226&amp;"|"&amp;C226</f>
        <v>퍼즐|블록</v>
      </c>
    </row>
    <row r="227" customFormat="false" ht="17.15" hidden="false" customHeight="false" outlineLevel="0" collapsed="false">
      <c r="A227" s="78" t="s">
        <v>1004</v>
      </c>
      <c r="B227" s="47" t="str">
        <f aca="false">IFERROR(INDEX('4-5 매출 Top100(참조)'!$D$2:$D$101,MATCH($A227,'4-5 매출 Top100(참조)'!$B$2:$B$101,0)),IFERROR(INDEX('4-4 Google Play Top100(참조)'!$D$2:$D$101,MATCH($A227,'4-4 Google Play Top100(참조)'!$B$2:$B$101,0)),"확인 불가"))</f>
        <v>퍼즐</v>
      </c>
      <c r="C227" s="47" t="str">
        <f aca="false">IFERROR(INDEX('4-5 매출 Top100(참조)'!$E$2:$E$101,MATCH($A227,'4-5 매출 Top100(참조)'!$B$2:$B$101,0)),IFERROR(INDEX('4-4 Google Play Top100(참조)'!$E$2:$E$101,MATCH($A227,'4-4 Google Play Top100(참조)'!$B$2:$B$101,0)),"-"))</f>
        <v>워드</v>
      </c>
      <c r="D227" s="49" t="str">
        <f aca="false">INDEX('4-6 매출-다운로드 비교(참조)'!$B$6:$B$177,MATCH($A227,'4-6 매출-다운로드 비교(참조)'!$A$6:$A$177,0))</f>
        <v>-</v>
      </c>
      <c r="E227" s="49" t="n">
        <f aca="false">INDEX('4-6 매출-다운로드 비교(참조)'!$C$6:$C$177,MATCH($A227,'4-6 매출-다운로드 비교(참조)'!$A$6:$A$177,0))</f>
        <v>71</v>
      </c>
      <c r="F227" s="47" t="str">
        <f aca="false">INDEX('4-6 매출-다운로드 비교(참조)'!$H$6:$H$177,MATCH($A227,'4-6 매출-다운로드 비교(참조)'!$A$6:$A$177,0))</f>
        <v>④ 둘 다 기준 밖</v>
      </c>
      <c r="G227" s="49" t="str">
        <f aca="false">IF(OR(ISNUMBER(D227),F227="③ 다운로드만 높음"),"후보","후보 아님")</f>
        <v>후보 아님</v>
      </c>
      <c r="H227" s="49" t="str">
        <f aca="false">IF(G227&lt;&gt;"후보","",IFERROR(INDEX($H$18:$H$54,MATCH(K227,$K$18:$K$54,0)),""))</f>
        <v/>
      </c>
      <c r="I227" s="89" t="str">
        <f aca="false">IF(G227&lt;&gt;"후보","-",IFERROR(INDEX($I$18:$I$54,MATCH(K227,$K$18:$K$54,0)),"판단 보류"))</f>
        <v>-</v>
      </c>
      <c r="J227" s="47"/>
      <c r="K227" s="47" t="str">
        <f aca="false">B227&amp;"|"&amp;C227</f>
        <v>퍼즐|워드</v>
      </c>
    </row>
    <row r="228" customFormat="false" ht="17.15" hidden="false" customHeight="false" outlineLevel="0" collapsed="false">
      <c r="A228" s="78" t="s">
        <v>1005</v>
      </c>
      <c r="B228" s="47" t="str">
        <f aca="false">IFERROR(INDEX('4-5 매출 Top100(참조)'!$D$2:$D$101,MATCH($A228,'4-5 매출 Top100(참조)'!$B$2:$B$101,0)),IFERROR(INDEX('4-4 Google Play Top100(참조)'!$D$2:$D$101,MATCH($A228,'4-4 Google Play Top100(참조)'!$B$2:$B$101,0)),"확인 불가"))</f>
        <v>시뮬레이션</v>
      </c>
      <c r="C228" s="47" t="str">
        <f aca="false">IFERROR(INDEX('4-5 매출 Top100(참조)'!$E$2:$E$101,MATCH($A228,'4-5 매출 Top100(참조)'!$B$2:$B$101,0)),IFERROR(INDEX('4-4 Google Play Top100(참조)'!$E$2:$E$101,MATCH($A228,'4-4 Google Play Top100(참조)'!$B$2:$B$101,0)),"-"))</f>
        <v>샌드박스</v>
      </c>
      <c r="D228" s="49" t="str">
        <f aca="false">INDEX('4-6 매출-다운로드 비교(참조)'!$B$6:$B$177,MATCH($A228,'4-6 매출-다운로드 비교(참조)'!$A$6:$A$177,0))</f>
        <v>-</v>
      </c>
      <c r="E228" s="49" t="n">
        <f aca="false">INDEX('4-6 매출-다운로드 비교(참조)'!$C$6:$C$177,MATCH($A228,'4-6 매출-다운로드 비교(참조)'!$A$6:$A$177,0))</f>
        <v>72</v>
      </c>
      <c r="F228" s="47" t="str">
        <f aca="false">INDEX('4-6 매출-다운로드 비교(참조)'!$H$6:$H$177,MATCH($A228,'4-6 매출-다운로드 비교(참조)'!$A$6:$A$177,0))</f>
        <v>④ 둘 다 기준 밖</v>
      </c>
      <c r="G228" s="49" t="str">
        <f aca="false">IF(OR(ISNUMBER(D228),F228="③ 다운로드만 높음"),"후보","후보 아님")</f>
        <v>후보 아님</v>
      </c>
      <c r="H228" s="49" t="str">
        <f aca="false">IF(G228&lt;&gt;"후보","",IFERROR(INDEX($H$18:$H$54,MATCH(K228,$K$18:$K$54,0)),""))</f>
        <v/>
      </c>
      <c r="I228" s="89" t="str">
        <f aca="false">IF(G228&lt;&gt;"후보","-",IFERROR(INDEX($I$18:$I$54,MATCH(K228,$K$18:$K$54,0)),"판단 보류"))</f>
        <v>-</v>
      </c>
      <c r="J228" s="47"/>
      <c r="K228" s="47" t="str">
        <f aca="false">B228&amp;"|"&amp;C228</f>
        <v>시뮬레이션|샌드박스</v>
      </c>
    </row>
    <row r="229" customFormat="false" ht="17.15" hidden="false" customHeight="false" outlineLevel="0" collapsed="false">
      <c r="A229" s="78" t="s">
        <v>1006</v>
      </c>
      <c r="B229" s="47" t="str">
        <f aca="false">IFERROR(INDEX('4-5 매출 Top100(참조)'!$D$2:$D$101,MATCH($A229,'4-5 매출 Top100(참조)'!$B$2:$B$101,0)),IFERROR(INDEX('4-4 Google Play Top100(참조)'!$D$2:$D$101,MATCH($A229,'4-4 Google Play Top100(참조)'!$B$2:$B$101,0)),"확인 불가"))</f>
        <v>퍼즐</v>
      </c>
      <c r="C229" s="47" t="str">
        <f aca="false">IFERROR(INDEX('4-5 매출 Top100(참조)'!$E$2:$E$101,MATCH($A229,'4-5 매출 Top100(참조)'!$B$2:$B$101,0)),IFERROR(INDEX('4-4 Google Play Top100(참조)'!$E$2:$E$101,MATCH($A229,'4-4 Google Play Top100(참조)'!$B$2:$B$101,0)),"-"))</f>
        <v>타일·마작·트리플 매치</v>
      </c>
      <c r="D229" s="49" t="str">
        <f aca="false">INDEX('4-6 매출-다운로드 비교(참조)'!$B$6:$B$177,MATCH($A229,'4-6 매출-다운로드 비교(참조)'!$A$6:$A$177,0))</f>
        <v>-</v>
      </c>
      <c r="E229" s="49" t="n">
        <f aca="false">INDEX('4-6 매출-다운로드 비교(참조)'!$C$6:$C$177,MATCH($A229,'4-6 매출-다운로드 비교(참조)'!$A$6:$A$177,0))</f>
        <v>74</v>
      </c>
      <c r="F229" s="47" t="str">
        <f aca="false">INDEX('4-6 매출-다운로드 비교(참조)'!$H$6:$H$177,MATCH($A229,'4-6 매출-다운로드 비교(참조)'!$A$6:$A$177,0))</f>
        <v>④ 둘 다 기준 밖</v>
      </c>
      <c r="G229" s="49" t="str">
        <f aca="false">IF(OR(ISNUMBER(D229),F229="③ 다운로드만 높음"),"후보","후보 아님")</f>
        <v>후보 아님</v>
      </c>
      <c r="H229" s="49" t="str">
        <f aca="false">IF(G229&lt;&gt;"후보","",IFERROR(INDEX($H$18:$H$54,MATCH(K229,$K$18:$K$54,0)),""))</f>
        <v/>
      </c>
      <c r="I229" s="89" t="str">
        <f aca="false">IF(G229&lt;&gt;"후보","-",IFERROR(INDEX($I$18:$I$54,MATCH(K229,$K$18:$K$54,0)),"판단 보류"))</f>
        <v>-</v>
      </c>
      <c r="J229" s="47"/>
      <c r="K229" s="47" t="str">
        <f aca="false">B229&amp;"|"&amp;C229</f>
        <v>퍼즐|타일·마작·트리플 매치</v>
      </c>
    </row>
    <row r="230" customFormat="false" ht="17.15" hidden="false" customHeight="false" outlineLevel="0" collapsed="false">
      <c r="A230" s="78" t="s">
        <v>1007</v>
      </c>
      <c r="B230" s="47" t="str">
        <f aca="false">IFERROR(INDEX('4-5 매출 Top100(참조)'!$D$2:$D$101,MATCH($A230,'4-5 매출 Top100(참조)'!$B$2:$B$101,0)),IFERROR(INDEX('4-4 Google Play Top100(참조)'!$D$2:$D$101,MATCH($A230,'4-4 Google Play Top100(참조)'!$B$2:$B$101,0)),"확인 불가"))</f>
        <v>퍼즐</v>
      </c>
      <c r="C230" s="47" t="str">
        <f aca="false">IFERROR(INDEX('4-5 매출 Top100(참조)'!$E$2:$E$101,MATCH($A230,'4-5 매출 Top100(참조)'!$B$2:$B$101,0)),IFERROR(INDEX('4-4 Google Play Top100(참조)'!$E$2:$E$101,MATCH($A230,'4-4 Google Play Top100(참조)'!$B$2:$B$101,0)),"-"))</f>
        <v>로직·두뇌 트릭</v>
      </c>
      <c r="D230" s="49" t="str">
        <f aca="false">INDEX('4-6 매출-다운로드 비교(참조)'!$B$6:$B$177,MATCH($A230,'4-6 매출-다운로드 비교(참조)'!$A$6:$A$177,0))</f>
        <v>-</v>
      </c>
      <c r="E230" s="49" t="n">
        <f aca="false">INDEX('4-6 매출-다운로드 비교(참조)'!$C$6:$C$177,MATCH($A230,'4-6 매출-다운로드 비교(참조)'!$A$6:$A$177,0))</f>
        <v>75</v>
      </c>
      <c r="F230" s="47" t="str">
        <f aca="false">INDEX('4-6 매출-다운로드 비교(참조)'!$H$6:$H$177,MATCH($A230,'4-6 매출-다운로드 비교(참조)'!$A$6:$A$177,0))</f>
        <v>④ 둘 다 기준 밖</v>
      </c>
      <c r="G230" s="49" t="str">
        <f aca="false">IF(OR(ISNUMBER(D230),F230="③ 다운로드만 높음"),"후보","후보 아님")</f>
        <v>후보 아님</v>
      </c>
      <c r="H230" s="49" t="str">
        <f aca="false">IF(G230&lt;&gt;"후보","",IFERROR(INDEX($H$18:$H$54,MATCH(K230,$K$18:$K$54,0)),""))</f>
        <v/>
      </c>
      <c r="I230" s="89" t="str">
        <f aca="false">IF(G230&lt;&gt;"후보","-",IFERROR(INDEX($I$18:$I$54,MATCH(K230,$K$18:$K$54,0)),"판단 보류"))</f>
        <v>-</v>
      </c>
      <c r="J230" s="47"/>
      <c r="K230" s="47" t="str">
        <f aca="false">B230&amp;"|"&amp;C230</f>
        <v>퍼즐|로직·두뇌 트릭</v>
      </c>
    </row>
    <row r="231" customFormat="false" ht="17.15" hidden="false" customHeight="false" outlineLevel="0" collapsed="false">
      <c r="A231" s="78" t="s">
        <v>1008</v>
      </c>
      <c r="B231" s="47" t="str">
        <f aca="false">IFERROR(INDEX('4-5 매출 Top100(참조)'!$D$2:$D$101,MATCH($A231,'4-5 매출 Top100(참조)'!$B$2:$B$101,0)),IFERROR(INDEX('4-4 Google Play Top100(참조)'!$D$2:$D$101,MATCH($A231,'4-4 Google Play Top100(참조)'!$B$2:$B$101,0)),"확인 불가"))</f>
        <v>퍼즐</v>
      </c>
      <c r="C231" s="47" t="str">
        <f aca="false">IFERROR(INDEX('4-5 매출 Top100(참조)'!$E$2:$E$101,MATCH($A231,'4-5 매출 Top100(참조)'!$B$2:$B$101,0)),IFERROR(INDEX('4-4 Google Play Top100(참조)'!$E$2:$E$101,MATCH($A231,'4-4 Google Play Top100(참조)'!$B$2:$B$101,0)),"-"))</f>
        <v>머지</v>
      </c>
      <c r="D231" s="49" t="str">
        <f aca="false">INDEX('4-6 매출-다운로드 비교(참조)'!$B$6:$B$177,MATCH($A231,'4-6 매출-다운로드 비교(참조)'!$A$6:$A$177,0))</f>
        <v>-</v>
      </c>
      <c r="E231" s="49" t="n">
        <f aca="false">INDEX('4-6 매출-다운로드 비교(참조)'!$C$6:$C$177,MATCH($A231,'4-6 매출-다운로드 비교(참조)'!$A$6:$A$177,0))</f>
        <v>76</v>
      </c>
      <c r="F231" s="47" t="str">
        <f aca="false">INDEX('4-6 매출-다운로드 비교(참조)'!$H$6:$H$177,MATCH($A231,'4-6 매출-다운로드 비교(참조)'!$A$6:$A$177,0))</f>
        <v>④ 둘 다 기준 밖</v>
      </c>
      <c r="G231" s="49" t="str">
        <f aca="false">IF(OR(ISNUMBER(D231),F231="③ 다운로드만 높음"),"후보","후보 아님")</f>
        <v>후보 아님</v>
      </c>
      <c r="H231" s="49" t="str">
        <f aca="false">IF(G231&lt;&gt;"후보","",IFERROR(INDEX($H$18:$H$54,MATCH(K231,$K$18:$K$54,0)),""))</f>
        <v/>
      </c>
      <c r="I231" s="89" t="str">
        <f aca="false">IF(G231&lt;&gt;"후보","-",IFERROR(INDEX($I$18:$I$54,MATCH(K231,$K$18:$K$54,0)),"판단 보류"))</f>
        <v>-</v>
      </c>
      <c r="J231" s="47"/>
      <c r="K231" s="47" t="str">
        <f aca="false">B231&amp;"|"&amp;C231</f>
        <v>퍼즐|머지</v>
      </c>
    </row>
    <row r="232" customFormat="false" ht="17.15" hidden="false" customHeight="false" outlineLevel="0" collapsed="false">
      <c r="A232" s="78" t="s">
        <v>1009</v>
      </c>
      <c r="B232" s="47" t="str">
        <f aca="false">IFERROR(INDEX('4-5 매출 Top100(참조)'!$D$2:$D$101,MATCH($A232,'4-5 매출 Top100(참조)'!$B$2:$B$101,0)),IFERROR(INDEX('4-4 Google Play Top100(참조)'!$D$2:$D$101,MATCH($A232,'4-4 Google Play Top100(참조)'!$B$2:$B$101,0)),"확인 불가"))</f>
        <v>카드·보드·카지노</v>
      </c>
      <c r="C232" s="47" t="str">
        <f aca="false">IFERROR(INDEX('4-5 매출 Top100(참조)'!$E$2:$E$101,MATCH($A232,'4-5 매출 Top100(참조)'!$B$2:$B$101,0)),IFERROR(INDEX('4-4 Google Play Top100(참조)'!$E$2:$E$101,MATCH($A232,'4-4 Google Play Top100(참조)'!$B$2:$B$101,0)),"-"))</f>
        <v>솔리테어</v>
      </c>
      <c r="D232" s="49" t="str">
        <f aca="false">INDEX('4-6 매출-다운로드 비교(참조)'!$B$6:$B$177,MATCH($A232,'4-6 매출-다운로드 비교(참조)'!$A$6:$A$177,0))</f>
        <v>-</v>
      </c>
      <c r="E232" s="49" t="n">
        <f aca="false">INDEX('4-6 매출-다운로드 비교(참조)'!$C$6:$C$177,MATCH($A232,'4-6 매출-다운로드 비교(참조)'!$A$6:$A$177,0))</f>
        <v>77</v>
      </c>
      <c r="F232" s="47" t="str">
        <f aca="false">INDEX('4-6 매출-다운로드 비교(참조)'!$H$6:$H$177,MATCH($A232,'4-6 매출-다운로드 비교(참조)'!$A$6:$A$177,0))</f>
        <v>④ 둘 다 기준 밖</v>
      </c>
      <c r="G232" s="49" t="str">
        <f aca="false">IF(OR(ISNUMBER(D232),F232="③ 다운로드만 높음"),"후보","후보 아님")</f>
        <v>후보 아님</v>
      </c>
      <c r="H232" s="49" t="str">
        <f aca="false">IF(G232&lt;&gt;"후보","",IFERROR(INDEX($H$18:$H$54,MATCH(K232,$K$18:$K$54,0)),""))</f>
        <v/>
      </c>
      <c r="I232" s="89" t="str">
        <f aca="false">IF(G232&lt;&gt;"후보","-",IFERROR(INDEX($I$18:$I$54,MATCH(K232,$K$18:$K$54,0)),"판단 보류"))</f>
        <v>-</v>
      </c>
      <c r="J232" s="47"/>
      <c r="K232" s="47" t="str">
        <f aca="false">B232&amp;"|"&amp;C232</f>
        <v>카드·보드·카지노|솔리테어</v>
      </c>
    </row>
    <row r="233" customFormat="false" ht="17.15" hidden="false" customHeight="false" outlineLevel="0" collapsed="false">
      <c r="A233" s="78" t="s">
        <v>1010</v>
      </c>
      <c r="B233" s="47" t="str">
        <f aca="false">IFERROR(INDEX('4-5 매출 Top100(참조)'!$D$2:$D$101,MATCH($A233,'4-5 매출 Top100(참조)'!$B$2:$B$101,0)),IFERROR(INDEX('4-4 Google Play Top100(참조)'!$D$2:$D$101,MATCH($A233,'4-4 Google Play Top100(참조)'!$B$2:$B$101,0)),"확인 불가"))</f>
        <v>퍼즐</v>
      </c>
      <c r="C233" s="47" t="str">
        <f aca="false">IFERROR(INDEX('4-5 매출 Top100(참조)'!$E$2:$E$101,MATCH($A233,'4-5 매출 Top100(참조)'!$B$2:$B$101,0)),IFERROR(INDEX('4-4 Google Play Top100(참조)'!$E$2:$E$101,MATCH($A233,'4-4 Google Play Top100(참조)'!$B$2:$B$101,0)),"-"))</f>
        <v>픽셀·컬러 아트</v>
      </c>
      <c r="D233" s="49" t="str">
        <f aca="false">INDEX('4-6 매출-다운로드 비교(참조)'!$B$6:$B$177,MATCH($A233,'4-6 매출-다운로드 비교(참조)'!$A$6:$A$177,0))</f>
        <v>-</v>
      </c>
      <c r="E233" s="49" t="n">
        <f aca="false">INDEX('4-6 매출-다운로드 비교(참조)'!$C$6:$C$177,MATCH($A233,'4-6 매출-다운로드 비교(참조)'!$A$6:$A$177,0))</f>
        <v>78</v>
      </c>
      <c r="F233" s="47" t="str">
        <f aca="false">INDEX('4-6 매출-다운로드 비교(참조)'!$H$6:$H$177,MATCH($A233,'4-6 매출-다운로드 비교(참조)'!$A$6:$A$177,0))</f>
        <v>④ 둘 다 기준 밖</v>
      </c>
      <c r="G233" s="49" t="str">
        <f aca="false">IF(OR(ISNUMBER(D233),F233="③ 다운로드만 높음"),"후보","후보 아님")</f>
        <v>후보 아님</v>
      </c>
      <c r="H233" s="49" t="str">
        <f aca="false">IF(G233&lt;&gt;"후보","",IFERROR(INDEX($H$18:$H$54,MATCH(K233,$K$18:$K$54,0)),""))</f>
        <v/>
      </c>
      <c r="I233" s="89" t="str">
        <f aca="false">IF(G233&lt;&gt;"후보","-",IFERROR(INDEX($I$18:$I$54,MATCH(K233,$K$18:$K$54,0)),"판단 보류"))</f>
        <v>-</v>
      </c>
      <c r="J233" s="47"/>
      <c r="K233" s="47" t="str">
        <f aca="false">B233&amp;"|"&amp;C233</f>
        <v>퍼즐|픽셀·컬러 아트</v>
      </c>
    </row>
    <row r="234" customFormat="false" ht="17.15" hidden="false" customHeight="false" outlineLevel="0" collapsed="false">
      <c r="A234" s="78" t="s">
        <v>1011</v>
      </c>
      <c r="B234" s="47" t="str">
        <f aca="false">IFERROR(INDEX('4-5 매출 Top100(참조)'!$D$2:$D$101,MATCH($A234,'4-5 매출 Top100(참조)'!$B$2:$B$101,0)),IFERROR(INDEX('4-4 Google Play Top100(참조)'!$D$2:$D$101,MATCH($A234,'4-4 Google Play Top100(참조)'!$B$2:$B$101,0)),"확인 불가"))</f>
        <v>하이퍼·하이브리드 캐주얼</v>
      </c>
      <c r="C234" s="47" t="str">
        <f aca="false">IFERROR(INDEX('4-5 매출 Top100(참조)'!$E$2:$E$101,MATCH($A234,'4-5 매출 Top100(참조)'!$B$2:$B$101,0)),IFERROR(INDEX('4-4 Google Play Top100(참조)'!$E$2:$E$101,MATCH($A234,'4-4 Google Play Top100(참조)'!$B$2:$B$101,0)),"-"))</f>
        <v>물리 파괴</v>
      </c>
      <c r="D234" s="49" t="str">
        <f aca="false">INDEX('4-6 매출-다운로드 비교(참조)'!$B$6:$B$177,MATCH($A234,'4-6 매출-다운로드 비교(참조)'!$A$6:$A$177,0))</f>
        <v>-</v>
      </c>
      <c r="E234" s="49" t="n">
        <f aca="false">INDEX('4-6 매출-다운로드 비교(참조)'!$C$6:$C$177,MATCH($A234,'4-6 매출-다운로드 비교(참조)'!$A$6:$A$177,0))</f>
        <v>79</v>
      </c>
      <c r="F234" s="47" t="str">
        <f aca="false">INDEX('4-6 매출-다운로드 비교(참조)'!$H$6:$H$177,MATCH($A234,'4-6 매출-다운로드 비교(참조)'!$A$6:$A$177,0))</f>
        <v>④ 둘 다 기준 밖</v>
      </c>
      <c r="G234" s="49" t="str">
        <f aca="false">IF(OR(ISNUMBER(D234),F234="③ 다운로드만 높음"),"후보","후보 아님")</f>
        <v>후보 아님</v>
      </c>
      <c r="H234" s="49" t="str">
        <f aca="false">IF(G234&lt;&gt;"후보","",IFERROR(INDEX($H$18:$H$54,MATCH(K234,$K$18:$K$54,0)),""))</f>
        <v/>
      </c>
      <c r="I234" s="89" t="str">
        <f aca="false">IF(G234&lt;&gt;"후보","-",IFERROR(INDEX($I$18:$I$54,MATCH(K234,$K$18:$K$54,0)),"판단 보류"))</f>
        <v>-</v>
      </c>
      <c r="J234" s="47"/>
      <c r="K234" s="47" t="str">
        <f aca="false">B234&amp;"|"&amp;C234</f>
        <v>하이퍼·하이브리드 캐주얼|물리 파괴</v>
      </c>
    </row>
    <row r="235" customFormat="false" ht="17.15" hidden="false" customHeight="false" outlineLevel="0" collapsed="false">
      <c r="A235" s="78" t="s">
        <v>1012</v>
      </c>
      <c r="B235" s="47" t="str">
        <f aca="false">IFERROR(INDEX('4-5 매출 Top100(참조)'!$D$2:$D$101,MATCH($A235,'4-5 매출 Top100(참조)'!$B$2:$B$101,0)),IFERROR(INDEX('4-4 Google Play Top100(참조)'!$D$2:$D$101,MATCH($A235,'4-4 Google Play Top100(참조)'!$B$2:$B$101,0)),"확인 불가"))</f>
        <v>퍼즐</v>
      </c>
      <c r="C235" s="47" t="str">
        <f aca="false">IFERROR(INDEX('4-5 매출 Top100(참조)'!$E$2:$E$101,MATCH($A235,'4-5 매출 Top100(참조)'!$B$2:$B$101,0)),IFERROR(INDEX('4-4 Google Play Top100(참조)'!$E$2:$E$101,MATCH($A235,'4-4 Google Play Top100(참조)'!$B$2:$B$101,0)),"-"))</f>
        <v>정렬·잼</v>
      </c>
      <c r="D235" s="49" t="str">
        <f aca="false">INDEX('4-6 매출-다운로드 비교(참조)'!$B$6:$B$177,MATCH($A235,'4-6 매출-다운로드 비교(참조)'!$A$6:$A$177,0))</f>
        <v>-</v>
      </c>
      <c r="E235" s="49" t="n">
        <f aca="false">INDEX('4-6 매출-다운로드 비교(참조)'!$C$6:$C$177,MATCH($A235,'4-6 매출-다운로드 비교(참조)'!$A$6:$A$177,0))</f>
        <v>81</v>
      </c>
      <c r="F235" s="47" t="str">
        <f aca="false">INDEX('4-6 매출-다운로드 비교(참조)'!$H$6:$H$177,MATCH($A235,'4-6 매출-다운로드 비교(참조)'!$A$6:$A$177,0))</f>
        <v>④ 둘 다 기준 밖</v>
      </c>
      <c r="G235" s="49" t="str">
        <f aca="false">IF(OR(ISNUMBER(D235),F235="③ 다운로드만 높음"),"후보","후보 아님")</f>
        <v>후보 아님</v>
      </c>
      <c r="H235" s="49" t="str">
        <f aca="false">IF(G235&lt;&gt;"후보","",IFERROR(INDEX($H$18:$H$54,MATCH(K235,$K$18:$K$54,0)),""))</f>
        <v/>
      </c>
      <c r="I235" s="89" t="str">
        <f aca="false">IF(G235&lt;&gt;"후보","-",IFERROR(INDEX($I$18:$I$54,MATCH(K235,$K$18:$K$54,0)),"판단 보류"))</f>
        <v>-</v>
      </c>
      <c r="J235" s="47"/>
      <c r="K235" s="47" t="str">
        <f aca="false">B235&amp;"|"&amp;C235</f>
        <v>퍼즐|정렬·잼</v>
      </c>
    </row>
    <row r="236" customFormat="false" ht="17.15" hidden="false" customHeight="false" outlineLevel="0" collapsed="false">
      <c r="A236" s="78" t="s">
        <v>1013</v>
      </c>
      <c r="B236" s="47" t="str">
        <f aca="false">IFERROR(INDEX('4-5 매출 Top100(참조)'!$D$2:$D$101,MATCH($A236,'4-5 매출 Top100(참조)'!$B$2:$B$101,0)),IFERROR(INDEX('4-4 Google Play Top100(참조)'!$D$2:$D$101,MATCH($A236,'4-4 Google Play Top100(참조)'!$B$2:$B$101,0)),"확인 불가"))</f>
        <v>퍼즐</v>
      </c>
      <c r="C236" s="47" t="str">
        <f aca="false">IFERROR(INDEX('4-5 매출 Top100(참조)'!$E$2:$E$101,MATCH($A236,'4-5 매출 Top100(참조)'!$B$2:$B$101,0)),IFERROR(INDEX('4-4 Google Play Top100(참조)'!$E$2:$E$101,MATCH($A236,'4-4 Google Play Top100(참조)'!$B$2:$B$101,0)),"-"))</f>
        <v>워드</v>
      </c>
      <c r="D236" s="49" t="str">
        <f aca="false">INDEX('4-6 매출-다운로드 비교(참조)'!$B$6:$B$177,MATCH($A236,'4-6 매출-다운로드 비교(참조)'!$A$6:$A$177,0))</f>
        <v>-</v>
      </c>
      <c r="E236" s="49" t="n">
        <f aca="false">INDEX('4-6 매출-다운로드 비교(참조)'!$C$6:$C$177,MATCH($A236,'4-6 매출-다운로드 비교(참조)'!$A$6:$A$177,0))</f>
        <v>82</v>
      </c>
      <c r="F236" s="47" t="str">
        <f aca="false">INDEX('4-6 매출-다운로드 비교(참조)'!$H$6:$H$177,MATCH($A236,'4-6 매출-다운로드 비교(참조)'!$A$6:$A$177,0))</f>
        <v>④ 둘 다 기준 밖</v>
      </c>
      <c r="G236" s="49" t="str">
        <f aca="false">IF(OR(ISNUMBER(D236),F236="③ 다운로드만 높음"),"후보","후보 아님")</f>
        <v>후보 아님</v>
      </c>
      <c r="H236" s="49" t="str">
        <f aca="false">IF(G236&lt;&gt;"후보","",IFERROR(INDEX($H$18:$H$54,MATCH(K236,$K$18:$K$54,0)),""))</f>
        <v/>
      </c>
      <c r="I236" s="89" t="str">
        <f aca="false">IF(G236&lt;&gt;"후보","-",IFERROR(INDEX($I$18:$I$54,MATCH(K236,$K$18:$K$54,0)),"판단 보류"))</f>
        <v>-</v>
      </c>
      <c r="J236" s="47"/>
      <c r="K236" s="47" t="str">
        <f aca="false">B236&amp;"|"&amp;C236</f>
        <v>퍼즐|워드</v>
      </c>
    </row>
    <row r="237" customFormat="false" ht="17.15" hidden="false" customHeight="false" outlineLevel="0" collapsed="false">
      <c r="A237" s="78" t="s">
        <v>1014</v>
      </c>
      <c r="B237" s="47" t="str">
        <f aca="false">IFERROR(INDEX('4-5 매출 Top100(참조)'!$D$2:$D$101,MATCH($A237,'4-5 매출 Top100(참조)'!$B$2:$B$101,0)),IFERROR(INDEX('4-4 Google Play Top100(참조)'!$D$2:$D$101,MATCH($A237,'4-4 Google Play Top100(참조)'!$B$2:$B$101,0)),"확인 불가"))</f>
        <v>하이퍼·하이브리드 캐주얼</v>
      </c>
      <c r="C237" s="47" t="str">
        <f aca="false">IFERROR(INDEX('4-5 매출 Top100(참조)'!$E$2:$E$101,MATCH($A237,'4-5 매출 Top100(참조)'!$B$2:$B$101,0)),IFERROR(INDEX('4-4 Google Play Top100(참조)'!$E$2:$E$101,MATCH($A237,'4-4 Google Play Top100(참조)'!$B$2:$B$101,0)),"-"))</f>
        <v>아케이드</v>
      </c>
      <c r="D237" s="49" t="str">
        <f aca="false">INDEX('4-6 매출-다운로드 비교(참조)'!$B$6:$B$177,MATCH($A237,'4-6 매출-다운로드 비교(참조)'!$A$6:$A$177,0))</f>
        <v>-</v>
      </c>
      <c r="E237" s="49" t="n">
        <f aca="false">INDEX('4-6 매출-다운로드 비교(참조)'!$C$6:$C$177,MATCH($A237,'4-6 매출-다운로드 비교(참조)'!$A$6:$A$177,0))</f>
        <v>84</v>
      </c>
      <c r="F237" s="47" t="str">
        <f aca="false">INDEX('4-6 매출-다운로드 비교(참조)'!$H$6:$H$177,MATCH($A237,'4-6 매출-다운로드 비교(참조)'!$A$6:$A$177,0))</f>
        <v>④ 둘 다 기준 밖</v>
      </c>
      <c r="G237" s="49" t="str">
        <f aca="false">IF(OR(ISNUMBER(D237),F237="③ 다운로드만 높음"),"후보","후보 아님")</f>
        <v>후보 아님</v>
      </c>
      <c r="H237" s="49" t="str">
        <f aca="false">IF(G237&lt;&gt;"후보","",IFERROR(INDEX($H$18:$H$54,MATCH(K237,$K$18:$K$54,0)),""))</f>
        <v/>
      </c>
      <c r="I237" s="89" t="str">
        <f aca="false">IF(G237&lt;&gt;"후보","-",IFERROR(INDEX($I$18:$I$54,MATCH(K237,$K$18:$K$54,0)),"판단 보류"))</f>
        <v>-</v>
      </c>
      <c r="J237" s="47"/>
      <c r="K237" s="47" t="str">
        <f aca="false">B237&amp;"|"&amp;C237</f>
        <v>하이퍼·하이브리드 캐주얼|아케이드</v>
      </c>
    </row>
    <row r="238" customFormat="false" ht="17.15" hidden="false" customHeight="false" outlineLevel="0" collapsed="false">
      <c r="A238" s="78" t="s">
        <v>1015</v>
      </c>
      <c r="B238" s="47" t="str">
        <f aca="false">IFERROR(INDEX('4-5 매출 Top100(참조)'!$D$2:$D$101,MATCH($A238,'4-5 매출 Top100(참조)'!$B$2:$B$101,0)),IFERROR(INDEX('4-4 Google Play Top100(참조)'!$D$2:$D$101,MATCH($A238,'4-4 Google Play Top100(참조)'!$B$2:$B$101,0)),"확인 불가"))</f>
        <v>하이퍼·하이브리드 캐주얼</v>
      </c>
      <c r="C238" s="47" t="str">
        <f aca="false">IFERROR(INDEX('4-5 매출 Top100(참조)'!$E$2:$E$101,MATCH($A238,'4-5 매출 Top100(참조)'!$B$2:$B$101,0)),IFERROR(INDEX('4-4 Google Play Top100(참조)'!$E$2:$E$101,MATCH($A238,'4-4 Google Play Top100(참조)'!$B$2:$B$101,0)),"-"))</f>
        <v>러너</v>
      </c>
      <c r="D238" s="49" t="str">
        <f aca="false">INDEX('4-6 매출-다운로드 비교(참조)'!$B$6:$B$177,MATCH($A238,'4-6 매출-다운로드 비교(참조)'!$A$6:$A$177,0))</f>
        <v>-</v>
      </c>
      <c r="E238" s="49" t="n">
        <f aca="false">INDEX('4-6 매출-다운로드 비교(참조)'!$C$6:$C$177,MATCH($A238,'4-6 매출-다운로드 비교(참조)'!$A$6:$A$177,0))</f>
        <v>85</v>
      </c>
      <c r="F238" s="47" t="str">
        <f aca="false">INDEX('4-6 매출-다운로드 비교(참조)'!$H$6:$H$177,MATCH($A238,'4-6 매출-다운로드 비교(참조)'!$A$6:$A$177,0))</f>
        <v>④ 둘 다 기준 밖</v>
      </c>
      <c r="G238" s="49" t="str">
        <f aca="false">IF(OR(ISNUMBER(D238),F238="③ 다운로드만 높음"),"후보","후보 아님")</f>
        <v>후보 아님</v>
      </c>
      <c r="H238" s="49" t="str">
        <f aca="false">IF(G238&lt;&gt;"후보","",IFERROR(INDEX($H$18:$H$54,MATCH(K238,$K$18:$K$54,0)),""))</f>
        <v/>
      </c>
      <c r="I238" s="89" t="str">
        <f aca="false">IF(G238&lt;&gt;"후보","-",IFERROR(INDEX($I$18:$I$54,MATCH(K238,$K$18:$K$54,0)),"판단 보류"))</f>
        <v>-</v>
      </c>
      <c r="J238" s="47"/>
      <c r="K238" s="47" t="str">
        <f aca="false">B238&amp;"|"&amp;C238</f>
        <v>하이퍼·하이브리드 캐주얼|러너</v>
      </c>
    </row>
    <row r="239" customFormat="false" ht="17.15" hidden="false" customHeight="false" outlineLevel="0" collapsed="false">
      <c r="A239" s="78" t="s">
        <v>1016</v>
      </c>
      <c r="B239" s="47" t="str">
        <f aca="false">IFERROR(INDEX('4-5 매출 Top100(참조)'!$D$2:$D$101,MATCH($A239,'4-5 매출 Top100(참조)'!$B$2:$B$101,0)),IFERROR(INDEX('4-4 Google Play Top100(참조)'!$D$2:$D$101,MATCH($A239,'4-4 Google Play Top100(참조)'!$B$2:$B$101,0)),"확인 불가"))</f>
        <v>퍼즐</v>
      </c>
      <c r="C239" s="47" t="str">
        <f aca="false">IFERROR(INDEX('4-5 매출 Top100(참조)'!$E$2:$E$101,MATCH($A239,'4-5 매출 Top100(참조)'!$B$2:$B$101,0)),IFERROR(INDEX('4-4 Google Play Top100(참조)'!$E$2:$E$101,MATCH($A239,'4-4 Google Play Top100(참조)'!$B$2:$B$101,0)),"-"))</f>
        <v>기타 퍼즐</v>
      </c>
      <c r="D239" s="49" t="str">
        <f aca="false">INDEX('4-6 매출-다운로드 비교(참조)'!$B$6:$B$177,MATCH($A239,'4-6 매출-다운로드 비교(참조)'!$A$6:$A$177,0))</f>
        <v>-</v>
      </c>
      <c r="E239" s="49" t="n">
        <f aca="false">INDEX('4-6 매출-다운로드 비교(참조)'!$C$6:$C$177,MATCH($A239,'4-6 매출-다운로드 비교(참조)'!$A$6:$A$177,0))</f>
        <v>86</v>
      </c>
      <c r="F239" s="47" t="str">
        <f aca="false">INDEX('4-6 매출-다운로드 비교(참조)'!$H$6:$H$177,MATCH($A239,'4-6 매출-다운로드 비교(참조)'!$A$6:$A$177,0))</f>
        <v>④ 둘 다 기준 밖</v>
      </c>
      <c r="G239" s="49" t="str">
        <f aca="false">IF(OR(ISNUMBER(D239),F239="③ 다운로드만 높음"),"후보","후보 아님")</f>
        <v>후보 아님</v>
      </c>
      <c r="H239" s="49" t="str">
        <f aca="false">IF(G239&lt;&gt;"후보","",IFERROR(INDEX($H$18:$H$54,MATCH(K239,$K$18:$K$54,0)),""))</f>
        <v/>
      </c>
      <c r="I239" s="89" t="str">
        <f aca="false">IF(G239&lt;&gt;"후보","-",IFERROR(INDEX($I$18:$I$54,MATCH(K239,$K$18:$K$54,0)),"판단 보류"))</f>
        <v>-</v>
      </c>
      <c r="J239" s="47"/>
      <c r="K239" s="47" t="str">
        <f aca="false">B239&amp;"|"&amp;C239</f>
        <v>퍼즐|기타 퍼즐</v>
      </c>
    </row>
    <row r="240" customFormat="false" ht="17.15" hidden="false" customHeight="false" outlineLevel="0" collapsed="false">
      <c r="A240" s="78" t="s">
        <v>1017</v>
      </c>
      <c r="B240" s="47" t="str">
        <f aca="false">IFERROR(INDEX('4-5 매출 Top100(참조)'!$D$2:$D$101,MATCH($A240,'4-5 매출 Top100(참조)'!$B$2:$B$101,0)),IFERROR(INDEX('4-4 Google Play Top100(참조)'!$D$2:$D$101,MATCH($A240,'4-4 Google Play Top100(참조)'!$B$2:$B$101,0)),"확인 불가"))</f>
        <v>퍼즐</v>
      </c>
      <c r="C240" s="47" t="str">
        <f aca="false">IFERROR(INDEX('4-5 매출 Top100(참조)'!$E$2:$E$101,MATCH($A240,'4-5 매출 Top100(참조)'!$B$2:$B$101,0)),IFERROR(INDEX('4-4 Google Play Top100(참조)'!$E$2:$E$101,MATCH($A240,'4-4 Google Play Top100(참조)'!$B$2:$B$101,0)),"-"))</f>
        <v>정렬·잼</v>
      </c>
      <c r="D240" s="49" t="str">
        <f aca="false">INDEX('4-6 매출-다운로드 비교(참조)'!$B$6:$B$177,MATCH($A240,'4-6 매출-다운로드 비교(참조)'!$A$6:$A$177,0))</f>
        <v>-</v>
      </c>
      <c r="E240" s="49" t="n">
        <f aca="false">INDEX('4-6 매출-다운로드 비교(참조)'!$C$6:$C$177,MATCH($A240,'4-6 매출-다운로드 비교(참조)'!$A$6:$A$177,0))</f>
        <v>88</v>
      </c>
      <c r="F240" s="47" t="str">
        <f aca="false">INDEX('4-6 매출-다운로드 비교(참조)'!$H$6:$H$177,MATCH($A240,'4-6 매출-다운로드 비교(참조)'!$A$6:$A$177,0))</f>
        <v>④ 둘 다 기준 밖</v>
      </c>
      <c r="G240" s="49" t="str">
        <f aca="false">IF(OR(ISNUMBER(D240),F240="③ 다운로드만 높음"),"후보","후보 아님")</f>
        <v>후보 아님</v>
      </c>
      <c r="H240" s="49" t="str">
        <f aca="false">IF(G240&lt;&gt;"후보","",IFERROR(INDEX($H$18:$H$54,MATCH(K240,$K$18:$K$54,0)),""))</f>
        <v/>
      </c>
      <c r="I240" s="89" t="str">
        <f aca="false">IF(G240&lt;&gt;"후보","-",IFERROR(INDEX($I$18:$I$54,MATCH(K240,$K$18:$K$54,0)),"판단 보류"))</f>
        <v>-</v>
      </c>
      <c r="J240" s="47"/>
      <c r="K240" s="47" t="str">
        <f aca="false">B240&amp;"|"&amp;C240</f>
        <v>퍼즐|정렬·잼</v>
      </c>
    </row>
    <row r="241" customFormat="false" ht="17.15" hidden="false" customHeight="false" outlineLevel="0" collapsed="false">
      <c r="A241" s="78" t="s">
        <v>1018</v>
      </c>
      <c r="B241" s="47" t="str">
        <f aca="false">IFERROR(INDEX('4-5 매출 Top100(참조)'!$D$2:$D$101,MATCH($A241,'4-5 매출 Top100(참조)'!$B$2:$B$101,0)),IFERROR(INDEX('4-4 Google Play Top100(참조)'!$D$2:$D$101,MATCH($A241,'4-4 Google Play Top100(참조)'!$B$2:$B$101,0)),"확인 불가"))</f>
        <v>시뮬레이션</v>
      </c>
      <c r="C241" s="47" t="str">
        <f aca="false">IFERROR(INDEX('4-5 매출 Top100(참조)'!$E$2:$E$101,MATCH($A241,'4-5 매출 Top100(참조)'!$B$2:$B$101,0)),IFERROR(INDEX('4-4 Google Play Top100(참조)'!$E$2:$E$101,MATCH($A241,'4-4 Google Play Top100(참조)'!$B$2:$B$101,0)),"-"))</f>
        <v>샌드박스</v>
      </c>
      <c r="D241" s="49" t="str">
        <f aca="false">INDEX('4-6 매출-다운로드 비교(참조)'!$B$6:$B$177,MATCH($A241,'4-6 매출-다운로드 비교(참조)'!$A$6:$A$177,0))</f>
        <v>-</v>
      </c>
      <c r="E241" s="49" t="n">
        <f aca="false">INDEX('4-6 매출-다운로드 비교(참조)'!$C$6:$C$177,MATCH($A241,'4-6 매출-다운로드 비교(참조)'!$A$6:$A$177,0))</f>
        <v>89</v>
      </c>
      <c r="F241" s="47" t="str">
        <f aca="false">INDEX('4-6 매출-다운로드 비교(참조)'!$H$6:$H$177,MATCH($A241,'4-6 매출-다운로드 비교(참조)'!$A$6:$A$177,0))</f>
        <v>④ 둘 다 기준 밖</v>
      </c>
      <c r="G241" s="49" t="str">
        <f aca="false">IF(OR(ISNUMBER(D241),F241="③ 다운로드만 높음"),"후보","후보 아님")</f>
        <v>후보 아님</v>
      </c>
      <c r="H241" s="49" t="str">
        <f aca="false">IF(G241&lt;&gt;"후보","",IFERROR(INDEX($H$18:$H$54,MATCH(K241,$K$18:$K$54,0)),""))</f>
        <v/>
      </c>
      <c r="I241" s="89" t="str">
        <f aca="false">IF(G241&lt;&gt;"후보","-",IFERROR(INDEX($I$18:$I$54,MATCH(K241,$K$18:$K$54,0)),"판단 보류"))</f>
        <v>-</v>
      </c>
      <c r="J241" s="47"/>
      <c r="K241" s="47" t="str">
        <f aca="false">B241&amp;"|"&amp;C241</f>
        <v>시뮬레이션|샌드박스</v>
      </c>
    </row>
    <row r="242" customFormat="false" ht="17.15" hidden="false" customHeight="false" outlineLevel="0" collapsed="false">
      <c r="A242" s="78" t="s">
        <v>1019</v>
      </c>
      <c r="B242" s="47" t="str">
        <f aca="false">IFERROR(INDEX('4-5 매출 Top100(참조)'!$D$2:$D$101,MATCH($A242,'4-5 매출 Top100(참조)'!$B$2:$B$101,0)),IFERROR(INDEX('4-4 Google Play Top100(참조)'!$D$2:$D$101,MATCH($A242,'4-4 Google Play Top100(참조)'!$B$2:$B$101,0)),"확인 불가"))</f>
        <v>퍼즐</v>
      </c>
      <c r="C242" s="47" t="str">
        <f aca="false">IFERROR(INDEX('4-5 매출 Top100(참조)'!$E$2:$E$101,MATCH($A242,'4-5 매출 Top100(참조)'!$B$2:$B$101,0)),IFERROR(INDEX('4-4 Google Play Top100(참조)'!$E$2:$E$101,MATCH($A242,'4-4 Google Play Top100(참조)'!$B$2:$B$101,0)),"-"))</f>
        <v>워드</v>
      </c>
      <c r="D242" s="49" t="str">
        <f aca="false">INDEX('4-6 매출-다운로드 비교(참조)'!$B$6:$B$177,MATCH($A242,'4-6 매출-다운로드 비교(참조)'!$A$6:$A$177,0))</f>
        <v>-</v>
      </c>
      <c r="E242" s="49" t="n">
        <f aca="false">INDEX('4-6 매출-다운로드 비교(참조)'!$C$6:$C$177,MATCH($A242,'4-6 매출-다운로드 비교(참조)'!$A$6:$A$177,0))</f>
        <v>90</v>
      </c>
      <c r="F242" s="47" t="str">
        <f aca="false">INDEX('4-6 매출-다운로드 비교(참조)'!$H$6:$H$177,MATCH($A242,'4-6 매출-다운로드 비교(참조)'!$A$6:$A$177,0))</f>
        <v>④ 둘 다 기준 밖</v>
      </c>
      <c r="G242" s="49" t="str">
        <f aca="false">IF(OR(ISNUMBER(D242),F242="③ 다운로드만 높음"),"후보","후보 아님")</f>
        <v>후보 아님</v>
      </c>
      <c r="H242" s="49" t="str">
        <f aca="false">IF(G242&lt;&gt;"후보","",IFERROR(INDEX($H$18:$H$54,MATCH(K242,$K$18:$K$54,0)),""))</f>
        <v/>
      </c>
      <c r="I242" s="89" t="str">
        <f aca="false">IF(G242&lt;&gt;"후보","-",IFERROR(INDEX($I$18:$I$54,MATCH(K242,$K$18:$K$54,0)),"판단 보류"))</f>
        <v>-</v>
      </c>
      <c r="J242" s="47"/>
      <c r="K242" s="47" t="str">
        <f aca="false">B242&amp;"|"&amp;C242</f>
        <v>퍼즐|워드</v>
      </c>
    </row>
    <row r="243" customFormat="false" ht="17.15" hidden="false" customHeight="false" outlineLevel="0" collapsed="false">
      <c r="A243" s="78" t="s">
        <v>1020</v>
      </c>
      <c r="B243" s="47" t="str">
        <f aca="false">IFERROR(INDEX('4-5 매출 Top100(참조)'!$D$2:$D$101,MATCH($A243,'4-5 매출 Top100(참조)'!$B$2:$B$101,0)),IFERROR(INDEX('4-4 Google Play Top100(참조)'!$D$2:$D$101,MATCH($A243,'4-4 Google Play Top100(참조)'!$B$2:$B$101,0)),"확인 불가"))</f>
        <v>액션·슈팅</v>
      </c>
      <c r="C243" s="47" t="str">
        <f aca="false">IFERROR(INDEX('4-5 매출 Top100(참조)'!$E$2:$E$101,MATCH($A243,'4-5 매출 Top100(참조)'!$B$2:$B$101,0)),IFERROR(INDEX('4-4 Google Play Top100(참조)'!$E$2:$E$101,MATCH($A243,'4-4 Google Play Top100(참조)'!$B$2:$B$101,0)),"-"))</f>
        <v>익스트랙션 슈터</v>
      </c>
      <c r="D243" s="49" t="str">
        <f aca="false">INDEX('4-6 매출-다운로드 비교(참조)'!$B$6:$B$177,MATCH($A243,'4-6 매출-다운로드 비교(참조)'!$A$6:$A$177,0))</f>
        <v>-</v>
      </c>
      <c r="E243" s="49" t="n">
        <f aca="false">INDEX('4-6 매출-다운로드 비교(참조)'!$C$6:$C$177,MATCH($A243,'4-6 매출-다운로드 비교(참조)'!$A$6:$A$177,0))</f>
        <v>91</v>
      </c>
      <c r="F243" s="47" t="str">
        <f aca="false">INDEX('4-6 매출-다운로드 비교(참조)'!$H$6:$H$177,MATCH($A243,'4-6 매출-다운로드 비교(참조)'!$A$6:$A$177,0))</f>
        <v>④ 둘 다 기준 밖</v>
      </c>
      <c r="G243" s="49" t="str">
        <f aca="false">IF(OR(ISNUMBER(D243),F243="③ 다운로드만 높음"),"후보","후보 아님")</f>
        <v>후보 아님</v>
      </c>
      <c r="H243" s="49" t="str">
        <f aca="false">IF(G243&lt;&gt;"후보","",IFERROR(INDEX($H$18:$H$54,MATCH(K243,$K$18:$K$54,0)),""))</f>
        <v/>
      </c>
      <c r="I243" s="89" t="str">
        <f aca="false">IF(G243&lt;&gt;"후보","-",IFERROR(INDEX($I$18:$I$54,MATCH(K243,$K$18:$K$54,0)),"판단 보류"))</f>
        <v>-</v>
      </c>
      <c r="J243" s="47"/>
      <c r="K243" s="47" t="str">
        <f aca="false">B243&amp;"|"&amp;C243</f>
        <v>액션·슈팅|익스트랙션 슈터</v>
      </c>
    </row>
    <row r="244" customFormat="false" ht="17.15" hidden="false" customHeight="false" outlineLevel="0" collapsed="false">
      <c r="A244" s="78" t="s">
        <v>1021</v>
      </c>
      <c r="B244" s="47" t="str">
        <f aca="false">IFERROR(INDEX('4-5 매출 Top100(참조)'!$D$2:$D$101,MATCH($A244,'4-5 매출 Top100(참조)'!$B$2:$B$101,0)),IFERROR(INDEX('4-4 Google Play Top100(참조)'!$D$2:$D$101,MATCH($A244,'4-4 Google Play Top100(참조)'!$B$2:$B$101,0)),"확인 불가"))</f>
        <v>퍼즐</v>
      </c>
      <c r="C244" s="47" t="str">
        <f aca="false">IFERROR(INDEX('4-5 매출 Top100(참조)'!$E$2:$E$101,MATCH($A244,'4-5 매출 Top100(참조)'!$B$2:$B$101,0)),IFERROR(INDEX('4-4 Google Play Top100(참조)'!$E$2:$E$101,MATCH($A244,'4-4 Google Play Top100(참조)'!$B$2:$B$101,0)),"-"))</f>
        <v>타일·마작·트리플 매치</v>
      </c>
      <c r="D244" s="49" t="str">
        <f aca="false">INDEX('4-6 매출-다운로드 비교(참조)'!$B$6:$B$177,MATCH($A244,'4-6 매출-다운로드 비교(참조)'!$A$6:$A$177,0))</f>
        <v>-</v>
      </c>
      <c r="E244" s="49" t="n">
        <f aca="false">INDEX('4-6 매출-다운로드 비교(참조)'!$C$6:$C$177,MATCH($A244,'4-6 매출-다운로드 비교(참조)'!$A$6:$A$177,0))</f>
        <v>92</v>
      </c>
      <c r="F244" s="47" t="str">
        <f aca="false">INDEX('4-6 매출-다운로드 비교(참조)'!$H$6:$H$177,MATCH($A244,'4-6 매출-다운로드 비교(참조)'!$A$6:$A$177,0))</f>
        <v>④ 둘 다 기준 밖</v>
      </c>
      <c r="G244" s="49" t="str">
        <f aca="false">IF(OR(ISNUMBER(D244),F244="③ 다운로드만 높음"),"후보","후보 아님")</f>
        <v>후보 아님</v>
      </c>
      <c r="H244" s="49" t="str">
        <f aca="false">IF(G244&lt;&gt;"후보","",IFERROR(INDEX($H$18:$H$54,MATCH(K244,$K$18:$K$54,0)),""))</f>
        <v/>
      </c>
      <c r="I244" s="89" t="str">
        <f aca="false">IF(G244&lt;&gt;"후보","-",IFERROR(INDEX($I$18:$I$54,MATCH(K244,$K$18:$K$54,0)),"판단 보류"))</f>
        <v>-</v>
      </c>
      <c r="J244" s="47"/>
      <c r="K244" s="47" t="str">
        <f aca="false">B244&amp;"|"&amp;C244</f>
        <v>퍼즐|타일·마작·트리플 매치</v>
      </c>
    </row>
    <row r="245" customFormat="false" ht="17.15" hidden="false" customHeight="false" outlineLevel="0" collapsed="false">
      <c r="A245" s="78" t="s">
        <v>1022</v>
      </c>
      <c r="B245" s="47" t="str">
        <f aca="false">IFERROR(INDEX('4-5 매출 Top100(참조)'!$D$2:$D$101,MATCH($A245,'4-5 매출 Top100(참조)'!$B$2:$B$101,0)),IFERROR(INDEX('4-4 Google Play Top100(참조)'!$D$2:$D$101,MATCH($A245,'4-4 Google Play Top100(참조)'!$B$2:$B$101,0)),"확인 불가"))</f>
        <v>시뮬레이션</v>
      </c>
      <c r="C245" s="47" t="str">
        <f aca="false">IFERROR(INDEX('4-5 매출 Top100(참조)'!$E$2:$E$101,MATCH($A245,'4-5 매출 Top100(참조)'!$B$2:$B$101,0)),IFERROR(INDEX('4-4 Google Play Top100(참조)'!$E$2:$E$101,MATCH($A245,'4-4 Google Play Top100(참조)'!$B$2:$B$101,0)),"-"))</f>
        <v>샌드박스</v>
      </c>
      <c r="D245" s="49" t="str">
        <f aca="false">INDEX('4-6 매출-다운로드 비교(참조)'!$B$6:$B$177,MATCH($A245,'4-6 매출-다운로드 비교(참조)'!$A$6:$A$177,0))</f>
        <v>-</v>
      </c>
      <c r="E245" s="49" t="n">
        <f aca="false">INDEX('4-6 매출-다운로드 비교(참조)'!$C$6:$C$177,MATCH($A245,'4-6 매출-다운로드 비교(참조)'!$A$6:$A$177,0))</f>
        <v>93</v>
      </c>
      <c r="F245" s="47" t="str">
        <f aca="false">INDEX('4-6 매출-다운로드 비교(참조)'!$H$6:$H$177,MATCH($A245,'4-6 매출-다운로드 비교(참조)'!$A$6:$A$177,0))</f>
        <v>④ 둘 다 기준 밖</v>
      </c>
      <c r="G245" s="49" t="str">
        <f aca="false">IF(OR(ISNUMBER(D245),F245="③ 다운로드만 높음"),"후보","후보 아님")</f>
        <v>후보 아님</v>
      </c>
      <c r="H245" s="49" t="str">
        <f aca="false">IF(G245&lt;&gt;"후보","",IFERROR(INDEX($H$18:$H$54,MATCH(K245,$K$18:$K$54,0)),""))</f>
        <v/>
      </c>
      <c r="I245" s="89" t="str">
        <f aca="false">IF(G245&lt;&gt;"후보","-",IFERROR(INDEX($I$18:$I$54,MATCH(K245,$K$18:$K$54,0)),"판단 보류"))</f>
        <v>-</v>
      </c>
      <c r="J245" s="47"/>
      <c r="K245" s="47" t="str">
        <f aca="false">B245&amp;"|"&amp;C245</f>
        <v>시뮬레이션|샌드박스</v>
      </c>
    </row>
    <row r="246" customFormat="false" ht="17.15" hidden="false" customHeight="false" outlineLevel="0" collapsed="false">
      <c r="A246" s="78" t="s">
        <v>1023</v>
      </c>
      <c r="B246" s="47" t="str">
        <f aca="false">IFERROR(INDEX('4-5 매출 Top100(참조)'!$D$2:$D$101,MATCH($A246,'4-5 매출 Top100(참조)'!$B$2:$B$101,0)),IFERROR(INDEX('4-4 Google Play Top100(참조)'!$D$2:$D$101,MATCH($A246,'4-4 Google Play Top100(참조)'!$B$2:$B$101,0)),"확인 불가"))</f>
        <v>퍼즐</v>
      </c>
      <c r="C246" s="47" t="str">
        <f aca="false">IFERROR(INDEX('4-5 매출 Top100(참조)'!$E$2:$E$101,MATCH($A246,'4-5 매출 Top100(참조)'!$B$2:$B$101,0)),IFERROR(INDEX('4-4 Google Play Top100(참조)'!$E$2:$E$101,MATCH($A246,'4-4 Google Play Top100(참조)'!$B$2:$B$101,0)),"-"))</f>
        <v>탭 탈출</v>
      </c>
      <c r="D246" s="49" t="str">
        <f aca="false">INDEX('4-6 매출-다운로드 비교(참조)'!$B$6:$B$177,MATCH($A246,'4-6 매출-다운로드 비교(참조)'!$A$6:$A$177,0))</f>
        <v>-</v>
      </c>
      <c r="E246" s="49" t="n">
        <f aca="false">INDEX('4-6 매출-다운로드 비교(참조)'!$C$6:$C$177,MATCH($A246,'4-6 매출-다운로드 비교(참조)'!$A$6:$A$177,0))</f>
        <v>94</v>
      </c>
      <c r="F246" s="47" t="str">
        <f aca="false">INDEX('4-6 매출-다운로드 비교(참조)'!$H$6:$H$177,MATCH($A246,'4-6 매출-다운로드 비교(참조)'!$A$6:$A$177,0))</f>
        <v>④ 둘 다 기준 밖</v>
      </c>
      <c r="G246" s="49" t="str">
        <f aca="false">IF(OR(ISNUMBER(D246),F246="③ 다운로드만 높음"),"후보","후보 아님")</f>
        <v>후보 아님</v>
      </c>
      <c r="H246" s="49" t="str">
        <f aca="false">IF(G246&lt;&gt;"후보","",IFERROR(INDEX($H$18:$H$54,MATCH(K246,$K$18:$K$54,0)),""))</f>
        <v/>
      </c>
      <c r="I246" s="89" t="str">
        <f aca="false">IF(G246&lt;&gt;"후보","-",IFERROR(INDEX($I$18:$I$54,MATCH(K246,$K$18:$K$54,0)),"판단 보류"))</f>
        <v>-</v>
      </c>
      <c r="J246" s="47"/>
      <c r="K246" s="47" t="str">
        <f aca="false">B246&amp;"|"&amp;C246</f>
        <v>퍼즐|탭 탈출</v>
      </c>
    </row>
    <row r="247" customFormat="false" ht="17.15" hidden="false" customHeight="false" outlineLevel="0" collapsed="false">
      <c r="A247" s="78" t="s">
        <v>1024</v>
      </c>
      <c r="B247" s="47" t="str">
        <f aca="false">IFERROR(INDEX('4-5 매출 Top100(참조)'!$D$2:$D$101,MATCH($A247,'4-5 매출 Top100(참조)'!$B$2:$B$101,0)),IFERROR(INDEX('4-4 Google Play Top100(참조)'!$D$2:$D$101,MATCH($A247,'4-4 Google Play Top100(참조)'!$B$2:$B$101,0)),"확인 불가"))</f>
        <v>하이퍼·하이브리드 캐주얼</v>
      </c>
      <c r="C247" s="47" t="str">
        <f aca="false">IFERROR(INDEX('4-5 매출 Top100(참조)'!$E$2:$E$101,MATCH($A247,'4-5 매출 Top100(참조)'!$B$2:$B$101,0)),IFERROR(INDEX('4-4 Google Play Top100(참조)'!$E$2:$E$101,MATCH($A247,'4-4 Google Play Top100(참조)'!$B$2:$B$101,0)),"-"))</f>
        <v>기타</v>
      </c>
      <c r="D247" s="49" t="str">
        <f aca="false">INDEX('4-6 매출-다운로드 비교(참조)'!$B$6:$B$177,MATCH($A247,'4-6 매출-다운로드 비교(참조)'!$A$6:$A$177,0))</f>
        <v>-</v>
      </c>
      <c r="E247" s="49" t="n">
        <f aca="false">INDEX('4-6 매출-다운로드 비교(참조)'!$C$6:$C$177,MATCH($A247,'4-6 매출-다운로드 비교(참조)'!$A$6:$A$177,0))</f>
        <v>95</v>
      </c>
      <c r="F247" s="47" t="str">
        <f aca="false">INDEX('4-6 매출-다운로드 비교(참조)'!$H$6:$H$177,MATCH($A247,'4-6 매출-다운로드 비교(참조)'!$A$6:$A$177,0))</f>
        <v>④ 둘 다 기준 밖</v>
      </c>
      <c r="G247" s="49" t="str">
        <f aca="false">IF(OR(ISNUMBER(D247),F247="③ 다운로드만 높음"),"후보","후보 아님")</f>
        <v>후보 아님</v>
      </c>
      <c r="H247" s="49" t="str">
        <f aca="false">IF(G247&lt;&gt;"후보","",IFERROR(INDEX($H$18:$H$54,MATCH(K247,$K$18:$K$54,0)),""))</f>
        <v/>
      </c>
      <c r="I247" s="89" t="str">
        <f aca="false">IF(G247&lt;&gt;"후보","-",IFERROR(INDEX($I$18:$I$54,MATCH(K247,$K$18:$K$54,0)),"판단 보류"))</f>
        <v>-</v>
      </c>
      <c r="J247" s="47"/>
      <c r="K247" s="47" t="str">
        <f aca="false">B247&amp;"|"&amp;C247</f>
        <v>하이퍼·하이브리드 캐주얼|기타</v>
      </c>
    </row>
    <row r="248" customFormat="false" ht="17.15" hidden="false" customHeight="false" outlineLevel="0" collapsed="false">
      <c r="A248" s="78" t="s">
        <v>1025</v>
      </c>
      <c r="B248" s="47" t="str">
        <f aca="false">IFERROR(INDEX('4-5 매출 Top100(참조)'!$D$2:$D$101,MATCH($A248,'4-5 매출 Top100(참조)'!$B$2:$B$101,0)),IFERROR(INDEX('4-4 Google Play Top100(참조)'!$D$2:$D$101,MATCH($A248,'4-4 Google Play Top100(참조)'!$B$2:$B$101,0)),"확인 불가"))</f>
        <v>퍼즐</v>
      </c>
      <c r="C248" s="47" t="str">
        <f aca="false">IFERROR(INDEX('4-5 매출 Top100(참조)'!$E$2:$E$101,MATCH($A248,'4-5 매출 Top100(참조)'!$B$2:$B$101,0)),IFERROR(INDEX('4-4 Google Play Top100(참조)'!$E$2:$E$101,MATCH($A248,'4-4 Google Play Top100(참조)'!$B$2:$B$101,0)),"-"))</f>
        <v>정렬·잼</v>
      </c>
      <c r="D248" s="49" t="str">
        <f aca="false">INDEX('4-6 매출-다운로드 비교(참조)'!$B$6:$B$177,MATCH($A248,'4-6 매출-다운로드 비교(참조)'!$A$6:$A$177,0))</f>
        <v>-</v>
      </c>
      <c r="E248" s="49" t="n">
        <f aca="false">INDEX('4-6 매출-다운로드 비교(참조)'!$C$6:$C$177,MATCH($A248,'4-6 매출-다운로드 비교(참조)'!$A$6:$A$177,0))</f>
        <v>96</v>
      </c>
      <c r="F248" s="47" t="str">
        <f aca="false">INDEX('4-6 매출-다운로드 비교(참조)'!$H$6:$H$177,MATCH($A248,'4-6 매출-다운로드 비교(참조)'!$A$6:$A$177,0))</f>
        <v>④ 둘 다 기준 밖</v>
      </c>
      <c r="G248" s="49" t="str">
        <f aca="false">IF(OR(ISNUMBER(D248),F248="③ 다운로드만 높음"),"후보","후보 아님")</f>
        <v>후보 아님</v>
      </c>
      <c r="H248" s="49" t="str">
        <f aca="false">IF(G248&lt;&gt;"후보","",IFERROR(INDEX($H$18:$H$54,MATCH(K248,$K$18:$K$54,0)),""))</f>
        <v/>
      </c>
      <c r="I248" s="89" t="str">
        <f aca="false">IF(G248&lt;&gt;"후보","-",IFERROR(INDEX($I$18:$I$54,MATCH(K248,$K$18:$K$54,0)),"판단 보류"))</f>
        <v>-</v>
      </c>
      <c r="J248" s="47"/>
      <c r="K248" s="47" t="str">
        <f aca="false">B248&amp;"|"&amp;C248</f>
        <v>퍼즐|정렬·잼</v>
      </c>
    </row>
    <row r="249" customFormat="false" ht="17.15" hidden="false" customHeight="false" outlineLevel="0" collapsed="false">
      <c r="A249" s="78" t="s">
        <v>1026</v>
      </c>
      <c r="B249" s="47" t="str">
        <f aca="false">IFERROR(INDEX('4-5 매출 Top100(참조)'!$D$2:$D$101,MATCH($A249,'4-5 매출 Top100(참조)'!$B$2:$B$101,0)),IFERROR(INDEX('4-4 Google Play Top100(참조)'!$D$2:$D$101,MATCH($A249,'4-4 Google Play Top100(참조)'!$B$2:$B$101,0)),"확인 불가"))</f>
        <v>카드·보드·카지노</v>
      </c>
      <c r="C249" s="47" t="str">
        <f aca="false">IFERROR(INDEX('4-5 매출 Top100(참조)'!$E$2:$E$101,MATCH($A249,'4-5 매출 Top100(참조)'!$B$2:$B$101,0)),IFERROR(INDEX('4-4 Google Play Top100(참조)'!$E$2:$E$101,MATCH($A249,'4-4 Google Play Top100(참조)'!$B$2:$B$101,0)),"-"))</f>
        <v>리얼머니 스킬게임</v>
      </c>
      <c r="D249" s="49" t="str">
        <f aca="false">INDEX('4-6 매출-다운로드 비교(참조)'!$B$6:$B$177,MATCH($A249,'4-6 매출-다운로드 비교(참조)'!$A$6:$A$177,0))</f>
        <v>-</v>
      </c>
      <c r="E249" s="49" t="n">
        <f aca="false">INDEX('4-6 매출-다운로드 비교(참조)'!$C$6:$C$177,MATCH($A249,'4-6 매출-다운로드 비교(참조)'!$A$6:$A$177,0))</f>
        <v>99</v>
      </c>
      <c r="F249" s="47" t="str">
        <f aca="false">INDEX('4-6 매출-다운로드 비교(참조)'!$H$6:$H$177,MATCH($A249,'4-6 매출-다운로드 비교(참조)'!$A$6:$A$177,0))</f>
        <v>④ 둘 다 기준 밖</v>
      </c>
      <c r="G249" s="49" t="str">
        <f aca="false">IF(OR(ISNUMBER(D249),F249="③ 다운로드만 높음"),"후보","후보 아님")</f>
        <v>후보 아님</v>
      </c>
      <c r="H249" s="49" t="str">
        <f aca="false">IF(G249&lt;&gt;"후보","",IFERROR(INDEX($H$18:$H$54,MATCH(K249,$K$18:$K$54,0)),""))</f>
        <v/>
      </c>
      <c r="I249" s="89" t="str">
        <f aca="false">IF(G249&lt;&gt;"후보","-",IFERROR(INDEX($I$18:$I$54,MATCH(K249,$K$18:$K$54,0)),"판단 보류"))</f>
        <v>-</v>
      </c>
      <c r="J249" s="47"/>
      <c r="K249" s="47" t="str">
        <f aca="false">B249&amp;"|"&amp;C249</f>
        <v>카드·보드·카지노|리얼머니 스킬게임</v>
      </c>
    </row>
    <row r="250" customFormat="false" ht="17.15" hidden="false" customHeight="false" outlineLevel="0" collapsed="false">
      <c r="A250" s="78" t="s">
        <v>1027</v>
      </c>
      <c r="B250" s="47" t="str">
        <f aca="false">IFERROR(INDEX('4-5 매출 Top100(참조)'!$D$2:$D$101,MATCH($A250,'4-5 매출 Top100(참조)'!$B$2:$B$101,0)),IFERROR(INDEX('4-4 Google Play Top100(참조)'!$D$2:$D$101,MATCH($A250,'4-4 Google Play Top100(참조)'!$B$2:$B$101,0)),"확인 불가"))</f>
        <v>하이퍼·하이브리드 캐주얼</v>
      </c>
      <c r="C250" s="47" t="str">
        <f aca="false">IFERROR(INDEX('4-5 매출 Top100(참조)'!$E$2:$E$101,MATCH($A250,'4-5 매출 Top100(참조)'!$B$2:$B$101,0)),IFERROR(INDEX('4-4 Google Play Top100(참조)'!$E$2:$E$101,MATCH($A250,'4-4 Google Play Top100(참조)'!$B$2:$B$101,0)),"-"))</f>
        <v>아케이드</v>
      </c>
      <c r="D250" s="49" t="str">
        <f aca="false">INDEX('4-6 매출-다운로드 비교(참조)'!$B$6:$B$177,MATCH($A250,'4-6 매출-다운로드 비교(참조)'!$A$6:$A$177,0))</f>
        <v>-</v>
      </c>
      <c r="E250" s="49" t="n">
        <f aca="false">INDEX('4-6 매출-다운로드 비교(참조)'!$C$6:$C$177,MATCH($A250,'4-6 매출-다운로드 비교(참조)'!$A$6:$A$177,0))</f>
        <v>100</v>
      </c>
      <c r="F250" s="47" t="str">
        <f aca="false">INDEX('4-6 매출-다운로드 비교(참조)'!$H$6:$H$177,MATCH($A250,'4-6 매출-다운로드 비교(참조)'!$A$6:$A$177,0))</f>
        <v>④ 둘 다 기준 밖</v>
      </c>
      <c r="G250" s="49" t="str">
        <f aca="false">IF(OR(ISNUMBER(D250),F250="③ 다운로드만 높음"),"후보","후보 아님")</f>
        <v>후보 아님</v>
      </c>
      <c r="H250" s="49" t="str">
        <f aca="false">IF(G250&lt;&gt;"후보","",IFERROR(INDEX($H$18:$H$54,MATCH(K250,$K$18:$K$54,0)),""))</f>
        <v/>
      </c>
      <c r="I250" s="89" t="str">
        <f aca="false">IF(G250&lt;&gt;"후보","-",IFERROR(INDEX($I$18:$I$54,MATCH(K250,$K$18:$K$54,0)),"판단 보류"))</f>
        <v>-</v>
      </c>
      <c r="J250" s="47"/>
      <c r="K250" s="47" t="str">
        <f aca="false">B250&amp;"|"&amp;C250</f>
        <v>하이퍼·하이브리드 캐주얼|아케이드</v>
      </c>
    </row>
  </sheetData>
  <autoFilter ref="A78:K250"/>
  <conditionalFormatting sqref="I18:I54">
    <cfRule type="expression" priority="2" aboveAverage="0" equalAverage="0" bottom="0" percent="0" rank="0" text="" dxfId="6">
      <formula>$I18="2인 가능"</formula>
    </cfRule>
    <cfRule type="expression" priority="3" aboveAverage="0" equalAverage="0" bottom="0" percent="0" rank="0" text="" dxfId="7">
      <formula>$I18="조건부 (범위를 줄이면)"</formula>
    </cfRule>
    <cfRule type="expression" priority="4" aboveAverage="0" equalAverage="0" bottom="0" percent="0" rank="0" text="" dxfId="8">
      <formula>$I18="2인 어려움"</formula>
    </cfRule>
  </conditionalFormatting>
  <conditionalFormatting sqref="G58:G64">
    <cfRule type="expression" priority="5" aboveAverage="0" equalAverage="0" bottom="0" percent="0" rank="0" text="" dxfId="6">
      <formula>$G58="2인 가능"</formula>
    </cfRule>
    <cfRule type="expression" priority="6" aboveAverage="0" equalAverage="0" bottom="0" percent="0" rank="0" text="" dxfId="7">
      <formula>$G58="조건부 (범위를 줄이면)"</formula>
    </cfRule>
    <cfRule type="expression" priority="7" aboveAverage="0" equalAverage="0" bottom="0" percent="0" rank="0" text="" dxfId="8">
      <formula>$G58="2인 어려움"</formula>
    </cfRule>
  </conditionalFormatting>
  <conditionalFormatting sqref="G5:G8">
    <cfRule type="expression" priority="8" aboveAverage="0" equalAverage="0" bottom="0" percent="0" rank="0" text="" dxfId="6">
      <formula>$G5="2인 가능"</formula>
    </cfRule>
    <cfRule type="expression" priority="9" aboveAverage="0" equalAverage="0" bottom="0" percent="0" rank="0" text="" dxfId="7">
      <formula>$G5="조건부 (범위를 줄이면)"</formula>
    </cfRule>
    <cfRule type="expression" priority="10" aboveAverage="0" equalAverage="0" bottom="0" percent="0" rank="0" text="" dxfId="8">
      <formula>$G5="2인 어려움"</formula>
    </cfRule>
  </conditionalFormatting>
  <conditionalFormatting sqref="I79:I250">
    <cfRule type="expression" priority="11" aboveAverage="0" equalAverage="0" bottom="0" percent="0" rank="0" text="" dxfId="6">
      <formula>$I79="2인 가능"</formula>
    </cfRule>
    <cfRule type="expression" priority="12" aboveAverage="0" equalAverage="0" bottom="0" percent="0" rank="0" text="" dxfId="7">
      <formula>$I79="조건부 (범위를 줄이면)"</formula>
    </cfRule>
    <cfRule type="expression" priority="13" aboveAverage="0" equalAverage="0" bottom="0" percent="0" rank="0" text="" dxfId="8">
      <formula>$I79="2인 어려움"</formula>
    </cfRule>
  </conditionalFormatting>
  <dataValidations count="1">
    <dataValidation allowBlank="false" errorStyle="stop" operator="between" showDropDown="false" showErrorMessage="false" showInputMessage="false" sqref="E14" type="list">
      <formula1>"예,아니오"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6" min="10" style="0" width="11"/>
    <col collapsed="false" customWidth="true" hidden="false" outlineLevel="0" max="17" min="17" style="0" width="16"/>
  </cols>
  <sheetData>
    <row r="1" customFormat="false" ht="19.4" hidden="false" customHeight="false" outlineLevel="0" collapsed="false">
      <c r="A1" s="43" t="s">
        <v>1028</v>
      </c>
    </row>
    <row r="2" customFormat="false" ht="17.15" hidden="false" customHeight="false" outlineLevel="0" collapsed="false">
      <c r="A2" s="22" t="s">
        <v>1029</v>
      </c>
    </row>
    <row r="4" customFormat="false" ht="17.15" hidden="false" customHeight="false" outlineLevel="0" collapsed="false">
      <c r="A4" s="90" t="s">
        <v>1030</v>
      </c>
    </row>
    <row r="5" customFormat="false" ht="17.15" hidden="false" customHeight="false" outlineLevel="0" collapsed="false">
      <c r="A5" s="91" t="s">
        <v>1031</v>
      </c>
    </row>
    <row r="6" customFormat="false" ht="17.15" hidden="false" customHeight="false" outlineLevel="0" collapsed="false">
      <c r="A6" s="91" t="s">
        <v>1032</v>
      </c>
    </row>
    <row r="7" customFormat="false" ht="17.15" hidden="false" customHeight="false" outlineLevel="0" collapsed="false">
      <c r="A7" s="92" t="s">
        <v>1033</v>
      </c>
    </row>
    <row r="9" customFormat="false" ht="19.4" hidden="false" customHeight="false" outlineLevel="0" collapsed="false">
      <c r="A9" s="73" t="s">
        <v>1034</v>
      </c>
    </row>
    <row r="10" customFormat="false" ht="17.15" hidden="false" customHeight="false" outlineLevel="0" collapsed="false">
      <c r="A10" s="75" t="s">
        <v>1035</v>
      </c>
      <c r="B10" s="74" t="s">
        <v>1036</v>
      </c>
      <c r="C10" s="75" t="s">
        <v>1037</v>
      </c>
      <c r="D10" s="74" t="s">
        <v>154</v>
      </c>
      <c r="E10" s="75" t="s">
        <v>1038</v>
      </c>
      <c r="F10" s="74" t="s">
        <v>1039</v>
      </c>
      <c r="G10" s="74" t="s">
        <v>1040</v>
      </c>
      <c r="H10" s="74" t="s">
        <v>6</v>
      </c>
      <c r="I10" s="74" t="s">
        <v>1041</v>
      </c>
    </row>
    <row r="11" customFormat="false" ht="17.15" hidden="false" customHeight="false" outlineLevel="0" collapsed="false">
      <c r="A11" s="50" t="s">
        <v>1042</v>
      </c>
      <c r="B11" s="79" t="s">
        <v>1043</v>
      </c>
      <c r="C11" s="50" t="s">
        <v>1044</v>
      </c>
      <c r="D11" s="79" t="s">
        <v>1045</v>
      </c>
      <c r="E11" s="93" t="n">
        <v>0.56</v>
      </c>
      <c r="F11" s="78" t="s">
        <v>1046</v>
      </c>
      <c r="G11" s="94" t="s">
        <v>1047</v>
      </c>
      <c r="H11" s="18" t="s">
        <v>1048</v>
      </c>
      <c r="I11" s="78" t="s">
        <v>1049</v>
      </c>
    </row>
    <row r="12" customFormat="false" ht="17.15" hidden="false" customHeight="false" outlineLevel="0" collapsed="false">
      <c r="A12" s="50" t="s">
        <v>1050</v>
      </c>
      <c r="B12" s="79" t="s">
        <v>629</v>
      </c>
      <c r="C12" s="50" t="s">
        <v>1044</v>
      </c>
      <c r="D12" s="79" t="s">
        <v>1045</v>
      </c>
      <c r="E12" s="93" t="n">
        <v>1.68</v>
      </c>
      <c r="F12" s="78" t="s">
        <v>1046</v>
      </c>
      <c r="G12" s="94" t="s">
        <v>1047</v>
      </c>
      <c r="H12" s="18" t="s">
        <v>1051</v>
      </c>
      <c r="I12" s="78" t="s">
        <v>1049</v>
      </c>
    </row>
    <row r="13" customFormat="false" ht="17.15" hidden="false" customHeight="false" outlineLevel="0" collapsed="false">
      <c r="A13" s="50" t="s">
        <v>1052</v>
      </c>
      <c r="B13" s="79" t="s">
        <v>155</v>
      </c>
      <c r="C13" s="50" t="s">
        <v>1044</v>
      </c>
      <c r="D13" s="79" t="s">
        <v>1045</v>
      </c>
      <c r="E13" s="93" t="n">
        <v>1.71</v>
      </c>
      <c r="F13" s="78" t="s">
        <v>1046</v>
      </c>
      <c r="G13" s="94" t="s">
        <v>1047</v>
      </c>
      <c r="H13" s="18" t="s">
        <v>1053</v>
      </c>
      <c r="I13" s="78" t="s">
        <v>1049</v>
      </c>
    </row>
    <row r="14" customFormat="false" ht="17.15" hidden="false" customHeight="false" outlineLevel="0" collapsed="false">
      <c r="A14" s="50" t="s">
        <v>1054</v>
      </c>
      <c r="B14" s="79" t="s">
        <v>1055</v>
      </c>
      <c r="C14" s="50" t="s">
        <v>1044</v>
      </c>
      <c r="D14" s="79" t="s">
        <v>1045</v>
      </c>
      <c r="E14" s="93" t="n">
        <v>0.14</v>
      </c>
      <c r="F14" s="78" t="s">
        <v>1046</v>
      </c>
      <c r="G14" s="94" t="s">
        <v>1047</v>
      </c>
      <c r="H14" s="18" t="s">
        <v>1056</v>
      </c>
      <c r="I14" s="78" t="s">
        <v>1049</v>
      </c>
    </row>
    <row r="15" customFormat="false" ht="48.5" hidden="false" customHeight="false" outlineLevel="0" collapsed="false">
      <c r="A15" s="50" t="s">
        <v>1057</v>
      </c>
      <c r="B15" s="79" t="s">
        <v>1058</v>
      </c>
      <c r="C15" s="50" t="s">
        <v>1044</v>
      </c>
      <c r="D15" s="79" t="s">
        <v>1045</v>
      </c>
      <c r="E15" s="93" t="n">
        <v>0.27</v>
      </c>
      <c r="F15" s="78" t="s">
        <v>1046</v>
      </c>
      <c r="G15" s="94" t="s">
        <v>1047</v>
      </c>
      <c r="H15" s="18" t="s">
        <v>1059</v>
      </c>
      <c r="I15" s="78" t="s">
        <v>1049</v>
      </c>
    </row>
    <row r="16" customFormat="false" ht="17.15" hidden="false" customHeight="false" outlineLevel="0" collapsed="false">
      <c r="A16" s="50" t="s">
        <v>1060</v>
      </c>
      <c r="B16" s="79" t="s">
        <v>1061</v>
      </c>
      <c r="C16" s="50" t="s">
        <v>1044</v>
      </c>
      <c r="D16" s="79" t="s">
        <v>1045</v>
      </c>
      <c r="E16" s="93" t="n">
        <v>0.53</v>
      </c>
      <c r="F16" s="78" t="s">
        <v>1046</v>
      </c>
      <c r="G16" s="94" t="s">
        <v>1047</v>
      </c>
      <c r="H16" s="18" t="s">
        <v>1062</v>
      </c>
      <c r="I16" s="78" t="s">
        <v>1049</v>
      </c>
    </row>
    <row r="17" customFormat="false" ht="17.15" hidden="false" customHeight="false" outlineLevel="0" collapsed="false">
      <c r="A17" s="50" t="s">
        <v>1063</v>
      </c>
      <c r="B17" s="79" t="s">
        <v>1043</v>
      </c>
      <c r="C17" s="50" t="s">
        <v>1044</v>
      </c>
      <c r="D17" s="79" t="s">
        <v>1064</v>
      </c>
      <c r="E17" s="93" t="n">
        <v>4.47</v>
      </c>
      <c r="F17" s="78" t="s">
        <v>1046</v>
      </c>
      <c r="G17" s="94" t="s">
        <v>1047</v>
      </c>
      <c r="H17" s="18" t="s">
        <v>1065</v>
      </c>
      <c r="I17" s="78" t="s">
        <v>1049</v>
      </c>
    </row>
    <row r="18" customFormat="false" ht="17.15" hidden="false" customHeight="false" outlineLevel="0" collapsed="false">
      <c r="A18" s="50" t="s">
        <v>1066</v>
      </c>
      <c r="B18" s="79" t="s">
        <v>1043</v>
      </c>
      <c r="C18" s="50" t="s">
        <v>1044</v>
      </c>
      <c r="D18" s="79" t="s">
        <v>212</v>
      </c>
      <c r="E18" s="93" t="n">
        <v>3.19</v>
      </c>
      <c r="F18" s="78" t="s">
        <v>1046</v>
      </c>
      <c r="G18" s="94" t="s">
        <v>1047</v>
      </c>
      <c r="H18" s="17"/>
      <c r="I18" s="78" t="s">
        <v>1049</v>
      </c>
    </row>
    <row r="19" customFormat="false" ht="17.15" hidden="false" customHeight="false" outlineLevel="0" collapsed="false">
      <c r="A19" s="50" t="s">
        <v>1067</v>
      </c>
      <c r="B19" s="79" t="s">
        <v>1043</v>
      </c>
      <c r="C19" s="50" t="s">
        <v>1044</v>
      </c>
      <c r="D19" s="79" t="s">
        <v>750</v>
      </c>
      <c r="E19" s="93" t="n">
        <v>1.03</v>
      </c>
      <c r="F19" s="78" t="s">
        <v>1046</v>
      </c>
      <c r="G19" s="94" t="s">
        <v>1047</v>
      </c>
      <c r="H19" s="17"/>
      <c r="I19" s="78" t="s">
        <v>1049</v>
      </c>
    </row>
    <row r="20" customFormat="false" ht="17.15" hidden="false" customHeight="false" outlineLevel="0" collapsed="false">
      <c r="A20" s="50" t="s">
        <v>1068</v>
      </c>
      <c r="B20" s="79" t="s">
        <v>1043</v>
      </c>
      <c r="C20" s="50" t="s">
        <v>1069</v>
      </c>
      <c r="D20" s="79" t="s">
        <v>1070</v>
      </c>
      <c r="E20" s="93" t="n">
        <v>1.41</v>
      </c>
      <c r="F20" s="78" t="s">
        <v>1071</v>
      </c>
      <c r="G20" s="94" t="s">
        <v>1047</v>
      </c>
      <c r="H20" s="17"/>
      <c r="I20" s="78" t="s">
        <v>1072</v>
      </c>
    </row>
    <row r="21" customFormat="false" ht="17.15" hidden="false" customHeight="false" outlineLevel="0" collapsed="false">
      <c r="A21" s="50" t="s">
        <v>1073</v>
      </c>
      <c r="B21" s="79" t="s">
        <v>1043</v>
      </c>
      <c r="C21" s="50" t="s">
        <v>1074</v>
      </c>
      <c r="D21" s="79" t="s">
        <v>1070</v>
      </c>
      <c r="E21" s="93" t="n">
        <v>0.14</v>
      </c>
      <c r="F21" s="78" t="s">
        <v>1071</v>
      </c>
      <c r="G21" s="94" t="s">
        <v>1047</v>
      </c>
      <c r="H21" s="17"/>
      <c r="I21" s="78" t="s">
        <v>1072</v>
      </c>
    </row>
    <row r="22" customFormat="false" ht="17.15" hidden="false" customHeight="false" outlineLevel="0" collapsed="false">
      <c r="A22" s="50" t="s">
        <v>1075</v>
      </c>
      <c r="B22" s="79" t="s">
        <v>1043</v>
      </c>
      <c r="C22" s="50" t="s">
        <v>1069</v>
      </c>
      <c r="D22" s="79" t="s">
        <v>1076</v>
      </c>
      <c r="E22" s="93" t="n">
        <v>21.03</v>
      </c>
      <c r="F22" s="78" t="s">
        <v>1071</v>
      </c>
      <c r="G22" s="94" t="s">
        <v>1047</v>
      </c>
      <c r="H22" s="17"/>
      <c r="I22" s="78" t="s">
        <v>1072</v>
      </c>
    </row>
    <row r="23" customFormat="false" ht="32.8" hidden="false" customHeight="false" outlineLevel="0" collapsed="false">
      <c r="A23" s="85" t="s">
        <v>1077</v>
      </c>
      <c r="B23" s="95" t="s">
        <v>1043</v>
      </c>
      <c r="C23" s="85" t="s">
        <v>1074</v>
      </c>
      <c r="D23" s="95" t="s">
        <v>1076</v>
      </c>
      <c r="E23" s="96" t="n">
        <v>4.1</v>
      </c>
      <c r="F23" s="97" t="s">
        <v>1071</v>
      </c>
      <c r="G23" s="85" t="s">
        <v>1078</v>
      </c>
      <c r="H23" s="37" t="s">
        <v>1079</v>
      </c>
      <c r="I23" s="97" t="s">
        <v>1080</v>
      </c>
    </row>
    <row r="24" customFormat="false" ht="64.15" hidden="false" customHeight="false" outlineLevel="0" collapsed="false">
      <c r="A24" s="85" t="s">
        <v>1081</v>
      </c>
      <c r="B24" s="95" t="s">
        <v>1043</v>
      </c>
      <c r="C24" s="85" t="s">
        <v>1069</v>
      </c>
      <c r="D24" s="95" t="s">
        <v>753</v>
      </c>
      <c r="E24" s="96" t="n">
        <v>2.8</v>
      </c>
      <c r="F24" s="97" t="s">
        <v>1071</v>
      </c>
      <c r="G24" s="85" t="s">
        <v>1078</v>
      </c>
      <c r="H24" s="86" t="s">
        <v>1082</v>
      </c>
      <c r="I24" s="97" t="s">
        <v>1083</v>
      </c>
    </row>
    <row r="25" customFormat="false" ht="17.15" hidden="false" customHeight="false" outlineLevel="0" collapsed="false">
      <c r="A25" s="85" t="s">
        <v>1084</v>
      </c>
      <c r="B25" s="95" t="s">
        <v>1043</v>
      </c>
      <c r="C25" s="85" t="s">
        <v>1074</v>
      </c>
      <c r="D25" s="95" t="s">
        <v>753</v>
      </c>
      <c r="E25" s="96" t="n">
        <v>0.64</v>
      </c>
      <c r="F25" s="97" t="s">
        <v>1071</v>
      </c>
      <c r="G25" s="85" t="s">
        <v>1078</v>
      </c>
      <c r="H25" s="86" t="s">
        <v>1085</v>
      </c>
      <c r="I25" s="97" t="s">
        <v>1083</v>
      </c>
    </row>
    <row r="26" customFormat="false" ht="32.8" hidden="false" customHeight="false" outlineLevel="0" collapsed="false">
      <c r="A26" s="85" t="s">
        <v>1086</v>
      </c>
      <c r="B26" s="95" t="s">
        <v>1043</v>
      </c>
      <c r="C26" s="85" t="s">
        <v>1074</v>
      </c>
      <c r="D26" s="97" t="s">
        <v>758</v>
      </c>
      <c r="E26" s="96" t="n">
        <v>4.29</v>
      </c>
      <c r="F26" s="97" t="s">
        <v>1071</v>
      </c>
      <c r="G26" s="85" t="s">
        <v>1078</v>
      </c>
      <c r="H26" s="37" t="s">
        <v>1087</v>
      </c>
      <c r="I26" s="97" t="s">
        <v>1088</v>
      </c>
    </row>
    <row r="27" customFormat="false" ht="32.8" hidden="false" customHeight="false" outlineLevel="0" collapsed="false">
      <c r="A27" s="85" t="s">
        <v>1089</v>
      </c>
      <c r="B27" s="95" t="s">
        <v>1090</v>
      </c>
      <c r="C27" s="85" t="s">
        <v>1091</v>
      </c>
      <c r="D27" s="95" t="s">
        <v>1092</v>
      </c>
      <c r="E27" s="98" t="s">
        <v>799</v>
      </c>
      <c r="F27" s="97" t="s">
        <v>692</v>
      </c>
      <c r="G27" s="99" t="s">
        <v>799</v>
      </c>
      <c r="H27" s="37" t="s">
        <v>1093</v>
      </c>
      <c r="I27" s="97" t="s">
        <v>692</v>
      </c>
    </row>
    <row r="29" customFormat="false" ht="19.4" hidden="false" customHeight="false" outlineLevel="0" collapsed="false">
      <c r="A29" s="43" t="s">
        <v>1094</v>
      </c>
    </row>
    <row r="30" customFormat="false" ht="48" hidden="false" customHeight="true" outlineLevel="0" collapsed="false">
      <c r="A30" s="74" t="s">
        <v>1095</v>
      </c>
      <c r="B30" s="74" t="s">
        <v>116</v>
      </c>
      <c r="C30" s="74" t="s">
        <v>1096</v>
      </c>
      <c r="D30" s="75" t="s">
        <v>1097</v>
      </c>
      <c r="E30" s="74" t="s">
        <v>1098</v>
      </c>
      <c r="F30" s="74" t="s">
        <v>1099</v>
      </c>
      <c r="G30" s="74" t="s">
        <v>1100</v>
      </c>
      <c r="H30" s="74" t="s">
        <v>1101</v>
      </c>
      <c r="I30" s="74" t="s">
        <v>1102</v>
      </c>
      <c r="J30" s="74" t="s">
        <v>1103</v>
      </c>
      <c r="K30" s="75" t="s">
        <v>616</v>
      </c>
      <c r="L30" s="75" t="s">
        <v>617</v>
      </c>
      <c r="M30" s="75" t="s">
        <v>618</v>
      </c>
      <c r="N30" s="75" t="s">
        <v>1104</v>
      </c>
      <c r="O30" s="75" t="s">
        <v>1105</v>
      </c>
      <c r="P30" s="75" t="s">
        <v>1106</v>
      </c>
      <c r="Q30" s="75" t="s">
        <v>1107</v>
      </c>
    </row>
    <row r="31" customFormat="false" ht="32.8" hidden="false" customHeight="false" outlineLevel="0" collapsed="false">
      <c r="A31" s="33" t="s">
        <v>1108</v>
      </c>
      <c r="B31" s="17" t="s">
        <v>1109</v>
      </c>
      <c r="C31" s="100" t="n">
        <v>1000</v>
      </c>
      <c r="D31" s="83" t="s">
        <v>1052</v>
      </c>
      <c r="E31" s="101" t="n">
        <f aca="false">IFERROR(INDEX($E$11:$E$27,MATCH($D31,$A$11:$A$27,0)),"")</f>
        <v>1.71</v>
      </c>
      <c r="F31" s="102"/>
      <c r="G31" s="101" t="n">
        <f aca="false">IF($F31&lt;&gt;"",$F31,$E31)</f>
        <v>1.71</v>
      </c>
      <c r="H31" s="103" t="n">
        <f aca="false">IFERROR($C31/$G31,"")</f>
        <v>584.795321637427</v>
      </c>
      <c r="I31" s="84" t="s">
        <v>629</v>
      </c>
      <c r="J31" s="83" t="s">
        <v>1110</v>
      </c>
      <c r="K31" s="104" t="n">
        <f aca="false">IF($J31="P50",SUMIFS('4-1 지역 벤치마크(참조)'!$C$2:$C$28,'4-1 지역 벤치마크(참조)'!$A$2:$A$28,$I31,'4-1 지역 벤치마크(참조)'!$B$2:$B$28,"D1 리텐션"),IF($J31="P90",SUMIFS('4-1 지역 벤치마크(참조)'!$D$2:$D$28,'4-1 지역 벤치마크(참조)'!$A$2:$A$28,$I31,'4-1 지역 벤치마크(참조)'!$B$2:$B$28,"D1 리텐션"),IF($J31="P99",SUMIFS('4-1 지역 벤치마크(참조)'!$E$2:$E$28,'4-1 지역 벤치마크(참조)'!$A$2:$A$28,$I31,'4-1 지역 벤치마크(참조)'!$B$2:$B$28,"D1 리텐션"),"")))</f>
        <v>0.2328</v>
      </c>
      <c r="L31" s="104" t="n">
        <f aca="false">IF($J31="P50",SUMIFS('4-1 지역 벤치마크(참조)'!$C$2:$C$28,'4-1 지역 벤치마크(참조)'!$A$2:$A$28,$I31,'4-1 지역 벤치마크(참조)'!$B$2:$B$28,"D7 리텐션"),IF($J31="P90",SUMIFS('4-1 지역 벤치마크(참조)'!$D$2:$D$28,'4-1 지역 벤치마크(참조)'!$A$2:$A$28,$I31,'4-1 지역 벤치마크(참조)'!$B$2:$B$28,"D7 리텐션"),IF($J31="P99",SUMIFS('4-1 지역 벤치마크(참조)'!$E$2:$E$28,'4-1 지역 벤치마크(참조)'!$A$2:$A$28,$I31,'4-1 지역 벤치마크(참조)'!$B$2:$B$28,"D7 리텐션"),"")))</f>
        <v>0.0497</v>
      </c>
      <c r="M31" s="104" t="n">
        <f aca="false">IF($J31="P50",SUMIFS('4-1 지역 벤치마크(참조)'!$C$2:$C$28,'4-1 지역 벤치마크(참조)'!$A$2:$A$28,$I31,'4-1 지역 벤치마크(참조)'!$B$2:$B$28,"D30 리텐션"),IF($J31="P90",SUMIFS('4-1 지역 벤치마크(참조)'!$D$2:$D$28,'4-1 지역 벤치마크(참조)'!$A$2:$A$28,$I31,'4-1 지역 벤치마크(참조)'!$B$2:$B$28,"D30 리텐션"),IF($J31="P99",SUMIFS('4-1 지역 벤치마크(참조)'!$E$2:$E$28,'4-1 지역 벤치마크(참조)'!$A$2:$A$28,$I31,'4-1 지역 벤치마크(참조)'!$B$2:$B$28,"D30 리텐션"),"")))</f>
        <v>0.0118</v>
      </c>
      <c r="N31" s="105" t="n">
        <f aca="false">IFERROR($H31*K31,"")</f>
        <v>136.140350877193</v>
      </c>
      <c r="O31" s="105" t="n">
        <f aca="false">IFERROR($H31*L31,"")</f>
        <v>29.0643274853801</v>
      </c>
      <c r="P31" s="105" t="n">
        <f aca="false">IFERROR($H31*M31,"")</f>
        <v>6.90058479532164</v>
      </c>
      <c r="Q31" s="106" t="n">
        <f aca="false">IFERROR(100/$L31*$G31,"")</f>
        <v>3440.64386317907</v>
      </c>
    </row>
    <row r="32" customFormat="false" ht="32.8" hidden="false" customHeight="false" outlineLevel="0" collapsed="false">
      <c r="A32" s="33" t="s">
        <v>1111</v>
      </c>
      <c r="B32" s="17" t="s">
        <v>1112</v>
      </c>
      <c r="C32" s="100" t="n">
        <v>1000</v>
      </c>
      <c r="D32" s="83" t="s">
        <v>1052</v>
      </c>
      <c r="E32" s="101" t="n">
        <f aca="false">IFERROR(INDEX($E$11:$E$27,MATCH($D32,$A$11:$A$27,0)),"")</f>
        <v>1.71</v>
      </c>
      <c r="F32" s="102"/>
      <c r="G32" s="101" t="n">
        <f aca="false">IF($F32&lt;&gt;"",$F32,$E32)</f>
        <v>1.71</v>
      </c>
      <c r="H32" s="103" t="n">
        <f aca="false">IFERROR($C32/$G32,"")</f>
        <v>584.795321637427</v>
      </c>
      <c r="I32" s="84" t="s">
        <v>629</v>
      </c>
      <c r="J32" s="83" t="s">
        <v>1113</v>
      </c>
      <c r="K32" s="104" t="n">
        <f aca="false">IF($J32="P50",SUMIFS('4-1 지역 벤치마크(참조)'!$C$2:$C$28,'4-1 지역 벤치마크(참조)'!$A$2:$A$28,$I32,'4-1 지역 벤치마크(참조)'!$B$2:$B$28,"D1 리텐션"),IF($J32="P90",SUMIFS('4-1 지역 벤치마크(참조)'!$D$2:$D$28,'4-1 지역 벤치마크(참조)'!$A$2:$A$28,$I32,'4-1 지역 벤치마크(참조)'!$B$2:$B$28,"D1 리텐션"),IF($J32="P99",SUMIFS('4-1 지역 벤치마크(참조)'!$E$2:$E$28,'4-1 지역 벤치마크(참조)'!$A$2:$A$28,$I32,'4-1 지역 벤치마크(참조)'!$B$2:$B$28,"D1 리텐션"),"")))</f>
        <v>0.369</v>
      </c>
      <c r="L32" s="104" t="n">
        <f aca="false">IF($J32="P50",SUMIFS('4-1 지역 벤치마크(참조)'!$C$2:$C$28,'4-1 지역 벤치마크(참조)'!$A$2:$A$28,$I32,'4-1 지역 벤치마크(참조)'!$B$2:$B$28,"D7 리텐션"),IF($J32="P90",SUMIFS('4-1 지역 벤치마크(참조)'!$D$2:$D$28,'4-1 지역 벤치마크(참조)'!$A$2:$A$28,$I32,'4-1 지역 벤치마크(참조)'!$B$2:$B$28,"D7 리텐션"),IF($J32="P99",SUMIFS('4-1 지역 벤치마크(참조)'!$E$2:$E$28,'4-1 지역 벤치마크(참조)'!$A$2:$A$28,$I32,'4-1 지역 벤치마크(참조)'!$B$2:$B$28,"D7 리텐션"),"")))</f>
        <v>0.1258</v>
      </c>
      <c r="M32" s="104" t="n">
        <f aca="false">IF($J32="P50",SUMIFS('4-1 지역 벤치마크(참조)'!$C$2:$C$28,'4-1 지역 벤치마크(참조)'!$A$2:$A$28,$I32,'4-1 지역 벤치마크(참조)'!$B$2:$B$28,"D30 리텐션"),IF($J32="P90",SUMIFS('4-1 지역 벤치마크(참조)'!$D$2:$D$28,'4-1 지역 벤치마크(참조)'!$A$2:$A$28,$I32,'4-1 지역 벤치마크(참조)'!$B$2:$B$28,"D30 리텐션"),IF($J32="P99",SUMIFS('4-1 지역 벤치마크(참조)'!$E$2:$E$28,'4-1 지역 벤치마크(참조)'!$A$2:$A$28,$I32,'4-1 지역 벤치마크(참조)'!$B$2:$B$28,"D30 리텐션"),"")))</f>
        <v>0.0478</v>
      </c>
      <c r="N32" s="105" t="n">
        <f aca="false">IFERROR($H32*K32,"")</f>
        <v>215.789473684211</v>
      </c>
      <c r="O32" s="105" t="n">
        <f aca="false">IFERROR($H32*L32,"")</f>
        <v>73.5672514619883</v>
      </c>
      <c r="P32" s="105" t="n">
        <f aca="false">IFERROR($H32*M32,"")</f>
        <v>27.953216374269</v>
      </c>
      <c r="Q32" s="106" t="n">
        <f aca="false">IFERROR(100/$L32*$G32,"")</f>
        <v>1359.30047694754</v>
      </c>
    </row>
    <row r="33" customFormat="false" ht="17.15" hidden="false" customHeight="false" outlineLevel="0" collapsed="false">
      <c r="A33" s="33" t="s">
        <v>1114</v>
      </c>
      <c r="B33" s="17" t="s">
        <v>1115</v>
      </c>
      <c r="C33" s="100" t="n">
        <v>1000</v>
      </c>
      <c r="D33" s="83" t="s">
        <v>1054</v>
      </c>
      <c r="E33" s="101" t="n">
        <f aca="false">IFERROR(INDEX($E$11:$E$27,MATCH($D33,$A$11:$A$27,0)),"")</f>
        <v>0.14</v>
      </c>
      <c r="F33" s="102"/>
      <c r="G33" s="101" t="n">
        <f aca="false">IF($F33&lt;&gt;"",$F33,$E33)</f>
        <v>0.14</v>
      </c>
      <c r="H33" s="103" t="n">
        <f aca="false">IFERROR($C33/$G33,"")</f>
        <v>7142.85714285714</v>
      </c>
      <c r="I33" s="84" t="s">
        <v>636</v>
      </c>
      <c r="J33" s="83" t="s">
        <v>1110</v>
      </c>
      <c r="K33" s="104" t="n">
        <f aca="false">IF($J33="P50",SUMIFS('4-1 지역 벤치마크(참조)'!$C$2:$C$28,'4-1 지역 벤치마크(참조)'!$A$2:$A$28,$I33,'4-1 지역 벤치마크(참조)'!$B$2:$B$28,"D1 리텐션"),IF($J33="P90",SUMIFS('4-1 지역 벤치마크(참조)'!$D$2:$D$28,'4-1 지역 벤치마크(참조)'!$A$2:$A$28,$I33,'4-1 지역 벤치마크(참조)'!$B$2:$B$28,"D1 리텐션"),IF($J33="P99",SUMIFS('4-1 지역 벤치마크(참조)'!$E$2:$E$28,'4-1 지역 벤치마크(참조)'!$A$2:$A$28,$I33,'4-1 지역 벤치마크(참조)'!$B$2:$B$28,"D1 리텐션"),"")))</f>
        <v>0.2009</v>
      </c>
      <c r="L33" s="104" t="n">
        <f aca="false">IF($J33="P50",SUMIFS('4-1 지역 벤치마크(참조)'!$C$2:$C$28,'4-1 지역 벤치마크(참조)'!$A$2:$A$28,$I33,'4-1 지역 벤치마크(참조)'!$B$2:$B$28,"D7 리텐션"),IF($J33="P90",SUMIFS('4-1 지역 벤치마크(참조)'!$D$2:$D$28,'4-1 지역 벤치마크(참조)'!$A$2:$A$28,$I33,'4-1 지역 벤치마크(참조)'!$B$2:$B$28,"D7 리텐션"),IF($J33="P99",SUMIFS('4-1 지역 벤치마크(참조)'!$E$2:$E$28,'4-1 지역 벤치마크(참조)'!$A$2:$A$28,$I33,'4-1 지역 벤치마크(참조)'!$B$2:$B$28,"D7 리텐션"),"")))</f>
        <v>0.0325</v>
      </c>
      <c r="M33" s="104" t="n">
        <f aca="false">IF($J33="P50",SUMIFS('4-1 지역 벤치마크(참조)'!$C$2:$C$28,'4-1 지역 벤치마크(참조)'!$A$2:$A$28,$I33,'4-1 지역 벤치마크(참조)'!$B$2:$B$28,"D30 리텐션"),IF($J33="P90",SUMIFS('4-1 지역 벤치마크(참조)'!$D$2:$D$28,'4-1 지역 벤치마크(참조)'!$A$2:$A$28,$I33,'4-1 지역 벤치마크(참조)'!$B$2:$B$28,"D30 리텐션"),IF($J33="P99",SUMIFS('4-1 지역 벤치마크(참조)'!$E$2:$E$28,'4-1 지역 벤치마크(참조)'!$A$2:$A$28,$I33,'4-1 지역 벤치마크(참조)'!$B$2:$B$28,"D30 리텐션"),"")))</f>
        <v>0.0065</v>
      </c>
      <c r="N33" s="105" t="n">
        <f aca="false">IFERROR($H33*K33,"")</f>
        <v>1435</v>
      </c>
      <c r="O33" s="105" t="n">
        <f aca="false">IFERROR($H33*L33,"")</f>
        <v>232.142857142857</v>
      </c>
      <c r="P33" s="105" t="n">
        <f aca="false">IFERROR($H33*M33,"")</f>
        <v>46.4285714285714</v>
      </c>
      <c r="Q33" s="106" t="n">
        <f aca="false">IFERROR(100/$L33*$G33,"")</f>
        <v>430.769230769231</v>
      </c>
    </row>
    <row r="34" customFormat="false" ht="32.8" hidden="false" customHeight="false" outlineLevel="0" collapsed="false">
      <c r="A34" s="33" t="s">
        <v>1116</v>
      </c>
      <c r="B34" s="37" t="s">
        <v>1117</v>
      </c>
      <c r="C34" s="100" t="n">
        <v>1000</v>
      </c>
      <c r="D34" s="83" t="s">
        <v>1057</v>
      </c>
      <c r="E34" s="101" t="n">
        <f aca="false">IFERROR(INDEX($E$11:$E$27,MATCH($D34,$A$11:$A$27,0)),"")</f>
        <v>0.27</v>
      </c>
      <c r="F34" s="102"/>
      <c r="G34" s="101" t="n">
        <f aca="false">IF($F34&lt;&gt;"",$F34,$E34)</f>
        <v>0.27</v>
      </c>
      <c r="H34" s="103" t="n">
        <f aca="false">IFERROR($C34/$G34,"")</f>
        <v>3703.7037037037</v>
      </c>
      <c r="I34" s="84" t="s">
        <v>637</v>
      </c>
      <c r="J34" s="83" t="s">
        <v>1110</v>
      </c>
      <c r="K34" s="104" t="n">
        <f aca="false">IF($J34="P50",SUMIFS('4-1 지역 벤치마크(참조)'!$C$2:$C$28,'4-1 지역 벤치마크(참조)'!$A$2:$A$28,$I34,'4-1 지역 벤치마크(참조)'!$B$2:$B$28,"D1 리텐션"),IF($J34="P90",SUMIFS('4-1 지역 벤치마크(참조)'!$D$2:$D$28,'4-1 지역 벤치마크(참조)'!$A$2:$A$28,$I34,'4-1 지역 벤치마크(참조)'!$B$2:$B$28,"D1 리텐션"),IF($J34="P99",SUMIFS('4-1 지역 벤치마크(참조)'!$E$2:$E$28,'4-1 지역 벤치마크(참조)'!$A$2:$A$28,$I34,'4-1 지역 벤치마크(참조)'!$B$2:$B$28,"D1 리텐션"),"")))</f>
        <v>0.175</v>
      </c>
      <c r="L34" s="104" t="n">
        <f aca="false">IF($J34="P50",SUMIFS('4-1 지역 벤치마크(참조)'!$C$2:$C$28,'4-1 지역 벤치마크(참조)'!$A$2:$A$28,$I34,'4-1 지역 벤치마크(참조)'!$B$2:$B$28,"D7 리텐션"),IF($J34="P90",SUMIFS('4-1 지역 벤치마크(참조)'!$D$2:$D$28,'4-1 지역 벤치마크(참조)'!$A$2:$A$28,$I34,'4-1 지역 벤치마크(참조)'!$B$2:$B$28,"D7 리텐션"),IF($J34="P99",SUMIFS('4-1 지역 벤치마크(참조)'!$E$2:$E$28,'4-1 지역 벤치마크(참조)'!$A$2:$A$28,$I34,'4-1 지역 벤치마크(참조)'!$B$2:$B$28,"D7 리텐션"),"")))</f>
        <v>0.0268</v>
      </c>
      <c r="M34" s="104" t="n">
        <f aca="false">IF($J34="P50",SUMIFS('4-1 지역 벤치마크(참조)'!$C$2:$C$28,'4-1 지역 벤치마크(참조)'!$A$2:$A$28,$I34,'4-1 지역 벤치마크(참조)'!$B$2:$B$28,"D30 리텐션"),IF($J34="P90",SUMIFS('4-1 지역 벤치마크(참조)'!$D$2:$D$28,'4-1 지역 벤치마크(참조)'!$A$2:$A$28,$I34,'4-1 지역 벤치마크(참조)'!$B$2:$B$28,"D30 리텐션"),IF($J34="P99",SUMIFS('4-1 지역 벤치마크(참조)'!$E$2:$E$28,'4-1 지역 벤치마크(참조)'!$A$2:$A$28,$I34,'4-1 지역 벤치마크(참조)'!$B$2:$B$28,"D30 리텐션"),"")))</f>
        <v>0.0053</v>
      </c>
      <c r="N34" s="105" t="n">
        <f aca="false">IFERROR($H34*K34,"")</f>
        <v>648.148148148148</v>
      </c>
      <c r="O34" s="105" t="n">
        <f aca="false">IFERROR($H34*L34,"")</f>
        <v>99.2592592592593</v>
      </c>
      <c r="P34" s="105" t="n">
        <f aca="false">IFERROR($H34*M34,"")</f>
        <v>19.6296296296296</v>
      </c>
      <c r="Q34" s="106" t="n">
        <f aca="false">IFERROR(100/$L34*$G34,"")</f>
        <v>1007.46268656716</v>
      </c>
    </row>
    <row r="35" customFormat="false" ht="32.8" hidden="false" customHeight="false" outlineLevel="0" collapsed="false">
      <c r="A35" s="33" t="s">
        <v>1118</v>
      </c>
      <c r="B35" s="86" t="s">
        <v>1119</v>
      </c>
      <c r="C35" s="100" t="n">
        <v>1000</v>
      </c>
      <c r="D35" s="83" t="s">
        <v>1068</v>
      </c>
      <c r="E35" s="101" t="n">
        <f aca="false">IFERROR(INDEX($E$11:$E$27,MATCH($D35,$A$11:$A$27,0)),"")</f>
        <v>1.41</v>
      </c>
      <c r="F35" s="102"/>
      <c r="G35" s="101" t="n">
        <f aca="false">IF($F35&lt;&gt;"",$F35,$E35)</f>
        <v>1.41</v>
      </c>
      <c r="H35" s="103" t="n">
        <f aca="false">IFERROR($C35/$G35,"")</f>
        <v>709.219858156028</v>
      </c>
      <c r="I35" s="84" t="s">
        <v>629</v>
      </c>
      <c r="J35" s="83" t="s">
        <v>1110</v>
      </c>
      <c r="K35" s="104" t="n">
        <f aca="false">IF($J35="P50",SUMIFS('4-1 지역 벤치마크(참조)'!$C$2:$C$28,'4-1 지역 벤치마크(참조)'!$A$2:$A$28,$I35,'4-1 지역 벤치마크(참조)'!$B$2:$B$28,"D1 리텐션"),IF($J35="P90",SUMIFS('4-1 지역 벤치마크(참조)'!$D$2:$D$28,'4-1 지역 벤치마크(참조)'!$A$2:$A$28,$I35,'4-1 지역 벤치마크(참조)'!$B$2:$B$28,"D1 리텐션"),IF($J35="P99",SUMIFS('4-1 지역 벤치마크(참조)'!$E$2:$E$28,'4-1 지역 벤치마크(참조)'!$A$2:$A$28,$I35,'4-1 지역 벤치마크(참조)'!$B$2:$B$28,"D1 리텐션"),"")))</f>
        <v>0.2328</v>
      </c>
      <c r="L35" s="104" t="n">
        <f aca="false">IF($J35="P50",SUMIFS('4-1 지역 벤치마크(참조)'!$C$2:$C$28,'4-1 지역 벤치마크(참조)'!$A$2:$A$28,$I35,'4-1 지역 벤치마크(참조)'!$B$2:$B$28,"D7 리텐션"),IF($J35="P90",SUMIFS('4-1 지역 벤치마크(참조)'!$D$2:$D$28,'4-1 지역 벤치마크(참조)'!$A$2:$A$28,$I35,'4-1 지역 벤치마크(참조)'!$B$2:$B$28,"D7 리텐션"),IF($J35="P99",SUMIFS('4-1 지역 벤치마크(참조)'!$E$2:$E$28,'4-1 지역 벤치마크(참조)'!$A$2:$A$28,$I35,'4-1 지역 벤치마크(참조)'!$B$2:$B$28,"D7 리텐션"),"")))</f>
        <v>0.0497</v>
      </c>
      <c r="M35" s="104" t="n">
        <f aca="false">IF($J35="P50",SUMIFS('4-1 지역 벤치마크(참조)'!$C$2:$C$28,'4-1 지역 벤치마크(참조)'!$A$2:$A$28,$I35,'4-1 지역 벤치마크(참조)'!$B$2:$B$28,"D30 리텐션"),IF($J35="P90",SUMIFS('4-1 지역 벤치마크(참조)'!$D$2:$D$28,'4-1 지역 벤치마크(참조)'!$A$2:$A$28,$I35,'4-1 지역 벤치마크(참조)'!$B$2:$B$28,"D30 리텐션"),IF($J35="P99",SUMIFS('4-1 지역 벤치마크(참조)'!$E$2:$E$28,'4-1 지역 벤치마크(참조)'!$A$2:$A$28,$I35,'4-1 지역 벤치마크(참조)'!$B$2:$B$28,"D30 리텐션"),"")))</f>
        <v>0.0118</v>
      </c>
      <c r="N35" s="105" t="n">
        <f aca="false">IFERROR($H35*K35,"")</f>
        <v>165.106382978723</v>
      </c>
      <c r="O35" s="105" t="n">
        <f aca="false">IFERROR($H35*L35,"")</f>
        <v>35.2482269503546</v>
      </c>
      <c r="P35" s="105" t="n">
        <f aca="false">IFERROR($H35*M35,"")</f>
        <v>8.36879432624114</v>
      </c>
      <c r="Q35" s="106" t="n">
        <f aca="false">IFERROR(100/$L35*$G35,"")</f>
        <v>2837.02213279678</v>
      </c>
    </row>
    <row r="36" customFormat="false" ht="32.8" hidden="false" customHeight="false" outlineLevel="0" collapsed="false">
      <c r="A36" s="33" t="s">
        <v>1120</v>
      </c>
      <c r="B36" s="86" t="s">
        <v>1121</v>
      </c>
      <c r="C36" s="100" t="n">
        <v>1000</v>
      </c>
      <c r="D36" s="83" t="s">
        <v>1073</v>
      </c>
      <c r="E36" s="101" t="n">
        <f aca="false">IFERROR(INDEX($E$11:$E$27,MATCH($D36,$A$11:$A$27,0)),"")</f>
        <v>0.14</v>
      </c>
      <c r="F36" s="102"/>
      <c r="G36" s="101" t="n">
        <f aca="false">IF($F36&lt;&gt;"",$F36,$E36)</f>
        <v>0.14</v>
      </c>
      <c r="H36" s="103" t="n">
        <f aca="false">IFERROR($C36/$G36,"")</f>
        <v>7142.85714285714</v>
      </c>
      <c r="I36" s="84" t="s">
        <v>629</v>
      </c>
      <c r="J36" s="83" t="s">
        <v>1110</v>
      </c>
      <c r="K36" s="104" t="n">
        <f aca="false">IF($J36="P50",SUMIFS('4-1 지역 벤치마크(참조)'!$C$2:$C$28,'4-1 지역 벤치마크(참조)'!$A$2:$A$28,$I36,'4-1 지역 벤치마크(참조)'!$B$2:$B$28,"D1 리텐션"),IF($J36="P90",SUMIFS('4-1 지역 벤치마크(참조)'!$D$2:$D$28,'4-1 지역 벤치마크(참조)'!$A$2:$A$28,$I36,'4-1 지역 벤치마크(참조)'!$B$2:$B$28,"D1 리텐션"),IF($J36="P99",SUMIFS('4-1 지역 벤치마크(참조)'!$E$2:$E$28,'4-1 지역 벤치마크(참조)'!$A$2:$A$28,$I36,'4-1 지역 벤치마크(참조)'!$B$2:$B$28,"D1 리텐션"),"")))</f>
        <v>0.2328</v>
      </c>
      <c r="L36" s="104" t="n">
        <f aca="false">IF($J36="P50",SUMIFS('4-1 지역 벤치마크(참조)'!$C$2:$C$28,'4-1 지역 벤치마크(참조)'!$A$2:$A$28,$I36,'4-1 지역 벤치마크(참조)'!$B$2:$B$28,"D7 리텐션"),IF($J36="P90",SUMIFS('4-1 지역 벤치마크(참조)'!$D$2:$D$28,'4-1 지역 벤치마크(참조)'!$A$2:$A$28,$I36,'4-1 지역 벤치마크(참조)'!$B$2:$B$28,"D7 리텐션"),IF($J36="P99",SUMIFS('4-1 지역 벤치마크(참조)'!$E$2:$E$28,'4-1 지역 벤치마크(참조)'!$A$2:$A$28,$I36,'4-1 지역 벤치마크(참조)'!$B$2:$B$28,"D7 리텐션"),"")))</f>
        <v>0.0497</v>
      </c>
      <c r="M36" s="104" t="n">
        <f aca="false">IF($J36="P50",SUMIFS('4-1 지역 벤치마크(참조)'!$C$2:$C$28,'4-1 지역 벤치마크(참조)'!$A$2:$A$28,$I36,'4-1 지역 벤치마크(참조)'!$B$2:$B$28,"D30 리텐션"),IF($J36="P90",SUMIFS('4-1 지역 벤치마크(참조)'!$D$2:$D$28,'4-1 지역 벤치마크(참조)'!$A$2:$A$28,$I36,'4-1 지역 벤치마크(참조)'!$B$2:$B$28,"D30 리텐션"),IF($J36="P99",SUMIFS('4-1 지역 벤치마크(참조)'!$E$2:$E$28,'4-1 지역 벤치마크(참조)'!$A$2:$A$28,$I36,'4-1 지역 벤치마크(참조)'!$B$2:$B$28,"D30 리텐션"),"")))</f>
        <v>0.0118</v>
      </c>
      <c r="N36" s="105" t="n">
        <f aca="false">IFERROR($H36*K36,"")</f>
        <v>1662.85714285714</v>
      </c>
      <c r="O36" s="105" t="n">
        <f aca="false">IFERROR($H36*L36,"")</f>
        <v>355</v>
      </c>
      <c r="P36" s="105" t="n">
        <f aca="false">IFERROR($H36*M36,"")</f>
        <v>84.2857142857143</v>
      </c>
      <c r="Q36" s="106" t="n">
        <f aca="false">IFERROR(100/$L36*$G36,"")</f>
        <v>281.69014084507</v>
      </c>
    </row>
    <row r="37" customFormat="false" ht="32.8" hidden="false" customHeight="false" outlineLevel="0" collapsed="false">
      <c r="A37" s="33" t="s">
        <v>1122</v>
      </c>
      <c r="B37" s="86" t="s">
        <v>1123</v>
      </c>
      <c r="C37" s="100" t="n">
        <v>1000</v>
      </c>
      <c r="D37" s="83" t="s">
        <v>1081</v>
      </c>
      <c r="E37" s="101" t="n">
        <f aca="false">IFERROR(INDEX($E$11:$E$27,MATCH($D37,$A$11:$A$27,0)),"")</f>
        <v>2.8</v>
      </c>
      <c r="F37" s="102"/>
      <c r="G37" s="101" t="n">
        <f aca="false">IF($F37&lt;&gt;"",$F37,$E37)</f>
        <v>2.8</v>
      </c>
      <c r="H37" s="103" t="n">
        <f aca="false">IFERROR($C37/$G37,"")</f>
        <v>357.142857142857</v>
      </c>
      <c r="I37" s="84" t="s">
        <v>629</v>
      </c>
      <c r="J37" s="83" t="s">
        <v>1110</v>
      </c>
      <c r="K37" s="104" t="n">
        <f aca="false">IF($J37="P50",SUMIFS('4-1 지역 벤치마크(참조)'!$C$2:$C$28,'4-1 지역 벤치마크(참조)'!$A$2:$A$28,$I37,'4-1 지역 벤치마크(참조)'!$B$2:$B$28,"D1 리텐션"),IF($J37="P90",SUMIFS('4-1 지역 벤치마크(참조)'!$D$2:$D$28,'4-1 지역 벤치마크(참조)'!$A$2:$A$28,$I37,'4-1 지역 벤치마크(참조)'!$B$2:$B$28,"D1 리텐션"),IF($J37="P99",SUMIFS('4-1 지역 벤치마크(참조)'!$E$2:$E$28,'4-1 지역 벤치마크(참조)'!$A$2:$A$28,$I37,'4-1 지역 벤치마크(참조)'!$B$2:$B$28,"D1 리텐션"),"")))</f>
        <v>0.2328</v>
      </c>
      <c r="L37" s="104" t="n">
        <f aca="false">IF($J37="P50",SUMIFS('4-1 지역 벤치마크(참조)'!$C$2:$C$28,'4-1 지역 벤치마크(참조)'!$A$2:$A$28,$I37,'4-1 지역 벤치마크(참조)'!$B$2:$B$28,"D7 리텐션"),IF($J37="P90",SUMIFS('4-1 지역 벤치마크(참조)'!$D$2:$D$28,'4-1 지역 벤치마크(참조)'!$A$2:$A$28,$I37,'4-1 지역 벤치마크(참조)'!$B$2:$B$28,"D7 리텐션"),IF($J37="P99",SUMIFS('4-1 지역 벤치마크(참조)'!$E$2:$E$28,'4-1 지역 벤치마크(참조)'!$A$2:$A$28,$I37,'4-1 지역 벤치마크(참조)'!$B$2:$B$28,"D7 리텐션"),"")))</f>
        <v>0.0497</v>
      </c>
      <c r="M37" s="104" t="n">
        <f aca="false">IF($J37="P50",SUMIFS('4-1 지역 벤치마크(참조)'!$C$2:$C$28,'4-1 지역 벤치마크(참조)'!$A$2:$A$28,$I37,'4-1 지역 벤치마크(참조)'!$B$2:$B$28,"D30 리텐션"),IF($J37="P90",SUMIFS('4-1 지역 벤치마크(참조)'!$D$2:$D$28,'4-1 지역 벤치마크(참조)'!$A$2:$A$28,$I37,'4-1 지역 벤치마크(참조)'!$B$2:$B$28,"D30 리텐션"),IF($J37="P99",SUMIFS('4-1 지역 벤치마크(참조)'!$E$2:$E$28,'4-1 지역 벤치마크(참조)'!$A$2:$A$28,$I37,'4-1 지역 벤치마크(참조)'!$B$2:$B$28,"D30 리텐션"),"")))</f>
        <v>0.0118</v>
      </c>
      <c r="N37" s="105" t="n">
        <f aca="false">IFERROR($H37*K37,"")</f>
        <v>83.1428571428572</v>
      </c>
      <c r="O37" s="105" t="n">
        <f aca="false">IFERROR($H37*L37,"")</f>
        <v>17.75</v>
      </c>
      <c r="P37" s="105" t="n">
        <f aca="false">IFERROR($H37*M37,"")</f>
        <v>4.21428571428571</v>
      </c>
      <c r="Q37" s="106" t="n">
        <f aca="false">IFERROR(100/$L37*$G37,"")</f>
        <v>5633.80281690141</v>
      </c>
    </row>
    <row r="38" customFormat="false" ht="32.8" hidden="false" customHeight="false" outlineLevel="0" collapsed="false">
      <c r="A38" s="33" t="s">
        <v>1124</v>
      </c>
      <c r="B38" s="86" t="s">
        <v>1125</v>
      </c>
      <c r="C38" s="100" t="n">
        <v>1000</v>
      </c>
      <c r="D38" s="83" t="s">
        <v>1084</v>
      </c>
      <c r="E38" s="101" t="n">
        <f aca="false">IFERROR(INDEX($E$11:$E$27,MATCH($D38,$A$11:$A$27,0)),"")</f>
        <v>0.64</v>
      </c>
      <c r="F38" s="102"/>
      <c r="G38" s="101" t="n">
        <f aca="false">IF($F38&lt;&gt;"",$F38,$E38)</f>
        <v>0.64</v>
      </c>
      <c r="H38" s="103" t="n">
        <f aca="false">IFERROR($C38/$G38,"")</f>
        <v>1562.5</v>
      </c>
      <c r="I38" s="84" t="s">
        <v>629</v>
      </c>
      <c r="J38" s="83" t="s">
        <v>1110</v>
      </c>
      <c r="K38" s="104" t="n">
        <f aca="false">IF($J38="P50",SUMIFS('4-1 지역 벤치마크(참조)'!$C$2:$C$28,'4-1 지역 벤치마크(참조)'!$A$2:$A$28,$I38,'4-1 지역 벤치마크(참조)'!$B$2:$B$28,"D1 리텐션"),IF($J38="P90",SUMIFS('4-1 지역 벤치마크(참조)'!$D$2:$D$28,'4-1 지역 벤치마크(참조)'!$A$2:$A$28,$I38,'4-1 지역 벤치마크(참조)'!$B$2:$B$28,"D1 리텐션"),IF($J38="P99",SUMIFS('4-1 지역 벤치마크(참조)'!$E$2:$E$28,'4-1 지역 벤치마크(참조)'!$A$2:$A$28,$I38,'4-1 지역 벤치마크(참조)'!$B$2:$B$28,"D1 리텐션"),"")))</f>
        <v>0.2328</v>
      </c>
      <c r="L38" s="104" t="n">
        <f aca="false">IF($J38="P50",SUMIFS('4-1 지역 벤치마크(참조)'!$C$2:$C$28,'4-1 지역 벤치마크(참조)'!$A$2:$A$28,$I38,'4-1 지역 벤치마크(참조)'!$B$2:$B$28,"D7 리텐션"),IF($J38="P90",SUMIFS('4-1 지역 벤치마크(참조)'!$D$2:$D$28,'4-1 지역 벤치마크(참조)'!$A$2:$A$28,$I38,'4-1 지역 벤치마크(참조)'!$B$2:$B$28,"D7 리텐션"),IF($J38="P99",SUMIFS('4-1 지역 벤치마크(참조)'!$E$2:$E$28,'4-1 지역 벤치마크(참조)'!$A$2:$A$28,$I38,'4-1 지역 벤치마크(참조)'!$B$2:$B$28,"D7 리텐션"),"")))</f>
        <v>0.0497</v>
      </c>
      <c r="M38" s="104" t="n">
        <f aca="false">IF($J38="P50",SUMIFS('4-1 지역 벤치마크(참조)'!$C$2:$C$28,'4-1 지역 벤치마크(참조)'!$A$2:$A$28,$I38,'4-1 지역 벤치마크(참조)'!$B$2:$B$28,"D30 리텐션"),IF($J38="P90",SUMIFS('4-1 지역 벤치마크(참조)'!$D$2:$D$28,'4-1 지역 벤치마크(참조)'!$A$2:$A$28,$I38,'4-1 지역 벤치마크(참조)'!$B$2:$B$28,"D30 리텐션"),IF($J38="P99",SUMIFS('4-1 지역 벤치마크(참조)'!$E$2:$E$28,'4-1 지역 벤치마크(참조)'!$A$2:$A$28,$I38,'4-1 지역 벤치마크(참조)'!$B$2:$B$28,"D30 리텐션"),"")))</f>
        <v>0.0118</v>
      </c>
      <c r="N38" s="105" t="n">
        <f aca="false">IFERROR($H38*K38,"")</f>
        <v>363.75</v>
      </c>
      <c r="O38" s="105" t="n">
        <f aca="false">IFERROR($H38*L38,"")</f>
        <v>77.65625</v>
      </c>
      <c r="P38" s="105" t="n">
        <f aca="false">IFERROR($H38*M38,"")</f>
        <v>18.4375</v>
      </c>
      <c r="Q38" s="106" t="n">
        <f aca="false">IFERROR(100/$L38*$G38,"")</f>
        <v>1287.72635814889</v>
      </c>
    </row>
    <row r="40" customFormat="false" ht="17.15" hidden="false" customHeight="false" outlineLevel="0" collapsed="false">
      <c r="A40" s="22" t="s">
        <v>1126</v>
      </c>
    </row>
    <row r="41" customFormat="false" ht="17.15" hidden="false" customHeight="false" outlineLevel="0" collapsed="false">
      <c r="A41" s="38" t="s">
        <v>1127</v>
      </c>
    </row>
    <row r="42" customFormat="false" ht="17.15" hidden="false" customHeight="false" outlineLevel="0" collapsed="false">
      <c r="A42" s="22" t="s">
        <v>1128</v>
      </c>
    </row>
    <row r="43" customFormat="false" ht="17.15" hidden="false" customHeight="false" outlineLevel="0" collapsed="false">
      <c r="A43" s="22" t="s">
        <v>1129</v>
      </c>
    </row>
    <row r="44" customFormat="false" ht="17.15" hidden="false" customHeight="false" outlineLevel="0" collapsed="false">
      <c r="A44" s="22" t="s">
        <v>1130</v>
      </c>
    </row>
    <row r="45" customFormat="false" ht="17.15" hidden="false" customHeight="false" outlineLevel="0" collapsed="false">
      <c r="A45" s="22" t="s">
        <v>1131</v>
      </c>
    </row>
    <row r="46" customFormat="false" ht="17.15" hidden="false" customHeight="false" outlineLevel="0" collapsed="false">
      <c r="A46" s="22" t="s">
        <v>1132</v>
      </c>
    </row>
  </sheetData>
  <dataValidations count="3">
    <dataValidation allowBlank="false" errorStyle="stop" operator="between" showDropDown="false" showErrorMessage="false" showInputMessage="false" sqref="D31:D38" type="list">
      <formula1>$A$11:$A$26</formula1>
      <formula2>0</formula2>
    </dataValidation>
    <dataValidation allowBlank="false" errorStyle="stop" operator="between" showDropDown="false" showErrorMessage="false" showInputMessage="false" sqref="I31:I38" type="list">
      <formula1>"북미,중미,남미,아시아"</formula1>
      <formula2>0</formula2>
    </dataValidation>
    <dataValidation allowBlank="false" errorStyle="stop" operator="between" showDropDown="false" showErrorMessage="false" showInputMessage="false" sqref="J31:J38" type="list">
      <formula1>"P50,P90,P99"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60"/>
  </cols>
  <sheetData>
    <row r="1" customFormat="false" ht="19.4" hidden="false" customHeight="false" outlineLevel="0" collapsed="false">
      <c r="A1" s="43" t="s">
        <v>1133</v>
      </c>
    </row>
    <row r="2" customFormat="false" ht="17.15" hidden="false" customHeight="false" outlineLevel="0" collapsed="false">
      <c r="A2" s="22" t="s">
        <v>1134</v>
      </c>
    </row>
    <row r="4" customFormat="false" ht="19.4" hidden="false" customHeight="false" outlineLevel="0" collapsed="false">
      <c r="A4" s="43" t="s">
        <v>1135</v>
      </c>
    </row>
    <row r="5" customFormat="false" ht="17.15" hidden="false" customHeight="false" outlineLevel="0" collapsed="false">
      <c r="A5" s="74" t="s">
        <v>1136</v>
      </c>
      <c r="B5" s="74" t="s">
        <v>1137</v>
      </c>
      <c r="C5" s="74" t="s">
        <v>1138</v>
      </c>
      <c r="D5" s="74" t="s">
        <v>1139</v>
      </c>
      <c r="E5" s="74" t="s">
        <v>1140</v>
      </c>
      <c r="F5" s="74" t="s">
        <v>1141</v>
      </c>
      <c r="G5" s="74" t="s">
        <v>1142</v>
      </c>
      <c r="H5" s="74" t="s">
        <v>1143</v>
      </c>
    </row>
    <row r="6" customFormat="false" ht="48.5" hidden="false" customHeight="false" outlineLevel="0" collapsed="false">
      <c r="A6" s="36" t="s">
        <v>1144</v>
      </c>
      <c r="B6" s="18" t="s">
        <v>1145</v>
      </c>
      <c r="C6" s="37" t="s">
        <v>1146</v>
      </c>
      <c r="D6" s="86" t="s">
        <v>1078</v>
      </c>
      <c r="E6" s="18" t="s">
        <v>1147</v>
      </c>
      <c r="F6" s="18" t="s">
        <v>1148</v>
      </c>
      <c r="G6" s="37" t="s">
        <v>1149</v>
      </c>
      <c r="H6" s="78" t="s">
        <v>1150</v>
      </c>
    </row>
    <row r="7" customFormat="false" ht="48.5" hidden="false" customHeight="false" outlineLevel="0" collapsed="false">
      <c r="A7" s="36" t="s">
        <v>1151</v>
      </c>
      <c r="B7" s="18" t="s">
        <v>1152</v>
      </c>
      <c r="C7" s="86" t="s">
        <v>1153</v>
      </c>
      <c r="D7" s="37" t="s">
        <v>1154</v>
      </c>
      <c r="E7" s="86" t="s">
        <v>1155</v>
      </c>
      <c r="F7" s="18" t="s">
        <v>1156</v>
      </c>
      <c r="G7" s="37" t="s">
        <v>799</v>
      </c>
      <c r="H7" s="78" t="s">
        <v>1157</v>
      </c>
    </row>
    <row r="8" customFormat="false" ht="32.8" hidden="false" customHeight="false" outlineLevel="0" collapsed="false">
      <c r="A8" s="36" t="s">
        <v>1158</v>
      </c>
      <c r="B8" s="18" t="s">
        <v>1159</v>
      </c>
      <c r="C8" s="37" t="s">
        <v>1160</v>
      </c>
      <c r="D8" s="86" t="s">
        <v>1078</v>
      </c>
      <c r="E8" s="17" t="s">
        <v>1161</v>
      </c>
      <c r="F8" s="17" t="s">
        <v>1162</v>
      </c>
      <c r="G8" s="37" t="s">
        <v>799</v>
      </c>
      <c r="H8" s="78" t="s">
        <v>1163</v>
      </c>
    </row>
    <row r="9" customFormat="false" ht="48.5" hidden="false" customHeight="false" outlineLevel="0" collapsed="false">
      <c r="A9" s="36" t="s">
        <v>1164</v>
      </c>
      <c r="B9" s="18" t="s">
        <v>1165</v>
      </c>
      <c r="C9" s="18" t="s">
        <v>1166</v>
      </c>
      <c r="D9" s="17" t="s">
        <v>1047</v>
      </c>
      <c r="E9" s="86" t="s">
        <v>1167</v>
      </c>
      <c r="F9" s="37" t="s">
        <v>1168</v>
      </c>
      <c r="G9" s="37" t="s">
        <v>799</v>
      </c>
      <c r="H9" s="78" t="s">
        <v>1169</v>
      </c>
    </row>
    <row r="10" customFormat="false" ht="64.15" hidden="false" customHeight="false" outlineLevel="0" collapsed="false">
      <c r="A10" s="36" t="s">
        <v>1170</v>
      </c>
      <c r="B10" s="17" t="s">
        <v>1171</v>
      </c>
      <c r="C10" s="37" t="s">
        <v>1172</v>
      </c>
      <c r="D10" s="18" t="s">
        <v>692</v>
      </c>
      <c r="E10" s="37" t="s">
        <v>1173</v>
      </c>
      <c r="F10" s="37" t="s">
        <v>1174</v>
      </c>
      <c r="G10" s="37" t="s">
        <v>1175</v>
      </c>
      <c r="H10" s="78" t="s">
        <v>1176</v>
      </c>
    </row>
    <row r="11" customFormat="false" ht="32.8" hidden="false" customHeight="false" outlineLevel="0" collapsed="false">
      <c r="A11" s="33" t="s">
        <v>1177</v>
      </c>
      <c r="B11" s="18" t="s">
        <v>1178</v>
      </c>
      <c r="C11" s="37" t="s">
        <v>1179</v>
      </c>
      <c r="D11" s="18" t="s">
        <v>692</v>
      </c>
      <c r="E11" s="18" t="s">
        <v>1180</v>
      </c>
      <c r="F11" s="18" t="s">
        <v>1181</v>
      </c>
      <c r="G11" s="37" t="s">
        <v>799</v>
      </c>
      <c r="H11" s="78" t="s">
        <v>1182</v>
      </c>
    </row>
    <row r="12" customFormat="false" ht="48.5" hidden="false" customHeight="false" outlineLevel="0" collapsed="false">
      <c r="A12" s="33" t="s">
        <v>1183</v>
      </c>
      <c r="B12" s="17" t="s">
        <v>1184</v>
      </c>
      <c r="C12" s="37" t="s">
        <v>799</v>
      </c>
      <c r="D12" s="18" t="s">
        <v>692</v>
      </c>
      <c r="E12" s="18" t="s">
        <v>1185</v>
      </c>
      <c r="F12" s="17" t="s">
        <v>1186</v>
      </c>
      <c r="G12" s="37" t="s">
        <v>799</v>
      </c>
      <c r="H12" s="78" t="s">
        <v>1187</v>
      </c>
    </row>
    <row r="14" customFormat="false" ht="19.4" hidden="false" customHeight="false" outlineLevel="0" collapsed="false">
      <c r="A14" s="73" t="s">
        <v>1188</v>
      </c>
    </row>
    <row r="15" customFormat="false" ht="32.8" hidden="false" customHeight="false" outlineLevel="0" collapsed="false">
      <c r="A15" s="74" t="s">
        <v>1136</v>
      </c>
      <c r="B15" s="74" t="s">
        <v>1189</v>
      </c>
      <c r="C15" s="74" t="s">
        <v>1190</v>
      </c>
      <c r="D15" s="74" t="s">
        <v>1191</v>
      </c>
      <c r="E15" s="75" t="s">
        <v>1192</v>
      </c>
      <c r="F15" s="74" t="s">
        <v>1193</v>
      </c>
      <c r="G15" s="74" t="s">
        <v>746</v>
      </c>
      <c r="H15" s="74" t="s">
        <v>1194</v>
      </c>
      <c r="I15" s="74" t="s">
        <v>1195</v>
      </c>
    </row>
    <row r="16" customFormat="false" ht="17.15" hidden="false" customHeight="false" outlineLevel="0" collapsed="false">
      <c r="A16" s="80" t="s">
        <v>1196</v>
      </c>
      <c r="B16" s="76" t="n">
        <v>0.2</v>
      </c>
      <c r="C16" s="76" t="n">
        <v>0.25</v>
      </c>
      <c r="D16" s="76" t="n">
        <v>0.25</v>
      </c>
      <c r="E16" s="76" t="n">
        <v>0.2</v>
      </c>
      <c r="F16" s="76" t="n">
        <v>0.1</v>
      </c>
      <c r="G16" s="81" t="n">
        <f aca="false">SUM(B16:F16)</f>
        <v>1</v>
      </c>
      <c r="H16" s="79"/>
      <c r="I16" s="79" t="s">
        <v>1197</v>
      </c>
    </row>
    <row r="17" customFormat="false" ht="48.5" hidden="false" customHeight="false" outlineLevel="0" collapsed="false">
      <c r="A17" s="36" t="s">
        <v>1198</v>
      </c>
      <c r="B17" s="99" t="n">
        <v>5</v>
      </c>
      <c r="C17" s="99" t="n">
        <v>5</v>
      </c>
      <c r="D17" s="99" t="n">
        <v>5</v>
      </c>
      <c r="E17" s="99" t="n">
        <v>4</v>
      </c>
      <c r="F17" s="99" t="n">
        <v>4</v>
      </c>
      <c r="G17" s="94" t="n">
        <f aca="false">ROUND((B17*$B$16+C17*$C$16+D17*$D$16+E17*$E$16+F17*$F$16)/SUM($B$16:$F$16)/5*100,0)</f>
        <v>94</v>
      </c>
      <c r="H17" s="94" t="n">
        <f aca="false">RANK(G17,$G$17:$G$23,0)</f>
        <v>1</v>
      </c>
      <c r="I17" s="37" t="s">
        <v>1199</v>
      </c>
    </row>
    <row r="18" customFormat="false" ht="32.8" hidden="false" customHeight="false" outlineLevel="0" collapsed="false">
      <c r="A18" s="36" t="s">
        <v>1200</v>
      </c>
      <c r="B18" s="99" t="n">
        <v>4</v>
      </c>
      <c r="C18" s="99" t="n">
        <v>3</v>
      </c>
      <c r="D18" s="99" t="n">
        <v>3</v>
      </c>
      <c r="E18" s="99" t="n">
        <v>3</v>
      </c>
      <c r="F18" s="99" t="n">
        <v>4</v>
      </c>
      <c r="G18" s="94" t="n">
        <f aca="false">ROUND((B18*$B$16+C18*$C$16+D18*$D$16+E18*$E$16+F18*$F$16)/SUM($B$16:$F$16)/5*100,0)</f>
        <v>66</v>
      </c>
      <c r="H18" s="94" t="n">
        <f aca="false">RANK(G18,$G$17:$G$23,0)</f>
        <v>5</v>
      </c>
      <c r="I18" s="37" t="s">
        <v>1201</v>
      </c>
    </row>
    <row r="19" customFormat="false" ht="17.15" hidden="false" customHeight="false" outlineLevel="0" collapsed="false">
      <c r="A19" s="36" t="s">
        <v>1202</v>
      </c>
      <c r="B19" s="99" t="n">
        <v>5</v>
      </c>
      <c r="C19" s="99" t="n">
        <v>3</v>
      </c>
      <c r="D19" s="99" t="n">
        <v>3</v>
      </c>
      <c r="E19" s="99" t="n">
        <v>3</v>
      </c>
      <c r="F19" s="99" t="n">
        <v>4</v>
      </c>
      <c r="G19" s="94" t="n">
        <f aca="false">ROUND((B19*$B$16+C19*$C$16+D19*$D$16+E19*$E$16+F19*$F$16)/SUM($B$16:$F$16)/5*100,0)</f>
        <v>70</v>
      </c>
      <c r="H19" s="94" t="n">
        <f aca="false">RANK(G19,$G$17:$G$23,0)</f>
        <v>4</v>
      </c>
      <c r="I19" s="37" t="s">
        <v>1203</v>
      </c>
    </row>
    <row r="20" customFormat="false" ht="32.8" hidden="false" customHeight="false" outlineLevel="0" collapsed="false">
      <c r="A20" s="36" t="s">
        <v>1164</v>
      </c>
      <c r="B20" s="99" t="n">
        <v>5</v>
      </c>
      <c r="C20" s="99" t="n">
        <v>2</v>
      </c>
      <c r="D20" s="99" t="n">
        <v>3</v>
      </c>
      <c r="E20" s="99" t="n">
        <v>2</v>
      </c>
      <c r="F20" s="99" t="n">
        <v>3</v>
      </c>
      <c r="G20" s="94" t="n">
        <f aca="false">ROUND((B20*$B$16+C20*$C$16+D20*$D$16+E20*$E$16+F20*$F$16)/SUM($B$16:$F$16)/5*100,0)</f>
        <v>59</v>
      </c>
      <c r="H20" s="94" t="n">
        <f aca="false">RANK(G20,$G$17:$G$23,0)</f>
        <v>6</v>
      </c>
      <c r="I20" s="37" t="s">
        <v>1204</v>
      </c>
    </row>
    <row r="21" customFormat="false" ht="32.8" hidden="false" customHeight="false" outlineLevel="0" collapsed="false">
      <c r="A21" s="36" t="s">
        <v>1170</v>
      </c>
      <c r="B21" s="99" t="n">
        <v>3</v>
      </c>
      <c r="C21" s="99" t="n">
        <v>2</v>
      </c>
      <c r="D21" s="99" t="n">
        <v>3</v>
      </c>
      <c r="E21" s="99" t="n">
        <v>2</v>
      </c>
      <c r="F21" s="99" t="n">
        <v>3</v>
      </c>
      <c r="G21" s="94" t="n">
        <f aca="false">ROUND((B21*$B$16+C21*$C$16+D21*$D$16+E21*$E$16+F21*$F$16)/SUM($B$16:$F$16)/5*100,0)</f>
        <v>51</v>
      </c>
      <c r="H21" s="94" t="n">
        <f aca="false">RANK(G21,$G$17:$G$23,0)</f>
        <v>7</v>
      </c>
      <c r="I21" s="37" t="s">
        <v>1205</v>
      </c>
    </row>
    <row r="22" customFormat="false" ht="32.8" hidden="false" customHeight="false" outlineLevel="0" collapsed="false">
      <c r="A22" s="33" t="s">
        <v>1177</v>
      </c>
      <c r="B22" s="99" t="n">
        <v>3</v>
      </c>
      <c r="C22" s="99" t="n">
        <v>5</v>
      </c>
      <c r="D22" s="99" t="n">
        <v>4</v>
      </c>
      <c r="E22" s="99" t="n">
        <v>4</v>
      </c>
      <c r="F22" s="99" t="n">
        <v>4</v>
      </c>
      <c r="G22" s="94" t="n">
        <f aca="false">ROUND((B22*$B$16+C22*$C$16+D22*$D$16+E22*$E$16+F22*$F$16)/SUM($B$16:$F$16)/5*100,0)</f>
        <v>81</v>
      </c>
      <c r="H22" s="94" t="n">
        <f aca="false">RANK(G22,$G$17:$G$23,0)</f>
        <v>2</v>
      </c>
      <c r="I22" s="86" t="s">
        <v>1206</v>
      </c>
    </row>
    <row r="23" customFormat="false" ht="32.8" hidden="false" customHeight="false" outlineLevel="0" collapsed="false">
      <c r="A23" s="33" t="s">
        <v>1207</v>
      </c>
      <c r="B23" s="99" t="n">
        <v>4</v>
      </c>
      <c r="C23" s="99" t="n">
        <v>4</v>
      </c>
      <c r="D23" s="99" t="n">
        <v>4</v>
      </c>
      <c r="E23" s="99" t="n">
        <v>3</v>
      </c>
      <c r="F23" s="99" t="n">
        <v>2</v>
      </c>
      <c r="G23" s="94" t="n">
        <f aca="false">ROUND((B23*$B$16+C23*$C$16+D23*$D$16+E23*$E$16+F23*$F$16)/SUM($B$16:$F$16)/5*100,0)</f>
        <v>72</v>
      </c>
      <c r="H23" s="94" t="n">
        <f aca="false">RANK(G23,$G$17:$G$23,0)</f>
        <v>3</v>
      </c>
      <c r="I23" s="37" t="s">
        <v>1208</v>
      </c>
    </row>
    <row r="25" customFormat="false" ht="17.15" hidden="false" customHeight="false" outlineLevel="0" collapsed="false">
      <c r="A25" s="22" t="s">
        <v>1209</v>
      </c>
    </row>
    <row r="26" customFormat="false" ht="17.15" hidden="false" customHeight="false" outlineLevel="0" collapsed="false">
      <c r="A26" s="22" t="s">
        <v>1210</v>
      </c>
    </row>
    <row r="27" customFormat="false" ht="17.15" hidden="false" customHeight="false" outlineLevel="0" collapsed="false">
      <c r="A27" s="22" t="s">
        <v>1211</v>
      </c>
    </row>
    <row r="28" customFormat="false" ht="17.15" hidden="false" customHeight="false" outlineLevel="0" collapsed="false">
      <c r="A28" s="22" t="s">
        <v>1212</v>
      </c>
    </row>
    <row r="29" customFormat="false" ht="17.15" hidden="false" customHeight="false" outlineLevel="0" collapsed="false">
      <c r="A29" s="22" t="s">
        <v>1213</v>
      </c>
    </row>
    <row r="30" customFormat="false" ht="17.15" hidden="false" customHeight="false" outlineLevel="0" collapsed="false">
      <c r="A30" s="38" t="s">
        <v>1214</v>
      </c>
    </row>
    <row r="31" customFormat="false" ht="17.15" hidden="false" customHeight="false" outlineLevel="0" collapsed="false">
      <c r="A31" s="38" t="s">
        <v>1215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L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48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0"/>
  </cols>
  <sheetData>
    <row r="1" customFormat="false" ht="19.4" hidden="false" customHeight="false" outlineLevel="0" collapsed="false">
      <c r="A1" s="43" t="s">
        <v>1216</v>
      </c>
    </row>
    <row r="2" customFormat="false" ht="17.15" hidden="false" customHeight="false" outlineLevel="0" collapsed="false">
      <c r="A2" s="22" t="s">
        <v>1217</v>
      </c>
    </row>
    <row r="4" customFormat="false" ht="19.4" hidden="false" customHeight="false" outlineLevel="0" collapsed="false">
      <c r="A4" s="43" t="s">
        <v>1218</v>
      </c>
    </row>
    <row r="5" customFormat="false" ht="32.8" hidden="false" customHeight="false" outlineLevel="0" collapsed="false">
      <c r="A5" s="74" t="s">
        <v>152</v>
      </c>
      <c r="B5" s="75" t="s">
        <v>840</v>
      </c>
      <c r="C5" s="74" t="s">
        <v>1219</v>
      </c>
      <c r="D5" s="75" t="s">
        <v>1220</v>
      </c>
      <c r="E5" s="75" t="s">
        <v>1221</v>
      </c>
      <c r="F5" s="74" t="s">
        <v>1222</v>
      </c>
      <c r="G5" s="75" t="s">
        <v>1223</v>
      </c>
      <c r="H5" s="74" t="s">
        <v>6</v>
      </c>
    </row>
    <row r="6" customFormat="false" ht="32.8" hidden="false" customHeight="false" outlineLevel="0" collapsed="false">
      <c r="A6" s="33" t="s">
        <v>189</v>
      </c>
      <c r="B6" s="94" t="str">
        <f aca="false">IFERROR(INDEX('4-6 매출-다운로드 비교(참조)'!$H$6:$H$177,MATCH(A6,'4-6 매출-다운로드 비교(참조)'!$A$6:$A$177,0)),"확인 불가")</f>
        <v>② 매출만 높음</v>
      </c>
      <c r="C6" s="103" t="n">
        <v>1988</v>
      </c>
      <c r="D6" s="94" t="n">
        <v>116</v>
      </c>
      <c r="E6" s="94" t="n">
        <v>25</v>
      </c>
      <c r="F6" s="94" t="n">
        <v>49</v>
      </c>
      <c r="G6" s="86" t="s">
        <v>1224</v>
      </c>
      <c r="H6" s="37" t="s">
        <v>1225</v>
      </c>
    </row>
    <row r="7" customFormat="false" ht="32.8" hidden="false" customHeight="false" outlineLevel="0" collapsed="false">
      <c r="A7" s="33" t="s">
        <v>197</v>
      </c>
      <c r="B7" s="94" t="str">
        <f aca="false">IFERROR(INDEX('4-6 매출-다운로드 비교(참조)'!$H$6:$H$177,MATCH(A7,'4-6 매출-다운로드 비교(참조)'!$A$6:$A$177,0)),"확인 불가")</f>
        <v>① 둘 다 높음</v>
      </c>
      <c r="C7" s="103" t="n">
        <v>1451</v>
      </c>
      <c r="D7" s="94" t="n">
        <v>120</v>
      </c>
      <c r="E7" s="94" t="n">
        <v>25</v>
      </c>
      <c r="F7" s="94" t="n">
        <v>203</v>
      </c>
      <c r="G7" s="86" t="s">
        <v>1226</v>
      </c>
      <c r="H7" s="37" t="s">
        <v>1225</v>
      </c>
    </row>
    <row r="8" customFormat="false" ht="32.8" hidden="false" customHeight="false" outlineLevel="0" collapsed="false">
      <c r="A8" s="33" t="s">
        <v>184</v>
      </c>
      <c r="B8" s="94" t="str">
        <f aca="false">IFERROR(INDEX('4-6 매출-다운로드 비교(참조)'!$H$6:$H$177,MATCH(A8,'4-6 매출-다운로드 비교(참조)'!$A$6:$A$177,0)),"확인 불가")</f>
        <v>③ 다운로드만 높음</v>
      </c>
      <c r="C8" s="103" t="n">
        <v>119</v>
      </c>
      <c r="D8" s="94" t="n">
        <v>119</v>
      </c>
      <c r="E8" s="94" t="n">
        <v>25</v>
      </c>
      <c r="F8" s="94" t="n">
        <v>68</v>
      </c>
      <c r="G8" s="86" t="s">
        <v>1227</v>
      </c>
      <c r="H8" s="37" t="s">
        <v>1225</v>
      </c>
    </row>
    <row r="10" customFormat="false" ht="19.4" hidden="false" customHeight="false" outlineLevel="0" collapsed="false">
      <c r="A10" s="43" t="s">
        <v>1228</v>
      </c>
    </row>
    <row r="11" customFormat="false" ht="17.15" hidden="false" customHeight="false" outlineLevel="0" collapsed="false">
      <c r="A11" s="74" t="s">
        <v>1229</v>
      </c>
      <c r="B11" s="74" t="s">
        <v>1230</v>
      </c>
      <c r="C11" s="75" t="s">
        <v>189</v>
      </c>
      <c r="D11" s="75" t="s">
        <v>197</v>
      </c>
      <c r="E11" s="75" t="s">
        <v>184</v>
      </c>
      <c r="F11" s="74" t="s">
        <v>1231</v>
      </c>
      <c r="G11" s="74" t="s">
        <v>1232</v>
      </c>
    </row>
    <row r="12" customFormat="false" ht="48.5" hidden="false" customHeight="false" outlineLevel="0" collapsed="false">
      <c r="A12" s="18" t="s">
        <v>1233</v>
      </c>
      <c r="B12" s="37" t="s">
        <v>1234</v>
      </c>
      <c r="C12" s="17" t="n">
        <v>24</v>
      </c>
      <c r="D12" s="17" t="n">
        <v>21</v>
      </c>
      <c r="E12" s="17" t="n">
        <v>8</v>
      </c>
      <c r="F12" s="17" t="n">
        <f aca="false">SUM(C12:E12)</f>
        <v>53</v>
      </c>
      <c r="G12" s="107" t="n">
        <f aca="false">F12/$F$16</f>
        <v>0.706666666666667</v>
      </c>
    </row>
    <row r="13" customFormat="false" ht="32.8" hidden="false" customHeight="false" outlineLevel="0" collapsed="false">
      <c r="A13" s="18" t="s">
        <v>1235</v>
      </c>
      <c r="B13" s="37" t="s">
        <v>1236</v>
      </c>
      <c r="C13" s="17" t="n">
        <v>0</v>
      </c>
      <c r="D13" s="17" t="n">
        <v>4</v>
      </c>
      <c r="E13" s="17" t="n">
        <v>14</v>
      </c>
      <c r="F13" s="17" t="n">
        <f aca="false">SUM(C13:E13)</f>
        <v>18</v>
      </c>
      <c r="G13" s="107" t="n">
        <f aca="false">F13/$F$16</f>
        <v>0.24</v>
      </c>
    </row>
    <row r="14" customFormat="false" ht="32.8" hidden="false" customHeight="false" outlineLevel="0" collapsed="false">
      <c r="A14" s="18" t="s">
        <v>1237</v>
      </c>
      <c r="B14" s="37" t="s">
        <v>1238</v>
      </c>
      <c r="C14" s="17" t="n">
        <v>1</v>
      </c>
      <c r="D14" s="17" t="n">
        <v>0</v>
      </c>
      <c r="E14" s="17" t="n">
        <v>2</v>
      </c>
      <c r="F14" s="17" t="n">
        <f aca="false">SUM(C14:E14)</f>
        <v>3</v>
      </c>
      <c r="G14" s="107" t="n">
        <f aca="false">F14/$F$16</f>
        <v>0.04</v>
      </c>
    </row>
    <row r="15" customFormat="false" ht="32.8" hidden="false" customHeight="false" outlineLevel="0" collapsed="false">
      <c r="A15" s="18" t="s">
        <v>1239</v>
      </c>
      <c r="B15" s="37" t="s">
        <v>1240</v>
      </c>
      <c r="C15" s="17" t="n">
        <v>0</v>
      </c>
      <c r="D15" s="17" t="n">
        <v>0</v>
      </c>
      <c r="E15" s="17" t="n">
        <v>1</v>
      </c>
      <c r="F15" s="17" t="n">
        <f aca="false">SUM(C15:E15)</f>
        <v>1</v>
      </c>
      <c r="G15" s="107" t="n">
        <f aca="false">F15/$F$16</f>
        <v>0.0133333333333333</v>
      </c>
    </row>
    <row r="16" customFormat="false" ht="15" hidden="false" customHeight="false" outlineLevel="0" collapsed="false">
      <c r="A16" s="80" t="s">
        <v>736</v>
      </c>
      <c r="B16" s="80"/>
      <c r="C16" s="80" t="n">
        <f aca="false">SUM(C12:C15)</f>
        <v>25</v>
      </c>
      <c r="D16" s="80" t="n">
        <f aca="false">SUM(D12:D15)</f>
        <v>25</v>
      </c>
      <c r="E16" s="80" t="n">
        <f aca="false">SUM(E12:E15)</f>
        <v>25</v>
      </c>
      <c r="F16" s="80" t="n">
        <f aca="false">SUM(F12:F15)</f>
        <v>75</v>
      </c>
      <c r="G16" s="108" t="n">
        <f aca="false">SUM(G12:G15)</f>
        <v>1</v>
      </c>
    </row>
    <row r="18" customFormat="false" ht="19.4" hidden="false" customHeight="false" outlineLevel="0" collapsed="false">
      <c r="A18" s="43" t="s">
        <v>1241</v>
      </c>
    </row>
    <row r="19" customFormat="false" ht="17.15" hidden="false" customHeight="false" outlineLevel="0" collapsed="false">
      <c r="A19" s="74" t="s">
        <v>1242</v>
      </c>
      <c r="B19" s="74" t="s">
        <v>1230</v>
      </c>
      <c r="C19" s="75" t="s">
        <v>189</v>
      </c>
      <c r="D19" s="75" t="s">
        <v>197</v>
      </c>
      <c r="E19" s="75" t="s">
        <v>184</v>
      </c>
      <c r="F19" s="74" t="s">
        <v>1231</v>
      </c>
      <c r="G19" s="74" t="s">
        <v>1232</v>
      </c>
    </row>
    <row r="20" customFormat="false" ht="32.8" hidden="false" customHeight="false" outlineLevel="0" collapsed="false">
      <c r="A20" s="18" t="s">
        <v>1243</v>
      </c>
      <c r="B20" s="37" t="s">
        <v>1244</v>
      </c>
      <c r="C20" s="17" t="n">
        <v>20</v>
      </c>
      <c r="D20" s="17" t="n">
        <v>19</v>
      </c>
      <c r="E20" s="17" t="n">
        <v>5</v>
      </c>
      <c r="F20" s="17" t="n">
        <f aca="false">SUM(C20:E20)</f>
        <v>44</v>
      </c>
      <c r="G20" s="107" t="n">
        <f aca="false">F20/$F$26</f>
        <v>0.586666666666667</v>
      </c>
    </row>
    <row r="21" customFormat="false" ht="17.15" hidden="false" customHeight="false" outlineLevel="0" collapsed="false">
      <c r="A21" s="18" t="s">
        <v>1245</v>
      </c>
      <c r="B21" s="37" t="s">
        <v>1246</v>
      </c>
      <c r="C21" s="17" t="n">
        <v>0</v>
      </c>
      <c r="D21" s="17" t="n">
        <v>0</v>
      </c>
      <c r="E21" s="17" t="n">
        <v>13</v>
      </c>
      <c r="F21" s="17" t="n">
        <f aca="false">SUM(C21:E21)</f>
        <v>13</v>
      </c>
      <c r="G21" s="107" t="n">
        <f aca="false">F21/$F$26</f>
        <v>0.173333333333333</v>
      </c>
    </row>
    <row r="22" customFormat="false" ht="32.8" hidden="false" customHeight="false" outlineLevel="0" collapsed="false">
      <c r="A22" s="18" t="s">
        <v>1247</v>
      </c>
      <c r="B22" s="37" t="s">
        <v>1248</v>
      </c>
      <c r="C22" s="17" t="n">
        <v>1</v>
      </c>
      <c r="D22" s="17" t="n">
        <v>0</v>
      </c>
      <c r="E22" s="17" t="n">
        <v>4</v>
      </c>
      <c r="F22" s="17" t="n">
        <f aca="false">SUM(C22:E22)</f>
        <v>5</v>
      </c>
      <c r="G22" s="107" t="n">
        <f aca="false">F22/$F$26</f>
        <v>0.0666666666666667</v>
      </c>
    </row>
    <row r="23" customFormat="false" ht="17.15" hidden="false" customHeight="false" outlineLevel="0" collapsed="false">
      <c r="A23" s="18" t="s">
        <v>1249</v>
      </c>
      <c r="B23" s="37" t="s">
        <v>1250</v>
      </c>
      <c r="C23" s="17" t="n">
        <v>0</v>
      </c>
      <c r="D23" s="17" t="n">
        <v>6</v>
      </c>
      <c r="E23" s="17" t="n">
        <v>2</v>
      </c>
      <c r="F23" s="17" t="n">
        <f aca="false">SUM(C23:E23)</f>
        <v>8</v>
      </c>
      <c r="G23" s="107" t="n">
        <f aca="false">F23/$F$26</f>
        <v>0.106666666666667</v>
      </c>
    </row>
    <row r="24" customFormat="false" ht="17.15" hidden="false" customHeight="false" outlineLevel="0" collapsed="false">
      <c r="A24" s="18" t="s">
        <v>1251</v>
      </c>
      <c r="B24" s="37" t="s">
        <v>1252</v>
      </c>
      <c r="C24" s="17" t="n">
        <v>3</v>
      </c>
      <c r="D24" s="17" t="n">
        <v>0</v>
      </c>
      <c r="E24" s="17" t="n">
        <v>1</v>
      </c>
      <c r="F24" s="17" t="n">
        <f aca="false">SUM(C24:E24)</f>
        <v>4</v>
      </c>
      <c r="G24" s="107" t="n">
        <f aca="false">F24/$F$26</f>
        <v>0.0533333333333333</v>
      </c>
    </row>
    <row r="25" customFormat="false" ht="17.15" hidden="false" customHeight="false" outlineLevel="0" collapsed="false">
      <c r="A25" s="18" t="s">
        <v>1253</v>
      </c>
      <c r="B25" s="37" t="s">
        <v>1254</v>
      </c>
      <c r="C25" s="17" t="n">
        <v>1</v>
      </c>
      <c r="D25" s="17" t="n">
        <v>0</v>
      </c>
      <c r="E25" s="17" t="n">
        <v>0</v>
      </c>
      <c r="F25" s="17" t="n">
        <f aca="false">SUM(C25:E25)</f>
        <v>1</v>
      </c>
      <c r="G25" s="107" t="n">
        <f aca="false">F25/$F$26</f>
        <v>0.0133333333333333</v>
      </c>
    </row>
    <row r="26" customFormat="false" ht="15" hidden="false" customHeight="false" outlineLevel="0" collapsed="false">
      <c r="A26" s="80" t="s">
        <v>736</v>
      </c>
      <c r="B26" s="80"/>
      <c r="C26" s="80" t="n">
        <f aca="false">SUM(C20:C25)</f>
        <v>25</v>
      </c>
      <c r="D26" s="80" t="n">
        <f aca="false">SUM(D20:D25)</f>
        <v>25</v>
      </c>
      <c r="E26" s="80" t="n">
        <f aca="false">SUM(E20:E25)</f>
        <v>25</v>
      </c>
      <c r="F26" s="80" t="n">
        <f aca="false">SUM(F20:F25)</f>
        <v>75</v>
      </c>
      <c r="G26" s="108" t="n">
        <f aca="false">SUM(G20:G25)</f>
        <v>1</v>
      </c>
    </row>
    <row r="28" customFormat="false" ht="19.4" hidden="false" customHeight="false" outlineLevel="0" collapsed="false">
      <c r="A28" s="43" t="s">
        <v>1255</v>
      </c>
    </row>
    <row r="29" customFormat="false" ht="32.8" hidden="false" customHeight="false" outlineLevel="0" collapsed="false">
      <c r="A29" s="74" t="s">
        <v>152</v>
      </c>
      <c r="B29" s="75" t="s">
        <v>1256</v>
      </c>
      <c r="C29" s="74" t="s">
        <v>1257</v>
      </c>
      <c r="D29" s="74" t="s">
        <v>1258</v>
      </c>
      <c r="E29" s="74" t="s">
        <v>1259</v>
      </c>
      <c r="F29" s="74" t="s">
        <v>1260</v>
      </c>
      <c r="G29" s="74" t="s">
        <v>1261</v>
      </c>
      <c r="H29" s="74" t="s">
        <v>1262</v>
      </c>
      <c r="J29" s="74" t="s">
        <v>1263</v>
      </c>
      <c r="K29" s="75" t="s">
        <v>1264</v>
      </c>
      <c r="L29" s="74" t="s">
        <v>1232</v>
      </c>
    </row>
    <row r="30" customFormat="false" ht="15" hidden="false" customHeight="false" outlineLevel="0" collapsed="false">
      <c r="A30" s="78" t="s">
        <v>189</v>
      </c>
      <c r="B30" s="109" t="s">
        <v>1265</v>
      </c>
      <c r="C30" s="49" t="n">
        <v>50</v>
      </c>
      <c r="D30" s="78" t="s">
        <v>1233</v>
      </c>
      <c r="E30" s="78" t="s">
        <v>1243</v>
      </c>
      <c r="F30" s="78" t="s">
        <v>1266</v>
      </c>
      <c r="G30" s="78" t="s">
        <v>1267</v>
      </c>
      <c r="H30" s="78" t="s">
        <v>1268</v>
      </c>
      <c r="J30" s="78" t="s">
        <v>1233</v>
      </c>
      <c r="K30" s="79" t="n">
        <f aca="false">COUNTIF($D$30:$D$59,J30)</f>
        <v>19</v>
      </c>
      <c r="L30" s="81" t="n">
        <f aca="false">K30/COUNTA($D$30:$D$59)</f>
        <v>0.633333333333333</v>
      </c>
    </row>
    <row r="31" customFormat="false" ht="15" hidden="false" customHeight="false" outlineLevel="0" collapsed="false">
      <c r="A31" s="78" t="s">
        <v>189</v>
      </c>
      <c r="B31" s="109" t="s">
        <v>1269</v>
      </c>
      <c r="C31" s="49" t="n">
        <v>50</v>
      </c>
      <c r="D31" s="78" t="s">
        <v>1233</v>
      </c>
      <c r="E31" s="78" t="s">
        <v>1243</v>
      </c>
      <c r="F31" s="78" t="s">
        <v>1266</v>
      </c>
      <c r="G31" s="78" t="s">
        <v>1267</v>
      </c>
      <c r="H31" s="78" t="s">
        <v>1268</v>
      </c>
      <c r="J31" s="78" t="s">
        <v>1235</v>
      </c>
      <c r="K31" s="79" t="n">
        <f aca="false">COUNTIF($D$30:$D$59,J31)</f>
        <v>9</v>
      </c>
      <c r="L31" s="81" t="n">
        <f aca="false">K31/COUNTA($D$30:$D$59)</f>
        <v>0.3</v>
      </c>
    </row>
    <row r="32" customFormat="false" ht="15" hidden="false" customHeight="false" outlineLevel="0" collapsed="false">
      <c r="A32" s="78" t="s">
        <v>189</v>
      </c>
      <c r="B32" s="109" t="s">
        <v>1270</v>
      </c>
      <c r="C32" s="49" t="n">
        <v>50</v>
      </c>
      <c r="D32" s="78" t="s">
        <v>1233</v>
      </c>
      <c r="E32" s="78" t="s">
        <v>1253</v>
      </c>
      <c r="F32" s="78" t="s">
        <v>1271</v>
      </c>
      <c r="G32" s="78" t="s">
        <v>1267</v>
      </c>
      <c r="H32" s="78" t="s">
        <v>1272</v>
      </c>
      <c r="J32" s="78" t="s">
        <v>1237</v>
      </c>
      <c r="K32" s="79" t="n">
        <f aca="false">COUNTIF($D$30:$D$59,J32)</f>
        <v>2</v>
      </c>
      <c r="L32" s="81" t="n">
        <f aca="false">K32/COUNTA($D$30:$D$59)</f>
        <v>0.0666666666666667</v>
      </c>
    </row>
    <row r="33" customFormat="false" ht="15" hidden="false" customHeight="false" outlineLevel="0" collapsed="false">
      <c r="A33" s="78" t="s">
        <v>189</v>
      </c>
      <c r="B33" s="109" t="s">
        <v>1273</v>
      </c>
      <c r="C33" s="49" t="n">
        <v>50</v>
      </c>
      <c r="D33" s="78" t="s">
        <v>1237</v>
      </c>
      <c r="E33" s="78" t="s">
        <v>1251</v>
      </c>
      <c r="F33" s="78" t="s">
        <v>1266</v>
      </c>
      <c r="G33" s="78" t="s">
        <v>1267</v>
      </c>
      <c r="H33" s="78" t="s">
        <v>1268</v>
      </c>
      <c r="J33" s="78" t="s">
        <v>1239</v>
      </c>
      <c r="K33" s="79" t="n">
        <f aca="false">COUNTIF($D$30:$D$59,J33)</f>
        <v>0</v>
      </c>
      <c r="L33" s="81" t="n">
        <f aca="false">K33/COUNTA($D$30:$D$59)</f>
        <v>0</v>
      </c>
    </row>
    <row r="34" customFormat="false" ht="15" hidden="false" customHeight="false" outlineLevel="0" collapsed="false">
      <c r="A34" s="78" t="s">
        <v>189</v>
      </c>
      <c r="B34" s="109" t="s">
        <v>1274</v>
      </c>
      <c r="C34" s="49" t="n">
        <v>50</v>
      </c>
      <c r="D34" s="78" t="s">
        <v>1233</v>
      </c>
      <c r="E34" s="78" t="s">
        <v>1243</v>
      </c>
      <c r="F34" s="78" t="s">
        <v>1266</v>
      </c>
      <c r="G34" s="78" t="s">
        <v>1267</v>
      </c>
      <c r="H34" s="78" t="s">
        <v>1275</v>
      </c>
    </row>
    <row r="35" customFormat="false" ht="15" hidden="false" customHeight="false" outlineLevel="0" collapsed="false">
      <c r="A35" s="78" t="s">
        <v>189</v>
      </c>
      <c r="B35" s="109" t="s">
        <v>1276</v>
      </c>
      <c r="C35" s="49" t="n">
        <v>50</v>
      </c>
      <c r="D35" s="78" t="s">
        <v>1233</v>
      </c>
      <c r="E35" s="78" t="s">
        <v>1243</v>
      </c>
      <c r="F35" s="78" t="s">
        <v>1266</v>
      </c>
      <c r="G35" s="78" t="s">
        <v>1267</v>
      </c>
      <c r="H35" s="78" t="s">
        <v>1268</v>
      </c>
    </row>
    <row r="36" customFormat="false" ht="15" hidden="false" customHeight="false" outlineLevel="0" collapsed="false">
      <c r="A36" s="78" t="s">
        <v>189</v>
      </c>
      <c r="B36" s="109" t="s">
        <v>1277</v>
      </c>
      <c r="C36" s="49" t="n">
        <v>50</v>
      </c>
      <c r="D36" s="78" t="s">
        <v>1233</v>
      </c>
      <c r="E36" s="78" t="s">
        <v>1243</v>
      </c>
      <c r="F36" s="78" t="s">
        <v>1266</v>
      </c>
      <c r="G36" s="78" t="s">
        <v>1267</v>
      </c>
      <c r="H36" s="78" t="s">
        <v>1275</v>
      </c>
    </row>
    <row r="37" customFormat="false" ht="15" hidden="false" customHeight="false" outlineLevel="0" collapsed="false">
      <c r="A37" s="78" t="s">
        <v>189</v>
      </c>
      <c r="B37" s="109" t="s">
        <v>1278</v>
      </c>
      <c r="C37" s="49" t="n">
        <v>50</v>
      </c>
      <c r="D37" s="78" t="s">
        <v>1233</v>
      </c>
      <c r="E37" s="78" t="s">
        <v>1247</v>
      </c>
      <c r="F37" s="78" t="s">
        <v>1271</v>
      </c>
      <c r="G37" s="78" t="s">
        <v>1267</v>
      </c>
      <c r="H37" s="78" t="s">
        <v>1272</v>
      </c>
    </row>
    <row r="38" customFormat="false" ht="15" hidden="false" customHeight="false" outlineLevel="0" collapsed="false">
      <c r="A38" s="78" t="s">
        <v>189</v>
      </c>
      <c r="B38" s="109" t="s">
        <v>1279</v>
      </c>
      <c r="C38" s="49" t="n">
        <v>50</v>
      </c>
      <c r="D38" s="78" t="s">
        <v>1233</v>
      </c>
      <c r="E38" s="78" t="s">
        <v>1243</v>
      </c>
      <c r="F38" s="78" t="s">
        <v>1266</v>
      </c>
      <c r="G38" s="78" t="s">
        <v>1267</v>
      </c>
      <c r="H38" s="78" t="s">
        <v>1268</v>
      </c>
    </row>
    <row r="39" customFormat="false" ht="15" hidden="false" customHeight="false" outlineLevel="0" collapsed="false">
      <c r="A39" s="78" t="s">
        <v>189</v>
      </c>
      <c r="B39" s="109" t="s">
        <v>1280</v>
      </c>
      <c r="C39" s="49" t="n">
        <v>50</v>
      </c>
      <c r="D39" s="78" t="s">
        <v>1233</v>
      </c>
      <c r="E39" s="78" t="s">
        <v>1243</v>
      </c>
      <c r="F39" s="78" t="s">
        <v>1266</v>
      </c>
      <c r="G39" s="78" t="s">
        <v>1267</v>
      </c>
      <c r="H39" s="78" t="s">
        <v>1268</v>
      </c>
    </row>
    <row r="40" customFormat="false" ht="15" hidden="false" customHeight="false" outlineLevel="0" collapsed="false">
      <c r="A40" s="78" t="s">
        <v>197</v>
      </c>
      <c r="B40" s="109" t="s">
        <v>1281</v>
      </c>
      <c r="C40" s="49" t="n">
        <v>204</v>
      </c>
      <c r="D40" s="78" t="s">
        <v>1235</v>
      </c>
      <c r="E40" s="78" t="s">
        <v>1243</v>
      </c>
      <c r="F40" s="78" t="s">
        <v>1266</v>
      </c>
      <c r="G40" s="78" t="s">
        <v>1267</v>
      </c>
      <c r="H40" s="78" t="s">
        <v>1282</v>
      </c>
    </row>
    <row r="41" customFormat="false" ht="15" hidden="false" customHeight="false" outlineLevel="0" collapsed="false">
      <c r="A41" s="78" t="s">
        <v>197</v>
      </c>
      <c r="B41" s="109" t="s">
        <v>1283</v>
      </c>
      <c r="C41" s="49" t="n">
        <v>204</v>
      </c>
      <c r="D41" s="78" t="s">
        <v>1233</v>
      </c>
      <c r="E41" s="78" t="s">
        <v>1243</v>
      </c>
      <c r="F41" s="78" t="s">
        <v>1266</v>
      </c>
      <c r="G41" s="78" t="s">
        <v>1284</v>
      </c>
      <c r="H41" s="78" t="s">
        <v>1285</v>
      </c>
    </row>
    <row r="42" customFormat="false" ht="15" hidden="false" customHeight="false" outlineLevel="0" collapsed="false">
      <c r="A42" s="78" t="s">
        <v>197</v>
      </c>
      <c r="B42" s="109" t="s">
        <v>1286</v>
      </c>
      <c r="C42" s="49" t="n">
        <v>177</v>
      </c>
      <c r="D42" s="78" t="s">
        <v>1233</v>
      </c>
      <c r="E42" s="78" t="s">
        <v>1243</v>
      </c>
      <c r="F42" s="78" t="s">
        <v>1266</v>
      </c>
      <c r="G42" s="78" t="s">
        <v>1284</v>
      </c>
      <c r="H42" s="78" t="s">
        <v>1285</v>
      </c>
    </row>
    <row r="43" customFormat="false" ht="15" hidden="false" customHeight="false" outlineLevel="0" collapsed="false">
      <c r="A43" s="78" t="s">
        <v>197</v>
      </c>
      <c r="B43" s="109" t="s">
        <v>1287</v>
      </c>
      <c r="C43" s="49" t="n">
        <v>131</v>
      </c>
      <c r="D43" s="78" t="s">
        <v>1233</v>
      </c>
      <c r="E43" s="78" t="s">
        <v>1243</v>
      </c>
      <c r="F43" s="78" t="s">
        <v>1266</v>
      </c>
      <c r="G43" s="78" t="s">
        <v>1267</v>
      </c>
      <c r="H43" s="78" t="s">
        <v>1288</v>
      </c>
    </row>
    <row r="44" customFormat="false" ht="15" hidden="false" customHeight="false" outlineLevel="0" collapsed="false">
      <c r="A44" s="78" t="s">
        <v>197</v>
      </c>
      <c r="B44" s="109" t="s">
        <v>1289</v>
      </c>
      <c r="C44" s="49" t="n">
        <v>131</v>
      </c>
      <c r="D44" s="78" t="s">
        <v>1233</v>
      </c>
      <c r="E44" s="78" t="s">
        <v>1243</v>
      </c>
      <c r="F44" s="78" t="s">
        <v>1266</v>
      </c>
      <c r="G44" s="78" t="s">
        <v>1290</v>
      </c>
      <c r="H44" s="78" t="s">
        <v>1291</v>
      </c>
    </row>
    <row r="45" customFormat="false" ht="15" hidden="false" customHeight="false" outlineLevel="0" collapsed="false">
      <c r="A45" s="78" t="s">
        <v>197</v>
      </c>
      <c r="B45" s="109" t="s">
        <v>1292</v>
      </c>
      <c r="C45" s="49" t="n">
        <v>128</v>
      </c>
      <c r="D45" s="78" t="s">
        <v>1233</v>
      </c>
      <c r="E45" s="78" t="s">
        <v>1243</v>
      </c>
      <c r="F45" s="78" t="s">
        <v>1266</v>
      </c>
      <c r="G45" s="78" t="s">
        <v>1290</v>
      </c>
      <c r="H45" s="78" t="s">
        <v>1291</v>
      </c>
    </row>
    <row r="46" customFormat="false" ht="15" hidden="false" customHeight="false" outlineLevel="0" collapsed="false">
      <c r="A46" s="78" t="s">
        <v>197</v>
      </c>
      <c r="B46" s="109" t="s">
        <v>1293</v>
      </c>
      <c r="C46" s="49" t="n">
        <v>128</v>
      </c>
      <c r="D46" s="78" t="s">
        <v>1233</v>
      </c>
      <c r="E46" s="78" t="s">
        <v>1243</v>
      </c>
      <c r="F46" s="78" t="s">
        <v>1266</v>
      </c>
      <c r="G46" s="78" t="s">
        <v>1267</v>
      </c>
      <c r="H46" s="78" t="s">
        <v>1294</v>
      </c>
    </row>
    <row r="47" customFormat="false" ht="15" hidden="false" customHeight="false" outlineLevel="0" collapsed="false">
      <c r="A47" s="78" t="s">
        <v>197</v>
      </c>
      <c r="B47" s="109" t="s">
        <v>1295</v>
      </c>
      <c r="C47" s="49" t="n">
        <v>127</v>
      </c>
      <c r="D47" s="78" t="s">
        <v>1233</v>
      </c>
      <c r="E47" s="78" t="s">
        <v>1243</v>
      </c>
      <c r="F47" s="78" t="s">
        <v>1266</v>
      </c>
      <c r="G47" s="78" t="s">
        <v>1290</v>
      </c>
      <c r="H47" s="78" t="s">
        <v>1296</v>
      </c>
    </row>
    <row r="48" customFormat="false" ht="15" hidden="false" customHeight="false" outlineLevel="0" collapsed="false">
      <c r="A48" s="78" t="s">
        <v>197</v>
      </c>
      <c r="B48" s="109" t="s">
        <v>1297</v>
      </c>
      <c r="C48" s="49" t="n">
        <v>127</v>
      </c>
      <c r="D48" s="78" t="s">
        <v>1235</v>
      </c>
      <c r="E48" s="78" t="s">
        <v>1243</v>
      </c>
      <c r="F48" s="78" t="s">
        <v>1266</v>
      </c>
      <c r="G48" s="78" t="s">
        <v>1267</v>
      </c>
      <c r="H48" s="78" t="s">
        <v>1294</v>
      </c>
    </row>
    <row r="49" customFormat="false" ht="15" hidden="false" customHeight="false" outlineLevel="0" collapsed="false">
      <c r="A49" s="78" t="s">
        <v>197</v>
      </c>
      <c r="B49" s="109" t="s">
        <v>1298</v>
      </c>
      <c r="C49" s="49" t="n">
        <v>126</v>
      </c>
      <c r="D49" s="78" t="s">
        <v>1233</v>
      </c>
      <c r="E49" s="78" t="s">
        <v>1243</v>
      </c>
      <c r="F49" s="78" t="s">
        <v>1266</v>
      </c>
      <c r="G49" s="78" t="s">
        <v>1290</v>
      </c>
      <c r="H49" s="78" t="s">
        <v>1299</v>
      </c>
    </row>
    <row r="50" customFormat="false" ht="15" hidden="false" customHeight="false" outlineLevel="0" collapsed="false">
      <c r="A50" s="78" t="s">
        <v>184</v>
      </c>
      <c r="B50" s="109" t="s">
        <v>1300</v>
      </c>
      <c r="C50" s="49" t="n">
        <v>69</v>
      </c>
      <c r="D50" s="78" t="s">
        <v>1235</v>
      </c>
      <c r="E50" s="78" t="s">
        <v>1243</v>
      </c>
      <c r="F50" s="78" t="s">
        <v>1271</v>
      </c>
      <c r="G50" s="78" t="s">
        <v>1267</v>
      </c>
      <c r="H50" s="78" t="s">
        <v>1301</v>
      </c>
    </row>
    <row r="51" customFormat="false" ht="15" hidden="false" customHeight="false" outlineLevel="0" collapsed="false">
      <c r="A51" s="78" t="s">
        <v>184</v>
      </c>
      <c r="B51" s="109" t="s">
        <v>1302</v>
      </c>
      <c r="C51" s="49" t="n">
        <v>69</v>
      </c>
      <c r="D51" s="78" t="s">
        <v>1235</v>
      </c>
      <c r="E51" s="78" t="s">
        <v>1243</v>
      </c>
      <c r="F51" s="78" t="s">
        <v>1271</v>
      </c>
      <c r="G51" s="78" t="s">
        <v>1267</v>
      </c>
      <c r="H51" s="78" t="s">
        <v>1301</v>
      </c>
    </row>
    <row r="52" customFormat="false" ht="17.15" hidden="false" customHeight="false" outlineLevel="0" collapsed="false">
      <c r="A52" s="78" t="s">
        <v>184</v>
      </c>
      <c r="B52" s="109" t="s">
        <v>1303</v>
      </c>
      <c r="C52" s="49" t="n">
        <v>69</v>
      </c>
      <c r="D52" s="78" t="s">
        <v>1233</v>
      </c>
      <c r="E52" s="78" t="s">
        <v>1247</v>
      </c>
      <c r="F52" s="78" t="s">
        <v>1266</v>
      </c>
      <c r="G52" s="78" t="s">
        <v>1267</v>
      </c>
      <c r="H52" s="78" t="s">
        <v>1304</v>
      </c>
    </row>
    <row r="53" customFormat="false" ht="15" hidden="false" customHeight="false" outlineLevel="0" collapsed="false">
      <c r="A53" s="78" t="s">
        <v>184</v>
      </c>
      <c r="B53" s="109" t="s">
        <v>1305</v>
      </c>
      <c r="C53" s="49" t="n">
        <v>69</v>
      </c>
      <c r="D53" s="78" t="s">
        <v>1235</v>
      </c>
      <c r="E53" s="78" t="s">
        <v>1243</v>
      </c>
      <c r="F53" s="78" t="s">
        <v>1271</v>
      </c>
      <c r="G53" s="78" t="s">
        <v>1267</v>
      </c>
      <c r="H53" s="78" t="s">
        <v>1306</v>
      </c>
    </row>
    <row r="54" customFormat="false" ht="17.15" hidden="false" customHeight="false" outlineLevel="0" collapsed="false">
      <c r="A54" s="78" t="s">
        <v>184</v>
      </c>
      <c r="B54" s="109" t="s">
        <v>1307</v>
      </c>
      <c r="C54" s="49" t="n">
        <v>69</v>
      </c>
      <c r="D54" s="78" t="s">
        <v>1237</v>
      </c>
      <c r="E54" s="78" t="s">
        <v>1245</v>
      </c>
      <c r="F54" s="78" t="s">
        <v>1266</v>
      </c>
      <c r="G54" s="78" t="s">
        <v>1267</v>
      </c>
      <c r="H54" s="78" t="s">
        <v>1304</v>
      </c>
    </row>
    <row r="55" customFormat="false" ht="17.15" hidden="false" customHeight="false" outlineLevel="0" collapsed="false">
      <c r="A55" s="78" t="s">
        <v>184</v>
      </c>
      <c r="B55" s="109" t="s">
        <v>1308</v>
      </c>
      <c r="C55" s="49" t="n">
        <v>69</v>
      </c>
      <c r="D55" s="78" t="s">
        <v>1233</v>
      </c>
      <c r="E55" s="78" t="s">
        <v>1247</v>
      </c>
      <c r="F55" s="78" t="s">
        <v>1271</v>
      </c>
      <c r="G55" s="78" t="s">
        <v>1267</v>
      </c>
      <c r="H55" s="78" t="s">
        <v>1304</v>
      </c>
    </row>
    <row r="56" customFormat="false" ht="17.15" hidden="false" customHeight="false" outlineLevel="0" collapsed="false">
      <c r="A56" s="78" t="s">
        <v>184</v>
      </c>
      <c r="B56" s="109" t="s">
        <v>1309</v>
      </c>
      <c r="C56" s="49" t="n">
        <v>69</v>
      </c>
      <c r="D56" s="78" t="s">
        <v>1235</v>
      </c>
      <c r="E56" s="78" t="s">
        <v>1245</v>
      </c>
      <c r="F56" s="78" t="s">
        <v>1271</v>
      </c>
      <c r="G56" s="78" t="s">
        <v>1267</v>
      </c>
      <c r="H56" s="78" t="s">
        <v>1304</v>
      </c>
    </row>
    <row r="57" customFormat="false" ht="17.15" hidden="false" customHeight="false" outlineLevel="0" collapsed="false">
      <c r="A57" s="78" t="s">
        <v>184</v>
      </c>
      <c r="B57" s="109" t="s">
        <v>1310</v>
      </c>
      <c r="C57" s="49" t="n">
        <v>69</v>
      </c>
      <c r="D57" s="78" t="s">
        <v>1235</v>
      </c>
      <c r="E57" s="78" t="s">
        <v>1247</v>
      </c>
      <c r="F57" s="78" t="s">
        <v>1271</v>
      </c>
      <c r="G57" s="78" t="s">
        <v>1267</v>
      </c>
      <c r="H57" s="78" t="s">
        <v>1304</v>
      </c>
    </row>
    <row r="58" customFormat="false" ht="15" hidden="false" customHeight="false" outlineLevel="0" collapsed="false">
      <c r="A58" s="78" t="s">
        <v>184</v>
      </c>
      <c r="B58" s="109" t="s">
        <v>1311</v>
      </c>
      <c r="C58" s="49" t="n">
        <v>55</v>
      </c>
      <c r="D58" s="78" t="s">
        <v>1235</v>
      </c>
      <c r="E58" s="78" t="s">
        <v>1249</v>
      </c>
      <c r="F58" s="78" t="s">
        <v>1271</v>
      </c>
      <c r="G58" s="78" t="s">
        <v>1267</v>
      </c>
      <c r="H58" s="78" t="s">
        <v>1312</v>
      </c>
    </row>
    <row r="59" customFormat="false" ht="15" hidden="false" customHeight="false" outlineLevel="0" collapsed="false">
      <c r="A59" s="78" t="s">
        <v>184</v>
      </c>
      <c r="B59" s="109" t="s">
        <v>1313</v>
      </c>
      <c r="C59" s="49" t="n">
        <v>55</v>
      </c>
      <c r="D59" s="78" t="s">
        <v>1235</v>
      </c>
      <c r="E59" s="78" t="s">
        <v>1249</v>
      </c>
      <c r="F59" s="78" t="s">
        <v>1271</v>
      </c>
      <c r="G59" s="78" t="s">
        <v>1267</v>
      </c>
      <c r="H59" s="78" t="s">
        <v>1312</v>
      </c>
    </row>
    <row r="61" customFormat="false" ht="19.4" hidden="false" customHeight="false" outlineLevel="0" collapsed="false">
      <c r="A61" s="43" t="s">
        <v>1314</v>
      </c>
    </row>
    <row r="62" customFormat="false" ht="32.8" hidden="false" customHeight="false" outlineLevel="0" collapsed="false">
      <c r="A62" s="74" t="s">
        <v>152</v>
      </c>
      <c r="B62" s="75" t="s">
        <v>1256</v>
      </c>
      <c r="C62" s="74" t="s">
        <v>1315</v>
      </c>
      <c r="D62" s="74" t="s">
        <v>1316</v>
      </c>
      <c r="E62" s="74" t="s">
        <v>1317</v>
      </c>
      <c r="F62" s="74" t="s">
        <v>1318</v>
      </c>
      <c r="H62" s="74" t="s">
        <v>1319</v>
      </c>
      <c r="I62" s="75" t="s">
        <v>189</v>
      </c>
      <c r="J62" s="75" t="s">
        <v>197</v>
      </c>
      <c r="K62" s="75" t="s">
        <v>184</v>
      </c>
      <c r="L62" s="74" t="s">
        <v>736</v>
      </c>
    </row>
    <row r="63" customFormat="false" ht="17.15" hidden="false" customHeight="false" outlineLevel="0" collapsed="false">
      <c r="A63" s="18" t="s">
        <v>189</v>
      </c>
      <c r="B63" s="110" t="s">
        <v>1265</v>
      </c>
      <c r="C63" s="37" t="s">
        <v>1320</v>
      </c>
      <c r="D63" s="37" t="s">
        <v>1321</v>
      </c>
      <c r="E63" s="37" t="s">
        <v>1322</v>
      </c>
      <c r="F63" s="17"/>
      <c r="H63" s="79" t="s">
        <v>1320</v>
      </c>
      <c r="I63" s="79" t="n">
        <f aca="false">COUNTIFS($A$63:$A$92,I$62,$C$63:$C$92,$H63)</f>
        <v>6</v>
      </c>
      <c r="J63" s="79" t="n">
        <f aca="false">COUNTIFS($A$63:$A$92,J$62,$C$63:$C$92,$H63)</f>
        <v>0</v>
      </c>
      <c r="K63" s="79" t="n">
        <f aca="false">COUNTIFS($A$63:$A$92,K$62,$C$63:$C$92,$H63)</f>
        <v>0</v>
      </c>
      <c r="L63" s="79" t="n">
        <f aca="false">SUM(I63:K63)</f>
        <v>6</v>
      </c>
    </row>
    <row r="64" customFormat="false" ht="32.8" hidden="false" customHeight="false" outlineLevel="0" collapsed="false">
      <c r="A64" s="18" t="s">
        <v>189</v>
      </c>
      <c r="B64" s="110" t="s">
        <v>1269</v>
      </c>
      <c r="C64" s="37" t="s">
        <v>1320</v>
      </c>
      <c r="D64" s="37" t="s">
        <v>1321</v>
      </c>
      <c r="E64" s="37" t="s">
        <v>1323</v>
      </c>
      <c r="F64" s="17"/>
      <c r="H64" s="79" t="s">
        <v>1324</v>
      </c>
      <c r="I64" s="79" t="n">
        <f aca="false">COUNTIFS($A$63:$A$92,I$62,$C$63:$C$92,$H64)</f>
        <v>1</v>
      </c>
      <c r="J64" s="79" t="n">
        <f aca="false">COUNTIFS($A$63:$A$92,J$62,$C$63:$C$92,$H64)</f>
        <v>0</v>
      </c>
      <c r="K64" s="79" t="n">
        <f aca="false">COUNTIFS($A$63:$A$92,K$62,$C$63:$C$92,$H64)</f>
        <v>0</v>
      </c>
      <c r="L64" s="79" t="n">
        <f aca="false">SUM(I64:K64)</f>
        <v>1</v>
      </c>
    </row>
    <row r="65" customFormat="false" ht="17.15" hidden="false" customHeight="false" outlineLevel="0" collapsed="false">
      <c r="A65" s="18" t="s">
        <v>189</v>
      </c>
      <c r="B65" s="110" t="s">
        <v>1270</v>
      </c>
      <c r="C65" s="37" t="s">
        <v>1325</v>
      </c>
      <c r="D65" s="37" t="s">
        <v>1326</v>
      </c>
      <c r="E65" s="37" t="s">
        <v>1327</v>
      </c>
      <c r="F65" s="17"/>
      <c r="H65" s="79" t="s">
        <v>1325</v>
      </c>
      <c r="I65" s="79" t="n">
        <f aca="false">COUNTIFS($A$63:$A$92,I$62,$C$63:$C$92,$H65)</f>
        <v>2</v>
      </c>
      <c r="J65" s="79" t="n">
        <f aca="false">COUNTIFS($A$63:$A$92,J$62,$C$63:$C$92,$H65)</f>
        <v>0</v>
      </c>
      <c r="K65" s="79" t="n">
        <f aca="false">COUNTIFS($A$63:$A$92,K$62,$C$63:$C$92,$H65)</f>
        <v>0</v>
      </c>
      <c r="L65" s="79" t="n">
        <f aca="false">SUM(I65:K65)</f>
        <v>2</v>
      </c>
    </row>
    <row r="66" customFormat="false" ht="32.8" hidden="false" customHeight="false" outlineLevel="0" collapsed="false">
      <c r="A66" s="18" t="s">
        <v>189</v>
      </c>
      <c r="B66" s="110" t="s">
        <v>1273</v>
      </c>
      <c r="C66" s="37" t="s">
        <v>1320</v>
      </c>
      <c r="D66" s="37" t="s">
        <v>1321</v>
      </c>
      <c r="E66" s="37" t="s">
        <v>1328</v>
      </c>
      <c r="F66" s="17"/>
      <c r="H66" s="79" t="s">
        <v>1329</v>
      </c>
      <c r="I66" s="79" t="n">
        <f aca="false">COUNTIFS($A$63:$A$92,I$62,$C$63:$C$92,$H66)</f>
        <v>0</v>
      </c>
      <c r="J66" s="79" t="n">
        <f aca="false">COUNTIFS($A$63:$A$92,J$62,$C$63:$C$92,$H66)</f>
        <v>0</v>
      </c>
      <c r="K66" s="79" t="n">
        <f aca="false">COUNTIFS($A$63:$A$92,K$62,$C$63:$C$92,$H66)</f>
        <v>7</v>
      </c>
      <c r="L66" s="79" t="n">
        <f aca="false">SUM(I66:K66)</f>
        <v>7</v>
      </c>
    </row>
    <row r="67" customFormat="false" ht="32.8" hidden="false" customHeight="false" outlineLevel="0" collapsed="false">
      <c r="A67" s="18" t="s">
        <v>189</v>
      </c>
      <c r="B67" s="110" t="s">
        <v>1274</v>
      </c>
      <c r="C67" s="37" t="s">
        <v>1320</v>
      </c>
      <c r="D67" s="37" t="s">
        <v>1321</v>
      </c>
      <c r="E67" s="37" t="s">
        <v>1330</v>
      </c>
      <c r="F67" s="17"/>
      <c r="H67" s="79" t="s">
        <v>1331</v>
      </c>
      <c r="I67" s="79" t="n">
        <f aca="false">COUNTIFS($A$63:$A$92,I$62,$C$63:$C$92,$H67)</f>
        <v>0</v>
      </c>
      <c r="J67" s="79" t="n">
        <f aca="false">COUNTIFS($A$63:$A$92,J$62,$C$63:$C$92,$H67)</f>
        <v>0</v>
      </c>
      <c r="K67" s="79" t="n">
        <f aca="false">COUNTIFS($A$63:$A$92,K$62,$C$63:$C$92,$H67)</f>
        <v>2</v>
      </c>
      <c r="L67" s="79" t="n">
        <f aca="false">SUM(I67:K67)</f>
        <v>2</v>
      </c>
    </row>
    <row r="68" customFormat="false" ht="17.15" hidden="false" customHeight="false" outlineLevel="0" collapsed="false">
      <c r="A68" s="18" t="s">
        <v>189</v>
      </c>
      <c r="B68" s="110" t="s">
        <v>1276</v>
      </c>
      <c r="C68" s="37" t="s">
        <v>1324</v>
      </c>
      <c r="D68" s="37" t="s">
        <v>1332</v>
      </c>
      <c r="E68" s="37" t="s">
        <v>1333</v>
      </c>
      <c r="F68" s="17"/>
      <c r="H68" s="78" t="s">
        <v>1334</v>
      </c>
      <c r="I68" s="79" t="n">
        <f aca="false">COUNTIFS($A$63:$A$92,I$62,$C$63:$C$92,$H68)</f>
        <v>1</v>
      </c>
      <c r="J68" s="79" t="n">
        <f aca="false">COUNTIFS($A$63:$A$92,J$62,$C$63:$C$92,$H68)</f>
        <v>0</v>
      </c>
      <c r="K68" s="79" t="n">
        <f aca="false">COUNTIFS($A$63:$A$92,K$62,$C$63:$C$92,$H68)</f>
        <v>1</v>
      </c>
      <c r="L68" s="79" t="n">
        <f aca="false">SUM(I68:K68)</f>
        <v>2</v>
      </c>
    </row>
    <row r="69" customFormat="false" ht="32.8" hidden="false" customHeight="false" outlineLevel="0" collapsed="false">
      <c r="A69" s="18" t="s">
        <v>189</v>
      </c>
      <c r="B69" s="110" t="s">
        <v>1277</v>
      </c>
      <c r="C69" s="37" t="s">
        <v>1320</v>
      </c>
      <c r="D69" s="37" t="s">
        <v>1321</v>
      </c>
      <c r="E69" s="37" t="s">
        <v>1335</v>
      </c>
      <c r="F69" s="17"/>
      <c r="H69" s="78" t="s">
        <v>1336</v>
      </c>
      <c r="I69" s="79" t="n">
        <f aca="false">COUNTIFS($A$63:$A$92,I$62,$C$63:$C$92,$H69)</f>
        <v>0</v>
      </c>
      <c r="J69" s="79" t="n">
        <f aca="false">COUNTIFS($A$63:$A$92,J$62,$C$63:$C$92,$H69)</f>
        <v>9</v>
      </c>
      <c r="K69" s="79" t="n">
        <f aca="false">COUNTIFS($A$63:$A$92,K$62,$C$63:$C$92,$H69)</f>
        <v>0</v>
      </c>
      <c r="L69" s="79" t="n">
        <f aca="false">SUM(I69:K69)</f>
        <v>9</v>
      </c>
    </row>
    <row r="70" customFormat="false" ht="17.15" hidden="false" customHeight="false" outlineLevel="0" collapsed="false">
      <c r="A70" s="18" t="s">
        <v>189</v>
      </c>
      <c r="B70" s="110" t="s">
        <v>1278</v>
      </c>
      <c r="C70" s="37" t="s">
        <v>1325</v>
      </c>
      <c r="D70" s="37" t="s">
        <v>1326</v>
      </c>
      <c r="E70" s="37" t="s">
        <v>1337</v>
      </c>
      <c r="F70" s="17"/>
      <c r="H70" s="79" t="s">
        <v>1338</v>
      </c>
      <c r="I70" s="79" t="n">
        <f aca="false">COUNTIFS($A$63:$A$92,I$62,$C$63:$C$92,$H70)</f>
        <v>0</v>
      </c>
      <c r="J70" s="79" t="n">
        <f aca="false">COUNTIFS($A$63:$A$92,J$62,$C$63:$C$92,$H70)</f>
        <v>1</v>
      </c>
      <c r="K70" s="79" t="n">
        <f aca="false">COUNTIFS($A$63:$A$92,K$62,$C$63:$C$92,$H70)</f>
        <v>0</v>
      </c>
      <c r="L70" s="79" t="n">
        <f aca="false">SUM(I70:K70)</f>
        <v>1</v>
      </c>
    </row>
    <row r="71" customFormat="false" ht="17.15" hidden="false" customHeight="false" outlineLevel="0" collapsed="false">
      <c r="A71" s="18" t="s">
        <v>189</v>
      </c>
      <c r="B71" s="110" t="s">
        <v>1279</v>
      </c>
      <c r="C71" s="37" t="s">
        <v>1320</v>
      </c>
      <c r="D71" s="37" t="s">
        <v>1321</v>
      </c>
      <c r="E71" s="37" t="s">
        <v>1339</v>
      </c>
      <c r="F71" s="17"/>
      <c r="H71" s="80" t="s">
        <v>736</v>
      </c>
      <c r="I71" s="80" t="n">
        <f aca="false">SUM(I63:I70)</f>
        <v>10</v>
      </c>
      <c r="J71" s="80" t="n">
        <f aca="false">SUM(J63:J70)</f>
        <v>10</v>
      </c>
      <c r="K71" s="80" t="n">
        <f aca="false">SUM(K63:K70)</f>
        <v>10</v>
      </c>
      <c r="L71" s="80" t="n">
        <f aca="false">SUM(L63:L70)</f>
        <v>30</v>
      </c>
    </row>
    <row r="72" customFormat="false" ht="17.15" hidden="false" customHeight="false" outlineLevel="0" collapsed="false">
      <c r="A72" s="18" t="s">
        <v>189</v>
      </c>
      <c r="B72" s="110" t="s">
        <v>1280</v>
      </c>
      <c r="C72" s="86" t="s">
        <v>1334</v>
      </c>
      <c r="D72" s="37" t="s">
        <v>1326</v>
      </c>
      <c r="E72" s="37" t="s">
        <v>1340</v>
      </c>
      <c r="F72" s="17"/>
    </row>
    <row r="73" customFormat="false" ht="32.8" hidden="false" customHeight="false" outlineLevel="0" collapsed="false">
      <c r="A73" s="18" t="s">
        <v>197</v>
      </c>
      <c r="B73" s="110" t="s">
        <v>1281</v>
      </c>
      <c r="C73" s="37" t="s">
        <v>1338</v>
      </c>
      <c r="D73" s="37" t="s">
        <v>1326</v>
      </c>
      <c r="E73" s="37" t="s">
        <v>1341</v>
      </c>
      <c r="F73" s="17"/>
      <c r="H73" s="74" t="s">
        <v>1342</v>
      </c>
      <c r="I73" s="75" t="s">
        <v>189</v>
      </c>
      <c r="J73" s="75" t="s">
        <v>197</v>
      </c>
      <c r="K73" s="75" t="s">
        <v>184</v>
      </c>
      <c r="L73" s="74" t="s">
        <v>736</v>
      </c>
    </row>
    <row r="74" customFormat="false" ht="32.8" hidden="false" customHeight="false" outlineLevel="0" collapsed="false">
      <c r="A74" s="18" t="s">
        <v>197</v>
      </c>
      <c r="B74" s="110" t="s">
        <v>1283</v>
      </c>
      <c r="C74" s="86" t="s">
        <v>1336</v>
      </c>
      <c r="D74" s="37" t="s">
        <v>1326</v>
      </c>
      <c r="E74" s="37" t="s">
        <v>1343</v>
      </c>
      <c r="F74" s="18" t="s">
        <v>1344</v>
      </c>
      <c r="H74" s="79" t="s">
        <v>1321</v>
      </c>
      <c r="I74" s="79" t="n">
        <f aca="false">COUNTIFS($A$63:$A$92,I$73,$D$63:$D$92,$H74)</f>
        <v>6</v>
      </c>
      <c r="J74" s="79" t="n">
        <f aca="false">COUNTIFS($A$63:$A$92,J$73,$D$63:$D$92,$H74)</f>
        <v>0</v>
      </c>
      <c r="K74" s="79" t="n">
        <f aca="false">COUNTIFS($A$63:$A$92,K$73,$D$63:$D$92,$H74)</f>
        <v>0</v>
      </c>
      <c r="L74" s="79" t="n">
        <f aca="false">SUM(I74:K74)</f>
        <v>6</v>
      </c>
    </row>
    <row r="75" customFormat="false" ht="17.15" hidden="false" customHeight="false" outlineLevel="0" collapsed="false">
      <c r="A75" s="18" t="s">
        <v>197</v>
      </c>
      <c r="B75" s="110" t="s">
        <v>1286</v>
      </c>
      <c r="C75" s="86" t="s">
        <v>1336</v>
      </c>
      <c r="D75" s="37" t="s">
        <v>1326</v>
      </c>
      <c r="E75" s="86" t="s">
        <v>1345</v>
      </c>
      <c r="F75" s="18" t="s">
        <v>1344</v>
      </c>
      <c r="H75" s="79" t="s">
        <v>1332</v>
      </c>
      <c r="I75" s="79" t="n">
        <f aca="false">COUNTIFS($A$63:$A$92,I$73,$D$63:$D$92,$H75)</f>
        <v>1</v>
      </c>
      <c r="J75" s="79" t="n">
        <f aca="false">COUNTIFS($A$63:$A$92,J$73,$D$63:$D$92,$H75)</f>
        <v>0</v>
      </c>
      <c r="K75" s="79" t="n">
        <f aca="false">COUNTIFS($A$63:$A$92,K$73,$D$63:$D$92,$H75)</f>
        <v>0</v>
      </c>
      <c r="L75" s="79" t="n">
        <f aca="false">SUM(I75:K75)</f>
        <v>1</v>
      </c>
    </row>
    <row r="76" customFormat="false" ht="17.15" hidden="false" customHeight="false" outlineLevel="0" collapsed="false">
      <c r="A76" s="18" t="s">
        <v>197</v>
      </c>
      <c r="B76" s="110" t="s">
        <v>1287</v>
      </c>
      <c r="C76" s="86" t="s">
        <v>1336</v>
      </c>
      <c r="D76" s="37" t="s">
        <v>1326</v>
      </c>
      <c r="E76" s="37" t="s">
        <v>1346</v>
      </c>
      <c r="F76" s="18" t="s">
        <v>1347</v>
      </c>
      <c r="H76" s="79" t="s">
        <v>1348</v>
      </c>
      <c r="I76" s="79" t="n">
        <f aca="false">COUNTIFS($A$63:$A$92,I$73,$D$63:$D$92,$H76)</f>
        <v>0</v>
      </c>
      <c r="J76" s="79" t="n">
        <f aca="false">COUNTIFS($A$63:$A$92,J$73,$D$63:$D$92,$H76)</f>
        <v>0</v>
      </c>
      <c r="K76" s="79" t="n">
        <f aca="false">COUNTIFS($A$63:$A$92,K$73,$D$63:$D$92,$H76)</f>
        <v>0</v>
      </c>
      <c r="L76" s="79" t="n">
        <f aca="false">SUM(I76:K76)</f>
        <v>0</v>
      </c>
    </row>
    <row r="77" customFormat="false" ht="17.15" hidden="false" customHeight="false" outlineLevel="0" collapsed="false">
      <c r="A77" s="18" t="s">
        <v>197</v>
      </c>
      <c r="B77" s="110" t="s">
        <v>1289</v>
      </c>
      <c r="C77" s="86" t="s">
        <v>1336</v>
      </c>
      <c r="D77" s="37" t="s">
        <v>1326</v>
      </c>
      <c r="E77" s="86" t="s">
        <v>1349</v>
      </c>
      <c r="F77" s="18" t="s">
        <v>1347</v>
      </c>
      <c r="H77" s="79" t="s">
        <v>1326</v>
      </c>
      <c r="I77" s="79" t="n">
        <f aca="false">COUNTIFS($A$63:$A$92,I$73,$D$63:$D$92,$H77)</f>
        <v>3</v>
      </c>
      <c r="J77" s="79" t="n">
        <f aca="false">COUNTIFS($A$63:$A$92,J$73,$D$63:$D$92,$H77)</f>
        <v>10</v>
      </c>
      <c r="K77" s="79" t="n">
        <f aca="false">COUNTIFS($A$63:$A$92,K$73,$D$63:$D$92,$H77)</f>
        <v>10</v>
      </c>
      <c r="L77" s="79" t="n">
        <f aca="false">SUM(I77:K77)</f>
        <v>23</v>
      </c>
    </row>
    <row r="78" customFormat="false" ht="17.15" hidden="false" customHeight="false" outlineLevel="0" collapsed="false">
      <c r="A78" s="18" t="s">
        <v>197</v>
      </c>
      <c r="B78" s="110" t="s">
        <v>1292</v>
      </c>
      <c r="C78" s="86" t="s">
        <v>1336</v>
      </c>
      <c r="D78" s="37" t="s">
        <v>1326</v>
      </c>
      <c r="E78" s="86" t="s">
        <v>1349</v>
      </c>
      <c r="F78" s="18" t="s">
        <v>1347</v>
      </c>
    </row>
    <row r="79" customFormat="false" ht="17.15" hidden="false" customHeight="false" outlineLevel="0" collapsed="false">
      <c r="A79" s="18" t="s">
        <v>197</v>
      </c>
      <c r="B79" s="110" t="s">
        <v>1293</v>
      </c>
      <c r="C79" s="86" t="s">
        <v>1336</v>
      </c>
      <c r="D79" s="37" t="s">
        <v>1326</v>
      </c>
      <c r="E79" s="37" t="s">
        <v>1350</v>
      </c>
      <c r="F79" s="17"/>
      <c r="H79" s="22" t="s">
        <v>1351</v>
      </c>
    </row>
    <row r="80" customFormat="false" ht="17.15" hidden="false" customHeight="false" outlineLevel="0" collapsed="false">
      <c r="A80" s="18" t="s">
        <v>197</v>
      </c>
      <c r="B80" s="110" t="s">
        <v>1295</v>
      </c>
      <c r="C80" s="86" t="s">
        <v>1336</v>
      </c>
      <c r="D80" s="37" t="s">
        <v>1326</v>
      </c>
      <c r="E80" s="37" t="s">
        <v>1352</v>
      </c>
      <c r="F80" s="17"/>
    </row>
    <row r="81" customFormat="false" ht="17.15" hidden="false" customHeight="false" outlineLevel="0" collapsed="false">
      <c r="A81" s="18" t="s">
        <v>197</v>
      </c>
      <c r="B81" s="110" t="s">
        <v>1297</v>
      </c>
      <c r="C81" s="86" t="s">
        <v>1336</v>
      </c>
      <c r="D81" s="37" t="s">
        <v>1326</v>
      </c>
      <c r="E81" s="37" t="s">
        <v>1353</v>
      </c>
      <c r="F81" s="17"/>
    </row>
    <row r="82" customFormat="false" ht="17.15" hidden="false" customHeight="false" outlineLevel="0" collapsed="false">
      <c r="A82" s="18" t="s">
        <v>197</v>
      </c>
      <c r="B82" s="110" t="s">
        <v>1298</v>
      </c>
      <c r="C82" s="86" t="s">
        <v>1336</v>
      </c>
      <c r="D82" s="37" t="s">
        <v>1326</v>
      </c>
      <c r="E82" s="37" t="s">
        <v>1354</v>
      </c>
      <c r="F82" s="17"/>
    </row>
    <row r="83" customFormat="false" ht="17.15" hidden="false" customHeight="false" outlineLevel="0" collapsed="false">
      <c r="A83" s="18" t="s">
        <v>184</v>
      </c>
      <c r="B83" s="110" t="s">
        <v>1300</v>
      </c>
      <c r="C83" s="37" t="s">
        <v>1329</v>
      </c>
      <c r="D83" s="37" t="s">
        <v>1326</v>
      </c>
      <c r="E83" s="37" t="s">
        <v>1355</v>
      </c>
      <c r="F83" s="17"/>
    </row>
    <row r="84" customFormat="false" ht="17.15" hidden="false" customHeight="false" outlineLevel="0" collapsed="false">
      <c r="A84" s="18" t="s">
        <v>184</v>
      </c>
      <c r="B84" s="110" t="s">
        <v>1302</v>
      </c>
      <c r="C84" s="37" t="s">
        <v>1329</v>
      </c>
      <c r="D84" s="37" t="s">
        <v>1326</v>
      </c>
      <c r="E84" s="37" t="s">
        <v>1356</v>
      </c>
      <c r="F84" s="17"/>
    </row>
    <row r="85" customFormat="false" ht="17.15" hidden="false" customHeight="false" outlineLevel="0" collapsed="false">
      <c r="A85" s="18" t="s">
        <v>184</v>
      </c>
      <c r="B85" s="110" t="s">
        <v>1303</v>
      </c>
      <c r="C85" s="37" t="s">
        <v>1329</v>
      </c>
      <c r="D85" s="37" t="s">
        <v>1326</v>
      </c>
      <c r="E85" s="37" t="s">
        <v>1357</v>
      </c>
      <c r="F85" s="17"/>
    </row>
    <row r="86" customFormat="false" ht="17.15" hidden="false" customHeight="false" outlineLevel="0" collapsed="false">
      <c r="A86" s="18" t="s">
        <v>184</v>
      </c>
      <c r="B86" s="110" t="s">
        <v>1305</v>
      </c>
      <c r="C86" s="86" t="s">
        <v>1334</v>
      </c>
      <c r="D86" s="37" t="s">
        <v>1326</v>
      </c>
      <c r="E86" s="37" t="s">
        <v>1358</v>
      </c>
      <c r="F86" s="17"/>
    </row>
    <row r="87" customFormat="false" ht="17.15" hidden="false" customHeight="false" outlineLevel="0" collapsed="false">
      <c r="A87" s="18" t="s">
        <v>184</v>
      </c>
      <c r="B87" s="110" t="s">
        <v>1307</v>
      </c>
      <c r="C87" s="37" t="s">
        <v>1329</v>
      </c>
      <c r="D87" s="37" t="s">
        <v>1326</v>
      </c>
      <c r="E87" s="37" t="s">
        <v>1359</v>
      </c>
      <c r="F87" s="17"/>
    </row>
    <row r="88" customFormat="false" ht="17.15" hidden="false" customHeight="false" outlineLevel="0" collapsed="false">
      <c r="A88" s="18" t="s">
        <v>184</v>
      </c>
      <c r="B88" s="110" t="s">
        <v>1308</v>
      </c>
      <c r="C88" s="37" t="s">
        <v>1329</v>
      </c>
      <c r="D88" s="37" t="s">
        <v>1326</v>
      </c>
      <c r="E88" s="37" t="s">
        <v>1360</v>
      </c>
      <c r="F88" s="17"/>
    </row>
    <row r="89" customFormat="false" ht="17.15" hidden="false" customHeight="false" outlineLevel="0" collapsed="false">
      <c r="A89" s="18" t="s">
        <v>184</v>
      </c>
      <c r="B89" s="110" t="s">
        <v>1309</v>
      </c>
      <c r="C89" s="37" t="s">
        <v>1329</v>
      </c>
      <c r="D89" s="37" t="s">
        <v>1326</v>
      </c>
      <c r="E89" s="37" t="s">
        <v>1361</v>
      </c>
      <c r="F89" s="17"/>
    </row>
    <row r="90" customFormat="false" ht="17.15" hidden="false" customHeight="false" outlineLevel="0" collapsed="false">
      <c r="A90" s="18" t="s">
        <v>184</v>
      </c>
      <c r="B90" s="110" t="s">
        <v>1310</v>
      </c>
      <c r="C90" s="37" t="s">
        <v>1329</v>
      </c>
      <c r="D90" s="37" t="s">
        <v>1326</v>
      </c>
      <c r="E90" s="37" t="s">
        <v>1362</v>
      </c>
      <c r="F90" s="17"/>
    </row>
    <row r="91" customFormat="false" ht="32.8" hidden="false" customHeight="false" outlineLevel="0" collapsed="false">
      <c r="A91" s="18" t="s">
        <v>184</v>
      </c>
      <c r="B91" s="110" t="s">
        <v>1311</v>
      </c>
      <c r="C91" s="37" t="s">
        <v>1331</v>
      </c>
      <c r="D91" s="37" t="s">
        <v>1326</v>
      </c>
      <c r="E91" s="37" t="s">
        <v>1363</v>
      </c>
      <c r="F91" s="18" t="s">
        <v>1364</v>
      </c>
    </row>
    <row r="92" customFormat="false" ht="17.15" hidden="false" customHeight="false" outlineLevel="0" collapsed="false">
      <c r="A92" s="18" t="s">
        <v>184</v>
      </c>
      <c r="B92" s="110" t="s">
        <v>1313</v>
      </c>
      <c r="C92" s="37" t="s">
        <v>1331</v>
      </c>
      <c r="D92" s="37" t="s">
        <v>1326</v>
      </c>
      <c r="E92" s="86" t="s">
        <v>1365</v>
      </c>
      <c r="F92" s="18" t="s">
        <v>1364</v>
      </c>
    </row>
    <row r="94" customFormat="false" ht="19.4" hidden="false" customHeight="false" outlineLevel="0" collapsed="false">
      <c r="A94" s="43" t="s">
        <v>1366</v>
      </c>
    </row>
    <row r="95" customFormat="false" ht="17.15" hidden="false" customHeight="false" outlineLevel="0" collapsed="false">
      <c r="A95" s="111" t="s">
        <v>1367</v>
      </c>
    </row>
    <row r="96" customFormat="false" ht="17.15" hidden="false" customHeight="false" outlineLevel="0" collapsed="false">
      <c r="A96" s="111" t="s">
        <v>1368</v>
      </c>
    </row>
    <row r="97" customFormat="false" ht="17.15" hidden="false" customHeight="false" outlineLevel="0" collapsed="false">
      <c r="A97" s="111" t="s">
        <v>1369</v>
      </c>
    </row>
    <row r="98" customFormat="false" ht="17.15" hidden="false" customHeight="false" outlineLevel="0" collapsed="false">
      <c r="A98" s="112" t="s">
        <v>1370</v>
      </c>
    </row>
    <row r="99" customFormat="false" ht="17.15" hidden="false" customHeight="false" outlineLevel="0" collapsed="false">
      <c r="A99" s="22" t="s">
        <v>1371</v>
      </c>
    </row>
    <row r="100" customFormat="false" ht="17.15" hidden="false" customHeight="false" outlineLevel="0" collapsed="false">
      <c r="A100" s="38" t="s">
        <v>1372</v>
      </c>
    </row>
    <row r="101" customFormat="false" ht="17.15" hidden="false" customHeight="false" outlineLevel="0" collapsed="false">
      <c r="A101" s="22" t="s">
        <v>1373</v>
      </c>
    </row>
    <row r="102" customFormat="false" ht="17.15" hidden="false" customHeight="false" outlineLevel="0" collapsed="false">
      <c r="A102" s="22" t="s">
        <v>1374</v>
      </c>
    </row>
    <row r="103" customFormat="false" ht="17.15" hidden="false" customHeight="false" outlineLevel="0" collapsed="false">
      <c r="A103" s="22" t="s">
        <v>1375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34"/>
    <col collapsed="false" customWidth="true" hidden="false" outlineLevel="0" max="14" min="14" style="0" width="44"/>
  </cols>
  <sheetData>
    <row r="1" customFormat="false" ht="19.4" hidden="false" customHeight="false" outlineLevel="0" collapsed="false">
      <c r="A1" s="43" t="s">
        <v>1376</v>
      </c>
    </row>
    <row r="2" customFormat="false" ht="17.15" hidden="false" customHeight="false" outlineLevel="0" collapsed="false">
      <c r="A2" s="22" t="s">
        <v>1377</v>
      </c>
    </row>
    <row r="4" customFormat="false" ht="17.15" hidden="false" customHeight="false" outlineLevel="0" collapsed="false">
      <c r="A4" s="113" t="s">
        <v>1378</v>
      </c>
      <c r="B4" s="83" t="s">
        <v>184</v>
      </c>
      <c r="C4" s="95" t="str">
        <f aca="false">IFERROR("세부 장르: "&amp;INDEX('2-4 2인 개발 MVP 판단'!$C$79:$C$250,MATCH(B4,'2-4 2인 개발 MVP 판단'!$A$79:$A$250,0))&amp;" · 2인 점수: "&amp;INDEX('2-4 2인 개발 MVP 판단'!$H$79:$H$250,MATCH(B4,'2-4 2인 개발 MVP 판단'!$A$79:$A$250,0))&amp;" · 판정: "&amp;INDEX('2-4 2인 개발 MVP 판단'!$I$79:$I$250,MATCH(B4,'2-4 2인 개발 MVP 판단'!$A$79:$A$250,0)),"2-4 목록에 없는 게임")</f>
        <v>세부 장르: 정렬·잼 · 2인 점수: 92 · 판정: 2인 가능</v>
      </c>
      <c r="D4" s="79" t="s">
        <v>1379</v>
      </c>
    </row>
    <row r="6" customFormat="false" ht="19.4" hidden="false" customHeight="false" outlineLevel="0" collapsed="false">
      <c r="A6" s="43" t="s">
        <v>1380</v>
      </c>
    </row>
    <row r="7" customFormat="false" ht="32.8" hidden="false" customHeight="false" outlineLevel="0" collapsed="false">
      <c r="A7" s="74" t="s">
        <v>1381</v>
      </c>
      <c r="B7" s="74" t="s">
        <v>1382</v>
      </c>
      <c r="C7" s="74" t="s">
        <v>1036</v>
      </c>
      <c r="D7" s="75" t="s">
        <v>1383</v>
      </c>
      <c r="E7" s="74" t="s">
        <v>1384</v>
      </c>
      <c r="F7" s="74" t="s">
        <v>1385</v>
      </c>
      <c r="G7" s="74" t="s">
        <v>1386</v>
      </c>
      <c r="H7" s="75" t="s">
        <v>1387</v>
      </c>
      <c r="I7" s="75" t="s">
        <v>1388</v>
      </c>
      <c r="J7" s="74" t="s">
        <v>1389</v>
      </c>
      <c r="K7" s="74" t="s">
        <v>1102</v>
      </c>
      <c r="L7" s="75" t="s">
        <v>1390</v>
      </c>
      <c r="M7" s="74" t="s">
        <v>1391</v>
      </c>
      <c r="N7" s="74" t="s">
        <v>509</v>
      </c>
    </row>
    <row r="8" customFormat="false" ht="32.8" hidden="false" customHeight="false" outlineLevel="0" collapsed="false">
      <c r="A8" s="33" t="s">
        <v>1392</v>
      </c>
      <c r="B8" s="37" t="s">
        <v>1393</v>
      </c>
      <c r="C8" s="88" t="s">
        <v>692</v>
      </c>
      <c r="D8" s="87"/>
      <c r="E8" s="37" t="s">
        <v>1394</v>
      </c>
      <c r="F8" s="87"/>
      <c r="G8" s="17" t="n">
        <v>0</v>
      </c>
      <c r="H8" s="87"/>
      <c r="I8" s="87"/>
      <c r="J8" s="87"/>
      <c r="K8" s="87"/>
      <c r="L8" s="87"/>
      <c r="M8" s="37" t="s">
        <v>1395</v>
      </c>
      <c r="N8" s="86" t="s">
        <v>1396</v>
      </c>
    </row>
    <row r="9" customFormat="false" ht="32.8" hidden="false" customHeight="false" outlineLevel="0" collapsed="false">
      <c r="A9" s="33" t="s">
        <v>1397</v>
      </c>
      <c r="B9" s="37" t="s">
        <v>1398</v>
      </c>
      <c r="C9" s="87" t="s">
        <v>157</v>
      </c>
      <c r="D9" s="87" t="str">
        <f aca="false">IFERROR(INDEX('4-7 대륙별 OS 분포(참조)'!$C$1:$C$200,MATCH("브라질",'4-7 대륙별 OS 분포(참조)'!$A$1:$A$200,0)),"확인 불가")</f>
        <v>Android 먼저</v>
      </c>
      <c r="E9" s="37" t="s">
        <v>1399</v>
      </c>
      <c r="F9" s="87" t="str">
        <f aca="false">IFERROR(INDEX('3-2 광고 채널 분석'!$H$17:$H$23,MATCH("유튜브 (Google Ads)",'3-2 광고 채널 분석'!$A$17:$A$23,0))&amp;"위","확인 불가")</f>
        <v>1위</v>
      </c>
      <c r="G9" s="100" t="n">
        <v>1000</v>
      </c>
      <c r="H9" s="114" t="s">
        <v>1054</v>
      </c>
      <c r="I9" s="115" t="n">
        <f aca="false">IFERROR(INDEX('3-1 광고 대비 유입'!$E$11:$E$27,MATCH(H9,'3-1 광고 대비 유입'!$A$11:$A$27,0)),"")</f>
        <v>0.14</v>
      </c>
      <c r="J9" s="116" t="n">
        <f aca="false">IFERROR(G9/I9,"")</f>
        <v>7142.85714285714</v>
      </c>
      <c r="K9" s="117" t="s">
        <v>636</v>
      </c>
      <c r="L9" s="116" t="n">
        <f aca="false">IFERROR(J9*SUMIFS('4-1 지역 벤치마크(참조)'!$C$2:$C$28,'4-1 지역 벤치마크(참조)'!$A$2:$A$28,K9,'4-1 지역 벤치마크(참조)'!$B$2:$B$28,"D7 리텐션"),"")</f>
        <v>232.142857142857</v>
      </c>
      <c r="M9" s="86" t="s">
        <v>1400</v>
      </c>
      <c r="N9" s="86" t="s">
        <v>1401</v>
      </c>
    </row>
    <row r="10" customFormat="false" ht="32.8" hidden="false" customHeight="false" outlineLevel="0" collapsed="false">
      <c r="A10" s="33" t="s">
        <v>1402</v>
      </c>
      <c r="B10" s="37" t="s">
        <v>1403</v>
      </c>
      <c r="C10" s="87" t="s">
        <v>1404</v>
      </c>
      <c r="D10" s="87" t="str">
        <f aca="false">IFERROR(INDEX('4-7 대륙별 OS 분포(참조)'!$C$1:$C$200,MATCH("인도네시아",'4-7 대륙별 OS 분포(참조)'!$A$1:$A$200,0)),"확인 불가")</f>
        <v>Android 먼저</v>
      </c>
      <c r="E10" s="37" t="s">
        <v>1399</v>
      </c>
      <c r="F10" s="87" t="str">
        <f aca="false">IFERROR(INDEX('3-2 광고 채널 분석'!$H$17:$H$23,MATCH("유튜브 (Google Ads)",'3-2 광고 채널 분석'!$A$17:$A$23,0))&amp;"위","확인 불가")</f>
        <v>1위</v>
      </c>
      <c r="G10" s="100" t="n">
        <v>1000</v>
      </c>
      <c r="H10" s="114" t="s">
        <v>1057</v>
      </c>
      <c r="I10" s="115" t="n">
        <f aca="false">IFERROR(INDEX('3-1 광고 대비 유입'!$E$11:$E$27,MATCH(H10,'3-1 광고 대비 유입'!$A$11:$A$27,0)),"")</f>
        <v>0.27</v>
      </c>
      <c r="J10" s="116" t="n">
        <f aca="false">IFERROR(G10/I10,"")</f>
        <v>3703.7037037037</v>
      </c>
      <c r="K10" s="117" t="s">
        <v>637</v>
      </c>
      <c r="L10" s="116" t="n">
        <f aca="false">IFERROR(J10*SUMIFS('4-1 지역 벤치마크(참조)'!$C$2:$C$28,'4-1 지역 벤치마크(참조)'!$A$2:$A$28,K10,'4-1 지역 벤치마크(참조)'!$B$2:$B$28,"D7 리텐션"),"")</f>
        <v>99.2592592592593</v>
      </c>
      <c r="M10" s="86" t="s">
        <v>1405</v>
      </c>
      <c r="N10" s="37" t="s">
        <v>1406</v>
      </c>
    </row>
    <row r="11" customFormat="false" ht="32.8" hidden="false" customHeight="false" outlineLevel="0" collapsed="false">
      <c r="A11" s="33" t="s">
        <v>1407</v>
      </c>
      <c r="B11" s="37" t="s">
        <v>1408</v>
      </c>
      <c r="C11" s="87" t="s">
        <v>155</v>
      </c>
      <c r="D11" s="87" t="str">
        <f aca="false">IFERROR(INDEX('4-7 대륙별 OS 분포(참조)'!$C$1:$C$200,MATCH("미국",'4-7 대륙별 OS 분포(참조)'!$A$1:$A$200,0)),"확인 불가")</f>
        <v>iOS 먼저(또는 동시)</v>
      </c>
      <c r="E11" s="37" t="s">
        <v>1409</v>
      </c>
      <c r="F11" s="87" t="str">
        <f aca="false">IFERROR(INDEX('3-2 광고 채널 분석'!$H$17:$H$23,MATCH("[분석자 추가] Apple Ads",'3-2 광고 채널 분석'!$A$17:$A$23,0))&amp;"위","확인 불가")</f>
        <v>2위</v>
      </c>
      <c r="G11" s="100" t="n">
        <v>3000</v>
      </c>
      <c r="H11" s="114" t="s">
        <v>1052</v>
      </c>
      <c r="I11" s="115" t="n">
        <f aca="false">IFERROR(INDEX('3-1 광고 대비 유입'!$E$11:$E$27,MATCH(H11,'3-1 광고 대비 유입'!$A$11:$A$27,0)),"")</f>
        <v>1.71</v>
      </c>
      <c r="J11" s="116" t="n">
        <f aca="false">IFERROR(G11/I11,"")</f>
        <v>1754.38596491228</v>
      </c>
      <c r="K11" s="117" t="s">
        <v>629</v>
      </c>
      <c r="L11" s="116" t="n">
        <f aca="false">IFERROR(J11*SUMIFS('4-1 지역 벤치마크(참조)'!$C$2:$C$28,'4-1 지역 벤치마크(참조)'!$A$2:$A$28,K11,'4-1 지역 벤치마크(참조)'!$B$2:$B$28,"D7 리텐션"),"")</f>
        <v>87.1929824561404</v>
      </c>
      <c r="M11" s="86" t="s">
        <v>1410</v>
      </c>
      <c r="N11" s="37" t="s">
        <v>1411</v>
      </c>
    </row>
    <row r="12" customFormat="false" ht="48.5" hidden="false" customHeight="false" outlineLevel="0" collapsed="false">
      <c r="A12" s="33" t="s">
        <v>1412</v>
      </c>
      <c r="B12" s="37" t="s">
        <v>1413</v>
      </c>
      <c r="C12" s="87" t="s">
        <v>155</v>
      </c>
      <c r="D12" s="87" t="str">
        <f aca="false">IFERROR(INDEX('4-7 대륙별 OS 분포(참조)'!$C$1:$C$200,MATCH("미국",'4-7 대륙별 OS 분포(참조)'!$A$1:$A$200,0)),"확인 불가")</f>
        <v>iOS 먼저(또는 동시)</v>
      </c>
      <c r="E12" s="86" t="s">
        <v>1414</v>
      </c>
      <c r="F12" s="87" t="str">
        <f aca="false">IFERROR(INDEX('3-2 광고 채널 분석'!$H$17:$H$23,MATCH("[분석자 추가] 광고 네트워크",'3-2 광고 채널 분석'!$A$17:$A$23,0))&amp;"위","확인 불가")</f>
        <v>3위</v>
      </c>
      <c r="G12" s="100" t="n">
        <v>5000</v>
      </c>
      <c r="H12" s="114" t="s">
        <v>1052</v>
      </c>
      <c r="I12" s="115" t="n">
        <f aca="false">IFERROR(INDEX('3-1 광고 대비 유입'!$E$11:$E$27,MATCH(H12,'3-1 광고 대비 유입'!$A$11:$A$27,0)),"")</f>
        <v>1.71</v>
      </c>
      <c r="J12" s="116" t="n">
        <f aca="false">IFERROR(G12/I12,"")</f>
        <v>2923.97660818713</v>
      </c>
      <c r="K12" s="117" t="s">
        <v>629</v>
      </c>
      <c r="L12" s="116" t="n">
        <f aca="false">IFERROR(J12*SUMIFS('4-1 지역 벤치마크(참조)'!$C$2:$C$28,'4-1 지역 벤치마크(참조)'!$A$2:$A$28,K12,'4-1 지역 벤치마크(참조)'!$B$2:$B$28,"D7 리텐션"),"")</f>
        <v>145.321637426901</v>
      </c>
      <c r="M12" s="86" t="s">
        <v>1415</v>
      </c>
      <c r="N12" s="86" t="s">
        <v>1416</v>
      </c>
    </row>
    <row r="13" customFormat="false" ht="15" hidden="false" customHeight="false" outlineLevel="0" collapsed="false">
      <c r="A13" s="80" t="s">
        <v>736</v>
      </c>
      <c r="B13" s="80"/>
      <c r="C13" s="80"/>
      <c r="D13" s="80"/>
      <c r="E13" s="80"/>
      <c r="F13" s="80"/>
      <c r="G13" s="118" t="n">
        <f aca="false">SUM(G8:G12)</f>
        <v>10000</v>
      </c>
      <c r="H13" s="80"/>
      <c r="I13" s="80"/>
      <c r="J13" s="119" t="n">
        <f aca="false">SUM(J8:J12)</f>
        <v>15524.9234196603</v>
      </c>
      <c r="K13" s="80"/>
      <c r="L13" s="119" t="n">
        <f aca="false">SUM(L8:L12)</f>
        <v>563.916736285157</v>
      </c>
      <c r="M13" s="80"/>
      <c r="N13" s="80"/>
    </row>
    <row r="15" customFormat="false" ht="19.4" hidden="false" customHeight="false" outlineLevel="0" collapsed="false">
      <c r="A15" s="43" t="s">
        <v>1417</v>
      </c>
    </row>
    <row r="16" customFormat="false" ht="48.5" hidden="false" customHeight="false" outlineLevel="0" collapsed="false">
      <c r="A16" s="74" t="s">
        <v>1418</v>
      </c>
      <c r="B16" s="74" t="s">
        <v>1419</v>
      </c>
      <c r="C16" s="74" t="s">
        <v>1420</v>
      </c>
      <c r="D16" s="75" t="s">
        <v>1421</v>
      </c>
    </row>
    <row r="17" customFormat="false" ht="32.8" hidden="false" customHeight="false" outlineLevel="0" collapsed="false">
      <c r="A17" s="33" t="s">
        <v>1422</v>
      </c>
      <c r="B17" s="86" t="s">
        <v>1423</v>
      </c>
      <c r="C17" s="18" t="s">
        <v>1424</v>
      </c>
      <c r="D17" s="37" t="s">
        <v>1425</v>
      </c>
    </row>
    <row r="18" customFormat="false" ht="64.15" hidden="false" customHeight="false" outlineLevel="0" collapsed="false">
      <c r="A18" s="33" t="s">
        <v>1426</v>
      </c>
      <c r="B18" s="86" t="s">
        <v>1427</v>
      </c>
      <c r="C18" s="18" t="s">
        <v>1428</v>
      </c>
      <c r="D18" s="37" t="s">
        <v>1429</v>
      </c>
    </row>
    <row r="19" customFormat="false" ht="61.15" hidden="false" customHeight="false" outlineLevel="0" collapsed="false">
      <c r="A19" s="33" t="s">
        <v>1430</v>
      </c>
      <c r="B19" s="37" t="s">
        <v>1431</v>
      </c>
      <c r="C19" s="18" t="s">
        <v>1432</v>
      </c>
      <c r="D19" s="37" t="s">
        <v>1433</v>
      </c>
    </row>
    <row r="20" customFormat="false" ht="45.5" hidden="false" customHeight="false" outlineLevel="0" collapsed="false">
      <c r="A20" s="33" t="s">
        <v>1434</v>
      </c>
      <c r="B20" s="37" t="s">
        <v>1435</v>
      </c>
      <c r="C20" s="18" t="s">
        <v>1436</v>
      </c>
      <c r="D20" s="37" t="s">
        <v>1437</v>
      </c>
    </row>
    <row r="21" customFormat="false" ht="79.85" hidden="false" customHeight="false" outlineLevel="0" collapsed="false">
      <c r="A21" s="33" t="s">
        <v>1438</v>
      </c>
      <c r="B21" s="37" t="s">
        <v>1439</v>
      </c>
      <c r="C21" s="18" t="s">
        <v>1440</v>
      </c>
      <c r="D21" s="37" t="s">
        <v>1441</v>
      </c>
    </row>
    <row r="24" customFormat="false" ht="19.4" hidden="false" customHeight="false" outlineLevel="0" collapsed="false">
      <c r="A24" s="43" t="s">
        <v>1442</v>
      </c>
    </row>
    <row r="25" customFormat="false" ht="17.15" hidden="false" customHeight="false" outlineLevel="0" collapsed="false">
      <c r="A25" s="74" t="s">
        <v>1443</v>
      </c>
      <c r="B25" s="74" t="s">
        <v>705</v>
      </c>
      <c r="C25" s="74" t="s">
        <v>1444</v>
      </c>
      <c r="D25" s="74" t="s">
        <v>509</v>
      </c>
    </row>
    <row r="26" customFormat="false" ht="29.85" hidden="false" customHeight="false" outlineLevel="0" collapsed="false">
      <c r="A26" s="33" t="s">
        <v>1445</v>
      </c>
      <c r="B26" s="17" t="s">
        <v>1446</v>
      </c>
      <c r="C26" s="17" t="str">
        <f aca="false">"미국 게임 전체 평균 $"&amp;TEXT(INDEX('3-1 광고 대비 유입'!$E$11:$E$27,MATCH("C03",'3-1 광고 대비 유입'!$A$11:$A$27,0)),"0.00")</f>
        <v>미국 게임 전체 평균 $1.71</v>
      </c>
      <c r="D26" s="18" t="s">
        <v>1447</v>
      </c>
    </row>
    <row r="27" customFormat="false" ht="32.8" hidden="false" customHeight="false" outlineLevel="0" collapsed="false">
      <c r="A27" s="33" t="s">
        <v>1448</v>
      </c>
      <c r="B27" s="17" t="s">
        <v>1449</v>
      </c>
      <c r="C27" s="17" t="str">
        <f aca="false">"북미 중앙값 "&amp;TEXT(SUMIFS('4-1 지역 벤치마크(참조)'!$C$2:$C$28,'4-1 지역 벤치마크(참조)'!$A$2:$A$28,"북미",'4-1 지역 벤치마크(참조)'!$B$2:$B$28,"D1 리텐션"),"0.0%")&amp;" / 상위 10% "&amp;TEXT(SUMIFS('4-1 지역 벤치마크(참조)'!$D$2:$D$28,'4-1 지역 벤치마크(참조)'!$A$2:$A$28,"북미",'4-1 지역 벤치마크(참조)'!$B$2:$B$28,"D1 리텐션"),"0.0%")</f>
        <v>북미 중앙값 23.3% / 상위 10% 36.9%</v>
      </c>
      <c r="D27" s="18" t="s">
        <v>1450</v>
      </c>
    </row>
    <row r="28" customFormat="false" ht="32.8" hidden="false" customHeight="false" outlineLevel="0" collapsed="false">
      <c r="A28" s="33" t="s">
        <v>1451</v>
      </c>
      <c r="B28" s="18" t="s">
        <v>1452</v>
      </c>
      <c r="C28" s="17" t="str">
        <f aca="false">"북미 중앙값 "&amp;TEXT(SUMIFS('4-1 지역 벤치마크(참조)'!$C$2:$C$28,'4-1 지역 벤치마크(참조)'!$A$2:$A$28,"북미",'4-1 지역 벤치마크(참조)'!$B$2:$B$28,"D7 리텐션"),"0.0%")&amp;" / 상위 10% "&amp;TEXT(SUMIFS('4-1 지역 벤치마크(참조)'!$D$2:$D$28,'4-1 지역 벤치마크(참조)'!$A$2:$A$28,"북미",'4-1 지역 벤치마크(참조)'!$B$2:$B$28,"D7 리텐션"),"0.0%")</f>
        <v>북미 중앙값 5.0% / 상위 10% 12.6%</v>
      </c>
      <c r="D28" s="18" t="s">
        <v>1450</v>
      </c>
    </row>
    <row r="29" customFormat="false" ht="32.8" hidden="false" customHeight="false" outlineLevel="0" collapsed="false">
      <c r="A29" s="33" t="s">
        <v>1453</v>
      </c>
      <c r="B29" s="18" t="s">
        <v>1454</v>
      </c>
      <c r="C29" s="17" t="str">
        <f aca="false">"북미 중앙값 "&amp;TEXT(SUMIFS('4-1 지역 벤치마크(참조)'!$C$2:$C$28,'4-1 지역 벤치마크(참조)'!$A$2:$A$28,"북미",'4-1 지역 벤치마크(참조)'!$B$2:$B$28,"D30 리텐션"),"0.0%")&amp;" / 상위 10% "&amp;TEXT(SUMIFS('4-1 지역 벤치마크(참조)'!$D$2:$D$28,'4-1 지역 벤치마크(참조)'!$A$2:$A$28,"북미",'4-1 지역 벤치마크(참조)'!$B$2:$B$28,"D30 리텐션"),"0.0%")</f>
        <v>북미 중앙값 1.2% / 상위 10% 4.8%</v>
      </c>
      <c r="D29" s="18" t="s">
        <v>1450</v>
      </c>
    </row>
    <row r="30" customFormat="false" ht="29.85" hidden="false" customHeight="false" outlineLevel="0" collapsed="false">
      <c r="A30" s="33" t="s">
        <v>1455</v>
      </c>
      <c r="B30" s="18" t="s">
        <v>1456</v>
      </c>
      <c r="C30" s="17" t="s">
        <v>1457</v>
      </c>
      <c r="D30" s="18" t="s">
        <v>1458</v>
      </c>
    </row>
    <row r="31" customFormat="false" ht="32.8" hidden="false" customHeight="false" outlineLevel="0" collapsed="false">
      <c r="A31" s="36" t="s">
        <v>1459</v>
      </c>
      <c r="B31" s="17" t="s">
        <v>1460</v>
      </c>
      <c r="C31" s="37" t="s">
        <v>1461</v>
      </c>
      <c r="D31" s="17" t="s">
        <v>1462</v>
      </c>
    </row>
    <row r="34" customFormat="false" ht="17.15" hidden="false" customHeight="false" outlineLevel="0" collapsed="false">
      <c r="A34" s="22" t="s">
        <v>1463</v>
      </c>
    </row>
    <row r="35" customFormat="false" ht="17.15" hidden="false" customHeight="false" outlineLevel="0" collapsed="false">
      <c r="A35" s="38" t="s">
        <v>1464</v>
      </c>
    </row>
    <row r="36" customFormat="false" ht="17.15" hidden="false" customHeight="false" outlineLevel="0" collapsed="false">
      <c r="A36" s="38" t="s">
        <v>1465</v>
      </c>
    </row>
    <row r="37" customFormat="false" ht="17.15" hidden="false" customHeight="false" outlineLevel="0" collapsed="false">
      <c r="A37" s="38" t="s">
        <v>1466</v>
      </c>
    </row>
    <row r="38" customFormat="false" ht="17.15" hidden="false" customHeight="false" outlineLevel="0" collapsed="false">
      <c r="A38" s="38" t="s">
        <v>1467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Y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9"/>
    <col collapsed="false" customWidth="true" hidden="false" outlineLevel="0" max="9" min="9" style="0" width="30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5" min="14" style="0" width="10"/>
    <col collapsed="false" customWidth="true" hidden="false" outlineLevel="0" max="16" min="16" style="0" width="22"/>
    <col collapsed="false" customWidth="true" hidden="false" outlineLevel="0" max="17" min="17" style="0" width="9"/>
    <col collapsed="false" customWidth="true" hidden="false" outlineLevel="0" max="18" min="18" style="0" width="26"/>
    <col collapsed="false" customWidth="true" hidden="false" outlineLevel="0" max="19" min="19" style="0" width="24"/>
    <col collapsed="false" customWidth="true" hidden="false" outlineLevel="0" max="20" min="20" style="0" width="11"/>
    <col collapsed="false" customWidth="true" hidden="false" outlineLevel="0" max="21" min="21" style="0" width="14"/>
    <col collapsed="false" customWidth="true" hidden="false" outlineLevel="0" max="22" min="22" style="0" width="16"/>
    <col collapsed="false" customWidth="true" hidden="false" outlineLevel="0" max="25" min="23" style="0" width="12"/>
  </cols>
  <sheetData>
    <row r="1" customFormat="false" ht="19.4" hidden="false" customHeight="false" outlineLevel="0" collapsed="false">
      <c r="A1" s="43" t="s">
        <v>1468</v>
      </c>
    </row>
    <row r="2" customFormat="false" ht="17.15" hidden="false" customHeight="false" outlineLevel="0" collapsed="false">
      <c r="A2" s="22" t="s">
        <v>1469</v>
      </c>
    </row>
    <row r="4" customFormat="false" ht="48" hidden="false" customHeight="true" outlineLevel="0" collapsed="false">
      <c r="A4" s="74" t="s">
        <v>152</v>
      </c>
      <c r="B4" s="75" t="s">
        <v>1256</v>
      </c>
      <c r="C4" s="74" t="s">
        <v>1470</v>
      </c>
      <c r="D4" s="74" t="s">
        <v>1471</v>
      </c>
      <c r="E4" s="74" t="s">
        <v>1472</v>
      </c>
      <c r="F4" s="74" t="s">
        <v>1473</v>
      </c>
      <c r="G4" s="74" t="s">
        <v>1474</v>
      </c>
      <c r="H4" s="74" t="s">
        <v>1475</v>
      </c>
      <c r="I4" s="74" t="s">
        <v>1476</v>
      </c>
      <c r="J4" s="74" t="s">
        <v>1477</v>
      </c>
      <c r="K4" s="74" t="s">
        <v>1478</v>
      </c>
      <c r="L4" s="74" t="s">
        <v>1479</v>
      </c>
      <c r="M4" s="74" t="s">
        <v>1480</v>
      </c>
      <c r="N4" s="74" t="s">
        <v>1481</v>
      </c>
      <c r="O4" s="74" t="s">
        <v>1482</v>
      </c>
      <c r="P4" s="74" t="s">
        <v>1483</v>
      </c>
      <c r="Q4" s="74" t="s">
        <v>1484</v>
      </c>
      <c r="R4" s="74" t="s">
        <v>1485</v>
      </c>
      <c r="S4" s="74" t="s">
        <v>1486</v>
      </c>
      <c r="T4" s="75" t="s">
        <v>1487</v>
      </c>
      <c r="U4" s="75" t="s">
        <v>1488</v>
      </c>
      <c r="V4" s="75" t="s">
        <v>1489</v>
      </c>
      <c r="W4" s="75" t="s">
        <v>1490</v>
      </c>
      <c r="X4" s="75" t="s">
        <v>1491</v>
      </c>
      <c r="Y4" s="75" t="s">
        <v>1492</v>
      </c>
    </row>
    <row r="5" customFormat="false" ht="32.8" hidden="false" customHeight="false" outlineLevel="0" collapsed="false">
      <c r="A5" s="33" t="s">
        <v>189</v>
      </c>
      <c r="B5" s="110" t="s">
        <v>1276</v>
      </c>
      <c r="C5" s="87" t="n">
        <v>59.1</v>
      </c>
      <c r="D5" s="87" t="n">
        <v>360</v>
      </c>
      <c r="E5" s="87" t="n">
        <v>450</v>
      </c>
      <c r="F5" s="87" t="str">
        <f aca="false">IF(D5&gt;E5,"가로형 ",IF(D5=E5,"정사각형 ","세로형 "))&amp;TEXT(D5/E5,"0.00")</f>
        <v>세로형 0.80</v>
      </c>
      <c r="G5" s="37" t="s">
        <v>1493</v>
      </c>
      <c r="H5" s="120" t="s">
        <v>1494</v>
      </c>
      <c r="I5" s="86" t="s">
        <v>1495</v>
      </c>
      <c r="J5" s="120" t="s">
        <v>1494</v>
      </c>
      <c r="K5" s="37" t="s">
        <v>1496</v>
      </c>
      <c r="L5" s="86" t="s">
        <v>692</v>
      </c>
      <c r="M5" s="37" t="s">
        <v>1496</v>
      </c>
      <c r="N5" s="120" t="s">
        <v>1494</v>
      </c>
      <c r="O5" s="120" t="n">
        <v>2</v>
      </c>
      <c r="P5" s="37" t="s">
        <v>1497</v>
      </c>
      <c r="Q5" s="120" t="s">
        <v>488</v>
      </c>
      <c r="R5" s="37" t="s">
        <v>1498</v>
      </c>
      <c r="S5" s="37"/>
      <c r="T5" s="121"/>
      <c r="U5" s="121"/>
      <c r="V5" s="121"/>
      <c r="W5" s="121"/>
      <c r="X5" s="121"/>
      <c r="Y5" s="121"/>
    </row>
    <row r="6" customFormat="false" ht="32.8" hidden="false" customHeight="false" outlineLevel="0" collapsed="false">
      <c r="A6" s="33" t="s">
        <v>189</v>
      </c>
      <c r="B6" s="110" t="s">
        <v>1278</v>
      </c>
      <c r="C6" s="87" t="n">
        <v>59.7</v>
      </c>
      <c r="D6" s="87" t="n">
        <v>360</v>
      </c>
      <c r="E6" s="87" t="n">
        <v>540</v>
      </c>
      <c r="F6" s="87" t="str">
        <f aca="false">IF(D6&gt;E6,"가로형 ",IF(D6=E6,"정사각형 ","세로형 "))&amp;TEXT(D6/E6,"0.00")</f>
        <v>세로형 0.67</v>
      </c>
      <c r="G6" s="37" t="s">
        <v>1499</v>
      </c>
      <c r="H6" s="120" t="s">
        <v>1494</v>
      </c>
      <c r="I6" s="86" t="s">
        <v>1500</v>
      </c>
      <c r="J6" s="120" t="s">
        <v>1496</v>
      </c>
      <c r="K6" s="37" t="s">
        <v>1496</v>
      </c>
      <c r="L6" s="37" t="s">
        <v>1501</v>
      </c>
      <c r="M6" s="37" t="s">
        <v>1502</v>
      </c>
      <c r="N6" s="120" t="s">
        <v>1494</v>
      </c>
      <c r="O6" s="120" t="n">
        <v>2</v>
      </c>
      <c r="P6" s="37" t="s">
        <v>1503</v>
      </c>
      <c r="Q6" s="120" t="s">
        <v>488</v>
      </c>
      <c r="R6" s="37" t="s">
        <v>1504</v>
      </c>
      <c r="S6" s="37"/>
      <c r="T6" s="121"/>
      <c r="U6" s="121"/>
      <c r="V6" s="121"/>
      <c r="W6" s="121"/>
      <c r="X6" s="121"/>
      <c r="Y6" s="121"/>
    </row>
    <row r="7" customFormat="false" ht="32.8" hidden="false" customHeight="false" outlineLevel="0" collapsed="false">
      <c r="A7" s="33" t="s">
        <v>189</v>
      </c>
      <c r="B7" s="110" t="s">
        <v>1280</v>
      </c>
      <c r="C7" s="87" t="n">
        <v>59.7</v>
      </c>
      <c r="D7" s="87" t="n">
        <v>360</v>
      </c>
      <c r="E7" s="87" t="n">
        <v>640</v>
      </c>
      <c r="F7" s="87" t="str">
        <f aca="false">IF(D7&gt;E7,"가로형 ",IF(D7=E7,"정사각형 ","세로형 "))&amp;TEXT(D7/E7,"0.00")</f>
        <v>세로형 0.56</v>
      </c>
      <c r="G7" s="86" t="s">
        <v>1505</v>
      </c>
      <c r="H7" s="120" t="s">
        <v>1494</v>
      </c>
      <c r="I7" s="86" t="s">
        <v>1506</v>
      </c>
      <c r="J7" s="120" t="s">
        <v>1496</v>
      </c>
      <c r="K7" s="37" t="s">
        <v>1496</v>
      </c>
      <c r="L7" s="37" t="s">
        <v>1507</v>
      </c>
      <c r="M7" s="37" t="s">
        <v>1508</v>
      </c>
      <c r="N7" s="120" t="s">
        <v>1494</v>
      </c>
      <c r="O7" s="120" t="n">
        <v>2</v>
      </c>
      <c r="P7" s="37" t="s">
        <v>1509</v>
      </c>
      <c r="Q7" s="120" t="s">
        <v>488</v>
      </c>
      <c r="R7" s="37" t="s">
        <v>1498</v>
      </c>
      <c r="S7" s="37"/>
      <c r="T7" s="121"/>
      <c r="U7" s="121"/>
      <c r="V7" s="121"/>
      <c r="W7" s="121"/>
      <c r="X7" s="121"/>
      <c r="Y7" s="121"/>
    </row>
    <row r="8" customFormat="false" ht="48.5" hidden="false" customHeight="false" outlineLevel="0" collapsed="false">
      <c r="A8" s="33" t="s">
        <v>189</v>
      </c>
      <c r="B8" s="110" t="s">
        <v>1269</v>
      </c>
      <c r="C8" s="87" t="n">
        <v>59.7</v>
      </c>
      <c r="D8" s="87" t="n">
        <v>360</v>
      </c>
      <c r="E8" s="87" t="n">
        <v>360</v>
      </c>
      <c r="F8" s="87" t="str">
        <f aca="false">IF(D8&gt;E8,"가로형 ",IF(D8=E8,"정사각형 ","세로형 "))&amp;TEXT(D8/E8,"0.00")</f>
        <v>정사각형 1.00</v>
      </c>
      <c r="G8" s="37" t="s">
        <v>1510</v>
      </c>
      <c r="H8" s="120" t="s">
        <v>1494</v>
      </c>
      <c r="I8" s="86" t="s">
        <v>1511</v>
      </c>
      <c r="J8" s="120" t="s">
        <v>1496</v>
      </c>
      <c r="K8" s="37" t="s">
        <v>1496</v>
      </c>
      <c r="L8" s="86" t="s">
        <v>692</v>
      </c>
      <c r="M8" s="37" t="s">
        <v>1496</v>
      </c>
      <c r="N8" s="120" t="s">
        <v>1494</v>
      </c>
      <c r="O8" s="120" t="n">
        <v>2</v>
      </c>
      <c r="P8" s="37" t="s">
        <v>1512</v>
      </c>
      <c r="Q8" s="120" t="s">
        <v>488</v>
      </c>
      <c r="R8" s="37" t="s">
        <v>1498</v>
      </c>
      <c r="S8" s="37" t="s">
        <v>1513</v>
      </c>
      <c r="T8" s="121"/>
      <c r="U8" s="121"/>
      <c r="V8" s="121"/>
      <c r="W8" s="121"/>
      <c r="X8" s="121"/>
      <c r="Y8" s="121"/>
    </row>
    <row r="9" customFormat="false" ht="48.5" hidden="false" customHeight="false" outlineLevel="0" collapsed="false">
      <c r="A9" s="33" t="s">
        <v>197</v>
      </c>
      <c r="B9" s="110" t="s">
        <v>1281</v>
      </c>
      <c r="C9" s="87" t="n">
        <v>17</v>
      </c>
      <c r="D9" s="87" t="n">
        <v>640</v>
      </c>
      <c r="E9" s="87" t="n">
        <v>360</v>
      </c>
      <c r="F9" s="87" t="str">
        <f aca="false">IF(D9&gt;E9,"가로형 ",IF(D9=E9,"정사각형 ","세로형 "))&amp;TEXT(D9/E9,"0.00")</f>
        <v>가로형 1.78</v>
      </c>
      <c r="G9" s="37" t="s">
        <v>1514</v>
      </c>
      <c r="H9" s="120" t="s">
        <v>1494</v>
      </c>
      <c r="I9" s="86" t="s">
        <v>1515</v>
      </c>
      <c r="J9" s="120" t="s">
        <v>1496</v>
      </c>
      <c r="K9" s="37" t="s">
        <v>1496</v>
      </c>
      <c r="L9" s="86" t="s">
        <v>692</v>
      </c>
      <c r="M9" s="86" t="s">
        <v>692</v>
      </c>
      <c r="N9" s="120" t="s">
        <v>1494</v>
      </c>
      <c r="O9" s="120" t="n">
        <v>7</v>
      </c>
      <c r="P9" s="37" t="s">
        <v>1516</v>
      </c>
      <c r="Q9" s="120" t="s">
        <v>488</v>
      </c>
      <c r="R9" s="37" t="s">
        <v>1517</v>
      </c>
      <c r="S9" s="37" t="s">
        <v>1518</v>
      </c>
      <c r="T9" s="121"/>
      <c r="U9" s="121"/>
      <c r="V9" s="121"/>
      <c r="W9" s="121"/>
      <c r="X9" s="121"/>
      <c r="Y9" s="121"/>
    </row>
    <row r="10" customFormat="false" ht="48.5" hidden="false" customHeight="false" outlineLevel="0" collapsed="false">
      <c r="A10" s="33" t="s">
        <v>197</v>
      </c>
      <c r="B10" s="110" t="s">
        <v>1283</v>
      </c>
      <c r="C10" s="87" t="n">
        <v>29.5</v>
      </c>
      <c r="D10" s="87" t="n">
        <v>640</v>
      </c>
      <c r="E10" s="87" t="n">
        <v>360</v>
      </c>
      <c r="F10" s="87" t="str">
        <f aca="false">IF(D10&gt;E10,"가로형 ",IF(D10=E10,"정사각형 ","세로형 "))&amp;TEXT(D10/E10,"0.00")</f>
        <v>가로형 1.78</v>
      </c>
      <c r="G10" s="86" t="s">
        <v>1519</v>
      </c>
      <c r="H10" s="120" t="s">
        <v>1494</v>
      </c>
      <c r="I10" s="86" t="s">
        <v>1520</v>
      </c>
      <c r="J10" s="120" t="s">
        <v>1496</v>
      </c>
      <c r="K10" s="37" t="s">
        <v>1496</v>
      </c>
      <c r="L10" s="37" t="s">
        <v>1521</v>
      </c>
      <c r="M10" s="37" t="s">
        <v>1522</v>
      </c>
      <c r="N10" s="120" t="s">
        <v>1523</v>
      </c>
      <c r="O10" s="120" t="n">
        <v>6</v>
      </c>
      <c r="P10" s="37" t="s">
        <v>1524</v>
      </c>
      <c r="Q10" s="120" t="s">
        <v>488</v>
      </c>
      <c r="R10" s="37" t="s">
        <v>1525</v>
      </c>
      <c r="S10" s="37" t="s">
        <v>1526</v>
      </c>
      <c r="T10" s="121"/>
      <c r="U10" s="121"/>
      <c r="V10" s="121"/>
      <c r="W10" s="121"/>
      <c r="X10" s="121"/>
      <c r="Y10" s="121"/>
    </row>
    <row r="11" customFormat="false" ht="32.8" hidden="false" customHeight="false" outlineLevel="0" collapsed="false">
      <c r="A11" s="33" t="s">
        <v>197</v>
      </c>
      <c r="B11" s="110" t="s">
        <v>1287</v>
      </c>
      <c r="C11" s="87" t="n">
        <v>21.6</v>
      </c>
      <c r="D11" s="87" t="n">
        <v>360</v>
      </c>
      <c r="E11" s="87" t="n">
        <v>360</v>
      </c>
      <c r="F11" s="87" t="str">
        <f aca="false">IF(D11&gt;E11,"가로형 ",IF(D11=E11,"정사각형 ","세로형 "))&amp;TEXT(D11/E11,"0.00")</f>
        <v>정사각형 1.00</v>
      </c>
      <c r="G11" s="37" t="s">
        <v>1527</v>
      </c>
      <c r="H11" s="120" t="s">
        <v>1494</v>
      </c>
      <c r="I11" s="86" t="s">
        <v>1528</v>
      </c>
      <c r="J11" s="120" t="s">
        <v>1496</v>
      </c>
      <c r="K11" s="86" t="s">
        <v>1529</v>
      </c>
      <c r="L11" s="86" t="s">
        <v>692</v>
      </c>
      <c r="M11" s="37" t="s">
        <v>1530</v>
      </c>
      <c r="N11" s="120" t="s">
        <v>1523</v>
      </c>
      <c r="O11" s="120" t="n">
        <v>6</v>
      </c>
      <c r="P11" s="37" t="s">
        <v>1531</v>
      </c>
      <c r="Q11" s="120" t="s">
        <v>486</v>
      </c>
      <c r="R11" s="37" t="s">
        <v>1532</v>
      </c>
      <c r="S11" s="37"/>
      <c r="T11" s="121"/>
      <c r="U11" s="121"/>
      <c r="V11" s="121"/>
      <c r="W11" s="121"/>
      <c r="X11" s="121"/>
      <c r="Y11" s="121"/>
    </row>
    <row r="12" customFormat="false" ht="32.8" hidden="false" customHeight="false" outlineLevel="0" collapsed="false">
      <c r="A12" s="33" t="s">
        <v>197</v>
      </c>
      <c r="B12" s="110" t="s">
        <v>1293</v>
      </c>
      <c r="C12" s="87" t="n">
        <v>40.5</v>
      </c>
      <c r="D12" s="87" t="n">
        <v>360</v>
      </c>
      <c r="E12" s="87" t="n">
        <v>360</v>
      </c>
      <c r="F12" s="87" t="str">
        <f aca="false">IF(D12&gt;E12,"가로형 ",IF(D12=E12,"정사각형 ","세로형 "))&amp;TEXT(D12/E12,"0.00")</f>
        <v>정사각형 1.00</v>
      </c>
      <c r="G12" s="37" t="s">
        <v>1533</v>
      </c>
      <c r="H12" s="120" t="s">
        <v>1494</v>
      </c>
      <c r="I12" s="86" t="s">
        <v>1534</v>
      </c>
      <c r="J12" s="120" t="s">
        <v>1496</v>
      </c>
      <c r="K12" s="86" t="s">
        <v>1535</v>
      </c>
      <c r="L12" s="86" t="s">
        <v>692</v>
      </c>
      <c r="M12" s="37" t="s">
        <v>1530</v>
      </c>
      <c r="N12" s="120" t="s">
        <v>1523</v>
      </c>
      <c r="O12" s="120" t="n">
        <v>7</v>
      </c>
      <c r="P12" s="37" t="s">
        <v>1536</v>
      </c>
      <c r="Q12" s="120" t="s">
        <v>488</v>
      </c>
      <c r="R12" s="37" t="s">
        <v>1537</v>
      </c>
      <c r="S12" s="37"/>
      <c r="T12" s="121"/>
      <c r="U12" s="121"/>
      <c r="V12" s="121"/>
      <c r="W12" s="121"/>
      <c r="X12" s="121"/>
      <c r="Y12" s="121"/>
    </row>
    <row r="13" customFormat="false" ht="32.8" hidden="false" customHeight="false" outlineLevel="0" collapsed="false">
      <c r="A13" s="33" t="s">
        <v>184</v>
      </c>
      <c r="B13" s="110" t="s">
        <v>1311</v>
      </c>
      <c r="C13" s="87" t="n">
        <v>56.2</v>
      </c>
      <c r="D13" s="87" t="n">
        <v>360</v>
      </c>
      <c r="E13" s="87" t="n">
        <v>640</v>
      </c>
      <c r="F13" s="87" t="str">
        <f aca="false">IF(D13&gt;E13,"가로형 ",IF(D13=E13,"정사각형 ","세로형 "))&amp;TEXT(D13/E13,"0.00")</f>
        <v>세로형 0.56</v>
      </c>
      <c r="G13" s="37" t="s">
        <v>1538</v>
      </c>
      <c r="H13" s="120" t="s">
        <v>1523</v>
      </c>
      <c r="I13" s="86" t="s">
        <v>692</v>
      </c>
      <c r="J13" s="120" t="s">
        <v>1496</v>
      </c>
      <c r="K13" s="37" t="s">
        <v>1496</v>
      </c>
      <c r="L13" s="37" t="s">
        <v>1539</v>
      </c>
      <c r="M13" s="37" t="s">
        <v>1540</v>
      </c>
      <c r="N13" s="120" t="s">
        <v>1494</v>
      </c>
      <c r="O13" s="120" t="n">
        <v>2</v>
      </c>
      <c r="P13" s="37" t="s">
        <v>1541</v>
      </c>
      <c r="Q13" s="120" t="s">
        <v>488</v>
      </c>
      <c r="R13" s="37" t="s">
        <v>1542</v>
      </c>
      <c r="S13" s="37"/>
      <c r="T13" s="121"/>
      <c r="U13" s="121"/>
      <c r="V13" s="121"/>
      <c r="W13" s="121"/>
      <c r="X13" s="121"/>
      <c r="Y13" s="121"/>
    </row>
    <row r="14" customFormat="false" ht="32.8" hidden="false" customHeight="false" outlineLevel="0" collapsed="false">
      <c r="A14" s="33" t="s">
        <v>184</v>
      </c>
      <c r="B14" s="110" t="s">
        <v>1300</v>
      </c>
      <c r="C14" s="87" t="n">
        <v>60</v>
      </c>
      <c r="D14" s="87" t="n">
        <v>360</v>
      </c>
      <c r="E14" s="87" t="n">
        <v>640</v>
      </c>
      <c r="F14" s="87" t="str">
        <f aca="false">IF(D14&gt;E14,"가로형 ",IF(D14=E14,"정사각형 ","세로형 "))&amp;TEXT(D14/E14,"0.00")</f>
        <v>세로형 0.56</v>
      </c>
      <c r="G14" s="37" t="s">
        <v>1543</v>
      </c>
      <c r="H14" s="120" t="s">
        <v>1523</v>
      </c>
      <c r="I14" s="86" t="s">
        <v>692</v>
      </c>
      <c r="J14" s="120" t="s">
        <v>1496</v>
      </c>
      <c r="K14" s="37" t="s">
        <v>1544</v>
      </c>
      <c r="L14" s="37" t="s">
        <v>1545</v>
      </c>
      <c r="M14" s="37" t="s">
        <v>1540</v>
      </c>
      <c r="N14" s="120" t="s">
        <v>1523</v>
      </c>
      <c r="O14" s="120" t="n">
        <v>0</v>
      </c>
      <c r="P14" s="37" t="s">
        <v>1546</v>
      </c>
      <c r="Q14" s="120" t="s">
        <v>486</v>
      </c>
      <c r="R14" s="37" t="s">
        <v>1547</v>
      </c>
      <c r="S14" s="86" t="s">
        <v>1548</v>
      </c>
      <c r="T14" s="121"/>
      <c r="U14" s="121"/>
      <c r="V14" s="121"/>
      <c r="W14" s="121"/>
      <c r="X14" s="121"/>
      <c r="Y14" s="121"/>
    </row>
    <row r="15" customFormat="false" ht="48.5" hidden="false" customHeight="false" outlineLevel="0" collapsed="false">
      <c r="A15" s="33" t="s">
        <v>184</v>
      </c>
      <c r="B15" s="110" t="s">
        <v>1305</v>
      </c>
      <c r="C15" s="87" t="n">
        <v>26.8</v>
      </c>
      <c r="D15" s="87" t="n">
        <v>360</v>
      </c>
      <c r="E15" s="87" t="n">
        <v>360</v>
      </c>
      <c r="F15" s="87" t="str">
        <f aca="false">IF(D15&gt;E15,"가로형 ",IF(D15=E15,"정사각형 ","세로형 "))&amp;TEXT(D15/E15,"0.00")</f>
        <v>정사각형 1.00</v>
      </c>
      <c r="G15" s="37" t="s">
        <v>1549</v>
      </c>
      <c r="H15" s="120" t="s">
        <v>1494</v>
      </c>
      <c r="I15" s="86" t="s">
        <v>1550</v>
      </c>
      <c r="J15" s="120" t="s">
        <v>1551</v>
      </c>
      <c r="K15" s="37" t="s">
        <v>1496</v>
      </c>
      <c r="L15" s="37" t="s">
        <v>1552</v>
      </c>
      <c r="M15" s="86" t="s">
        <v>692</v>
      </c>
      <c r="N15" s="120" t="s">
        <v>1523</v>
      </c>
      <c r="O15" s="120" t="n">
        <v>2</v>
      </c>
      <c r="P15" s="37" t="s">
        <v>1553</v>
      </c>
      <c r="Q15" s="120" t="s">
        <v>488</v>
      </c>
      <c r="R15" s="37" t="s">
        <v>1554</v>
      </c>
      <c r="S15" s="86" t="s">
        <v>1555</v>
      </c>
      <c r="T15" s="121"/>
      <c r="U15" s="121"/>
      <c r="V15" s="121"/>
      <c r="W15" s="121"/>
      <c r="X15" s="121"/>
      <c r="Y15" s="121"/>
    </row>
    <row r="16" customFormat="false" ht="32.8" hidden="false" customHeight="false" outlineLevel="0" collapsed="false">
      <c r="A16" s="33" t="s">
        <v>184</v>
      </c>
      <c r="B16" s="110" t="s">
        <v>1310</v>
      </c>
      <c r="C16" s="87" t="n">
        <v>28.3</v>
      </c>
      <c r="D16" s="87" t="n">
        <v>360</v>
      </c>
      <c r="E16" s="87" t="n">
        <v>640</v>
      </c>
      <c r="F16" s="87" t="str">
        <f aca="false">IF(D16&gt;E16,"가로형 ",IF(D16=E16,"정사각형 ","세로형 "))&amp;TEXT(D16/E16,"0.00")</f>
        <v>세로형 0.56</v>
      </c>
      <c r="G16" s="37" t="s">
        <v>1556</v>
      </c>
      <c r="H16" s="120" t="s">
        <v>1523</v>
      </c>
      <c r="I16" s="86" t="s">
        <v>692</v>
      </c>
      <c r="J16" s="120" t="s">
        <v>1496</v>
      </c>
      <c r="K16" s="37" t="s">
        <v>1557</v>
      </c>
      <c r="L16" s="37" t="s">
        <v>1558</v>
      </c>
      <c r="M16" s="37" t="s">
        <v>1559</v>
      </c>
      <c r="N16" s="120" t="s">
        <v>1523</v>
      </c>
      <c r="O16" s="120" t="n">
        <v>1</v>
      </c>
      <c r="P16" s="37" t="s">
        <v>1560</v>
      </c>
      <c r="Q16" s="120" t="s">
        <v>488</v>
      </c>
      <c r="R16" s="37" t="s">
        <v>1542</v>
      </c>
      <c r="S16" s="37"/>
      <c r="T16" s="121"/>
      <c r="U16" s="121"/>
      <c r="V16" s="121"/>
      <c r="W16" s="121"/>
      <c r="X16" s="121"/>
      <c r="Y16" s="121"/>
    </row>
    <row r="18" customFormat="false" ht="19.4" hidden="false" customHeight="false" outlineLevel="0" collapsed="false">
      <c r="A18" s="43" t="s">
        <v>1561</v>
      </c>
    </row>
    <row r="19" customFormat="false" ht="32.8" hidden="false" customHeight="false" outlineLevel="0" collapsed="false">
      <c r="A19" s="74" t="s">
        <v>152</v>
      </c>
      <c r="B19" s="74" t="s">
        <v>1562</v>
      </c>
      <c r="C19" s="74" t="s">
        <v>1563</v>
      </c>
      <c r="D19" s="74" t="s">
        <v>1564</v>
      </c>
      <c r="E19" s="74" t="s">
        <v>1565</v>
      </c>
      <c r="F19" s="74" t="s">
        <v>1566</v>
      </c>
      <c r="G19" s="74" t="s">
        <v>1567</v>
      </c>
      <c r="H19" s="74" t="s">
        <v>1568</v>
      </c>
      <c r="I19" s="74" t="s">
        <v>1569</v>
      </c>
      <c r="J19" s="74" t="s">
        <v>1570</v>
      </c>
    </row>
    <row r="20" customFormat="false" ht="15" hidden="false" customHeight="false" outlineLevel="0" collapsed="false">
      <c r="A20" s="113" t="s">
        <v>189</v>
      </c>
      <c r="B20" s="49" t="n">
        <f aca="false">COUNTIF($A$5:$A$16,$A20)</f>
        <v>4</v>
      </c>
      <c r="C20" s="49" t="n">
        <f aca="false">ROUND(AVERAGEIF($A$5:$A$16,$A20,$C$5:$C$16),1)</f>
        <v>59.6</v>
      </c>
      <c r="D20" s="49" t="n">
        <f aca="false">COUNTIFS($A$5:$A$16,$A20,$F$5:$F$16,"세로형*")</f>
        <v>3</v>
      </c>
      <c r="E20" s="49" t="n">
        <f aca="false">COUNTIFS($A$5:$A$16,$A20,$F$5:$F$16,"정사각형*")</f>
        <v>1</v>
      </c>
      <c r="F20" s="49" t="n">
        <f aca="false">COUNTIFS($A$5:$A$16,$A20,$F$5:$F$16,"가로형*")</f>
        <v>0</v>
      </c>
      <c r="G20" s="49" t="n">
        <f aca="false">COUNTIFS($A$5:$A$16,$A20,$H$5:$H$16,"있음")</f>
        <v>4</v>
      </c>
      <c r="H20" s="49" t="n">
        <f aca="false">COUNTIFS($A$5:$A$16,$A20,$N$5:$N$16,"있음*")</f>
        <v>4</v>
      </c>
      <c r="I20" s="49" t="n">
        <f aca="false">ROUND(AVERAGEIF($A$5:$A$16,$A20,$O$5:$O$16),1)</f>
        <v>2</v>
      </c>
      <c r="J20" s="49" t="n">
        <f aca="false">COUNTIFS($A$5:$A$16,$A20,$Q$5:$Q$16,"예")</f>
        <v>4</v>
      </c>
    </row>
    <row r="21" customFormat="false" ht="15" hidden="false" customHeight="false" outlineLevel="0" collapsed="false">
      <c r="A21" s="113" t="s">
        <v>197</v>
      </c>
      <c r="B21" s="49" t="n">
        <f aca="false">COUNTIF($A$5:$A$16,$A21)</f>
        <v>4</v>
      </c>
      <c r="C21" s="49" t="n">
        <f aca="false">ROUND(AVERAGEIF($A$5:$A$16,$A21,$C$5:$C$16),1)</f>
        <v>27.2</v>
      </c>
      <c r="D21" s="49" t="n">
        <f aca="false">COUNTIFS($A$5:$A$16,$A21,$F$5:$F$16,"세로형*")</f>
        <v>0</v>
      </c>
      <c r="E21" s="49" t="n">
        <f aca="false">COUNTIFS($A$5:$A$16,$A21,$F$5:$F$16,"정사각형*")</f>
        <v>2</v>
      </c>
      <c r="F21" s="49" t="n">
        <f aca="false">COUNTIFS($A$5:$A$16,$A21,$F$5:$F$16,"가로형*")</f>
        <v>2</v>
      </c>
      <c r="G21" s="49" t="n">
        <f aca="false">COUNTIFS($A$5:$A$16,$A21,$H$5:$H$16,"있음")</f>
        <v>4</v>
      </c>
      <c r="H21" s="49" t="n">
        <f aca="false">COUNTIFS($A$5:$A$16,$A21,$N$5:$N$16,"있음*")</f>
        <v>1</v>
      </c>
      <c r="I21" s="49" t="n">
        <f aca="false">ROUND(AVERAGEIF($A$5:$A$16,$A21,$O$5:$O$16),1)</f>
        <v>6.5</v>
      </c>
      <c r="J21" s="49" t="n">
        <f aca="false">COUNTIFS($A$5:$A$16,$A21,$Q$5:$Q$16,"예")</f>
        <v>3</v>
      </c>
    </row>
    <row r="22" customFormat="false" ht="15" hidden="false" customHeight="false" outlineLevel="0" collapsed="false">
      <c r="A22" s="113" t="s">
        <v>184</v>
      </c>
      <c r="B22" s="49" t="n">
        <f aca="false">COUNTIF($A$5:$A$16,$A22)</f>
        <v>4</v>
      </c>
      <c r="C22" s="49" t="n">
        <f aca="false">ROUND(AVERAGEIF($A$5:$A$16,$A22,$C$5:$C$16),1)</f>
        <v>42.8</v>
      </c>
      <c r="D22" s="49" t="n">
        <f aca="false">COUNTIFS($A$5:$A$16,$A22,$F$5:$F$16,"세로형*")</f>
        <v>3</v>
      </c>
      <c r="E22" s="49" t="n">
        <f aca="false">COUNTIFS($A$5:$A$16,$A22,$F$5:$F$16,"정사각형*")</f>
        <v>1</v>
      </c>
      <c r="F22" s="49" t="n">
        <f aca="false">COUNTIFS($A$5:$A$16,$A22,$F$5:$F$16,"가로형*")</f>
        <v>0</v>
      </c>
      <c r="G22" s="49" t="n">
        <f aca="false">COUNTIFS($A$5:$A$16,$A22,$H$5:$H$16,"있음")</f>
        <v>1</v>
      </c>
      <c r="H22" s="49" t="n">
        <f aca="false">COUNTIFS($A$5:$A$16,$A22,$N$5:$N$16,"있음*")</f>
        <v>1</v>
      </c>
      <c r="I22" s="49" t="n">
        <f aca="false">ROUND(AVERAGEIF($A$5:$A$16,$A22,$O$5:$O$16),1)</f>
        <v>1.3</v>
      </c>
      <c r="J22" s="49" t="n">
        <f aca="false">COUNTIFS($A$5:$A$16,$A22,$Q$5:$Q$16,"예")</f>
        <v>3</v>
      </c>
    </row>
    <row r="23" customFormat="false" ht="15" hidden="false" customHeight="false" outlineLevel="0" collapsed="false">
      <c r="A23" s="80" t="s">
        <v>1571</v>
      </c>
      <c r="B23" s="49" t="n">
        <f aca="false">COUNTIF($A$5:$A$16,"*")</f>
        <v>12</v>
      </c>
      <c r="C23" s="49" t="n">
        <f aca="false">ROUND(AVERAGEIF($A$5:$A$16,"*",$C$5:$C$16),1)</f>
        <v>43.2</v>
      </c>
      <c r="D23" s="49" t="n">
        <f aca="false">COUNTIFS($A$5:$A$16,"*",$F$5:$F$16,"세로형*")</f>
        <v>6</v>
      </c>
      <c r="E23" s="49" t="n">
        <f aca="false">COUNTIFS($A$5:$A$16,"*",$F$5:$F$16,"정사각형*")</f>
        <v>4</v>
      </c>
      <c r="F23" s="49" t="n">
        <f aca="false">COUNTIFS($A$5:$A$16,"*",$F$5:$F$16,"가로형*")</f>
        <v>2</v>
      </c>
      <c r="G23" s="49" t="n">
        <f aca="false">COUNTIFS($A$5:$A$16,"*",$H$5:$H$16,"있음")</f>
        <v>9</v>
      </c>
      <c r="H23" s="49" t="n">
        <f aca="false">COUNTIFS($A$5:$A$16,"*",$N$5:$N$16,"있음*")</f>
        <v>6</v>
      </c>
      <c r="I23" s="49" t="n">
        <f aca="false">ROUND(AVERAGEIF($A$5:$A$16,"*",$O$5:$O$16),1)</f>
        <v>3.3</v>
      </c>
      <c r="J23" s="49" t="n">
        <f aca="false">COUNTIFS($A$5:$A$16,"*",$Q$5:$Q$16,"예")</f>
        <v>10</v>
      </c>
    </row>
    <row r="25" customFormat="false" ht="17.15" hidden="false" customHeight="false" outlineLevel="0" collapsed="false">
      <c r="A25" s="22" t="s">
        <v>1572</v>
      </c>
    </row>
    <row r="26" customFormat="false" ht="17.15" hidden="false" customHeight="false" outlineLevel="0" collapsed="false">
      <c r="A26" s="38" t="s">
        <v>1573</v>
      </c>
    </row>
    <row r="27" customFormat="false" ht="17.15" hidden="false" customHeight="false" outlineLevel="0" collapsed="false">
      <c r="A27" s="22" t="s">
        <v>1574</v>
      </c>
    </row>
    <row r="28" customFormat="false" ht="17.15" hidden="false" customHeight="false" outlineLevel="0" collapsed="false">
      <c r="A28" s="22" t="s">
        <v>1575</v>
      </c>
    </row>
    <row r="29" customFormat="false" ht="17.15" hidden="false" customHeight="false" outlineLevel="0" collapsed="false">
      <c r="A29" s="22" t="s">
        <v>1576</v>
      </c>
    </row>
    <row r="30" customFormat="false" ht="17.15" hidden="false" customHeight="false" outlineLevel="0" collapsed="false">
      <c r="A30" s="22" t="s">
        <v>1577</v>
      </c>
    </row>
  </sheetData>
  <dataValidations count="4">
    <dataValidation allowBlank="true" errorStyle="stop" operator="between" showDropDown="false" showErrorMessage="false" showInputMessage="false" sqref="T5:T16" type="list">
      <formula1>"있음,없음,모름"</formula1>
      <formula2>0</formula2>
    </dataValidation>
    <dataValidation allowBlank="true" errorStyle="stop" operator="between" showDropDown="false" showErrorMessage="false" showInputMessage="false" sqref="W5:W16" type="list">
      <formula1>"있음,없음,모름"</formula1>
      <formula2>0</formula2>
    </dataValidation>
    <dataValidation allowBlank="true" errorStyle="stop" operator="between" showDropDown="false" showErrorMessage="false" showInputMessage="false" sqref="X5:X16" type="list">
      <formula1>"맞음,안 맞음,모름"</formula1>
      <formula2>0</formula2>
    </dataValidation>
    <dataValidation allowBlank="true" errorStyle="stop" operator="between" showDropDown="false" showErrorMessage="false" showInputMessage="false" sqref="Y5:Y16" type="list">
      <formula1>"예,아니오,모름"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30"/>
    <col collapsed="false" customWidth="true" hidden="false" outlineLevel="0" max="8" min="8" style="0" width="18"/>
    <col collapsed="false" customWidth="true" hidden="false" outlineLevel="0" max="9" min="9" style="0" width="40"/>
  </cols>
  <sheetData>
    <row r="1" customFormat="false" ht="19.4" hidden="false" customHeight="false" outlineLevel="0" collapsed="false">
      <c r="A1" s="43" t="s">
        <v>1578</v>
      </c>
    </row>
    <row r="2" customFormat="false" ht="17.15" hidden="false" customHeight="false" outlineLevel="0" collapsed="false">
      <c r="A2" s="22" t="s">
        <v>1579</v>
      </c>
    </row>
    <row r="4" customFormat="false" ht="17.15" hidden="false" customHeight="false" outlineLevel="0" collapsed="false">
      <c r="A4" s="74" t="s">
        <v>1580</v>
      </c>
      <c r="B4" s="74" t="s">
        <v>1581</v>
      </c>
      <c r="C4" s="74" t="s">
        <v>1582</v>
      </c>
    </row>
    <row r="5" customFormat="false" ht="17.15" hidden="false" customHeight="false" outlineLevel="0" collapsed="false">
      <c r="A5" s="78" t="s">
        <v>1583</v>
      </c>
      <c r="B5" s="49" t="str">
        <f aca="false">COUNTIF('3-5 광고 소재 해부'!$Q$5:$Q$16,"예")&amp;" / "&amp;COUNTA('3-5 광고 소재 해부'!$A$5:$A$16)</f>
        <v>10 / 12</v>
      </c>
      <c r="C5" s="78" t="s">
        <v>1584</v>
      </c>
    </row>
    <row r="6" customFormat="false" ht="17.15" hidden="false" customHeight="false" outlineLevel="0" collapsed="false">
      <c r="A6" s="78" t="s">
        <v>1585</v>
      </c>
      <c r="B6" s="49" t="str">
        <f aca="false">COUNTIF('3-5 광고 소재 해부'!$F$5:$F$16,"세로형*")&amp;" / "&amp;COUNTA('3-5 광고 소재 해부'!$A$5:$A$16)</f>
        <v>6 / 12</v>
      </c>
      <c r="C6" s="78" t="s">
        <v>1586</v>
      </c>
    </row>
    <row r="7" customFormat="false" ht="17.15" hidden="false" customHeight="false" outlineLevel="0" collapsed="false">
      <c r="A7" s="78" t="s">
        <v>1587</v>
      </c>
      <c r="B7" s="49" t="n">
        <f aca="false">ROUND(AVERAGEIF('3-5 광고 소재 해부'!$A$5:$A$16,"Magic Sort!",'3-5 광고 소재 해부'!$C$5:$C$16),1)</f>
        <v>42.8</v>
      </c>
      <c r="C7" s="78" t="s">
        <v>1588</v>
      </c>
    </row>
    <row r="8" customFormat="false" ht="17.15" hidden="false" customHeight="false" outlineLevel="0" collapsed="false">
      <c r="A8" s="78" t="s">
        <v>1589</v>
      </c>
      <c r="B8" s="49" t="str">
        <f aca="false">COUNTIFS('3-5 광고 소재 해부'!$A$5:$A$16,"Royal Match",'3-5 광고 소재 해부'!$H$5:$H$16,"있음")&amp;" / 4"</f>
        <v>4 / 4</v>
      </c>
      <c r="C8" s="78" t="s">
        <v>1590</v>
      </c>
    </row>
    <row r="9" customFormat="false" ht="17.15" hidden="false" customHeight="false" outlineLevel="0" collapsed="false">
      <c r="A9" s="78" t="s">
        <v>1591</v>
      </c>
      <c r="B9" s="49" t="n">
        <f aca="false">ROUND(AVERAGEIF('3-5 광고 소재 해부'!$A$5:$A$16,"Magic Sort!",'3-5 광고 소재 해부'!$O$5:$O$16),1)</f>
        <v>1.3</v>
      </c>
      <c r="C9" s="78" t="s">
        <v>1592</v>
      </c>
    </row>
    <row r="12" customFormat="false" ht="19.4" hidden="false" customHeight="false" outlineLevel="0" collapsed="false">
      <c r="A12" s="43" t="s">
        <v>1593</v>
      </c>
    </row>
    <row r="13" customFormat="false" ht="32.8" hidden="false" customHeight="false" outlineLevel="0" collapsed="false">
      <c r="A13" s="74" t="s">
        <v>1594</v>
      </c>
      <c r="B13" s="75" t="s">
        <v>1595</v>
      </c>
      <c r="C13" s="75" t="s">
        <v>1596</v>
      </c>
      <c r="D13" s="74" t="s">
        <v>1597</v>
      </c>
      <c r="E13" s="74" t="s">
        <v>1598</v>
      </c>
      <c r="F13" s="74" t="s">
        <v>1599</v>
      </c>
      <c r="G13" s="74" t="s">
        <v>1600</v>
      </c>
      <c r="H13" s="75" t="s">
        <v>1601</v>
      </c>
      <c r="I13" s="74" t="s">
        <v>509</v>
      </c>
    </row>
    <row r="14" customFormat="false" ht="32.8" hidden="false" customHeight="false" outlineLevel="0" collapsed="false">
      <c r="A14" s="36" t="s">
        <v>1602</v>
      </c>
      <c r="B14" s="86" t="s">
        <v>1603</v>
      </c>
      <c r="C14" s="86" t="s">
        <v>1603</v>
      </c>
      <c r="D14" s="37" t="s">
        <v>1604</v>
      </c>
      <c r="E14" s="37" t="s">
        <v>1605</v>
      </c>
      <c r="F14" s="37" t="s">
        <v>1606</v>
      </c>
      <c r="G14" s="37" t="s">
        <v>1607</v>
      </c>
      <c r="H14" s="37" t="s">
        <v>1608</v>
      </c>
      <c r="I14" s="18" t="s">
        <v>1609</v>
      </c>
    </row>
    <row r="15" customFormat="false" ht="32.8" hidden="false" customHeight="false" outlineLevel="0" collapsed="false">
      <c r="A15" s="36" t="s">
        <v>1610</v>
      </c>
      <c r="B15" s="86" t="s">
        <v>1611</v>
      </c>
      <c r="C15" s="86" t="s">
        <v>1612</v>
      </c>
      <c r="D15" s="37" t="s">
        <v>1613</v>
      </c>
      <c r="E15" s="37" t="s">
        <v>1614</v>
      </c>
      <c r="F15" s="37" t="s">
        <v>1615</v>
      </c>
      <c r="G15" s="37" t="s">
        <v>1616</v>
      </c>
      <c r="H15" s="37" t="s">
        <v>1617</v>
      </c>
      <c r="I15" s="18" t="s">
        <v>1618</v>
      </c>
    </row>
    <row r="16" customFormat="false" ht="32.8" hidden="false" customHeight="false" outlineLevel="0" collapsed="false">
      <c r="A16" s="36" t="s">
        <v>1619</v>
      </c>
      <c r="B16" s="86" t="s">
        <v>1620</v>
      </c>
      <c r="C16" s="86" t="s">
        <v>1621</v>
      </c>
      <c r="D16" s="37" t="s">
        <v>1622</v>
      </c>
      <c r="E16" s="37" t="s">
        <v>1623</v>
      </c>
      <c r="F16" s="37" t="s">
        <v>1624</v>
      </c>
      <c r="G16" s="37" t="s">
        <v>1625</v>
      </c>
      <c r="H16" s="37" t="s">
        <v>1626</v>
      </c>
      <c r="I16" s="18" t="s">
        <v>1627</v>
      </c>
    </row>
    <row r="17" customFormat="false" ht="29.85" hidden="false" customHeight="false" outlineLevel="0" collapsed="false">
      <c r="A17" s="36" t="s">
        <v>1628</v>
      </c>
      <c r="B17" s="86" t="s">
        <v>1629</v>
      </c>
      <c r="C17" s="86" t="s">
        <v>1630</v>
      </c>
      <c r="D17" s="37" t="s">
        <v>1631</v>
      </c>
      <c r="E17" s="37" t="s">
        <v>1632</v>
      </c>
      <c r="F17" s="37" t="s">
        <v>1633</v>
      </c>
      <c r="G17" s="37" t="s">
        <v>1634</v>
      </c>
      <c r="H17" s="37" t="s">
        <v>1635</v>
      </c>
      <c r="I17" s="18" t="s">
        <v>1636</v>
      </c>
    </row>
    <row r="18" customFormat="false" ht="29.85" hidden="false" customHeight="false" outlineLevel="0" collapsed="false">
      <c r="A18" s="36" t="s">
        <v>1637</v>
      </c>
      <c r="B18" s="86" t="s">
        <v>1638</v>
      </c>
      <c r="C18" s="86" t="s">
        <v>1639</v>
      </c>
      <c r="D18" s="37" t="s">
        <v>1640</v>
      </c>
      <c r="E18" s="86" t="s">
        <v>692</v>
      </c>
      <c r="F18" s="37" t="s">
        <v>1641</v>
      </c>
      <c r="G18" s="37" t="s">
        <v>1642</v>
      </c>
      <c r="H18" s="37" t="s">
        <v>1635</v>
      </c>
      <c r="I18" s="18" t="s">
        <v>1643</v>
      </c>
    </row>
    <row r="20" customFormat="false" ht="19.4" hidden="false" customHeight="false" outlineLevel="0" collapsed="false">
      <c r="A20" s="43" t="s">
        <v>1644</v>
      </c>
    </row>
    <row r="21" customFormat="false" ht="17.15" hidden="false" customHeight="false" outlineLevel="0" collapsed="false">
      <c r="A21" s="91" t="s">
        <v>1645</v>
      </c>
    </row>
    <row r="22" customFormat="false" ht="17.15" hidden="false" customHeight="false" outlineLevel="0" collapsed="false">
      <c r="A22" s="91" t="s">
        <v>1646</v>
      </c>
    </row>
    <row r="23" customFormat="false" ht="17.15" hidden="false" customHeight="false" outlineLevel="0" collapsed="false">
      <c r="A23" s="91" t="s">
        <v>1647</v>
      </c>
    </row>
    <row r="24" customFormat="false" ht="17.15" hidden="false" customHeight="false" outlineLevel="0" collapsed="false">
      <c r="A24" s="91" t="s">
        <v>1648</v>
      </c>
    </row>
    <row r="25" customFormat="false" ht="17.15" hidden="false" customHeight="false" outlineLevel="0" collapsed="false">
      <c r="A25" s="91" t="s">
        <v>1649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60"/>
  </cols>
  <sheetData>
    <row r="1" customFormat="false" ht="29.85" hidden="false" customHeight="false" outlineLevel="0" collapsed="false">
      <c r="A1" s="19" t="s">
        <v>1036</v>
      </c>
      <c r="B1" s="19" t="s">
        <v>1443</v>
      </c>
      <c r="C1" s="24" t="s">
        <v>1650</v>
      </c>
      <c r="D1" s="24" t="s">
        <v>1651</v>
      </c>
      <c r="E1" s="24" t="s">
        <v>1652</v>
      </c>
      <c r="F1" s="19" t="s">
        <v>1653</v>
      </c>
      <c r="G1" s="19" t="s">
        <v>1143</v>
      </c>
      <c r="I1" s="122" t="s">
        <v>1654</v>
      </c>
    </row>
    <row r="2" customFormat="false" ht="17.15" hidden="false" customHeight="false" outlineLevel="0" collapsed="false">
      <c r="A2" s="79" t="s">
        <v>629</v>
      </c>
      <c r="B2" s="78" t="s">
        <v>1655</v>
      </c>
      <c r="C2" s="123" t="n">
        <v>0.2328</v>
      </c>
      <c r="D2" s="123" t="n">
        <v>0.369</v>
      </c>
      <c r="E2" s="123" t="n">
        <v>0.5089</v>
      </c>
      <c r="F2" s="78" t="s">
        <v>1656</v>
      </c>
      <c r="G2" s="78" t="s">
        <v>1657</v>
      </c>
    </row>
    <row r="3" customFormat="false" ht="17.15" hidden="false" customHeight="false" outlineLevel="0" collapsed="false">
      <c r="A3" s="79" t="s">
        <v>629</v>
      </c>
      <c r="B3" s="78" t="s">
        <v>1658</v>
      </c>
      <c r="C3" s="123" t="n">
        <v>0.0497</v>
      </c>
      <c r="D3" s="123" t="n">
        <v>0.1258</v>
      </c>
      <c r="E3" s="123" t="n">
        <v>0.2478</v>
      </c>
      <c r="F3" s="78" t="s">
        <v>1656</v>
      </c>
      <c r="G3" s="78" t="s">
        <v>1657</v>
      </c>
    </row>
    <row r="4" customFormat="false" ht="17.15" hidden="false" customHeight="false" outlineLevel="0" collapsed="false">
      <c r="A4" s="79" t="s">
        <v>629</v>
      </c>
      <c r="B4" s="78" t="s">
        <v>1659</v>
      </c>
      <c r="C4" s="123" t="n">
        <v>0.0118</v>
      </c>
      <c r="D4" s="123" t="n">
        <v>0.0478</v>
      </c>
      <c r="E4" s="123" t="n">
        <v>0.1326</v>
      </c>
      <c r="F4" s="78" t="s">
        <v>1656</v>
      </c>
      <c r="G4" s="78" t="s">
        <v>1657</v>
      </c>
    </row>
    <row r="5" customFormat="false" ht="17.15" hidden="false" customHeight="false" outlineLevel="0" collapsed="false">
      <c r="A5" s="79" t="s">
        <v>629</v>
      </c>
      <c r="B5" s="79" t="s">
        <v>1660</v>
      </c>
      <c r="C5" s="124" t="n">
        <v>14.45</v>
      </c>
      <c r="D5" s="124" t="n">
        <v>45.84</v>
      </c>
      <c r="E5" s="124" t="n">
        <v>89.43</v>
      </c>
      <c r="F5" s="79" t="s">
        <v>1661</v>
      </c>
      <c r="G5" s="78" t="s">
        <v>1657</v>
      </c>
    </row>
    <row r="6" customFormat="false" ht="17.15" hidden="false" customHeight="false" outlineLevel="0" collapsed="false">
      <c r="A6" s="79" t="s">
        <v>629</v>
      </c>
      <c r="B6" s="79" t="s">
        <v>1662</v>
      </c>
      <c r="C6" s="124" t="n">
        <v>3.64</v>
      </c>
      <c r="D6" s="124" t="n">
        <v>8.5</v>
      </c>
      <c r="E6" s="124" t="n">
        <v>20.22</v>
      </c>
      <c r="F6" s="79" t="s">
        <v>1661</v>
      </c>
      <c r="G6" s="78" t="s">
        <v>1657</v>
      </c>
    </row>
    <row r="7" customFormat="false" ht="17.15" hidden="false" customHeight="false" outlineLevel="0" collapsed="false">
      <c r="A7" s="79" t="s">
        <v>629</v>
      </c>
      <c r="B7" s="79" t="s">
        <v>658</v>
      </c>
      <c r="C7" s="124" t="n">
        <v>4.23</v>
      </c>
      <c r="D7" s="124" t="n">
        <v>7.59</v>
      </c>
      <c r="E7" s="124" t="n">
        <v>12.85</v>
      </c>
      <c r="F7" s="79" t="s">
        <v>1663</v>
      </c>
      <c r="G7" s="78" t="s">
        <v>1657</v>
      </c>
    </row>
    <row r="8" customFormat="false" ht="17.15" hidden="false" customHeight="false" outlineLevel="0" collapsed="false">
      <c r="A8" s="79" t="s">
        <v>1664</v>
      </c>
      <c r="B8" s="78" t="s">
        <v>1655</v>
      </c>
      <c r="C8" s="123" t="n">
        <v>0.2137</v>
      </c>
      <c r="D8" s="123" t="n">
        <v>0.3424</v>
      </c>
      <c r="E8" s="123" t="n">
        <v>0.4683</v>
      </c>
      <c r="F8" s="78" t="s">
        <v>1656</v>
      </c>
      <c r="G8" s="78" t="s">
        <v>1657</v>
      </c>
    </row>
    <row r="9" customFormat="false" ht="17.15" hidden="false" customHeight="false" outlineLevel="0" collapsed="false">
      <c r="A9" s="79" t="s">
        <v>1664</v>
      </c>
      <c r="B9" s="78" t="s">
        <v>1658</v>
      </c>
      <c r="C9" s="123" t="n">
        <v>0.0371</v>
      </c>
      <c r="D9" s="123" t="n">
        <v>0.096</v>
      </c>
      <c r="E9" s="123" t="n">
        <v>0.1815</v>
      </c>
      <c r="F9" s="78" t="s">
        <v>1656</v>
      </c>
      <c r="G9" s="78" t="s">
        <v>1657</v>
      </c>
    </row>
    <row r="10" customFormat="false" ht="17.15" hidden="false" customHeight="false" outlineLevel="0" collapsed="false">
      <c r="A10" s="79" t="s">
        <v>1664</v>
      </c>
      <c r="B10" s="78" t="s">
        <v>1659</v>
      </c>
      <c r="C10" s="123" t="n">
        <v>0.0078</v>
      </c>
      <c r="D10" s="123" t="n">
        <v>0.0285</v>
      </c>
      <c r="E10" s="123" t="n">
        <v>0.081</v>
      </c>
      <c r="F10" s="78" t="s">
        <v>1656</v>
      </c>
      <c r="G10" s="78" t="s">
        <v>1657</v>
      </c>
    </row>
    <row r="11" customFormat="false" ht="17.15" hidden="false" customHeight="false" outlineLevel="0" collapsed="false">
      <c r="A11" s="79" t="s">
        <v>1664</v>
      </c>
      <c r="B11" s="79" t="s">
        <v>1660</v>
      </c>
      <c r="C11" s="124" t="n">
        <v>12.41</v>
      </c>
      <c r="D11" s="124" t="n">
        <v>36.42</v>
      </c>
      <c r="E11" s="124" t="n">
        <v>66.26</v>
      </c>
      <c r="F11" s="79" t="s">
        <v>1661</v>
      </c>
      <c r="G11" s="78" t="s">
        <v>1657</v>
      </c>
    </row>
    <row r="12" customFormat="false" ht="17.15" hidden="false" customHeight="false" outlineLevel="0" collapsed="false">
      <c r="A12" s="79" t="s">
        <v>1664</v>
      </c>
      <c r="B12" s="79" t="s">
        <v>1662</v>
      </c>
      <c r="C12" s="124" t="n">
        <v>2.83</v>
      </c>
      <c r="D12" s="124" t="n">
        <v>6.25</v>
      </c>
      <c r="E12" s="124" t="n">
        <v>17.32</v>
      </c>
      <c r="F12" s="79" t="s">
        <v>1661</v>
      </c>
      <c r="G12" s="78" t="s">
        <v>1657</v>
      </c>
    </row>
    <row r="13" customFormat="false" ht="17.15" hidden="false" customHeight="false" outlineLevel="0" collapsed="false">
      <c r="A13" s="79" t="s">
        <v>1664</v>
      </c>
      <c r="B13" s="79" t="s">
        <v>658</v>
      </c>
      <c r="C13" s="124" t="n">
        <v>4.9</v>
      </c>
      <c r="D13" s="124" t="n">
        <v>7.62</v>
      </c>
      <c r="E13" s="124" t="n">
        <v>11.06</v>
      </c>
      <c r="F13" s="79" t="s">
        <v>1663</v>
      </c>
      <c r="G13" s="78" t="s">
        <v>1657</v>
      </c>
    </row>
    <row r="14" customFormat="false" ht="17.15" hidden="false" customHeight="false" outlineLevel="0" collapsed="false">
      <c r="A14" s="79" t="s">
        <v>636</v>
      </c>
      <c r="B14" s="78" t="s">
        <v>1655</v>
      </c>
      <c r="C14" s="123" t="n">
        <v>0.2009</v>
      </c>
      <c r="D14" s="123" t="n">
        <v>0.3406</v>
      </c>
      <c r="E14" s="123" t="n">
        <v>0.4689</v>
      </c>
      <c r="F14" s="78" t="s">
        <v>1656</v>
      </c>
      <c r="G14" s="78" t="s">
        <v>1657</v>
      </c>
    </row>
    <row r="15" customFormat="false" ht="17.15" hidden="false" customHeight="false" outlineLevel="0" collapsed="false">
      <c r="A15" s="79" t="s">
        <v>636</v>
      </c>
      <c r="B15" s="78" t="s">
        <v>1658</v>
      </c>
      <c r="C15" s="123" t="n">
        <v>0.0325</v>
      </c>
      <c r="D15" s="123" t="n">
        <v>0.0914</v>
      </c>
      <c r="E15" s="123" t="n">
        <v>0.1894</v>
      </c>
      <c r="F15" s="78" t="s">
        <v>1656</v>
      </c>
      <c r="G15" s="78" t="s">
        <v>1657</v>
      </c>
    </row>
    <row r="16" customFormat="false" ht="17.15" hidden="false" customHeight="false" outlineLevel="0" collapsed="false">
      <c r="A16" s="79" t="s">
        <v>636</v>
      </c>
      <c r="B16" s="78" t="s">
        <v>1659</v>
      </c>
      <c r="C16" s="123" t="n">
        <v>0.0065</v>
      </c>
      <c r="D16" s="123" t="n">
        <v>0.0254</v>
      </c>
      <c r="E16" s="123" t="n">
        <v>0.0793</v>
      </c>
      <c r="F16" s="78" t="s">
        <v>1656</v>
      </c>
      <c r="G16" s="78" t="s">
        <v>1657</v>
      </c>
    </row>
    <row r="17" customFormat="false" ht="17.15" hidden="false" customHeight="false" outlineLevel="0" collapsed="false">
      <c r="A17" s="79" t="s">
        <v>636</v>
      </c>
      <c r="B17" s="79" t="s">
        <v>1660</v>
      </c>
      <c r="C17" s="124" t="n">
        <v>11.14</v>
      </c>
      <c r="D17" s="124" t="n">
        <v>35.77</v>
      </c>
      <c r="E17" s="124" t="n">
        <v>67.52</v>
      </c>
      <c r="F17" s="79" t="s">
        <v>1661</v>
      </c>
      <c r="G17" s="78" t="s">
        <v>1657</v>
      </c>
    </row>
    <row r="18" customFormat="false" ht="17.15" hidden="false" customHeight="false" outlineLevel="0" collapsed="false">
      <c r="A18" s="79" t="s">
        <v>636</v>
      </c>
      <c r="B18" s="79" t="s">
        <v>1662</v>
      </c>
      <c r="C18" s="124" t="n">
        <v>2.77</v>
      </c>
      <c r="D18" s="124" t="n">
        <v>6.44</v>
      </c>
      <c r="E18" s="124" t="n">
        <v>15.62</v>
      </c>
      <c r="F18" s="79" t="s">
        <v>1661</v>
      </c>
      <c r="G18" s="78" t="s">
        <v>1657</v>
      </c>
    </row>
    <row r="19" customFormat="false" ht="17.15" hidden="false" customHeight="false" outlineLevel="0" collapsed="false">
      <c r="A19" s="79" t="s">
        <v>636</v>
      </c>
      <c r="B19" s="79" t="s">
        <v>658</v>
      </c>
      <c r="C19" s="124" t="n">
        <v>4.49</v>
      </c>
      <c r="D19" s="124" t="n">
        <v>7.32</v>
      </c>
      <c r="E19" s="124" t="n">
        <v>10.49</v>
      </c>
      <c r="F19" s="79" t="s">
        <v>1663</v>
      </c>
      <c r="G19" s="78" t="s">
        <v>1657</v>
      </c>
    </row>
    <row r="20" customFormat="false" ht="17.15" hidden="false" customHeight="false" outlineLevel="0" collapsed="false">
      <c r="A20" s="79" t="s">
        <v>637</v>
      </c>
      <c r="B20" s="78" t="s">
        <v>1655</v>
      </c>
      <c r="C20" s="123" t="n">
        <v>0.175</v>
      </c>
      <c r="D20" s="123" t="n">
        <v>0.3277</v>
      </c>
      <c r="E20" s="123" t="n">
        <v>0.4558</v>
      </c>
      <c r="F20" s="78" t="s">
        <v>1656</v>
      </c>
      <c r="G20" s="78" t="s">
        <v>1657</v>
      </c>
    </row>
    <row r="21" customFormat="false" ht="17.15" hidden="false" customHeight="false" outlineLevel="0" collapsed="false">
      <c r="A21" s="79" t="s">
        <v>637</v>
      </c>
      <c r="B21" s="78" t="s">
        <v>1658</v>
      </c>
      <c r="C21" s="123" t="n">
        <v>0.0268</v>
      </c>
      <c r="D21" s="123" t="n">
        <v>0.0865</v>
      </c>
      <c r="E21" s="123" t="n">
        <v>0.2008</v>
      </c>
      <c r="F21" s="78" t="s">
        <v>1656</v>
      </c>
      <c r="G21" s="78" t="s">
        <v>1657</v>
      </c>
    </row>
    <row r="22" customFormat="false" ht="17.15" hidden="false" customHeight="false" outlineLevel="0" collapsed="false">
      <c r="A22" s="79" t="s">
        <v>637</v>
      </c>
      <c r="B22" s="78" t="s">
        <v>1659</v>
      </c>
      <c r="C22" s="123" t="n">
        <v>0.0053</v>
      </c>
      <c r="D22" s="123" t="n">
        <v>0.0259</v>
      </c>
      <c r="E22" s="123" t="n">
        <v>0.1005</v>
      </c>
      <c r="F22" s="78" t="s">
        <v>1656</v>
      </c>
      <c r="G22" s="78" t="s">
        <v>1657</v>
      </c>
    </row>
    <row r="23" customFormat="false" ht="17.15" hidden="false" customHeight="false" outlineLevel="0" collapsed="false">
      <c r="A23" s="79" t="s">
        <v>637</v>
      </c>
      <c r="B23" s="79" t="s">
        <v>1660</v>
      </c>
      <c r="C23" s="124" t="n">
        <v>11.79</v>
      </c>
      <c r="D23" s="124" t="n">
        <v>40.72</v>
      </c>
      <c r="E23" s="124" t="n">
        <v>92.07</v>
      </c>
      <c r="F23" s="79" t="s">
        <v>1661</v>
      </c>
      <c r="G23" s="78" t="s">
        <v>1657</v>
      </c>
    </row>
    <row r="24" customFormat="false" ht="17.15" hidden="false" customHeight="false" outlineLevel="0" collapsed="false">
      <c r="A24" s="79" t="s">
        <v>637</v>
      </c>
      <c r="B24" s="79" t="s">
        <v>1662</v>
      </c>
      <c r="C24" s="124" t="n">
        <v>3.12</v>
      </c>
      <c r="D24" s="124" t="n">
        <v>7.15</v>
      </c>
      <c r="E24" s="124" t="n">
        <v>17.69</v>
      </c>
      <c r="F24" s="79" t="s">
        <v>1661</v>
      </c>
      <c r="G24" s="78" t="s">
        <v>1657</v>
      </c>
    </row>
    <row r="25" customFormat="false" ht="17.15" hidden="false" customHeight="false" outlineLevel="0" collapsed="false">
      <c r="A25" s="79" t="s">
        <v>637</v>
      </c>
      <c r="B25" s="79" t="s">
        <v>658</v>
      </c>
      <c r="C25" s="124" t="n">
        <v>4.19</v>
      </c>
      <c r="D25" s="124" t="n">
        <v>7.79</v>
      </c>
      <c r="E25" s="124" t="n">
        <v>13.32</v>
      </c>
      <c r="F25" s="79" t="s">
        <v>1663</v>
      </c>
      <c r="G25" s="78" t="s">
        <v>1657</v>
      </c>
    </row>
    <row r="27" customFormat="false" ht="17.15" hidden="false" customHeight="false" outlineLevel="0" collapsed="false">
      <c r="A27" s="22" t="s">
        <v>1665</v>
      </c>
    </row>
    <row r="28" customFormat="false" ht="17.15" hidden="false" customHeight="false" outlineLevel="0" collapsed="false">
      <c r="A28" s="22" t="s">
        <v>1666</v>
      </c>
    </row>
  </sheetData>
  <autoFilter ref="A1:G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U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14" min="3" style="0" width="8.5"/>
    <col collapsed="false" customWidth="true" hidden="false" outlineLevel="0" max="15" min="15" style="0" width="10"/>
    <col collapsed="false" customWidth="true" hidden="false" outlineLevel="0" max="17" min="16" style="0" width="9"/>
    <col collapsed="false" customWidth="true" hidden="false" outlineLevel="0" max="18" min="18" style="0" width="11"/>
    <col collapsed="false" customWidth="true" hidden="false" outlineLevel="0" max="19" min="19" style="0" width="14"/>
  </cols>
  <sheetData>
    <row r="1" customFormat="false" ht="20.1" hidden="false" customHeight="false" outlineLevel="0" collapsed="false">
      <c r="A1" s="125" t="s">
        <v>1667</v>
      </c>
      <c r="U1" s="122" t="s">
        <v>1668</v>
      </c>
    </row>
    <row r="2" customFormat="false" ht="17.15" hidden="false" customHeight="false" outlineLevel="0" collapsed="false">
      <c r="A2" s="65" t="s">
        <v>1669</v>
      </c>
    </row>
    <row r="3" customFormat="false" ht="17.15" hidden="false" customHeight="false" outlineLevel="0" collapsed="false">
      <c r="A3" s="22" t="s">
        <v>1670</v>
      </c>
    </row>
    <row r="5" customFormat="false" ht="19.4" hidden="false" customHeight="false" outlineLevel="0" collapsed="false">
      <c r="A5" s="126" t="s">
        <v>1671</v>
      </c>
    </row>
    <row r="6" customFormat="false" ht="45.75" hidden="false" customHeight="true" outlineLevel="0" collapsed="false">
      <c r="A6" s="19" t="s">
        <v>1672</v>
      </c>
      <c r="B6" s="19" t="s">
        <v>1673</v>
      </c>
      <c r="C6" s="24" t="s">
        <v>1674</v>
      </c>
      <c r="D6" s="24" t="s">
        <v>1675</v>
      </c>
      <c r="E6" s="24" t="s">
        <v>1676</v>
      </c>
      <c r="F6" s="24" t="s">
        <v>1677</v>
      </c>
      <c r="G6" s="24" t="s">
        <v>1678</v>
      </c>
      <c r="H6" s="24" t="s">
        <v>1679</v>
      </c>
      <c r="I6" s="24" t="s">
        <v>1680</v>
      </c>
      <c r="J6" s="24" t="s">
        <v>1681</v>
      </c>
      <c r="K6" s="24" t="s">
        <v>1682</v>
      </c>
      <c r="L6" s="24" t="s">
        <v>1683</v>
      </c>
      <c r="M6" s="24" t="s">
        <v>1684</v>
      </c>
      <c r="N6" s="24" t="s">
        <v>1685</v>
      </c>
      <c r="O6" s="19" t="s">
        <v>1686</v>
      </c>
      <c r="P6" s="19" t="s">
        <v>1687</v>
      </c>
      <c r="Q6" s="19" t="s">
        <v>1688</v>
      </c>
      <c r="R6" s="19" t="s">
        <v>1689</v>
      </c>
      <c r="S6" s="24" t="s">
        <v>1690</v>
      </c>
    </row>
    <row r="7" customFormat="false" ht="15" hidden="false" customHeight="false" outlineLevel="0" collapsed="false">
      <c r="A7" s="16" t="s">
        <v>683</v>
      </c>
      <c r="B7" s="127" t="s">
        <v>1691</v>
      </c>
      <c r="C7" s="123" t="n">
        <v>0.185</v>
      </c>
      <c r="D7" s="123" t="n">
        <v>0.1851</v>
      </c>
      <c r="E7" s="123" t="n">
        <v>0.1878</v>
      </c>
      <c r="F7" s="123" t="n">
        <v>0.1876</v>
      </c>
      <c r="G7" s="123" t="n">
        <v>0.187</v>
      </c>
      <c r="H7" s="123" t="n">
        <v>0.184</v>
      </c>
      <c r="I7" s="123" t="n">
        <v>0.1806</v>
      </c>
      <c r="J7" s="123" t="n">
        <v>0.1833</v>
      </c>
      <c r="K7" s="123" t="n">
        <v>0.1821</v>
      </c>
      <c r="L7" s="123" t="n">
        <v>0.1827</v>
      </c>
      <c r="M7" s="123" t="n">
        <v>0.18</v>
      </c>
      <c r="N7" s="123" t="n">
        <v>0.1772</v>
      </c>
      <c r="O7" s="128" t="n">
        <f aca="false">AVERAGE(C7:N7)</f>
        <v>0.183533333333333</v>
      </c>
      <c r="P7" s="129" t="n">
        <f aca="false">MIN(C7:N7)</f>
        <v>0.1772</v>
      </c>
      <c r="Q7" s="129" t="n">
        <f aca="false">MAX(C7:N7)</f>
        <v>0.1878</v>
      </c>
      <c r="R7" s="129" t="n">
        <f aca="false">Q7-P7</f>
        <v>0.0106</v>
      </c>
      <c r="S7" s="130" t="n">
        <f aca="false">RANK(O7,$O$7:$O$22)</f>
        <v>10</v>
      </c>
    </row>
    <row r="8" customFormat="false" ht="15" hidden="false" customHeight="false" outlineLevel="0" collapsed="false">
      <c r="A8" s="16" t="s">
        <v>686</v>
      </c>
      <c r="B8" s="127" t="s">
        <v>1692</v>
      </c>
      <c r="C8" s="123" t="n">
        <v>0.165</v>
      </c>
      <c r="D8" s="123" t="n">
        <v>0.1653</v>
      </c>
      <c r="E8" s="123" t="n">
        <v>0.1664</v>
      </c>
      <c r="F8" s="123" t="n">
        <v>0.1653</v>
      </c>
      <c r="G8" s="123" t="n">
        <v>0.1614</v>
      </c>
      <c r="H8" s="123" t="n">
        <v>0.1566</v>
      </c>
      <c r="I8" s="123" t="n">
        <v>0.1547</v>
      </c>
      <c r="J8" s="123" t="n">
        <v>0.1556</v>
      </c>
      <c r="K8" s="123" t="n">
        <v>0.1607</v>
      </c>
      <c r="L8" s="123" t="n">
        <v>0.1597</v>
      </c>
      <c r="M8" s="123" t="n">
        <v>0.1585</v>
      </c>
      <c r="N8" s="123" t="n">
        <v>0.157</v>
      </c>
      <c r="O8" s="128" t="n">
        <f aca="false">AVERAGE(C8:N8)</f>
        <v>0.160516666666667</v>
      </c>
      <c r="P8" s="129" t="n">
        <f aca="false">MIN(C8:N8)</f>
        <v>0.1547</v>
      </c>
      <c r="Q8" s="129" t="n">
        <f aca="false">MAX(C8:N8)</f>
        <v>0.1664</v>
      </c>
      <c r="R8" s="129" t="n">
        <f aca="false">Q8-P8</f>
        <v>0.0117</v>
      </c>
      <c r="S8" s="130" t="n">
        <f aca="false">RANK(O8,$O$7:$O$22)</f>
        <v>14</v>
      </c>
    </row>
    <row r="9" customFormat="false" ht="15" hidden="false" customHeight="false" outlineLevel="0" collapsed="false">
      <c r="A9" s="16" t="s">
        <v>1693</v>
      </c>
      <c r="B9" s="127" t="s">
        <v>1694</v>
      </c>
      <c r="C9" s="123" t="n">
        <v>0.2233</v>
      </c>
      <c r="D9" s="123" t="n">
        <v>0.2164</v>
      </c>
      <c r="E9" s="123" t="n">
        <v>0.2253</v>
      </c>
      <c r="F9" s="123" t="n">
        <v>0.2266</v>
      </c>
      <c r="G9" s="123" t="n">
        <v>0.2263</v>
      </c>
      <c r="H9" s="123" t="n">
        <v>0.2229</v>
      </c>
      <c r="I9" s="123" t="n">
        <v>0.2203</v>
      </c>
      <c r="J9" s="123" t="n">
        <v>0.2214</v>
      </c>
      <c r="K9" s="123" t="n">
        <v>0.2235</v>
      </c>
      <c r="L9" s="123" t="n">
        <v>0.2247</v>
      </c>
      <c r="M9" s="123" t="n">
        <v>0.2206</v>
      </c>
      <c r="N9" s="123" t="n">
        <v>0.2179</v>
      </c>
      <c r="O9" s="128" t="n">
        <f aca="false">AVERAGE(C9:N9)</f>
        <v>0.222433333333333</v>
      </c>
      <c r="P9" s="129" t="n">
        <f aca="false">MIN(C9:N9)</f>
        <v>0.2164</v>
      </c>
      <c r="Q9" s="129" t="n">
        <f aca="false">MAX(C9:N9)</f>
        <v>0.2266</v>
      </c>
      <c r="R9" s="129" t="n">
        <f aca="false">Q9-P9</f>
        <v>0.0102</v>
      </c>
      <c r="S9" s="130" t="n">
        <f aca="false">RANK(O9,$O$7:$O$22)</f>
        <v>1</v>
      </c>
    </row>
    <row r="10" customFormat="false" ht="15" hidden="false" customHeight="false" outlineLevel="0" collapsed="false">
      <c r="A10" s="16" t="s">
        <v>672</v>
      </c>
      <c r="B10" s="127" t="s">
        <v>1695</v>
      </c>
      <c r="C10" s="123" t="n">
        <v>0.1981</v>
      </c>
      <c r="D10" s="123" t="n">
        <v>0.2006</v>
      </c>
      <c r="E10" s="123" t="n">
        <v>0.1991</v>
      </c>
      <c r="F10" s="123" t="n">
        <v>0.1945</v>
      </c>
      <c r="G10" s="123" t="n">
        <v>0.195</v>
      </c>
      <c r="H10" s="123" t="n">
        <v>0.1894</v>
      </c>
      <c r="I10" s="123" t="n">
        <v>0.1885</v>
      </c>
      <c r="J10" s="123" t="n">
        <v>0.1862</v>
      </c>
      <c r="K10" s="123" t="n">
        <v>0.1867</v>
      </c>
      <c r="L10" s="123" t="n">
        <v>0.1874</v>
      </c>
      <c r="M10" s="123" t="n">
        <v>0.1864</v>
      </c>
      <c r="N10" s="123" t="n">
        <v>0.18</v>
      </c>
      <c r="O10" s="128" t="n">
        <f aca="false">AVERAGE(C10:N10)</f>
        <v>0.190991666666667</v>
      </c>
      <c r="P10" s="129" t="n">
        <f aca="false">MIN(C10:N10)</f>
        <v>0.18</v>
      </c>
      <c r="Q10" s="129" t="n">
        <f aca="false">MAX(C10:N10)</f>
        <v>0.2006</v>
      </c>
      <c r="R10" s="129" t="n">
        <f aca="false">Q10-P10</f>
        <v>0.0206</v>
      </c>
      <c r="S10" s="130" t="n">
        <f aca="false">RANK(O10,$O$7:$O$22)</f>
        <v>7</v>
      </c>
    </row>
    <row r="11" customFormat="false" ht="15" hidden="false" customHeight="false" outlineLevel="0" collapsed="false">
      <c r="A11" s="16" t="s">
        <v>690</v>
      </c>
      <c r="B11" s="127" t="s">
        <v>1696</v>
      </c>
      <c r="C11" s="123" t="n">
        <v>0.1905</v>
      </c>
      <c r="D11" s="123" t="n">
        <v>0.1939</v>
      </c>
      <c r="E11" s="123" t="n">
        <v>0.1916</v>
      </c>
      <c r="F11" s="123" t="n">
        <v>0.1886</v>
      </c>
      <c r="G11" s="123" t="n">
        <v>0.1934</v>
      </c>
      <c r="H11" s="123" t="n">
        <v>0.1874</v>
      </c>
      <c r="I11" s="123" t="n">
        <v>0.191</v>
      </c>
      <c r="J11" s="123" t="n">
        <v>0.1868</v>
      </c>
      <c r="K11" s="123" t="n">
        <v>0.1843</v>
      </c>
      <c r="L11" s="123" t="n">
        <v>0.1863</v>
      </c>
      <c r="M11" s="123" t="n">
        <v>0.1846</v>
      </c>
      <c r="N11" s="123" t="n">
        <v>0.1822</v>
      </c>
      <c r="O11" s="128" t="n">
        <f aca="false">AVERAGE(C11:N11)</f>
        <v>0.188383333333333</v>
      </c>
      <c r="P11" s="129" t="n">
        <f aca="false">MIN(C11:N11)</f>
        <v>0.1822</v>
      </c>
      <c r="Q11" s="129" t="n">
        <f aca="false">MAX(C11:N11)</f>
        <v>0.1939</v>
      </c>
      <c r="R11" s="129" t="n">
        <f aca="false">Q11-P11</f>
        <v>0.0117</v>
      </c>
      <c r="S11" s="130" t="n">
        <f aca="false">RANK(O11,$O$7:$O$22)</f>
        <v>8</v>
      </c>
    </row>
    <row r="12" customFormat="false" ht="15" hidden="false" customHeight="false" outlineLevel="0" collapsed="false">
      <c r="A12" s="16" t="s">
        <v>1697</v>
      </c>
      <c r="B12" s="127" t="s">
        <v>1076</v>
      </c>
      <c r="C12" s="123" t="n">
        <v>0.1991</v>
      </c>
      <c r="D12" s="123" t="n">
        <v>0.2014</v>
      </c>
      <c r="E12" s="123" t="n">
        <v>0.2038</v>
      </c>
      <c r="F12" s="123" t="n">
        <v>0.1977</v>
      </c>
      <c r="G12" s="123" t="n">
        <v>0.1931</v>
      </c>
      <c r="H12" s="123" t="n">
        <v>0.1883</v>
      </c>
      <c r="I12" s="123" t="n">
        <v>0.1918</v>
      </c>
      <c r="J12" s="123" t="n">
        <v>0.1874</v>
      </c>
      <c r="K12" s="123" t="n">
        <v>0.1872</v>
      </c>
      <c r="L12" s="123" t="n">
        <v>0.1876</v>
      </c>
      <c r="M12" s="123" t="n">
        <v>0.1939</v>
      </c>
      <c r="N12" s="123" t="n">
        <v>0.1946</v>
      </c>
      <c r="O12" s="128" t="n">
        <f aca="false">AVERAGE(C12:N12)</f>
        <v>0.193825</v>
      </c>
      <c r="P12" s="129" t="n">
        <f aca="false">MIN(C12:N12)</f>
        <v>0.1872</v>
      </c>
      <c r="Q12" s="129" t="n">
        <f aca="false">MAX(C12:N12)</f>
        <v>0.2038</v>
      </c>
      <c r="R12" s="129" t="n">
        <f aca="false">Q12-P12</f>
        <v>0.0166</v>
      </c>
      <c r="S12" s="130" t="n">
        <f aca="false">RANK(O12,$O$7:$O$22)</f>
        <v>5</v>
      </c>
    </row>
    <row r="13" customFormat="false" ht="15" hidden="false" customHeight="false" outlineLevel="0" collapsed="false">
      <c r="A13" s="16" t="s">
        <v>669</v>
      </c>
      <c r="B13" s="127" t="s">
        <v>630</v>
      </c>
      <c r="C13" s="123" t="n">
        <v>0.2018</v>
      </c>
      <c r="D13" s="123" t="n">
        <v>0.2002</v>
      </c>
      <c r="E13" s="123" t="n">
        <v>0.2091</v>
      </c>
      <c r="F13" s="123" t="n">
        <v>0.2092</v>
      </c>
      <c r="G13" s="123" t="n">
        <v>0.2111</v>
      </c>
      <c r="H13" s="123" t="n">
        <v>0.2098</v>
      </c>
      <c r="I13" s="123" t="n">
        <v>0.2064</v>
      </c>
      <c r="J13" s="123" t="n">
        <v>0.2065</v>
      </c>
      <c r="K13" s="123" t="n">
        <v>0.2102</v>
      </c>
      <c r="L13" s="123" t="n">
        <v>0.2092</v>
      </c>
      <c r="M13" s="123" t="n">
        <v>0.2042</v>
      </c>
      <c r="N13" s="123" t="n">
        <v>0.2003</v>
      </c>
      <c r="O13" s="128" t="n">
        <f aca="false">AVERAGE(C13:N13)</f>
        <v>0.2065</v>
      </c>
      <c r="P13" s="129" t="n">
        <f aca="false">MIN(C13:N13)</f>
        <v>0.2002</v>
      </c>
      <c r="Q13" s="129" t="n">
        <f aca="false">MAX(C13:N13)</f>
        <v>0.2111</v>
      </c>
      <c r="R13" s="129" t="n">
        <f aca="false">Q13-P13</f>
        <v>0.0109</v>
      </c>
      <c r="S13" s="130" t="n">
        <f aca="false">RANK(O13,$O$7:$O$22)</f>
        <v>2</v>
      </c>
    </row>
    <row r="14" customFormat="false" ht="15" hidden="false" customHeight="false" outlineLevel="0" collapsed="false">
      <c r="A14" s="16" t="s">
        <v>1698</v>
      </c>
      <c r="B14" s="127" t="s">
        <v>1699</v>
      </c>
      <c r="C14" s="123" t="n">
        <v>0.128</v>
      </c>
      <c r="D14" s="123" t="n">
        <v>0.1217</v>
      </c>
      <c r="E14" s="123" t="n">
        <v>0.1211</v>
      </c>
      <c r="F14" s="123" t="n">
        <v>0.1147</v>
      </c>
      <c r="G14" s="123" t="n">
        <v>0.1127</v>
      </c>
      <c r="H14" s="123" t="n">
        <v>0.1118</v>
      </c>
      <c r="I14" s="123" t="n">
        <v>0.1107</v>
      </c>
      <c r="J14" s="123" t="n">
        <v>0.1109</v>
      </c>
      <c r="K14" s="123" t="n">
        <v>0.1111</v>
      </c>
      <c r="L14" s="123" t="n">
        <v>0.1122</v>
      </c>
      <c r="M14" s="123" t="n">
        <v>0.1118</v>
      </c>
      <c r="N14" s="123" t="n">
        <v>0.1086</v>
      </c>
      <c r="O14" s="128" t="n">
        <f aca="false">AVERAGE(C14:N14)</f>
        <v>0.114608333333333</v>
      </c>
      <c r="P14" s="129" t="n">
        <f aca="false">MIN(C14:N14)</f>
        <v>0.1086</v>
      </c>
      <c r="Q14" s="129" t="n">
        <f aca="false">MAX(C14:N14)</f>
        <v>0.128</v>
      </c>
      <c r="R14" s="129" t="n">
        <f aca="false">Q14-P14</f>
        <v>0.0194</v>
      </c>
      <c r="S14" s="130" t="n">
        <f aca="false">RANK(O14,$O$7:$O$22)</f>
        <v>16</v>
      </c>
    </row>
    <row r="15" customFormat="false" ht="15" hidden="false" customHeight="false" outlineLevel="0" collapsed="false">
      <c r="A15" s="16" t="s">
        <v>662</v>
      </c>
      <c r="B15" s="127" t="s">
        <v>753</v>
      </c>
      <c r="C15" s="123" t="n">
        <v>0.2053</v>
      </c>
      <c r="D15" s="123" t="n">
        <v>0.2047</v>
      </c>
      <c r="E15" s="123" t="n">
        <v>0.2074</v>
      </c>
      <c r="F15" s="123" t="n">
        <v>0.2051</v>
      </c>
      <c r="G15" s="123" t="n">
        <v>0.2045</v>
      </c>
      <c r="H15" s="123" t="n">
        <v>0.2028</v>
      </c>
      <c r="I15" s="123" t="n">
        <v>0.199</v>
      </c>
      <c r="J15" s="123" t="n">
        <v>0.2005</v>
      </c>
      <c r="K15" s="123" t="n">
        <v>0.2011</v>
      </c>
      <c r="L15" s="123" t="n">
        <v>0.1999</v>
      </c>
      <c r="M15" s="123" t="n">
        <v>0.1977</v>
      </c>
      <c r="N15" s="123" t="n">
        <v>0.1966</v>
      </c>
      <c r="O15" s="128" t="n">
        <f aca="false">AVERAGE(C15:N15)</f>
        <v>0.20205</v>
      </c>
      <c r="P15" s="129" t="n">
        <f aca="false">MIN(C15:N15)</f>
        <v>0.1966</v>
      </c>
      <c r="Q15" s="129" t="n">
        <f aca="false">MAX(C15:N15)</f>
        <v>0.2074</v>
      </c>
      <c r="R15" s="129" t="n">
        <f aca="false">Q15-P15</f>
        <v>0.0108</v>
      </c>
      <c r="S15" s="130" t="n">
        <f aca="false">RANK(O15,$O$7:$O$22)</f>
        <v>3</v>
      </c>
    </row>
    <row r="16" customFormat="false" ht="15" hidden="false" customHeight="false" outlineLevel="0" collapsed="false">
      <c r="A16" s="16" t="s">
        <v>1700</v>
      </c>
      <c r="B16" s="127" t="s">
        <v>1701</v>
      </c>
      <c r="C16" s="123" t="n">
        <v>0.1792</v>
      </c>
      <c r="D16" s="123" t="n">
        <v>0.18</v>
      </c>
      <c r="E16" s="123" t="n">
        <v>0.1836</v>
      </c>
      <c r="F16" s="123" t="n">
        <v>0.1836</v>
      </c>
      <c r="G16" s="123" t="n">
        <v>0.1821</v>
      </c>
      <c r="H16" s="123" t="n">
        <v>0.1834</v>
      </c>
      <c r="I16" s="123" t="n">
        <v>0.1806</v>
      </c>
      <c r="J16" s="123" t="n">
        <v>0.1819</v>
      </c>
      <c r="K16" s="123" t="n">
        <v>0.1833</v>
      </c>
      <c r="L16" s="123" t="n">
        <v>0.1817</v>
      </c>
      <c r="M16" s="123" t="n">
        <v>0.176</v>
      </c>
      <c r="N16" s="123" t="n">
        <v>0.1765</v>
      </c>
      <c r="O16" s="128" t="n">
        <f aca="false">AVERAGE(C16:N16)</f>
        <v>0.180991666666667</v>
      </c>
      <c r="P16" s="129" t="n">
        <f aca="false">MIN(C16:N16)</f>
        <v>0.176</v>
      </c>
      <c r="Q16" s="129" t="n">
        <f aca="false">MAX(C16:N16)</f>
        <v>0.1836</v>
      </c>
      <c r="R16" s="129" t="n">
        <f aca="false">Q16-P16</f>
        <v>0.00760000000000002</v>
      </c>
      <c r="S16" s="130" t="n">
        <f aca="false">RANK(O16,$O$7:$O$22)</f>
        <v>11</v>
      </c>
    </row>
    <row r="17" customFormat="false" ht="17.15" hidden="false" customHeight="false" outlineLevel="0" collapsed="false">
      <c r="A17" s="16" t="s">
        <v>695</v>
      </c>
      <c r="B17" s="127" t="s">
        <v>1702</v>
      </c>
      <c r="C17" s="123" t="n">
        <v>0.1527</v>
      </c>
      <c r="D17" s="123" t="n">
        <v>0.1496</v>
      </c>
      <c r="E17" s="123" t="n">
        <v>0.1513</v>
      </c>
      <c r="F17" s="123" t="n">
        <v>0.1532</v>
      </c>
      <c r="G17" s="123" t="n">
        <v>0.1513</v>
      </c>
      <c r="H17" s="123" t="n">
        <v>0.1503</v>
      </c>
      <c r="I17" s="123" t="n">
        <v>0.1469</v>
      </c>
      <c r="J17" s="123" t="n">
        <v>0.1504</v>
      </c>
      <c r="K17" s="123" t="n">
        <v>0.1542</v>
      </c>
      <c r="L17" s="123" t="n">
        <v>0.1526</v>
      </c>
      <c r="M17" s="123" t="n">
        <v>0.1481</v>
      </c>
      <c r="N17" s="123" t="n">
        <v>0.148</v>
      </c>
      <c r="O17" s="128" t="n">
        <f aca="false">AVERAGE(C17:N17)</f>
        <v>0.150716666666667</v>
      </c>
      <c r="P17" s="129" t="n">
        <f aca="false">MIN(C17:N17)</f>
        <v>0.1469</v>
      </c>
      <c r="Q17" s="129" t="n">
        <f aca="false">MAX(C17:N17)</f>
        <v>0.1542</v>
      </c>
      <c r="R17" s="129" t="n">
        <f aca="false">Q17-P17</f>
        <v>0.0073</v>
      </c>
      <c r="S17" s="130" t="n">
        <f aca="false">RANK(O17,$O$7:$O$22)</f>
        <v>15</v>
      </c>
    </row>
    <row r="18" customFormat="false" ht="15" hidden="false" customHeight="false" outlineLevel="0" collapsed="false">
      <c r="A18" s="16" t="s">
        <v>688</v>
      </c>
      <c r="B18" s="127" t="s">
        <v>784</v>
      </c>
      <c r="C18" s="123" t="n">
        <v>0.1709</v>
      </c>
      <c r="D18" s="123" t="n">
        <v>0.1702</v>
      </c>
      <c r="E18" s="123" t="n">
        <v>0.1728</v>
      </c>
      <c r="F18" s="123" t="n">
        <v>0.1712</v>
      </c>
      <c r="G18" s="123" t="n">
        <v>0.1714</v>
      </c>
      <c r="H18" s="123" t="n">
        <v>0.171</v>
      </c>
      <c r="I18" s="123" t="n">
        <v>0.1677</v>
      </c>
      <c r="J18" s="123" t="n">
        <v>0.1688</v>
      </c>
      <c r="K18" s="123" t="n">
        <v>0.1704</v>
      </c>
      <c r="L18" s="123" t="n">
        <v>0.1724</v>
      </c>
      <c r="M18" s="123" t="n">
        <v>0.1689</v>
      </c>
      <c r="N18" s="123" t="n">
        <v>0.1685</v>
      </c>
      <c r="O18" s="128" t="n">
        <f aca="false">AVERAGE(C18:N18)</f>
        <v>0.17035</v>
      </c>
      <c r="P18" s="129" t="n">
        <f aca="false">MIN(C18:N18)</f>
        <v>0.1677</v>
      </c>
      <c r="Q18" s="129" t="n">
        <f aca="false">MAX(C18:N18)</f>
        <v>0.1728</v>
      </c>
      <c r="R18" s="129" t="n">
        <f aca="false">Q18-P18</f>
        <v>0.00510000000000002</v>
      </c>
      <c r="S18" s="130" t="n">
        <f aca="false">RANK(O18,$O$7:$O$22)</f>
        <v>12</v>
      </c>
    </row>
    <row r="19" customFormat="false" ht="15" hidden="false" customHeight="false" outlineLevel="0" collapsed="false">
      <c r="A19" s="16" t="s">
        <v>1703</v>
      </c>
      <c r="B19" s="127" t="s">
        <v>808</v>
      </c>
      <c r="C19" s="123" t="n">
        <v>0.1947</v>
      </c>
      <c r="D19" s="123" t="n">
        <v>0.1967</v>
      </c>
      <c r="E19" s="123" t="n">
        <v>0.1973</v>
      </c>
      <c r="F19" s="123" t="n">
        <v>0.1936</v>
      </c>
      <c r="G19" s="123" t="n">
        <v>0.1927</v>
      </c>
      <c r="H19" s="123" t="n">
        <v>0.1899</v>
      </c>
      <c r="I19" s="123" t="n">
        <v>0.1882</v>
      </c>
      <c r="J19" s="123" t="n">
        <v>0.1878</v>
      </c>
      <c r="K19" s="123" t="n">
        <v>0.1893</v>
      </c>
      <c r="L19" s="123" t="n">
        <v>0.1951</v>
      </c>
      <c r="M19" s="123" t="n">
        <v>0.1945</v>
      </c>
      <c r="N19" s="123" t="n">
        <v>0.1917</v>
      </c>
      <c r="O19" s="128" t="n">
        <f aca="false">AVERAGE(C19:N19)</f>
        <v>0.192625</v>
      </c>
      <c r="P19" s="129" t="n">
        <f aca="false">MIN(C19:N19)</f>
        <v>0.1878</v>
      </c>
      <c r="Q19" s="129" t="n">
        <f aca="false">MAX(C19:N19)</f>
        <v>0.1973</v>
      </c>
      <c r="R19" s="129" t="n">
        <f aca="false">Q19-P19</f>
        <v>0.00950000000000001</v>
      </c>
      <c r="S19" s="130" t="n">
        <f aca="false">RANK(O19,$O$7:$O$22)</f>
        <v>6</v>
      </c>
    </row>
    <row r="20" customFormat="false" ht="15" hidden="false" customHeight="false" outlineLevel="0" collapsed="false">
      <c r="A20" s="16" t="s">
        <v>678</v>
      </c>
      <c r="B20" s="127" t="s">
        <v>750</v>
      </c>
      <c r="C20" s="123" t="n">
        <v>0.1985</v>
      </c>
      <c r="D20" s="123" t="n">
        <v>0.1998</v>
      </c>
      <c r="E20" s="123" t="n">
        <v>0.2065</v>
      </c>
      <c r="F20" s="123" t="n">
        <v>0.2039</v>
      </c>
      <c r="G20" s="123" t="n">
        <v>0.2021</v>
      </c>
      <c r="H20" s="123" t="n">
        <v>0.2001</v>
      </c>
      <c r="I20" s="123" t="n">
        <v>0.1982</v>
      </c>
      <c r="J20" s="123" t="n">
        <v>0.2002</v>
      </c>
      <c r="K20" s="123" t="n">
        <v>0.1984</v>
      </c>
      <c r="L20" s="123" t="n">
        <v>0.1979</v>
      </c>
      <c r="M20" s="123" t="n">
        <v>0.19</v>
      </c>
      <c r="N20" s="123" t="n">
        <v>0.1923</v>
      </c>
      <c r="O20" s="128" t="n">
        <f aca="false">AVERAGE(C20:N20)</f>
        <v>0.198991666666667</v>
      </c>
      <c r="P20" s="129" t="n">
        <f aca="false">MIN(C20:N20)</f>
        <v>0.19</v>
      </c>
      <c r="Q20" s="129" t="n">
        <f aca="false">MAX(C20:N20)</f>
        <v>0.2065</v>
      </c>
      <c r="R20" s="129" t="n">
        <f aca="false">Q20-P20</f>
        <v>0.0165</v>
      </c>
      <c r="S20" s="130" t="n">
        <f aca="false">RANK(O20,$O$7:$O$22)</f>
        <v>4</v>
      </c>
    </row>
    <row r="21" customFormat="false" ht="17.15" hidden="false" customHeight="false" outlineLevel="0" collapsed="false">
      <c r="A21" s="16" t="s">
        <v>1704</v>
      </c>
      <c r="B21" s="127" t="s">
        <v>1705</v>
      </c>
      <c r="C21" s="123" t="n">
        <v>0.1745</v>
      </c>
      <c r="D21" s="123" t="n">
        <v>0.1697</v>
      </c>
      <c r="E21" s="123" t="n">
        <v>0.1662</v>
      </c>
      <c r="F21" s="123" t="n">
        <v>0.1665</v>
      </c>
      <c r="G21" s="123" t="n">
        <v>0.1663</v>
      </c>
      <c r="H21" s="123" t="n">
        <v>0.1604</v>
      </c>
      <c r="I21" s="123" t="n">
        <v>0.1604</v>
      </c>
      <c r="J21" s="123" t="n">
        <v>0.1609</v>
      </c>
      <c r="K21" s="123" t="n">
        <v>0.1622</v>
      </c>
      <c r="L21" s="123" t="n">
        <v>0.1603</v>
      </c>
      <c r="M21" s="123" t="n">
        <v>0.1572</v>
      </c>
      <c r="N21" s="123" t="n">
        <v>0.1557</v>
      </c>
      <c r="O21" s="128" t="n">
        <f aca="false">AVERAGE(C21:N21)</f>
        <v>0.163358333333333</v>
      </c>
      <c r="P21" s="129" t="n">
        <f aca="false">MIN(C21:N21)</f>
        <v>0.1557</v>
      </c>
      <c r="Q21" s="129" t="n">
        <f aca="false">MAX(C21:N21)</f>
        <v>0.1745</v>
      </c>
      <c r="R21" s="129" t="n">
        <f aca="false">Q21-P21</f>
        <v>0.0188</v>
      </c>
      <c r="S21" s="130" t="n">
        <f aca="false">RANK(O21,$O$7:$O$22)</f>
        <v>13</v>
      </c>
    </row>
    <row r="22" customFormat="false" ht="15" hidden="false" customHeight="false" outlineLevel="0" collapsed="false">
      <c r="A22" s="16" t="s">
        <v>1706</v>
      </c>
      <c r="B22" s="127" t="s">
        <v>1707</v>
      </c>
      <c r="C22" s="123" t="n">
        <v>0.1973</v>
      </c>
      <c r="D22" s="123" t="n">
        <v>0.1951</v>
      </c>
      <c r="E22" s="123" t="n">
        <v>0.1928</v>
      </c>
      <c r="F22" s="123" t="n">
        <v>0.1858</v>
      </c>
      <c r="G22" s="123" t="n">
        <v>0.1858</v>
      </c>
      <c r="H22" s="123" t="n">
        <v>0.1832</v>
      </c>
      <c r="I22" s="123" t="n">
        <v>0.1844</v>
      </c>
      <c r="J22" s="123" t="n">
        <v>0.1777</v>
      </c>
      <c r="K22" s="123" t="n">
        <v>0.176</v>
      </c>
      <c r="L22" s="123" t="n">
        <v>0.1773</v>
      </c>
      <c r="M22" s="123" t="n">
        <v>0.1767</v>
      </c>
      <c r="N22" s="123" t="n">
        <v>0.1755</v>
      </c>
      <c r="O22" s="128" t="n">
        <f aca="false">AVERAGE(C22:N22)</f>
        <v>0.183966666666667</v>
      </c>
      <c r="P22" s="129" t="n">
        <f aca="false">MIN(C22:N22)</f>
        <v>0.1755</v>
      </c>
      <c r="Q22" s="129" t="n">
        <f aca="false">MAX(C22:N22)</f>
        <v>0.1973</v>
      </c>
      <c r="R22" s="129" t="n">
        <f aca="false">Q22-P22</f>
        <v>0.0218</v>
      </c>
      <c r="S22" s="130" t="n">
        <f aca="false">RANK(O22,$O$7:$O$22)</f>
        <v>9</v>
      </c>
    </row>
    <row r="24" customFormat="false" ht="19.4" hidden="false" customHeight="false" outlineLevel="0" collapsed="false">
      <c r="A24" s="126" t="s">
        <v>1708</v>
      </c>
    </row>
    <row r="25" customFormat="false" ht="45.75" hidden="false" customHeight="true" outlineLevel="0" collapsed="false">
      <c r="A25" s="19" t="s">
        <v>1672</v>
      </c>
      <c r="B25" s="19" t="s">
        <v>1673</v>
      </c>
      <c r="C25" s="24" t="s">
        <v>1674</v>
      </c>
      <c r="D25" s="24" t="s">
        <v>1675</v>
      </c>
      <c r="E25" s="24" t="s">
        <v>1676</v>
      </c>
      <c r="F25" s="24" t="s">
        <v>1677</v>
      </c>
      <c r="G25" s="24" t="s">
        <v>1678</v>
      </c>
      <c r="H25" s="24" t="s">
        <v>1679</v>
      </c>
      <c r="I25" s="24" t="s">
        <v>1680</v>
      </c>
      <c r="J25" s="24" t="s">
        <v>1681</v>
      </c>
      <c r="K25" s="24" t="s">
        <v>1682</v>
      </c>
      <c r="L25" s="24" t="s">
        <v>1683</v>
      </c>
      <c r="M25" s="24" t="s">
        <v>1684</v>
      </c>
      <c r="N25" s="24" t="s">
        <v>1685</v>
      </c>
      <c r="O25" s="19" t="s">
        <v>1686</v>
      </c>
      <c r="P25" s="19" t="s">
        <v>1687</v>
      </c>
      <c r="Q25" s="19" t="s">
        <v>1688</v>
      </c>
      <c r="R25" s="19" t="s">
        <v>1689</v>
      </c>
      <c r="S25" s="24" t="s">
        <v>1690</v>
      </c>
    </row>
    <row r="26" customFormat="false" ht="15" hidden="false" customHeight="false" outlineLevel="0" collapsed="false">
      <c r="A26" s="16" t="s">
        <v>683</v>
      </c>
      <c r="B26" s="127" t="s">
        <v>1691</v>
      </c>
      <c r="C26" s="123" t="n">
        <v>0.0287</v>
      </c>
      <c r="D26" s="123" t="n">
        <v>0.0287</v>
      </c>
      <c r="E26" s="123" t="n">
        <v>0.0306</v>
      </c>
      <c r="F26" s="123" t="n">
        <v>0.0293</v>
      </c>
      <c r="G26" s="123" t="n">
        <v>0.0296</v>
      </c>
      <c r="H26" s="123" t="n">
        <v>0.0285</v>
      </c>
      <c r="I26" s="123" t="n">
        <v>0.0272</v>
      </c>
      <c r="J26" s="123" t="n">
        <v>0.0283</v>
      </c>
      <c r="K26" s="123" t="n">
        <v>0.0298</v>
      </c>
      <c r="L26" s="123" t="n">
        <v>0.0301</v>
      </c>
      <c r="M26" s="123" t="n">
        <v>0.0298</v>
      </c>
      <c r="N26" s="123" t="n">
        <v>0.0289</v>
      </c>
      <c r="O26" s="128" t="n">
        <f aca="false">AVERAGE(C26:N26)</f>
        <v>0.029125</v>
      </c>
      <c r="P26" s="129" t="n">
        <f aca="false">MIN(C26:N26)</f>
        <v>0.0272</v>
      </c>
      <c r="Q26" s="129" t="n">
        <f aca="false">MAX(C26:N26)</f>
        <v>0.0306</v>
      </c>
      <c r="R26" s="129" t="n">
        <f aca="false">Q26-P26</f>
        <v>0.0034</v>
      </c>
      <c r="S26" s="130" t="n">
        <f aca="false">RANK(O26,$O$26:$O$41)</f>
        <v>12</v>
      </c>
    </row>
    <row r="27" customFormat="false" ht="15" hidden="false" customHeight="false" outlineLevel="0" collapsed="false">
      <c r="A27" s="16" t="s">
        <v>686</v>
      </c>
      <c r="B27" s="127" t="s">
        <v>1692</v>
      </c>
      <c r="C27" s="123" t="n">
        <v>0.0226</v>
      </c>
      <c r="D27" s="123" t="n">
        <v>0.0226</v>
      </c>
      <c r="E27" s="123" t="n">
        <v>0.024</v>
      </c>
      <c r="F27" s="123" t="n">
        <v>0.0229</v>
      </c>
      <c r="G27" s="123" t="n">
        <v>0.0229</v>
      </c>
      <c r="H27" s="123" t="n">
        <v>0.0219</v>
      </c>
      <c r="I27" s="123" t="n">
        <v>0.0209</v>
      </c>
      <c r="J27" s="123" t="n">
        <v>0.0213</v>
      </c>
      <c r="K27" s="123" t="n">
        <v>0.0232</v>
      </c>
      <c r="L27" s="123" t="n">
        <v>0.0242</v>
      </c>
      <c r="M27" s="123" t="n">
        <v>0.0239</v>
      </c>
      <c r="N27" s="123" t="n">
        <v>0.0234</v>
      </c>
      <c r="O27" s="128" t="n">
        <f aca="false">AVERAGE(C27:N27)</f>
        <v>0.0228166666666667</v>
      </c>
      <c r="P27" s="129" t="n">
        <f aca="false">MIN(C27:N27)</f>
        <v>0.0209</v>
      </c>
      <c r="Q27" s="129" t="n">
        <f aca="false">MAX(C27:N27)</f>
        <v>0.0242</v>
      </c>
      <c r="R27" s="129" t="n">
        <f aca="false">Q27-P27</f>
        <v>0.0033</v>
      </c>
      <c r="S27" s="130" t="n">
        <f aca="false">RANK(O27,$O$26:$O$41)</f>
        <v>14</v>
      </c>
    </row>
    <row r="28" customFormat="false" ht="15" hidden="false" customHeight="false" outlineLevel="0" collapsed="false">
      <c r="A28" s="16" t="s">
        <v>1693</v>
      </c>
      <c r="B28" s="127" t="s">
        <v>1694</v>
      </c>
      <c r="C28" s="123" t="n">
        <v>0.0407</v>
      </c>
      <c r="D28" s="123" t="n">
        <v>0.0394</v>
      </c>
      <c r="E28" s="123" t="n">
        <v>0.0431</v>
      </c>
      <c r="F28" s="123" t="n">
        <v>0.0417</v>
      </c>
      <c r="G28" s="123" t="n">
        <v>0.0428</v>
      </c>
      <c r="H28" s="123" t="n">
        <v>0.0411</v>
      </c>
      <c r="I28" s="123" t="n">
        <v>0.0393</v>
      </c>
      <c r="J28" s="123" t="n">
        <v>0.0398</v>
      </c>
      <c r="K28" s="123" t="n">
        <v>0.0428</v>
      </c>
      <c r="L28" s="123" t="n">
        <v>0.044</v>
      </c>
      <c r="M28" s="123" t="n">
        <v>0.0438</v>
      </c>
      <c r="N28" s="123" t="n">
        <v>0.0423</v>
      </c>
      <c r="O28" s="128" t="n">
        <f aca="false">AVERAGE(C28:N28)</f>
        <v>0.0417333333333333</v>
      </c>
      <c r="P28" s="129" t="n">
        <f aca="false">MIN(C28:N28)</f>
        <v>0.0393</v>
      </c>
      <c r="Q28" s="129" t="n">
        <f aca="false">MAX(C28:N28)</f>
        <v>0.044</v>
      </c>
      <c r="R28" s="129" t="n">
        <f aca="false">Q28-P28</f>
        <v>0.0047</v>
      </c>
      <c r="S28" s="130" t="n">
        <f aca="false">RANK(O28,$O$26:$O$41)</f>
        <v>6</v>
      </c>
    </row>
    <row r="29" customFormat="false" ht="15" hidden="false" customHeight="false" outlineLevel="0" collapsed="false">
      <c r="A29" s="16" t="s">
        <v>672</v>
      </c>
      <c r="B29" s="127" t="s">
        <v>1695</v>
      </c>
      <c r="C29" s="123" t="n">
        <v>0.0596</v>
      </c>
      <c r="D29" s="123" t="n">
        <v>0.0616</v>
      </c>
      <c r="E29" s="123" t="n">
        <v>0.0617</v>
      </c>
      <c r="F29" s="123" t="n">
        <v>0.0568</v>
      </c>
      <c r="G29" s="123" t="n">
        <v>0.0584</v>
      </c>
      <c r="H29" s="123" t="n">
        <v>0.0563</v>
      </c>
      <c r="I29" s="123" t="n">
        <v>0.0553</v>
      </c>
      <c r="J29" s="123" t="n">
        <v>0.056</v>
      </c>
      <c r="K29" s="123" t="n">
        <v>0.0585</v>
      </c>
      <c r="L29" s="123" t="n">
        <v>0.0597</v>
      </c>
      <c r="M29" s="123" t="n">
        <v>0.0587</v>
      </c>
      <c r="N29" s="123" t="n">
        <v>0.0568</v>
      </c>
      <c r="O29" s="128" t="n">
        <f aca="false">AVERAGE(C29:N29)</f>
        <v>0.0582833333333333</v>
      </c>
      <c r="P29" s="129" t="n">
        <f aca="false">MIN(C29:N29)</f>
        <v>0.0553</v>
      </c>
      <c r="Q29" s="129" t="n">
        <f aca="false">MAX(C29:N29)</f>
        <v>0.0617</v>
      </c>
      <c r="R29" s="129" t="n">
        <f aca="false">Q29-P29</f>
        <v>0.0064</v>
      </c>
      <c r="S29" s="130" t="n">
        <f aca="false">RANK(O29,$O$26:$O$41)</f>
        <v>2</v>
      </c>
    </row>
    <row r="30" customFormat="false" ht="15" hidden="false" customHeight="false" outlineLevel="0" collapsed="false">
      <c r="A30" s="16" t="s">
        <v>690</v>
      </c>
      <c r="B30" s="127" t="s">
        <v>1696</v>
      </c>
      <c r="C30" s="123" t="n">
        <v>0.0683</v>
      </c>
      <c r="D30" s="123" t="n">
        <v>0.0714</v>
      </c>
      <c r="E30" s="123" t="n">
        <v>0.0701</v>
      </c>
      <c r="F30" s="123" t="n">
        <v>0.0675</v>
      </c>
      <c r="G30" s="123" t="n">
        <v>0.0692</v>
      </c>
      <c r="H30" s="123" t="n">
        <v>0.0665</v>
      </c>
      <c r="I30" s="123" t="n">
        <v>0.0662</v>
      </c>
      <c r="J30" s="123" t="n">
        <v>0.0654</v>
      </c>
      <c r="K30" s="123" t="n">
        <v>0.0661</v>
      </c>
      <c r="L30" s="123" t="n">
        <v>0.0656</v>
      </c>
      <c r="M30" s="123" t="n">
        <v>0.0656</v>
      </c>
      <c r="N30" s="123" t="n">
        <v>0.0645</v>
      </c>
      <c r="O30" s="128" t="n">
        <f aca="false">AVERAGE(C30:N30)</f>
        <v>0.0672</v>
      </c>
      <c r="P30" s="129" t="n">
        <f aca="false">MIN(C30:N30)</f>
        <v>0.0645</v>
      </c>
      <c r="Q30" s="129" t="n">
        <f aca="false">MAX(C30:N30)</f>
        <v>0.0714</v>
      </c>
      <c r="R30" s="129" t="n">
        <f aca="false">Q30-P30</f>
        <v>0.00689999999999999</v>
      </c>
      <c r="S30" s="130" t="n">
        <f aca="false">RANK(O30,$O$26:$O$41)</f>
        <v>1</v>
      </c>
    </row>
    <row r="31" customFormat="false" ht="15" hidden="false" customHeight="false" outlineLevel="0" collapsed="false">
      <c r="A31" s="16" t="s">
        <v>1697</v>
      </c>
      <c r="B31" s="127" t="s">
        <v>1076</v>
      </c>
      <c r="C31" s="123" t="n">
        <v>0.0553</v>
      </c>
      <c r="D31" s="123" t="n">
        <v>0.0559</v>
      </c>
      <c r="E31" s="123" t="n">
        <v>0.0576</v>
      </c>
      <c r="F31" s="123" t="n">
        <v>0.0545</v>
      </c>
      <c r="G31" s="123" t="n">
        <v>0.0552</v>
      </c>
      <c r="H31" s="123" t="n">
        <v>0.0534</v>
      </c>
      <c r="I31" s="123" t="n">
        <v>0.0538</v>
      </c>
      <c r="J31" s="123" t="n">
        <v>0.0519</v>
      </c>
      <c r="K31" s="123" t="n">
        <v>0.0543</v>
      </c>
      <c r="L31" s="123" t="n">
        <v>0.054</v>
      </c>
      <c r="M31" s="123" t="n">
        <v>0.0571</v>
      </c>
      <c r="N31" s="123" t="n">
        <v>0.0576</v>
      </c>
      <c r="O31" s="128" t="n">
        <f aca="false">AVERAGE(C31:N31)</f>
        <v>0.05505</v>
      </c>
      <c r="P31" s="129" t="n">
        <f aca="false">MIN(C31:N31)</f>
        <v>0.0519</v>
      </c>
      <c r="Q31" s="129" t="n">
        <f aca="false">MAX(C31:N31)</f>
        <v>0.0576</v>
      </c>
      <c r="R31" s="129" t="n">
        <f aca="false">Q31-P31</f>
        <v>0.0057</v>
      </c>
      <c r="S31" s="130" t="n">
        <f aca="false">RANK(O31,$O$26:$O$41)</f>
        <v>3</v>
      </c>
    </row>
    <row r="32" customFormat="false" ht="15" hidden="false" customHeight="false" outlineLevel="0" collapsed="false">
      <c r="A32" s="16" t="s">
        <v>669</v>
      </c>
      <c r="B32" s="127" t="s">
        <v>630</v>
      </c>
      <c r="C32" s="123" t="n">
        <v>0.0314</v>
      </c>
      <c r="D32" s="123" t="n">
        <v>0.0318</v>
      </c>
      <c r="E32" s="123" t="n">
        <v>0.0346</v>
      </c>
      <c r="F32" s="123" t="n">
        <v>0.0334</v>
      </c>
      <c r="G32" s="123" t="n">
        <v>0.0344</v>
      </c>
      <c r="H32" s="123" t="n">
        <v>0.0335</v>
      </c>
      <c r="I32" s="123" t="n">
        <v>0.0317</v>
      </c>
      <c r="J32" s="123" t="n">
        <v>0.0319</v>
      </c>
      <c r="K32" s="123" t="n">
        <v>0.0345</v>
      </c>
      <c r="L32" s="123" t="n">
        <v>0.0343</v>
      </c>
      <c r="M32" s="123" t="n">
        <v>0.0341</v>
      </c>
      <c r="N32" s="123" t="n">
        <v>0.0326</v>
      </c>
      <c r="O32" s="128" t="n">
        <f aca="false">AVERAGE(C32:N32)</f>
        <v>0.0331833333333333</v>
      </c>
      <c r="P32" s="129" t="n">
        <f aca="false">MIN(C32:N32)</f>
        <v>0.0314</v>
      </c>
      <c r="Q32" s="129" t="n">
        <f aca="false">MAX(C32:N32)</f>
        <v>0.0346</v>
      </c>
      <c r="R32" s="129" t="n">
        <f aca="false">Q32-P32</f>
        <v>0.0032</v>
      </c>
      <c r="S32" s="130" t="n">
        <f aca="false">RANK(O32,$O$26:$O$41)</f>
        <v>9</v>
      </c>
    </row>
    <row r="33" customFormat="false" ht="15" hidden="false" customHeight="false" outlineLevel="0" collapsed="false">
      <c r="A33" s="16" t="s">
        <v>1698</v>
      </c>
      <c r="B33" s="127" t="s">
        <v>1699</v>
      </c>
      <c r="C33" s="123" t="n">
        <v>0.0187</v>
      </c>
      <c r="D33" s="123" t="n">
        <v>0.0182</v>
      </c>
      <c r="E33" s="123" t="n">
        <v>0.0186</v>
      </c>
      <c r="F33" s="123" t="n">
        <v>0.0172</v>
      </c>
      <c r="G33" s="123" t="n">
        <v>0.0159</v>
      </c>
      <c r="H33" s="123" t="n">
        <v>0.0156</v>
      </c>
      <c r="I33" s="123" t="n">
        <v>0.0147</v>
      </c>
      <c r="J33" s="123" t="n">
        <v>0.0149</v>
      </c>
      <c r="K33" s="123" t="n">
        <v>0.017</v>
      </c>
      <c r="L33" s="123" t="n">
        <v>0.0167</v>
      </c>
      <c r="M33" s="123" t="n">
        <v>0.0169</v>
      </c>
      <c r="N33" s="123" t="n">
        <v>0.0157</v>
      </c>
      <c r="O33" s="128" t="n">
        <f aca="false">AVERAGE(C33:N33)</f>
        <v>0.016675</v>
      </c>
      <c r="P33" s="129" t="n">
        <f aca="false">MIN(C33:N33)</f>
        <v>0.0147</v>
      </c>
      <c r="Q33" s="129" t="n">
        <f aca="false">MAX(C33:N33)</f>
        <v>0.0187</v>
      </c>
      <c r="R33" s="129" t="n">
        <f aca="false">Q33-P33</f>
        <v>0.004</v>
      </c>
      <c r="S33" s="130" t="n">
        <f aca="false">RANK(O33,$O$26:$O$41)</f>
        <v>16</v>
      </c>
    </row>
    <row r="34" customFormat="false" ht="15" hidden="false" customHeight="false" outlineLevel="0" collapsed="false">
      <c r="A34" s="16" t="s">
        <v>662</v>
      </c>
      <c r="B34" s="127" t="s">
        <v>753</v>
      </c>
      <c r="C34" s="123" t="n">
        <v>0.0451</v>
      </c>
      <c r="D34" s="123" t="n">
        <v>0.0453</v>
      </c>
      <c r="E34" s="123" t="n">
        <v>0.0479</v>
      </c>
      <c r="F34" s="123" t="n">
        <v>0.0454</v>
      </c>
      <c r="G34" s="123" t="n">
        <v>0.0465</v>
      </c>
      <c r="H34" s="123" t="n">
        <v>0.045</v>
      </c>
      <c r="I34" s="123" t="n">
        <v>0.0427</v>
      </c>
      <c r="J34" s="123" t="n">
        <v>0.0434</v>
      </c>
      <c r="K34" s="123" t="n">
        <v>0.0465</v>
      </c>
      <c r="L34" s="123" t="n">
        <v>0.0466</v>
      </c>
      <c r="M34" s="123" t="n">
        <v>0.0456</v>
      </c>
      <c r="N34" s="123" t="n">
        <v>0.0443</v>
      </c>
      <c r="O34" s="128" t="n">
        <f aca="false">AVERAGE(C34:N34)</f>
        <v>0.0453583333333333</v>
      </c>
      <c r="P34" s="129" t="n">
        <f aca="false">MIN(C34:N34)</f>
        <v>0.0427</v>
      </c>
      <c r="Q34" s="129" t="n">
        <f aca="false">MAX(C34:N34)</f>
        <v>0.0479</v>
      </c>
      <c r="R34" s="129" t="n">
        <f aca="false">Q34-P34</f>
        <v>0.00520000000000001</v>
      </c>
      <c r="S34" s="130" t="n">
        <f aca="false">RANK(O34,$O$26:$O$41)</f>
        <v>4</v>
      </c>
    </row>
    <row r="35" customFormat="false" ht="15" hidden="false" customHeight="false" outlineLevel="0" collapsed="false">
      <c r="A35" s="16" t="s">
        <v>1700</v>
      </c>
      <c r="B35" s="127" t="s">
        <v>1701</v>
      </c>
      <c r="C35" s="123" t="n">
        <v>0.0286</v>
      </c>
      <c r="D35" s="123" t="n">
        <v>0.0293</v>
      </c>
      <c r="E35" s="123" t="n">
        <v>0.0313</v>
      </c>
      <c r="F35" s="123" t="n">
        <v>0.0307</v>
      </c>
      <c r="G35" s="123" t="n">
        <v>0.0309</v>
      </c>
      <c r="H35" s="123" t="n">
        <v>0.0298</v>
      </c>
      <c r="I35" s="123" t="n">
        <v>0.0286</v>
      </c>
      <c r="J35" s="123" t="n">
        <v>0.0284</v>
      </c>
      <c r="K35" s="123" t="n">
        <v>0.031</v>
      </c>
      <c r="L35" s="123" t="n">
        <v>0.0319</v>
      </c>
      <c r="M35" s="123" t="n">
        <v>0.0306</v>
      </c>
      <c r="N35" s="123" t="n">
        <v>0.0302</v>
      </c>
      <c r="O35" s="128" t="n">
        <f aca="false">AVERAGE(C35:N35)</f>
        <v>0.0301083333333333</v>
      </c>
      <c r="P35" s="129" t="n">
        <f aca="false">MIN(C35:N35)</f>
        <v>0.0284</v>
      </c>
      <c r="Q35" s="129" t="n">
        <f aca="false">MAX(C35:N35)</f>
        <v>0.0319</v>
      </c>
      <c r="R35" s="129" t="n">
        <f aca="false">Q35-P35</f>
        <v>0.0035</v>
      </c>
      <c r="S35" s="130" t="n">
        <f aca="false">RANK(O35,$O$26:$O$41)</f>
        <v>11</v>
      </c>
    </row>
    <row r="36" customFormat="false" ht="17.15" hidden="false" customHeight="false" outlineLevel="0" collapsed="false">
      <c r="A36" s="16" t="s">
        <v>695</v>
      </c>
      <c r="B36" s="127" t="s">
        <v>1702</v>
      </c>
      <c r="C36" s="123" t="n">
        <v>0.0205</v>
      </c>
      <c r="D36" s="123" t="n">
        <v>0.0202</v>
      </c>
      <c r="E36" s="123" t="n">
        <v>0.0208</v>
      </c>
      <c r="F36" s="123" t="n">
        <v>0.0201</v>
      </c>
      <c r="G36" s="123" t="n">
        <v>0.0207</v>
      </c>
      <c r="H36" s="123" t="n">
        <v>0.0203</v>
      </c>
      <c r="I36" s="123" t="n">
        <v>0.0196</v>
      </c>
      <c r="J36" s="123" t="n">
        <v>0.02</v>
      </c>
      <c r="K36" s="123" t="n">
        <v>0.0215</v>
      </c>
      <c r="L36" s="123" t="n">
        <v>0.0223</v>
      </c>
      <c r="M36" s="123" t="n">
        <v>0.0215</v>
      </c>
      <c r="N36" s="123" t="n">
        <v>0.0212</v>
      </c>
      <c r="O36" s="128" t="n">
        <f aca="false">AVERAGE(C36:N36)</f>
        <v>0.020725</v>
      </c>
      <c r="P36" s="129" t="n">
        <f aca="false">MIN(C36:N36)</f>
        <v>0.0196</v>
      </c>
      <c r="Q36" s="129" t="n">
        <f aca="false">MAX(C36:N36)</f>
        <v>0.0223</v>
      </c>
      <c r="R36" s="129" t="n">
        <f aca="false">Q36-P36</f>
        <v>0.0027</v>
      </c>
      <c r="S36" s="130" t="n">
        <f aca="false">RANK(O36,$O$26:$O$41)</f>
        <v>15</v>
      </c>
    </row>
    <row r="37" customFormat="false" ht="15" hidden="false" customHeight="false" outlineLevel="0" collapsed="false">
      <c r="A37" s="16" t="s">
        <v>688</v>
      </c>
      <c r="B37" s="127" t="s">
        <v>784</v>
      </c>
      <c r="C37" s="123" t="n">
        <v>0.023</v>
      </c>
      <c r="D37" s="123" t="n">
        <v>0.0231</v>
      </c>
      <c r="E37" s="123" t="n">
        <v>0.0251</v>
      </c>
      <c r="F37" s="123" t="n">
        <v>0.0237</v>
      </c>
      <c r="G37" s="123" t="n">
        <v>0.024</v>
      </c>
      <c r="H37" s="123" t="n">
        <v>0.0233</v>
      </c>
      <c r="I37" s="123" t="n">
        <v>0.0222</v>
      </c>
      <c r="J37" s="123" t="n">
        <v>0.0227</v>
      </c>
      <c r="K37" s="123" t="n">
        <v>0.0247</v>
      </c>
      <c r="L37" s="123" t="n">
        <v>0.0256</v>
      </c>
      <c r="M37" s="123" t="n">
        <v>0.0248</v>
      </c>
      <c r="N37" s="123" t="n">
        <v>0.0245</v>
      </c>
      <c r="O37" s="128" t="n">
        <f aca="false">AVERAGE(C37:N37)</f>
        <v>0.0238916666666667</v>
      </c>
      <c r="P37" s="129" t="n">
        <f aca="false">MIN(C37:N37)</f>
        <v>0.0222</v>
      </c>
      <c r="Q37" s="129" t="n">
        <f aca="false">MAX(C37:N37)</f>
        <v>0.0256</v>
      </c>
      <c r="R37" s="129" t="n">
        <f aca="false">Q37-P37</f>
        <v>0.0034</v>
      </c>
      <c r="S37" s="130" t="n">
        <f aca="false">RANK(O37,$O$26:$O$41)</f>
        <v>13</v>
      </c>
    </row>
    <row r="38" customFormat="false" ht="15" hidden="false" customHeight="false" outlineLevel="0" collapsed="false">
      <c r="A38" s="16" t="s">
        <v>1703</v>
      </c>
      <c r="B38" s="127" t="s">
        <v>808</v>
      </c>
      <c r="C38" s="123" t="n">
        <v>0.0348</v>
      </c>
      <c r="D38" s="123" t="n">
        <v>0.0347</v>
      </c>
      <c r="E38" s="123" t="n">
        <v>0.0368</v>
      </c>
      <c r="F38" s="123" t="n">
        <v>0.036</v>
      </c>
      <c r="G38" s="123" t="n">
        <v>0.0364</v>
      </c>
      <c r="H38" s="123" t="n">
        <v>0.0346</v>
      </c>
      <c r="I38" s="123" t="n">
        <v>0.0325</v>
      </c>
      <c r="J38" s="123" t="n">
        <v>0.0331</v>
      </c>
      <c r="K38" s="123" t="n">
        <v>0.0365</v>
      </c>
      <c r="L38" s="123" t="n">
        <v>0.0383</v>
      </c>
      <c r="M38" s="123" t="n">
        <v>0.0394</v>
      </c>
      <c r="N38" s="123" t="n">
        <v>0.0368</v>
      </c>
      <c r="O38" s="128" t="n">
        <f aca="false">AVERAGE(C38:N38)</f>
        <v>0.035825</v>
      </c>
      <c r="P38" s="129" t="n">
        <f aca="false">MIN(C38:N38)</f>
        <v>0.0325</v>
      </c>
      <c r="Q38" s="129" t="n">
        <f aca="false">MAX(C38:N38)</f>
        <v>0.0394</v>
      </c>
      <c r="R38" s="129" t="n">
        <f aca="false">Q38-P38</f>
        <v>0.0069</v>
      </c>
      <c r="S38" s="130" t="n">
        <f aca="false">RANK(O38,$O$26:$O$41)</f>
        <v>7</v>
      </c>
    </row>
    <row r="39" customFormat="false" ht="15" hidden="false" customHeight="false" outlineLevel="0" collapsed="false">
      <c r="A39" s="16" t="s">
        <v>678</v>
      </c>
      <c r="B39" s="127" t="s">
        <v>750</v>
      </c>
      <c r="C39" s="123" t="n">
        <v>0.0318</v>
      </c>
      <c r="D39" s="123" t="n">
        <v>0.0323</v>
      </c>
      <c r="E39" s="123" t="n">
        <v>0.0349</v>
      </c>
      <c r="F39" s="123" t="n">
        <v>0.0334</v>
      </c>
      <c r="G39" s="123" t="n">
        <v>0.0338</v>
      </c>
      <c r="H39" s="123" t="n">
        <v>0.0335</v>
      </c>
      <c r="I39" s="123" t="n">
        <v>0.0328</v>
      </c>
      <c r="J39" s="123" t="n">
        <v>0.0329</v>
      </c>
      <c r="K39" s="123" t="n">
        <v>0.0348</v>
      </c>
      <c r="L39" s="123" t="n">
        <v>0.0358</v>
      </c>
      <c r="M39" s="123" t="n">
        <v>0.034</v>
      </c>
      <c r="N39" s="123" t="n">
        <v>0.0338</v>
      </c>
      <c r="O39" s="128" t="n">
        <f aca="false">AVERAGE(C39:N39)</f>
        <v>0.03365</v>
      </c>
      <c r="P39" s="129" t="n">
        <f aca="false">MIN(C39:N39)</f>
        <v>0.0318</v>
      </c>
      <c r="Q39" s="129" t="n">
        <f aca="false">MAX(C39:N39)</f>
        <v>0.0358</v>
      </c>
      <c r="R39" s="129" t="n">
        <f aca="false">Q39-P39</f>
        <v>0.004</v>
      </c>
      <c r="S39" s="130" t="n">
        <f aca="false">RANK(O39,$O$26:$O$41)</f>
        <v>8</v>
      </c>
    </row>
    <row r="40" customFormat="false" ht="17.15" hidden="false" customHeight="false" outlineLevel="0" collapsed="false">
      <c r="A40" s="16" t="s">
        <v>1704</v>
      </c>
      <c r="B40" s="127" t="s">
        <v>1705</v>
      </c>
      <c r="C40" s="123" t="n">
        <v>0.0356</v>
      </c>
      <c r="D40" s="123" t="n">
        <v>0.0342</v>
      </c>
      <c r="E40" s="123" t="n">
        <v>0.0347</v>
      </c>
      <c r="F40" s="123" t="n">
        <v>0.033</v>
      </c>
      <c r="G40" s="123" t="n">
        <v>0.0337</v>
      </c>
      <c r="H40" s="123" t="n">
        <v>0.0315</v>
      </c>
      <c r="I40" s="123" t="n">
        <v>0.0303</v>
      </c>
      <c r="J40" s="123" t="n">
        <v>0.0308</v>
      </c>
      <c r="K40" s="123" t="n">
        <v>0.0329</v>
      </c>
      <c r="L40" s="123" t="n">
        <v>0.0335</v>
      </c>
      <c r="M40" s="123" t="n">
        <v>0.0322</v>
      </c>
      <c r="N40" s="123" t="n">
        <v>0.0314</v>
      </c>
      <c r="O40" s="128" t="n">
        <f aca="false">AVERAGE(C40:N40)</f>
        <v>0.0328166666666667</v>
      </c>
      <c r="P40" s="129" t="n">
        <f aca="false">MIN(C40:N40)</f>
        <v>0.0303</v>
      </c>
      <c r="Q40" s="129" t="n">
        <f aca="false">MAX(C40:N40)</f>
        <v>0.0356</v>
      </c>
      <c r="R40" s="129" t="n">
        <f aca="false">Q40-P40</f>
        <v>0.0053</v>
      </c>
      <c r="S40" s="130" t="n">
        <f aca="false">RANK(O40,$O$26:$O$41)</f>
        <v>10</v>
      </c>
    </row>
    <row r="41" customFormat="false" ht="15" hidden="false" customHeight="false" outlineLevel="0" collapsed="false">
      <c r="A41" s="16" t="s">
        <v>1706</v>
      </c>
      <c r="B41" s="127" t="s">
        <v>1707</v>
      </c>
      <c r="C41" s="123" t="n">
        <v>0.0467</v>
      </c>
      <c r="D41" s="123" t="n">
        <v>0.0459</v>
      </c>
      <c r="E41" s="123" t="n">
        <v>0.0444</v>
      </c>
      <c r="F41" s="123" t="n">
        <v>0.0404</v>
      </c>
      <c r="G41" s="123" t="n">
        <v>0.041</v>
      </c>
      <c r="H41" s="123" t="n">
        <v>0.0394</v>
      </c>
      <c r="I41" s="123" t="n">
        <v>0.0395</v>
      </c>
      <c r="J41" s="123" t="n">
        <v>0.0377</v>
      </c>
      <c r="K41" s="123" t="n">
        <v>0.041</v>
      </c>
      <c r="L41" s="123" t="n">
        <v>0.0421</v>
      </c>
      <c r="M41" s="123" t="n">
        <v>0.0422</v>
      </c>
      <c r="N41" s="123" t="n">
        <v>0.0417</v>
      </c>
      <c r="O41" s="128" t="n">
        <f aca="false">AVERAGE(C41:N41)</f>
        <v>0.0418333333333333</v>
      </c>
      <c r="P41" s="129" t="n">
        <f aca="false">MIN(C41:N41)</f>
        <v>0.0377</v>
      </c>
      <c r="Q41" s="129" t="n">
        <f aca="false">MAX(C41:N41)</f>
        <v>0.0467</v>
      </c>
      <c r="R41" s="129" t="n">
        <f aca="false">Q41-P41</f>
        <v>0.009</v>
      </c>
      <c r="S41" s="130" t="n">
        <f aca="false">RANK(O41,$O$26:$O$41)</f>
        <v>5</v>
      </c>
    </row>
    <row r="43" customFormat="false" ht="19.4" hidden="false" customHeight="false" outlineLevel="0" collapsed="false">
      <c r="A43" s="126" t="s">
        <v>1709</v>
      </c>
    </row>
    <row r="44" customFormat="false" ht="45.75" hidden="false" customHeight="true" outlineLevel="0" collapsed="false">
      <c r="A44" s="19" t="s">
        <v>1672</v>
      </c>
      <c r="B44" s="19" t="s">
        <v>1673</v>
      </c>
      <c r="C44" s="24" t="s">
        <v>1674</v>
      </c>
      <c r="D44" s="24" t="s">
        <v>1675</v>
      </c>
      <c r="E44" s="24" t="s">
        <v>1676</v>
      </c>
      <c r="F44" s="24" t="s">
        <v>1677</v>
      </c>
      <c r="G44" s="24" t="s">
        <v>1678</v>
      </c>
      <c r="H44" s="24" t="s">
        <v>1679</v>
      </c>
      <c r="I44" s="24" t="s">
        <v>1680</v>
      </c>
      <c r="J44" s="24" t="s">
        <v>1681</v>
      </c>
      <c r="K44" s="24" t="s">
        <v>1682</v>
      </c>
      <c r="L44" s="24" t="s">
        <v>1683</v>
      </c>
      <c r="M44" s="24" t="s">
        <v>1684</v>
      </c>
      <c r="N44" s="24" t="s">
        <v>1685</v>
      </c>
      <c r="O44" s="19" t="s">
        <v>1686</v>
      </c>
      <c r="P44" s="19" t="s">
        <v>1687</v>
      </c>
      <c r="Q44" s="19" t="s">
        <v>1688</v>
      </c>
      <c r="R44" s="19" t="s">
        <v>1689</v>
      </c>
      <c r="S44" s="24" t="s">
        <v>1690</v>
      </c>
    </row>
    <row r="45" customFormat="false" ht="15" hidden="false" customHeight="false" outlineLevel="0" collapsed="false">
      <c r="A45" s="16" t="s">
        <v>683</v>
      </c>
      <c r="B45" s="127" t="s">
        <v>1691</v>
      </c>
      <c r="C45" s="123" t="n">
        <v>0.0061</v>
      </c>
      <c r="D45" s="123" t="n">
        <v>0.0065</v>
      </c>
      <c r="E45" s="123" t="n">
        <v>0.0066</v>
      </c>
      <c r="F45" s="123" t="n">
        <v>0.0064</v>
      </c>
      <c r="G45" s="123" t="n">
        <v>0.0065</v>
      </c>
      <c r="H45" s="123" t="n">
        <v>0.0062</v>
      </c>
      <c r="I45" s="123" t="n">
        <v>0.0059</v>
      </c>
      <c r="J45" s="123" t="n">
        <v>0.0061</v>
      </c>
      <c r="K45" s="123" t="n">
        <v>0.006</v>
      </c>
      <c r="L45" s="123" t="n">
        <v>0.0066</v>
      </c>
      <c r="M45" s="123" t="n">
        <v>0.0066</v>
      </c>
      <c r="N45" s="123" t="n">
        <v>0.0065</v>
      </c>
      <c r="O45" s="128" t="n">
        <f aca="false">AVERAGE(C45:N45)</f>
        <v>0.00633333333333333</v>
      </c>
      <c r="P45" s="129" t="n">
        <f aca="false">MIN(C45:N45)</f>
        <v>0.0059</v>
      </c>
      <c r="Q45" s="129" t="n">
        <f aca="false">MAX(C45:N45)</f>
        <v>0.0066</v>
      </c>
      <c r="R45" s="129" t="n">
        <f aca="false">Q45-P45</f>
        <v>0.0007</v>
      </c>
      <c r="S45" s="130" t="n">
        <f aca="false">RANK(O45,$O$45:$O$60)</f>
        <v>12</v>
      </c>
    </row>
    <row r="46" customFormat="false" ht="15" hidden="false" customHeight="false" outlineLevel="0" collapsed="false">
      <c r="A46" s="16" t="s">
        <v>686</v>
      </c>
      <c r="B46" s="127" t="s">
        <v>1692</v>
      </c>
      <c r="C46" s="123" t="n">
        <v>0.0047</v>
      </c>
      <c r="D46" s="123" t="n">
        <v>0.0049</v>
      </c>
      <c r="E46" s="123" t="n">
        <v>0.005</v>
      </c>
      <c r="F46" s="123" t="n">
        <v>0.0048</v>
      </c>
      <c r="G46" s="123" t="n">
        <v>0.005</v>
      </c>
      <c r="H46" s="123" t="n">
        <v>0.0046</v>
      </c>
      <c r="I46" s="123" t="n">
        <v>0.0043</v>
      </c>
      <c r="J46" s="123" t="n">
        <v>0.0044</v>
      </c>
      <c r="K46" s="123" t="n">
        <v>0.0046</v>
      </c>
      <c r="L46" s="123" t="n">
        <v>0.0051</v>
      </c>
      <c r="M46" s="123" t="n">
        <v>0.0051</v>
      </c>
      <c r="N46" s="123" t="n">
        <v>0.0053</v>
      </c>
      <c r="O46" s="128" t="n">
        <f aca="false">AVERAGE(C46:N46)</f>
        <v>0.00481666666666667</v>
      </c>
      <c r="P46" s="129" t="n">
        <f aca="false">MIN(C46:N46)</f>
        <v>0.0043</v>
      </c>
      <c r="Q46" s="129" t="n">
        <f aca="false">MAX(C46:N46)</f>
        <v>0.0053</v>
      </c>
      <c r="R46" s="129" t="n">
        <f aca="false">Q46-P46</f>
        <v>0.001</v>
      </c>
      <c r="S46" s="130" t="n">
        <f aca="false">RANK(O46,$O$45:$O$60)</f>
        <v>14</v>
      </c>
    </row>
    <row r="47" customFormat="false" ht="15" hidden="false" customHeight="false" outlineLevel="0" collapsed="false">
      <c r="A47" s="16" t="s">
        <v>1693</v>
      </c>
      <c r="B47" s="127" t="s">
        <v>1694</v>
      </c>
      <c r="C47" s="123" t="n">
        <v>0.0093</v>
      </c>
      <c r="D47" s="123" t="n">
        <v>0.0095</v>
      </c>
      <c r="E47" s="123" t="n">
        <v>0.0099</v>
      </c>
      <c r="F47" s="123" t="n">
        <v>0.0096</v>
      </c>
      <c r="G47" s="123" t="n">
        <v>0.0102</v>
      </c>
      <c r="H47" s="123" t="n">
        <v>0.0098</v>
      </c>
      <c r="I47" s="123" t="n">
        <v>0.0089</v>
      </c>
      <c r="J47" s="123" t="n">
        <v>0.0092</v>
      </c>
      <c r="K47" s="123" t="n">
        <v>0.0096</v>
      </c>
      <c r="L47" s="123" t="n">
        <v>0.0103</v>
      </c>
      <c r="M47" s="123" t="n">
        <v>0.0104</v>
      </c>
      <c r="N47" s="123" t="n">
        <v>0.0106</v>
      </c>
      <c r="O47" s="128" t="n">
        <f aca="false">AVERAGE(C47:N47)</f>
        <v>0.009775</v>
      </c>
      <c r="P47" s="129" t="n">
        <f aca="false">MIN(C47:N47)</f>
        <v>0.0089</v>
      </c>
      <c r="Q47" s="129" t="n">
        <f aca="false">MAX(C47:N47)</f>
        <v>0.0106</v>
      </c>
      <c r="R47" s="129" t="n">
        <f aca="false">Q47-P47</f>
        <v>0.0017</v>
      </c>
      <c r="S47" s="130" t="n">
        <f aca="false">RANK(O47,$O$45:$O$60)</f>
        <v>6</v>
      </c>
    </row>
    <row r="48" customFormat="false" ht="15" hidden="false" customHeight="false" outlineLevel="0" collapsed="false">
      <c r="A48" s="16" t="s">
        <v>672</v>
      </c>
      <c r="B48" s="127" t="s">
        <v>1695</v>
      </c>
      <c r="C48" s="123" t="n">
        <v>0.0223</v>
      </c>
      <c r="D48" s="123" t="n">
        <v>0.023</v>
      </c>
      <c r="E48" s="123" t="n">
        <v>0.0249</v>
      </c>
      <c r="F48" s="123" t="n">
        <v>0.0209</v>
      </c>
      <c r="G48" s="123" t="n">
        <v>0.0211</v>
      </c>
      <c r="H48" s="123" t="n">
        <v>0.0197</v>
      </c>
      <c r="I48" s="123" t="n">
        <v>0.0201</v>
      </c>
      <c r="J48" s="123" t="n">
        <v>0.0216</v>
      </c>
      <c r="K48" s="123" t="n">
        <v>0.0211</v>
      </c>
      <c r="L48" s="123" t="n">
        <v>0.0228</v>
      </c>
      <c r="M48" s="123" t="n">
        <v>0.0213</v>
      </c>
      <c r="N48" s="123" t="n">
        <v>0.0218</v>
      </c>
      <c r="O48" s="128" t="n">
        <f aca="false">AVERAGE(C48:N48)</f>
        <v>0.0217166666666667</v>
      </c>
      <c r="P48" s="129" t="n">
        <f aca="false">MIN(C48:N48)</f>
        <v>0.0197</v>
      </c>
      <c r="Q48" s="129" t="n">
        <f aca="false">MAX(C48:N48)</f>
        <v>0.0249</v>
      </c>
      <c r="R48" s="129" t="n">
        <f aca="false">Q48-P48</f>
        <v>0.0052</v>
      </c>
      <c r="S48" s="130" t="n">
        <f aca="false">RANK(O48,$O$45:$O$60)</f>
        <v>2</v>
      </c>
    </row>
    <row r="49" customFormat="false" ht="15" hidden="false" customHeight="false" outlineLevel="0" collapsed="false">
      <c r="A49" s="16" t="s">
        <v>690</v>
      </c>
      <c r="B49" s="127" t="s">
        <v>1696</v>
      </c>
      <c r="C49" s="123" t="n">
        <v>0.0285</v>
      </c>
      <c r="D49" s="123" t="n">
        <v>0.0323</v>
      </c>
      <c r="E49" s="123" t="n">
        <v>0.0324</v>
      </c>
      <c r="F49" s="123" t="n">
        <v>0.0295</v>
      </c>
      <c r="G49" s="123" t="n">
        <v>0.0306</v>
      </c>
      <c r="H49" s="123" t="n">
        <v>0.0294</v>
      </c>
      <c r="I49" s="123" t="n">
        <v>0.0285</v>
      </c>
      <c r="J49" s="123" t="n">
        <v>0.0287</v>
      </c>
      <c r="K49" s="123" t="n">
        <v>0.0308</v>
      </c>
      <c r="L49" s="123" t="n">
        <v>0.0306</v>
      </c>
      <c r="M49" s="123" t="n">
        <v>0.0296</v>
      </c>
      <c r="N49" s="123" t="n">
        <v>0.0291</v>
      </c>
      <c r="O49" s="128" t="n">
        <f aca="false">AVERAGE(C49:N49)</f>
        <v>0.03</v>
      </c>
      <c r="P49" s="129" t="n">
        <f aca="false">MIN(C49:N49)</f>
        <v>0.0285</v>
      </c>
      <c r="Q49" s="129" t="n">
        <f aca="false">MAX(C49:N49)</f>
        <v>0.0324</v>
      </c>
      <c r="R49" s="129" t="n">
        <f aca="false">Q49-P49</f>
        <v>0.00390000000000001</v>
      </c>
      <c r="S49" s="130" t="n">
        <f aca="false">RANK(O49,$O$45:$O$60)</f>
        <v>1</v>
      </c>
    </row>
    <row r="50" customFormat="false" ht="15" hidden="false" customHeight="false" outlineLevel="0" collapsed="false">
      <c r="A50" s="16" t="s">
        <v>1697</v>
      </c>
      <c r="B50" s="127" t="s">
        <v>1076</v>
      </c>
      <c r="C50" s="123" t="n">
        <v>0.0195</v>
      </c>
      <c r="D50" s="123" t="n">
        <v>0.0211</v>
      </c>
      <c r="E50" s="123" t="n">
        <v>0.0219</v>
      </c>
      <c r="F50" s="123" t="n">
        <v>0.0191</v>
      </c>
      <c r="G50" s="123" t="n">
        <v>0.0198</v>
      </c>
      <c r="H50" s="123" t="n">
        <v>0.0182</v>
      </c>
      <c r="I50" s="123" t="n">
        <v>0.0174</v>
      </c>
      <c r="J50" s="123" t="n">
        <v>0.0176</v>
      </c>
      <c r="K50" s="123" t="n">
        <v>0.0196</v>
      </c>
      <c r="L50" s="123" t="n">
        <v>0.0179</v>
      </c>
      <c r="M50" s="123" t="n">
        <v>0.019</v>
      </c>
      <c r="N50" s="123" t="n">
        <v>0.0194</v>
      </c>
      <c r="O50" s="128" t="n">
        <f aca="false">AVERAGE(C50:N50)</f>
        <v>0.0192083333333333</v>
      </c>
      <c r="P50" s="129" t="n">
        <f aca="false">MIN(C50:N50)</f>
        <v>0.0174</v>
      </c>
      <c r="Q50" s="129" t="n">
        <f aca="false">MAX(C50:N50)</f>
        <v>0.0219</v>
      </c>
      <c r="R50" s="129" t="n">
        <f aca="false">Q50-P50</f>
        <v>0.0045</v>
      </c>
      <c r="S50" s="130" t="n">
        <f aca="false">RANK(O50,$O$45:$O$60)</f>
        <v>3</v>
      </c>
    </row>
    <row r="51" customFormat="false" ht="15" hidden="false" customHeight="false" outlineLevel="0" collapsed="false">
      <c r="A51" s="16" t="s">
        <v>669</v>
      </c>
      <c r="B51" s="127" t="s">
        <v>630</v>
      </c>
      <c r="C51" s="123" t="n">
        <v>0.0065</v>
      </c>
      <c r="D51" s="123" t="n">
        <v>0.0069</v>
      </c>
      <c r="E51" s="123" t="n">
        <v>0.0073</v>
      </c>
      <c r="F51" s="123" t="n">
        <v>0.0071</v>
      </c>
      <c r="G51" s="123" t="n">
        <v>0.0075</v>
      </c>
      <c r="H51" s="123" t="n">
        <v>0.0073</v>
      </c>
      <c r="I51" s="123" t="n">
        <v>0.0067</v>
      </c>
      <c r="J51" s="123" t="n">
        <v>0.0067</v>
      </c>
      <c r="K51" s="123" t="n">
        <v>0.007</v>
      </c>
      <c r="L51" s="123" t="n">
        <v>0.0074</v>
      </c>
      <c r="M51" s="123" t="n">
        <v>0.0073</v>
      </c>
      <c r="N51" s="123" t="n">
        <v>0.0071</v>
      </c>
      <c r="O51" s="128" t="n">
        <f aca="false">AVERAGE(C51:N51)</f>
        <v>0.00706666666666667</v>
      </c>
      <c r="P51" s="129" t="n">
        <f aca="false">MIN(C51:N51)</f>
        <v>0.0065</v>
      </c>
      <c r="Q51" s="129" t="n">
        <f aca="false">MAX(C51:N51)</f>
        <v>0.0075</v>
      </c>
      <c r="R51" s="129" t="n">
        <f aca="false">Q51-P51</f>
        <v>0.000999999999999999</v>
      </c>
      <c r="S51" s="130" t="n">
        <f aca="false">RANK(O51,$O$45:$O$60)</f>
        <v>10</v>
      </c>
    </row>
    <row r="52" customFormat="false" ht="15" hidden="false" customHeight="false" outlineLevel="0" collapsed="false">
      <c r="A52" s="16" t="s">
        <v>1698</v>
      </c>
      <c r="B52" s="127" t="s">
        <v>1699</v>
      </c>
      <c r="C52" s="123" t="n">
        <v>0.0051</v>
      </c>
      <c r="D52" s="123" t="n">
        <v>0.0055</v>
      </c>
      <c r="E52" s="123" t="n">
        <v>0.0052</v>
      </c>
      <c r="F52" s="123" t="n">
        <v>0.0049</v>
      </c>
      <c r="G52" s="123" t="n">
        <v>0.0046</v>
      </c>
      <c r="H52" s="123" t="n">
        <v>0.0045</v>
      </c>
      <c r="I52" s="123" t="n">
        <v>0.0041</v>
      </c>
      <c r="J52" s="123" t="n">
        <v>0.004</v>
      </c>
      <c r="K52" s="123" t="n">
        <v>0.0045</v>
      </c>
      <c r="L52" s="123" t="n">
        <v>0.0048</v>
      </c>
      <c r="M52" s="123" t="n">
        <v>0.0047</v>
      </c>
      <c r="N52" s="123" t="n">
        <v>0.0047</v>
      </c>
      <c r="O52" s="128" t="n">
        <f aca="false">AVERAGE(C52:N52)</f>
        <v>0.00471666666666667</v>
      </c>
      <c r="P52" s="129" t="n">
        <f aca="false">MIN(C52:N52)</f>
        <v>0.004</v>
      </c>
      <c r="Q52" s="129" t="n">
        <f aca="false">MAX(C52:N52)</f>
        <v>0.0055</v>
      </c>
      <c r="R52" s="129" t="n">
        <f aca="false">Q52-P52</f>
        <v>0.0015</v>
      </c>
      <c r="S52" s="130" t="n">
        <f aca="false">RANK(O52,$O$45:$O$60)</f>
        <v>15</v>
      </c>
    </row>
    <row r="53" customFormat="false" ht="15" hidden="false" customHeight="false" outlineLevel="0" collapsed="false">
      <c r="A53" s="16" t="s">
        <v>662</v>
      </c>
      <c r="B53" s="127" t="s">
        <v>753</v>
      </c>
      <c r="C53" s="123" t="n">
        <v>0.0119</v>
      </c>
      <c r="D53" s="123" t="n">
        <v>0.0121</v>
      </c>
      <c r="E53" s="123" t="n">
        <v>0.0126</v>
      </c>
      <c r="F53" s="123" t="n">
        <v>0.0121</v>
      </c>
      <c r="G53" s="123" t="n">
        <v>0.0126</v>
      </c>
      <c r="H53" s="123" t="n">
        <v>0.0118</v>
      </c>
      <c r="I53" s="123" t="n">
        <v>0.0109</v>
      </c>
      <c r="J53" s="123" t="n">
        <v>0.0111</v>
      </c>
      <c r="K53" s="123" t="n">
        <v>0.0117</v>
      </c>
      <c r="L53" s="123" t="n">
        <v>0.0122</v>
      </c>
      <c r="M53" s="123" t="n">
        <v>0.0119</v>
      </c>
      <c r="N53" s="123" t="n">
        <v>0.0119</v>
      </c>
      <c r="O53" s="128" t="n">
        <f aca="false">AVERAGE(C53:N53)</f>
        <v>0.0119</v>
      </c>
      <c r="P53" s="129" t="n">
        <f aca="false">MIN(C53:N53)</f>
        <v>0.0109</v>
      </c>
      <c r="Q53" s="129" t="n">
        <f aca="false">MAX(C53:N53)</f>
        <v>0.0126</v>
      </c>
      <c r="R53" s="129" t="n">
        <f aca="false">Q53-P53</f>
        <v>0.0017</v>
      </c>
      <c r="S53" s="130" t="n">
        <f aca="false">RANK(O53,$O$45:$O$60)</f>
        <v>4</v>
      </c>
    </row>
    <row r="54" customFormat="false" ht="15" hidden="false" customHeight="false" outlineLevel="0" collapsed="false">
      <c r="A54" s="16" t="s">
        <v>1700</v>
      </c>
      <c r="B54" s="127" t="s">
        <v>1701</v>
      </c>
      <c r="C54" s="123" t="n">
        <v>0.006</v>
      </c>
      <c r="D54" s="123" t="n">
        <v>0.0063</v>
      </c>
      <c r="E54" s="123" t="n">
        <v>0.0065</v>
      </c>
      <c r="F54" s="123" t="n">
        <v>0.0069</v>
      </c>
      <c r="G54" s="123" t="n">
        <v>0.0069</v>
      </c>
      <c r="H54" s="123" t="n">
        <v>0.0065</v>
      </c>
      <c r="I54" s="123" t="n">
        <v>0.0062</v>
      </c>
      <c r="J54" s="123" t="n">
        <v>0.0061</v>
      </c>
      <c r="K54" s="123" t="n">
        <v>0.0064</v>
      </c>
      <c r="L54" s="123" t="n">
        <v>0.0071</v>
      </c>
      <c r="M54" s="123" t="n">
        <v>0.0067</v>
      </c>
      <c r="N54" s="123" t="n">
        <v>0.007</v>
      </c>
      <c r="O54" s="128" t="n">
        <f aca="false">AVERAGE(C54:N54)</f>
        <v>0.00655</v>
      </c>
      <c r="P54" s="129" t="n">
        <f aca="false">MIN(C54:N54)</f>
        <v>0.006</v>
      </c>
      <c r="Q54" s="129" t="n">
        <f aca="false">MAX(C54:N54)</f>
        <v>0.0071</v>
      </c>
      <c r="R54" s="129" t="n">
        <f aca="false">Q54-P54</f>
        <v>0.0011</v>
      </c>
      <c r="S54" s="130" t="n">
        <f aca="false">RANK(O54,$O$45:$O$60)</f>
        <v>11</v>
      </c>
    </row>
    <row r="55" customFormat="false" ht="17.15" hidden="false" customHeight="false" outlineLevel="0" collapsed="false">
      <c r="A55" s="16" t="s">
        <v>695</v>
      </c>
      <c r="B55" s="127" t="s">
        <v>1702</v>
      </c>
      <c r="C55" s="123" t="n">
        <v>0.0042</v>
      </c>
      <c r="D55" s="123" t="n">
        <v>0.0043</v>
      </c>
      <c r="E55" s="123" t="n">
        <v>0.0044</v>
      </c>
      <c r="F55" s="123" t="n">
        <v>0.0044</v>
      </c>
      <c r="G55" s="123" t="n">
        <v>0.0044</v>
      </c>
      <c r="H55" s="123" t="n">
        <v>0.0042</v>
      </c>
      <c r="I55" s="123" t="n">
        <v>0.0039</v>
      </c>
      <c r="J55" s="123" t="n">
        <v>0.0041</v>
      </c>
      <c r="K55" s="123" t="n">
        <v>0.0043</v>
      </c>
      <c r="L55" s="123" t="n">
        <v>0.0047</v>
      </c>
      <c r="M55" s="123" t="n">
        <v>0.0046</v>
      </c>
      <c r="N55" s="123" t="n">
        <v>0.0044</v>
      </c>
      <c r="O55" s="128" t="n">
        <f aca="false">AVERAGE(C55:N55)</f>
        <v>0.004325</v>
      </c>
      <c r="P55" s="129" t="n">
        <f aca="false">MIN(C55:N55)</f>
        <v>0.0039</v>
      </c>
      <c r="Q55" s="129" t="n">
        <f aca="false">MAX(C55:N55)</f>
        <v>0.0047</v>
      </c>
      <c r="R55" s="129" t="n">
        <f aca="false">Q55-P55</f>
        <v>0.0008</v>
      </c>
      <c r="S55" s="130" t="n">
        <f aca="false">RANK(O55,$O$45:$O$60)</f>
        <v>16</v>
      </c>
    </row>
    <row r="56" customFormat="false" ht="15" hidden="false" customHeight="false" outlineLevel="0" collapsed="false">
      <c r="A56" s="16" t="s">
        <v>688</v>
      </c>
      <c r="B56" s="127" t="s">
        <v>784</v>
      </c>
      <c r="C56" s="123" t="n">
        <v>0.0047</v>
      </c>
      <c r="D56" s="123" t="n">
        <v>0.005</v>
      </c>
      <c r="E56" s="123" t="n">
        <v>0.0052</v>
      </c>
      <c r="F56" s="123" t="n">
        <v>0.005</v>
      </c>
      <c r="G56" s="123" t="n">
        <v>0.0052</v>
      </c>
      <c r="H56" s="123" t="n">
        <v>0.005</v>
      </c>
      <c r="I56" s="123" t="n">
        <v>0.0045</v>
      </c>
      <c r="J56" s="123" t="n">
        <v>0.0047</v>
      </c>
      <c r="K56" s="123" t="n">
        <v>0.0049</v>
      </c>
      <c r="L56" s="123" t="n">
        <v>0.0053</v>
      </c>
      <c r="M56" s="123" t="n">
        <v>0.0053</v>
      </c>
      <c r="N56" s="123" t="n">
        <v>0.0053</v>
      </c>
      <c r="O56" s="128" t="n">
        <f aca="false">AVERAGE(C56:N56)</f>
        <v>0.00500833333333333</v>
      </c>
      <c r="P56" s="129" t="n">
        <f aca="false">MIN(C56:N56)</f>
        <v>0.0045</v>
      </c>
      <c r="Q56" s="129" t="n">
        <f aca="false">MAX(C56:N56)</f>
        <v>0.0053</v>
      </c>
      <c r="R56" s="129" t="n">
        <f aca="false">Q56-P56</f>
        <v>0.000799999999999999</v>
      </c>
      <c r="S56" s="130" t="n">
        <f aca="false">RANK(O56,$O$45:$O$60)</f>
        <v>13</v>
      </c>
    </row>
    <row r="57" customFormat="false" ht="15" hidden="false" customHeight="false" outlineLevel="0" collapsed="false">
      <c r="A57" s="16" t="s">
        <v>1703</v>
      </c>
      <c r="B57" s="127" t="s">
        <v>808</v>
      </c>
      <c r="C57" s="123" t="n">
        <v>0.0077</v>
      </c>
      <c r="D57" s="123" t="n">
        <v>0.0083</v>
      </c>
      <c r="E57" s="123" t="n">
        <v>0.0083</v>
      </c>
      <c r="F57" s="123" t="n">
        <v>0.0085</v>
      </c>
      <c r="G57" s="123" t="n">
        <v>0.0086</v>
      </c>
      <c r="H57" s="123" t="n">
        <v>0.008</v>
      </c>
      <c r="I57" s="123" t="n">
        <v>0.0072</v>
      </c>
      <c r="J57" s="123" t="n">
        <v>0.0073</v>
      </c>
      <c r="K57" s="123" t="n">
        <v>0.0077</v>
      </c>
      <c r="L57" s="123" t="n">
        <v>0.0085</v>
      </c>
      <c r="M57" s="123" t="n">
        <v>0.0089</v>
      </c>
      <c r="N57" s="123" t="n">
        <v>0.0088</v>
      </c>
      <c r="O57" s="128" t="n">
        <f aca="false">AVERAGE(C57:N57)</f>
        <v>0.00815</v>
      </c>
      <c r="P57" s="129" t="n">
        <f aca="false">MIN(C57:N57)</f>
        <v>0.0072</v>
      </c>
      <c r="Q57" s="129" t="n">
        <f aca="false">MAX(C57:N57)</f>
        <v>0.0089</v>
      </c>
      <c r="R57" s="129" t="n">
        <f aca="false">Q57-P57</f>
        <v>0.0017</v>
      </c>
      <c r="S57" s="130" t="n">
        <f aca="false">RANK(O57,$O$45:$O$60)</f>
        <v>8</v>
      </c>
    </row>
    <row r="58" customFormat="false" ht="15" hidden="false" customHeight="false" outlineLevel="0" collapsed="false">
      <c r="A58" s="16" t="s">
        <v>678</v>
      </c>
      <c r="B58" s="127" t="s">
        <v>750</v>
      </c>
      <c r="C58" s="123" t="n">
        <v>0.0068</v>
      </c>
      <c r="D58" s="123" t="n">
        <v>0.0068</v>
      </c>
      <c r="E58" s="123" t="n">
        <v>0.0072</v>
      </c>
      <c r="F58" s="123" t="n">
        <v>0.007</v>
      </c>
      <c r="G58" s="123" t="n">
        <v>0.0073</v>
      </c>
      <c r="H58" s="123" t="n">
        <v>0.0071</v>
      </c>
      <c r="I58" s="123" t="n">
        <v>0.0066</v>
      </c>
      <c r="J58" s="123" t="n">
        <v>0.0071</v>
      </c>
      <c r="K58" s="123" t="n">
        <v>0.0073</v>
      </c>
      <c r="L58" s="123" t="n">
        <v>0.0076</v>
      </c>
      <c r="M58" s="123" t="n">
        <v>0.0077</v>
      </c>
      <c r="N58" s="123" t="n">
        <v>0.0072</v>
      </c>
      <c r="O58" s="128" t="n">
        <f aca="false">AVERAGE(C58:N58)</f>
        <v>0.00714166666666667</v>
      </c>
      <c r="P58" s="129" t="n">
        <f aca="false">MIN(C58:N58)</f>
        <v>0.0066</v>
      </c>
      <c r="Q58" s="129" t="n">
        <f aca="false">MAX(C58:N58)</f>
        <v>0.0077</v>
      </c>
      <c r="R58" s="129" t="n">
        <f aca="false">Q58-P58</f>
        <v>0.0011</v>
      </c>
      <c r="S58" s="130" t="n">
        <f aca="false">RANK(O58,$O$45:$O$60)</f>
        <v>9</v>
      </c>
    </row>
    <row r="59" customFormat="false" ht="17.15" hidden="false" customHeight="false" outlineLevel="0" collapsed="false">
      <c r="A59" s="16" t="s">
        <v>1704</v>
      </c>
      <c r="B59" s="127" t="s">
        <v>1705</v>
      </c>
      <c r="C59" s="123" t="n">
        <v>0.0084</v>
      </c>
      <c r="D59" s="123" t="n">
        <v>0.0093</v>
      </c>
      <c r="E59" s="123" t="n">
        <v>0.0089</v>
      </c>
      <c r="F59" s="123" t="n">
        <v>0.0081</v>
      </c>
      <c r="G59" s="123" t="n">
        <v>0.0083</v>
      </c>
      <c r="H59" s="123" t="n">
        <v>0.008</v>
      </c>
      <c r="I59" s="123" t="n">
        <v>0.008</v>
      </c>
      <c r="J59" s="123" t="n">
        <v>0.0074</v>
      </c>
      <c r="K59" s="123" t="n">
        <v>0.0077</v>
      </c>
      <c r="L59" s="123" t="n">
        <v>0.0078</v>
      </c>
      <c r="M59" s="123" t="n">
        <v>0.0082</v>
      </c>
      <c r="N59" s="123" t="n">
        <v>0.0083</v>
      </c>
      <c r="O59" s="128" t="n">
        <f aca="false">AVERAGE(C59:N59)</f>
        <v>0.0082</v>
      </c>
      <c r="P59" s="129" t="n">
        <f aca="false">MIN(C59:N59)</f>
        <v>0.0074</v>
      </c>
      <c r="Q59" s="129" t="n">
        <f aca="false">MAX(C59:N59)</f>
        <v>0.0093</v>
      </c>
      <c r="R59" s="129" t="n">
        <f aca="false">Q59-P59</f>
        <v>0.0019</v>
      </c>
      <c r="S59" s="130" t="n">
        <f aca="false">RANK(O59,$O$45:$O$60)</f>
        <v>7</v>
      </c>
    </row>
    <row r="60" customFormat="false" ht="15" hidden="false" customHeight="false" outlineLevel="0" collapsed="false">
      <c r="A60" s="16" t="s">
        <v>1706</v>
      </c>
      <c r="B60" s="127" t="s">
        <v>1707</v>
      </c>
      <c r="C60" s="123" t="n">
        <v>0.0123</v>
      </c>
      <c r="D60" s="123" t="n">
        <v>0.0128</v>
      </c>
      <c r="E60" s="123" t="n">
        <v>0.0123</v>
      </c>
      <c r="F60" s="123" t="n">
        <v>0.0109</v>
      </c>
      <c r="G60" s="123" t="n">
        <v>0.011</v>
      </c>
      <c r="H60" s="123" t="n">
        <v>0.0104</v>
      </c>
      <c r="I60" s="123" t="n">
        <v>0.0101</v>
      </c>
      <c r="J60" s="123" t="n">
        <v>0.01</v>
      </c>
      <c r="K60" s="123" t="n">
        <v>0.0106</v>
      </c>
      <c r="L60" s="123" t="n">
        <v>0.0107</v>
      </c>
      <c r="M60" s="123" t="n">
        <v>0.0116</v>
      </c>
      <c r="N60" s="123" t="n">
        <v>0.012</v>
      </c>
      <c r="O60" s="128" t="n">
        <f aca="false">AVERAGE(C60:N60)</f>
        <v>0.011225</v>
      </c>
      <c r="P60" s="129" t="n">
        <f aca="false">MIN(C60:N60)</f>
        <v>0.01</v>
      </c>
      <c r="Q60" s="129" t="n">
        <f aca="false">MAX(C60:N60)</f>
        <v>0.0128</v>
      </c>
      <c r="R60" s="129" t="n">
        <f aca="false">Q60-P60</f>
        <v>0.0028</v>
      </c>
      <c r="S60" s="130" t="n">
        <f aca="false">RANK(O60,$O$45:$O$60)</f>
        <v>5</v>
      </c>
    </row>
    <row r="62" customFormat="false" ht="19.4" hidden="false" customHeight="false" outlineLevel="0" collapsed="false">
      <c r="A62" s="131" t="s">
        <v>1710</v>
      </c>
    </row>
    <row r="63" customFormat="false" ht="45.75" hidden="false" customHeight="true" outlineLevel="0" collapsed="false">
      <c r="A63" s="19" t="s">
        <v>1672</v>
      </c>
      <c r="B63" s="19" t="s">
        <v>1673</v>
      </c>
      <c r="C63" s="24" t="s">
        <v>1674</v>
      </c>
      <c r="D63" s="24" t="s">
        <v>1675</v>
      </c>
      <c r="E63" s="24" t="s">
        <v>1676</v>
      </c>
      <c r="F63" s="24" t="s">
        <v>1677</v>
      </c>
      <c r="G63" s="24" t="s">
        <v>1678</v>
      </c>
      <c r="H63" s="24" t="s">
        <v>1679</v>
      </c>
      <c r="I63" s="24" t="s">
        <v>1680</v>
      </c>
      <c r="J63" s="24" t="s">
        <v>1681</v>
      </c>
      <c r="K63" s="24" t="s">
        <v>1682</v>
      </c>
      <c r="L63" s="24" t="s">
        <v>1683</v>
      </c>
      <c r="M63" s="24" t="s">
        <v>1684</v>
      </c>
      <c r="N63" s="24" t="s">
        <v>1685</v>
      </c>
      <c r="O63" s="19" t="s">
        <v>1686</v>
      </c>
      <c r="P63" s="19" t="s">
        <v>1687</v>
      </c>
      <c r="Q63" s="19" t="s">
        <v>1688</v>
      </c>
      <c r="R63" s="19" t="s">
        <v>1689</v>
      </c>
      <c r="S63" s="24" t="s">
        <v>1690</v>
      </c>
    </row>
    <row r="64" customFormat="false" ht="15" hidden="false" customHeight="false" outlineLevel="0" collapsed="false">
      <c r="A64" s="16" t="s">
        <v>683</v>
      </c>
      <c r="B64" s="127" t="s">
        <v>1691</v>
      </c>
      <c r="C64" s="132" t="n">
        <v>14</v>
      </c>
      <c r="D64" s="132" t="n">
        <v>13.9</v>
      </c>
      <c r="E64" s="132" t="n">
        <v>13.7</v>
      </c>
      <c r="F64" s="132" t="n">
        <v>13.8</v>
      </c>
      <c r="G64" s="132" t="n">
        <v>13.9</v>
      </c>
      <c r="H64" s="132" t="n">
        <v>14</v>
      </c>
      <c r="I64" s="132" t="n">
        <v>14.3</v>
      </c>
      <c r="J64" s="132" t="n">
        <v>14.4</v>
      </c>
      <c r="K64" s="132" t="n">
        <v>14.4</v>
      </c>
      <c r="L64" s="132" t="n">
        <v>14.4</v>
      </c>
      <c r="M64" s="132" t="n">
        <v>14.1</v>
      </c>
      <c r="N64" s="132" t="n">
        <v>14.1</v>
      </c>
      <c r="O64" s="133" t="n">
        <f aca="false">AVERAGE(C64:N64)</f>
        <v>14.0833333333333</v>
      </c>
      <c r="P64" s="134" t="n">
        <f aca="false">MIN(C64:N64)</f>
        <v>13.7</v>
      </c>
      <c r="Q64" s="134" t="n">
        <f aca="false">MAX(C64:N64)</f>
        <v>14.4</v>
      </c>
      <c r="R64" s="134" t="n">
        <f aca="false">Q64-P64</f>
        <v>0.700000000000001</v>
      </c>
      <c r="S64" s="130" t="n">
        <f aca="false">RANK(O64,$O$64:$O$79)</f>
        <v>13</v>
      </c>
    </row>
    <row r="65" customFormat="false" ht="15" hidden="false" customHeight="false" outlineLevel="0" collapsed="false">
      <c r="A65" s="16" t="s">
        <v>686</v>
      </c>
      <c r="B65" s="127" t="s">
        <v>1692</v>
      </c>
      <c r="C65" s="132" t="n">
        <v>16.3</v>
      </c>
      <c r="D65" s="132" t="n">
        <v>15.8</v>
      </c>
      <c r="E65" s="132" t="n">
        <v>15.9</v>
      </c>
      <c r="F65" s="132" t="n">
        <v>16.2</v>
      </c>
      <c r="G65" s="132" t="n">
        <v>16.2</v>
      </c>
      <c r="H65" s="132" t="n">
        <v>16.3</v>
      </c>
      <c r="I65" s="132" t="n">
        <v>16.6</v>
      </c>
      <c r="J65" s="132" t="n">
        <v>16.7</v>
      </c>
      <c r="K65" s="132" t="n">
        <v>16.6</v>
      </c>
      <c r="L65" s="132" t="n">
        <v>16.6</v>
      </c>
      <c r="M65" s="132" t="n">
        <v>16.8</v>
      </c>
      <c r="N65" s="132" t="n">
        <v>16.8</v>
      </c>
      <c r="O65" s="133" t="n">
        <f aca="false">AVERAGE(C65:N65)</f>
        <v>16.4</v>
      </c>
      <c r="P65" s="134" t="n">
        <f aca="false">MIN(C65:N65)</f>
        <v>15.8</v>
      </c>
      <c r="Q65" s="134" t="n">
        <f aca="false">MAX(C65:N65)</f>
        <v>16.8</v>
      </c>
      <c r="R65" s="134" t="n">
        <f aca="false">Q65-P65</f>
        <v>1</v>
      </c>
      <c r="S65" s="130" t="n">
        <f aca="false">RANK(O65,$O$64:$O$79)</f>
        <v>8</v>
      </c>
    </row>
    <row r="66" customFormat="false" ht="15" hidden="false" customHeight="false" outlineLevel="0" collapsed="false">
      <c r="A66" s="16" t="s">
        <v>1693</v>
      </c>
      <c r="B66" s="127" t="s">
        <v>1694</v>
      </c>
      <c r="C66" s="132" t="n">
        <v>12.4</v>
      </c>
      <c r="D66" s="132" t="n">
        <v>12.2</v>
      </c>
      <c r="E66" s="132" t="n">
        <v>12.3</v>
      </c>
      <c r="F66" s="132" t="n">
        <v>12.5</v>
      </c>
      <c r="G66" s="132" t="n">
        <v>12.8</v>
      </c>
      <c r="H66" s="132" t="n">
        <v>12.9</v>
      </c>
      <c r="I66" s="132" t="n">
        <v>13.3</v>
      </c>
      <c r="J66" s="132" t="n">
        <v>13.4</v>
      </c>
      <c r="K66" s="132" t="n">
        <v>13.3</v>
      </c>
      <c r="L66" s="132" t="n">
        <v>13.1</v>
      </c>
      <c r="M66" s="132" t="n">
        <v>13</v>
      </c>
      <c r="N66" s="132" t="n">
        <v>12.9</v>
      </c>
      <c r="O66" s="133" t="n">
        <f aca="false">AVERAGE(C66:N66)</f>
        <v>12.8416666666667</v>
      </c>
      <c r="P66" s="134" t="n">
        <f aca="false">MIN(C66:N66)</f>
        <v>12.2</v>
      </c>
      <c r="Q66" s="134" t="n">
        <f aca="false">MAX(C66:N66)</f>
        <v>13.4</v>
      </c>
      <c r="R66" s="134" t="n">
        <f aca="false">Q66-P66</f>
        <v>1.2</v>
      </c>
      <c r="S66" s="130" t="n">
        <f aca="false">RANK(O66,$O$64:$O$79)</f>
        <v>16</v>
      </c>
    </row>
    <row r="67" customFormat="false" ht="15" hidden="false" customHeight="false" outlineLevel="0" collapsed="false">
      <c r="A67" s="16" t="s">
        <v>672</v>
      </c>
      <c r="B67" s="127" t="s">
        <v>1695</v>
      </c>
      <c r="C67" s="132" t="n">
        <v>40.5</v>
      </c>
      <c r="D67" s="132" t="n">
        <v>40.4</v>
      </c>
      <c r="E67" s="132" t="n">
        <v>40</v>
      </c>
      <c r="F67" s="132" t="n">
        <v>40.4</v>
      </c>
      <c r="G67" s="132" t="n">
        <v>41.6</v>
      </c>
      <c r="H67" s="132" t="n">
        <v>41.4</v>
      </c>
      <c r="I67" s="132" t="n">
        <v>41.5</v>
      </c>
      <c r="J67" s="132" t="n">
        <v>41.7</v>
      </c>
      <c r="K67" s="132" t="n">
        <v>41.8</v>
      </c>
      <c r="L67" s="132" t="n">
        <v>41.4</v>
      </c>
      <c r="M67" s="132" t="n">
        <v>41.2</v>
      </c>
      <c r="N67" s="132" t="n">
        <v>40.8</v>
      </c>
      <c r="O67" s="133" t="n">
        <f aca="false">AVERAGE(C67:N67)</f>
        <v>41.0583333333333</v>
      </c>
      <c r="P67" s="134" t="n">
        <f aca="false">MIN(C67:N67)</f>
        <v>40</v>
      </c>
      <c r="Q67" s="134" t="n">
        <f aca="false">MAX(C67:N67)</f>
        <v>41.8</v>
      </c>
      <c r="R67" s="134" t="n">
        <f aca="false">Q67-P67</f>
        <v>1.8</v>
      </c>
      <c r="S67" s="130" t="n">
        <f aca="false">RANK(O67,$O$64:$O$79)</f>
        <v>2</v>
      </c>
    </row>
    <row r="68" customFormat="false" ht="15" hidden="false" customHeight="false" outlineLevel="0" collapsed="false">
      <c r="A68" s="16" t="s">
        <v>690</v>
      </c>
      <c r="B68" s="127" t="s">
        <v>1696</v>
      </c>
      <c r="C68" s="132" t="n">
        <v>47.7</v>
      </c>
      <c r="D68" s="132" t="n">
        <v>48.4</v>
      </c>
      <c r="E68" s="132" t="n">
        <v>48.4</v>
      </c>
      <c r="F68" s="132" t="n">
        <v>49</v>
      </c>
      <c r="G68" s="132" t="n">
        <v>48.5</v>
      </c>
      <c r="H68" s="132" t="n">
        <v>48.6</v>
      </c>
      <c r="I68" s="132" t="n">
        <v>48.3</v>
      </c>
      <c r="J68" s="132" t="n">
        <v>48.2</v>
      </c>
      <c r="K68" s="132" t="n">
        <v>48.3</v>
      </c>
      <c r="L68" s="132" t="n">
        <v>48.9</v>
      </c>
      <c r="M68" s="132" t="n">
        <v>49.1</v>
      </c>
      <c r="N68" s="132" t="n">
        <v>48.9</v>
      </c>
      <c r="O68" s="133" t="n">
        <f aca="false">AVERAGE(C68:N68)</f>
        <v>48.525</v>
      </c>
      <c r="P68" s="134" t="n">
        <f aca="false">MIN(C68:N68)</f>
        <v>47.7</v>
      </c>
      <c r="Q68" s="134" t="n">
        <f aca="false">MAX(C68:N68)</f>
        <v>49.1</v>
      </c>
      <c r="R68" s="134" t="n">
        <f aca="false">Q68-P68</f>
        <v>1.4</v>
      </c>
      <c r="S68" s="130" t="n">
        <f aca="false">RANK(O68,$O$64:$O$79)</f>
        <v>1</v>
      </c>
    </row>
    <row r="69" customFormat="false" ht="15" hidden="false" customHeight="false" outlineLevel="0" collapsed="false">
      <c r="A69" s="16" t="s">
        <v>1697</v>
      </c>
      <c r="B69" s="127" t="s">
        <v>1076</v>
      </c>
      <c r="C69" s="132" t="n">
        <v>35.1</v>
      </c>
      <c r="D69" s="132" t="n">
        <v>35.6</v>
      </c>
      <c r="E69" s="132" t="n">
        <v>35.9</v>
      </c>
      <c r="F69" s="132" t="n">
        <v>34.4</v>
      </c>
      <c r="G69" s="132" t="n">
        <v>34.3</v>
      </c>
      <c r="H69" s="132" t="n">
        <v>35.3</v>
      </c>
      <c r="I69" s="132" t="n">
        <v>34.5</v>
      </c>
      <c r="J69" s="132" t="n">
        <v>34.5</v>
      </c>
      <c r="K69" s="132" t="n">
        <v>34.8</v>
      </c>
      <c r="L69" s="132" t="n">
        <v>35.5</v>
      </c>
      <c r="M69" s="132" t="n">
        <v>37.1</v>
      </c>
      <c r="N69" s="132" t="n">
        <v>37.2</v>
      </c>
      <c r="O69" s="133" t="n">
        <f aca="false">AVERAGE(C69:N69)</f>
        <v>35.35</v>
      </c>
      <c r="P69" s="134" t="n">
        <f aca="false">MIN(C69:N69)</f>
        <v>34.3</v>
      </c>
      <c r="Q69" s="134" t="n">
        <f aca="false">MAX(C69:N69)</f>
        <v>37.2</v>
      </c>
      <c r="R69" s="134" t="n">
        <f aca="false">Q69-P69</f>
        <v>2.90000000000001</v>
      </c>
      <c r="S69" s="130" t="n">
        <f aca="false">RANK(O69,$O$64:$O$79)</f>
        <v>3</v>
      </c>
    </row>
    <row r="70" customFormat="false" ht="15" hidden="false" customHeight="false" outlineLevel="0" collapsed="false">
      <c r="A70" s="16" t="s">
        <v>669</v>
      </c>
      <c r="B70" s="127" t="s">
        <v>630</v>
      </c>
      <c r="C70" s="132" t="n">
        <v>13</v>
      </c>
      <c r="D70" s="132" t="n">
        <v>12.7</v>
      </c>
      <c r="E70" s="132" t="n">
        <v>13.1</v>
      </c>
      <c r="F70" s="132" t="n">
        <v>13.5</v>
      </c>
      <c r="G70" s="132" t="n">
        <v>13.8</v>
      </c>
      <c r="H70" s="132" t="n">
        <v>13.9</v>
      </c>
      <c r="I70" s="132" t="n">
        <v>14.1</v>
      </c>
      <c r="J70" s="132" t="n">
        <v>14.1</v>
      </c>
      <c r="K70" s="132" t="n">
        <v>14.3</v>
      </c>
      <c r="L70" s="132" t="n">
        <v>14.1</v>
      </c>
      <c r="M70" s="132" t="n">
        <v>13.7</v>
      </c>
      <c r="N70" s="132" t="n">
        <v>13.4</v>
      </c>
      <c r="O70" s="133" t="n">
        <f aca="false">AVERAGE(C70:N70)</f>
        <v>13.6416666666667</v>
      </c>
      <c r="P70" s="134" t="n">
        <f aca="false">MIN(C70:N70)</f>
        <v>12.7</v>
      </c>
      <c r="Q70" s="134" t="n">
        <f aca="false">MAX(C70:N70)</f>
        <v>14.3</v>
      </c>
      <c r="R70" s="134" t="n">
        <f aca="false">Q70-P70</f>
        <v>1.6</v>
      </c>
      <c r="S70" s="130" t="n">
        <f aca="false">RANK(O70,$O$64:$O$79)</f>
        <v>15</v>
      </c>
    </row>
    <row r="71" customFormat="false" ht="15" hidden="false" customHeight="false" outlineLevel="0" collapsed="false">
      <c r="A71" s="16" t="s">
        <v>1698</v>
      </c>
      <c r="B71" s="127" t="s">
        <v>1699</v>
      </c>
      <c r="C71" s="132" t="n">
        <v>25.8</v>
      </c>
      <c r="D71" s="132" t="n">
        <v>25.3</v>
      </c>
      <c r="E71" s="132" t="n">
        <v>25.2</v>
      </c>
      <c r="F71" s="132" t="n">
        <v>24.2</v>
      </c>
      <c r="G71" s="132" t="n">
        <v>22.3</v>
      </c>
      <c r="H71" s="132" t="n">
        <v>22.5</v>
      </c>
      <c r="I71" s="132" t="n">
        <v>22.7</v>
      </c>
      <c r="J71" s="132" t="n">
        <v>22.6</v>
      </c>
      <c r="K71" s="132" t="n">
        <v>24.2</v>
      </c>
      <c r="L71" s="132" t="n">
        <v>24.6</v>
      </c>
      <c r="M71" s="132" t="n">
        <v>25.6</v>
      </c>
      <c r="N71" s="132" t="n">
        <v>25.8</v>
      </c>
      <c r="O71" s="133" t="n">
        <f aca="false">AVERAGE(C71:N71)</f>
        <v>24.2333333333333</v>
      </c>
      <c r="P71" s="134" t="n">
        <f aca="false">MIN(C71:N71)</f>
        <v>22.3</v>
      </c>
      <c r="Q71" s="134" t="n">
        <f aca="false">MAX(C71:N71)</f>
        <v>25.8</v>
      </c>
      <c r="R71" s="134" t="n">
        <f aca="false">Q71-P71</f>
        <v>3.5</v>
      </c>
      <c r="S71" s="130" t="n">
        <f aca="false">RANK(O71,$O$64:$O$79)</f>
        <v>5</v>
      </c>
    </row>
    <row r="72" customFormat="false" ht="15" hidden="false" customHeight="false" outlineLevel="0" collapsed="false">
      <c r="A72" s="16" t="s">
        <v>662</v>
      </c>
      <c r="B72" s="127" t="s">
        <v>753</v>
      </c>
      <c r="C72" s="132" t="n">
        <v>29.5</v>
      </c>
      <c r="D72" s="132" t="n">
        <v>29.6</v>
      </c>
      <c r="E72" s="132" t="n">
        <v>29.7</v>
      </c>
      <c r="F72" s="132" t="n">
        <v>30.1</v>
      </c>
      <c r="G72" s="132" t="n">
        <v>30.4</v>
      </c>
      <c r="H72" s="132" t="n">
        <v>29.6</v>
      </c>
      <c r="I72" s="132" t="n">
        <v>29.5</v>
      </c>
      <c r="J72" s="132" t="n">
        <v>29.7</v>
      </c>
      <c r="K72" s="132" t="n">
        <v>31.1</v>
      </c>
      <c r="L72" s="132" t="n">
        <v>31.1</v>
      </c>
      <c r="M72" s="132" t="n">
        <v>31.1</v>
      </c>
      <c r="N72" s="132" t="n">
        <v>30.9</v>
      </c>
      <c r="O72" s="133" t="n">
        <f aca="false">AVERAGE(C72:N72)</f>
        <v>30.1916666666667</v>
      </c>
      <c r="P72" s="134" t="n">
        <f aca="false">MIN(C72:N72)</f>
        <v>29.5</v>
      </c>
      <c r="Q72" s="134" t="n">
        <f aca="false">MAX(C72:N72)</f>
        <v>31.1</v>
      </c>
      <c r="R72" s="134" t="n">
        <f aca="false">Q72-P72</f>
        <v>1.6</v>
      </c>
      <c r="S72" s="130" t="n">
        <f aca="false">RANK(O72,$O$64:$O$79)</f>
        <v>4</v>
      </c>
    </row>
    <row r="73" customFormat="false" ht="15" hidden="false" customHeight="false" outlineLevel="0" collapsed="false">
      <c r="A73" s="16" t="s">
        <v>1700</v>
      </c>
      <c r="B73" s="127" t="s">
        <v>1701</v>
      </c>
      <c r="C73" s="132" t="n">
        <v>13.6</v>
      </c>
      <c r="D73" s="132" t="n">
        <v>13.5</v>
      </c>
      <c r="E73" s="132" t="n">
        <v>13.5</v>
      </c>
      <c r="F73" s="132" t="n">
        <v>13.8</v>
      </c>
      <c r="G73" s="132" t="n">
        <v>13.9</v>
      </c>
      <c r="H73" s="132" t="n">
        <v>14</v>
      </c>
      <c r="I73" s="132" t="n">
        <v>14.3</v>
      </c>
      <c r="J73" s="132" t="n">
        <v>14.5</v>
      </c>
      <c r="K73" s="132" t="n">
        <v>14.6</v>
      </c>
      <c r="L73" s="132" t="n">
        <v>14.4</v>
      </c>
      <c r="M73" s="132" t="n">
        <v>14.5</v>
      </c>
      <c r="N73" s="132" t="n">
        <v>14.8</v>
      </c>
      <c r="O73" s="133" t="n">
        <f aca="false">AVERAGE(C73:N73)</f>
        <v>14.1166666666667</v>
      </c>
      <c r="P73" s="134" t="n">
        <f aca="false">MIN(C73:N73)</f>
        <v>13.5</v>
      </c>
      <c r="Q73" s="134" t="n">
        <f aca="false">MAX(C73:N73)</f>
        <v>14.8</v>
      </c>
      <c r="R73" s="134" t="n">
        <f aca="false">Q73-P73</f>
        <v>1.3</v>
      </c>
      <c r="S73" s="130" t="n">
        <f aca="false">RANK(O73,$O$64:$O$79)</f>
        <v>12</v>
      </c>
    </row>
    <row r="74" customFormat="false" ht="17.15" hidden="false" customHeight="false" outlineLevel="0" collapsed="false">
      <c r="A74" s="16" t="s">
        <v>695</v>
      </c>
      <c r="B74" s="127" t="s">
        <v>1702</v>
      </c>
      <c r="C74" s="132" t="n">
        <v>15.3</v>
      </c>
      <c r="D74" s="132" t="n">
        <v>14.9</v>
      </c>
      <c r="E74" s="132" t="n">
        <v>14.7</v>
      </c>
      <c r="F74" s="132" t="n">
        <v>15</v>
      </c>
      <c r="G74" s="132" t="n">
        <v>15.1</v>
      </c>
      <c r="H74" s="132" t="n">
        <v>15.1</v>
      </c>
      <c r="I74" s="132" t="n">
        <v>15.3</v>
      </c>
      <c r="J74" s="132" t="n">
        <v>15.8</v>
      </c>
      <c r="K74" s="132" t="n">
        <v>16.3</v>
      </c>
      <c r="L74" s="132" t="n">
        <v>16.8</v>
      </c>
      <c r="M74" s="132" t="n">
        <v>16.9</v>
      </c>
      <c r="N74" s="132" t="n">
        <v>16.5</v>
      </c>
      <c r="O74" s="133" t="n">
        <f aca="false">AVERAGE(C74:N74)</f>
        <v>15.6416666666667</v>
      </c>
      <c r="P74" s="134" t="n">
        <f aca="false">MIN(C74:N74)</f>
        <v>14.7</v>
      </c>
      <c r="Q74" s="134" t="n">
        <f aca="false">MAX(C74:N74)</f>
        <v>16.9</v>
      </c>
      <c r="R74" s="134" t="n">
        <f aca="false">Q74-P74</f>
        <v>2.2</v>
      </c>
      <c r="S74" s="130" t="n">
        <f aca="false">RANK(O74,$O$64:$O$79)</f>
        <v>10</v>
      </c>
    </row>
    <row r="75" customFormat="false" ht="15" hidden="false" customHeight="false" outlineLevel="0" collapsed="false">
      <c r="A75" s="16" t="s">
        <v>688</v>
      </c>
      <c r="B75" s="127" t="s">
        <v>784</v>
      </c>
      <c r="C75" s="132" t="n">
        <v>14.1</v>
      </c>
      <c r="D75" s="132" t="n">
        <v>14.1</v>
      </c>
      <c r="E75" s="132" t="n">
        <v>14.3</v>
      </c>
      <c r="F75" s="132" t="n">
        <v>14.6</v>
      </c>
      <c r="G75" s="132" t="n">
        <v>14.6</v>
      </c>
      <c r="H75" s="132" t="n">
        <v>14.8</v>
      </c>
      <c r="I75" s="132" t="n">
        <v>14.9</v>
      </c>
      <c r="J75" s="132" t="n">
        <v>15</v>
      </c>
      <c r="K75" s="132" t="n">
        <v>15</v>
      </c>
      <c r="L75" s="132" t="n">
        <v>15</v>
      </c>
      <c r="M75" s="132" t="n">
        <v>14.9</v>
      </c>
      <c r="N75" s="132" t="n">
        <v>15</v>
      </c>
      <c r="O75" s="133" t="n">
        <f aca="false">AVERAGE(C75:N75)</f>
        <v>14.6916666666667</v>
      </c>
      <c r="P75" s="134" t="n">
        <f aca="false">MIN(C75:N75)</f>
        <v>14.1</v>
      </c>
      <c r="Q75" s="134" t="n">
        <f aca="false">MAX(C75:N75)</f>
        <v>15</v>
      </c>
      <c r="R75" s="134" t="n">
        <f aca="false">Q75-P75</f>
        <v>0.9</v>
      </c>
      <c r="S75" s="130" t="n">
        <f aca="false">RANK(O75,$O$64:$O$79)</f>
        <v>11</v>
      </c>
    </row>
    <row r="76" customFormat="false" ht="15" hidden="false" customHeight="false" outlineLevel="0" collapsed="false">
      <c r="A76" s="16" t="s">
        <v>1703</v>
      </c>
      <c r="B76" s="127" t="s">
        <v>808</v>
      </c>
      <c r="C76" s="132" t="n">
        <v>15.4</v>
      </c>
      <c r="D76" s="132" t="n">
        <v>15.3</v>
      </c>
      <c r="E76" s="132" t="n">
        <v>15.4</v>
      </c>
      <c r="F76" s="132" t="n">
        <v>15.5</v>
      </c>
      <c r="G76" s="132" t="n">
        <v>15.5</v>
      </c>
      <c r="H76" s="132" t="n">
        <v>15.3</v>
      </c>
      <c r="I76" s="132" t="n">
        <v>15.8</v>
      </c>
      <c r="J76" s="132" t="n">
        <v>16</v>
      </c>
      <c r="K76" s="132" t="n">
        <v>16.2</v>
      </c>
      <c r="L76" s="132" t="n">
        <v>16.1</v>
      </c>
      <c r="M76" s="132" t="n">
        <v>16</v>
      </c>
      <c r="N76" s="132" t="n">
        <v>16</v>
      </c>
      <c r="O76" s="133" t="n">
        <f aca="false">AVERAGE(C76:N76)</f>
        <v>15.7083333333333</v>
      </c>
      <c r="P76" s="134" t="n">
        <f aca="false">MIN(C76:N76)</f>
        <v>15.3</v>
      </c>
      <c r="Q76" s="134" t="n">
        <f aca="false">MAX(C76:N76)</f>
        <v>16.2</v>
      </c>
      <c r="R76" s="134" t="n">
        <f aca="false">Q76-P76</f>
        <v>0.899999999999999</v>
      </c>
      <c r="S76" s="130" t="n">
        <f aca="false">RANK(O76,$O$64:$O$79)</f>
        <v>9</v>
      </c>
    </row>
    <row r="77" customFormat="false" ht="15" hidden="false" customHeight="false" outlineLevel="0" collapsed="false">
      <c r="A77" s="16" t="s">
        <v>678</v>
      </c>
      <c r="B77" s="127" t="s">
        <v>750</v>
      </c>
      <c r="C77" s="132" t="n">
        <v>22.3</v>
      </c>
      <c r="D77" s="132" t="n">
        <v>22.2</v>
      </c>
      <c r="E77" s="132" t="n">
        <v>22.2</v>
      </c>
      <c r="F77" s="132" t="n">
        <v>22.3</v>
      </c>
      <c r="G77" s="132" t="n">
        <v>23.5</v>
      </c>
      <c r="H77" s="132" t="n">
        <v>23.9</v>
      </c>
      <c r="I77" s="132" t="n">
        <v>24.3</v>
      </c>
      <c r="J77" s="132" t="n">
        <v>24.8</v>
      </c>
      <c r="K77" s="132" t="n">
        <v>24.8</v>
      </c>
      <c r="L77" s="132" t="n">
        <v>24.5</v>
      </c>
      <c r="M77" s="132" t="n">
        <v>23.7</v>
      </c>
      <c r="N77" s="132" t="n">
        <v>23.5</v>
      </c>
      <c r="O77" s="133" t="n">
        <f aca="false">AVERAGE(C77:N77)</f>
        <v>23.5</v>
      </c>
      <c r="P77" s="134" t="n">
        <f aca="false">MIN(C77:N77)</f>
        <v>22.2</v>
      </c>
      <c r="Q77" s="134" t="n">
        <f aca="false">MAX(C77:N77)</f>
        <v>24.8</v>
      </c>
      <c r="R77" s="134" t="n">
        <f aca="false">Q77-P77</f>
        <v>2.6</v>
      </c>
      <c r="S77" s="130" t="n">
        <f aca="false">RANK(O77,$O$64:$O$79)</f>
        <v>7</v>
      </c>
    </row>
    <row r="78" customFormat="false" ht="17.15" hidden="false" customHeight="false" outlineLevel="0" collapsed="false">
      <c r="A78" s="16" t="s">
        <v>1704</v>
      </c>
      <c r="B78" s="127" t="s">
        <v>1705</v>
      </c>
      <c r="C78" s="132" t="n">
        <v>13.7</v>
      </c>
      <c r="D78" s="132" t="n">
        <v>13.9</v>
      </c>
      <c r="E78" s="132" t="n">
        <v>13.8</v>
      </c>
      <c r="F78" s="132" t="n">
        <v>13.7</v>
      </c>
      <c r="G78" s="132" t="n">
        <v>13.8</v>
      </c>
      <c r="H78" s="132" t="n">
        <v>13.9</v>
      </c>
      <c r="I78" s="132" t="n">
        <v>14.3</v>
      </c>
      <c r="J78" s="132" t="n">
        <v>14.2</v>
      </c>
      <c r="K78" s="132" t="n">
        <v>13.7</v>
      </c>
      <c r="L78" s="132" t="n">
        <v>13.7</v>
      </c>
      <c r="M78" s="132" t="n">
        <v>14</v>
      </c>
      <c r="N78" s="132" t="n">
        <v>13.8</v>
      </c>
      <c r="O78" s="133" t="n">
        <f aca="false">AVERAGE(C78:N78)</f>
        <v>13.875</v>
      </c>
      <c r="P78" s="134" t="n">
        <f aca="false">MIN(C78:N78)</f>
        <v>13.7</v>
      </c>
      <c r="Q78" s="134" t="n">
        <f aca="false">MAX(C78:N78)</f>
        <v>14.3</v>
      </c>
      <c r="R78" s="134" t="n">
        <f aca="false">Q78-P78</f>
        <v>0.600000000000001</v>
      </c>
      <c r="S78" s="130" t="n">
        <f aca="false">RANK(O78,$O$64:$O$79)</f>
        <v>14</v>
      </c>
    </row>
    <row r="79" customFormat="false" ht="15" hidden="false" customHeight="false" outlineLevel="0" collapsed="false">
      <c r="A79" s="16" t="s">
        <v>1706</v>
      </c>
      <c r="B79" s="127" t="s">
        <v>1707</v>
      </c>
      <c r="C79" s="132" t="n">
        <v>24.7</v>
      </c>
      <c r="D79" s="132" t="n">
        <v>24.3</v>
      </c>
      <c r="E79" s="132" t="n">
        <v>23.7</v>
      </c>
      <c r="F79" s="132" t="n">
        <v>24</v>
      </c>
      <c r="G79" s="132" t="n">
        <v>23.8</v>
      </c>
      <c r="H79" s="132" t="n">
        <v>23.9</v>
      </c>
      <c r="I79" s="132" t="n">
        <v>23.8</v>
      </c>
      <c r="J79" s="132" t="n">
        <v>23.9</v>
      </c>
      <c r="K79" s="132" t="n">
        <v>23.9</v>
      </c>
      <c r="L79" s="132" t="n">
        <v>23.6</v>
      </c>
      <c r="M79" s="132" t="n">
        <v>23.1</v>
      </c>
      <c r="N79" s="132" t="n">
        <v>23</v>
      </c>
      <c r="O79" s="133" t="n">
        <f aca="false">AVERAGE(C79:N79)</f>
        <v>23.8083333333333</v>
      </c>
      <c r="P79" s="134" t="n">
        <f aca="false">MIN(C79:N79)</f>
        <v>23</v>
      </c>
      <c r="Q79" s="134" t="n">
        <f aca="false">MAX(C79:N79)</f>
        <v>24.7</v>
      </c>
      <c r="R79" s="134" t="n">
        <f aca="false">Q79-P79</f>
        <v>1.7</v>
      </c>
      <c r="S79" s="130" t="n">
        <f aca="false">RANK(O79,$O$64:$O$79)</f>
        <v>6</v>
      </c>
    </row>
    <row r="81" customFormat="false" ht="19.4" hidden="false" customHeight="false" outlineLevel="0" collapsed="false">
      <c r="A81" s="131" t="s">
        <v>1711</v>
      </c>
    </row>
    <row r="82" customFormat="false" ht="45.75" hidden="false" customHeight="true" outlineLevel="0" collapsed="false">
      <c r="A82" s="19" t="s">
        <v>1672</v>
      </c>
      <c r="B82" s="19" t="s">
        <v>1673</v>
      </c>
      <c r="C82" s="24" t="s">
        <v>1674</v>
      </c>
      <c r="D82" s="24" t="s">
        <v>1675</v>
      </c>
      <c r="E82" s="24" t="s">
        <v>1676</v>
      </c>
      <c r="F82" s="24" t="s">
        <v>1677</v>
      </c>
      <c r="G82" s="24" t="s">
        <v>1678</v>
      </c>
      <c r="H82" s="24" t="s">
        <v>1679</v>
      </c>
      <c r="I82" s="24" t="s">
        <v>1680</v>
      </c>
      <c r="J82" s="24" t="s">
        <v>1681</v>
      </c>
      <c r="K82" s="24" t="s">
        <v>1682</v>
      </c>
      <c r="L82" s="24" t="s">
        <v>1683</v>
      </c>
      <c r="M82" s="24" t="s">
        <v>1684</v>
      </c>
      <c r="N82" s="24" t="s">
        <v>1685</v>
      </c>
      <c r="O82" s="19" t="s">
        <v>1686</v>
      </c>
      <c r="P82" s="19" t="s">
        <v>1687</v>
      </c>
      <c r="Q82" s="19" t="s">
        <v>1688</v>
      </c>
      <c r="R82" s="19" t="s">
        <v>1689</v>
      </c>
      <c r="S82" s="24" t="s">
        <v>1690</v>
      </c>
    </row>
    <row r="83" customFormat="false" ht="15" hidden="false" customHeight="false" outlineLevel="0" collapsed="false">
      <c r="A83" s="16" t="s">
        <v>683</v>
      </c>
      <c r="B83" s="127" t="s">
        <v>1691</v>
      </c>
      <c r="C83" s="132" t="n">
        <v>3.8</v>
      </c>
      <c r="D83" s="132" t="n">
        <v>3.8</v>
      </c>
      <c r="E83" s="132" t="n">
        <v>3.8</v>
      </c>
      <c r="F83" s="132" t="n">
        <v>3.7</v>
      </c>
      <c r="G83" s="132" t="n">
        <v>3.8</v>
      </c>
      <c r="H83" s="132" t="n">
        <v>3.8</v>
      </c>
      <c r="I83" s="132" t="n">
        <v>3.9</v>
      </c>
      <c r="J83" s="132" t="n">
        <v>3.9</v>
      </c>
      <c r="K83" s="132" t="n">
        <v>3.9</v>
      </c>
      <c r="L83" s="132" t="n">
        <v>3.9</v>
      </c>
      <c r="M83" s="132" t="n">
        <v>4</v>
      </c>
      <c r="N83" s="132" t="n">
        <v>4</v>
      </c>
      <c r="O83" s="133" t="n">
        <f aca="false">AVERAGE(C83:N83)</f>
        <v>3.85833333333333</v>
      </c>
      <c r="P83" s="134" t="n">
        <f aca="false">MIN(C83:N83)</f>
        <v>3.7</v>
      </c>
      <c r="Q83" s="134" t="n">
        <f aca="false">MAX(C83:N83)</f>
        <v>4</v>
      </c>
      <c r="R83" s="134" t="n">
        <f aca="false">Q83-P83</f>
        <v>0.3</v>
      </c>
      <c r="S83" s="130" t="n">
        <f aca="false">RANK(O83,$O$83:$O$98)</f>
        <v>12</v>
      </c>
    </row>
    <row r="84" customFormat="false" ht="15" hidden="false" customHeight="false" outlineLevel="0" collapsed="false">
      <c r="A84" s="16" t="s">
        <v>686</v>
      </c>
      <c r="B84" s="127" t="s">
        <v>1692</v>
      </c>
      <c r="C84" s="132" t="n">
        <v>4.4</v>
      </c>
      <c r="D84" s="132" t="n">
        <v>4.3</v>
      </c>
      <c r="E84" s="132" t="n">
        <v>4.5</v>
      </c>
      <c r="F84" s="132" t="n">
        <v>4.5</v>
      </c>
      <c r="G84" s="132" t="n">
        <v>4.5</v>
      </c>
      <c r="H84" s="132" t="n">
        <v>4.4</v>
      </c>
      <c r="I84" s="132" t="n">
        <v>4.6</v>
      </c>
      <c r="J84" s="132" t="n">
        <v>4.7</v>
      </c>
      <c r="K84" s="132" t="n">
        <v>4.8</v>
      </c>
      <c r="L84" s="132" t="n">
        <v>4.8</v>
      </c>
      <c r="M84" s="132" t="n">
        <v>4.9</v>
      </c>
      <c r="N84" s="132" t="n">
        <v>4.9</v>
      </c>
      <c r="O84" s="133" t="n">
        <f aca="false">AVERAGE(C84:N84)</f>
        <v>4.60833333333333</v>
      </c>
      <c r="P84" s="134" t="n">
        <f aca="false">MIN(C84:N84)</f>
        <v>4.3</v>
      </c>
      <c r="Q84" s="134" t="n">
        <f aca="false">MAX(C84:N84)</f>
        <v>4.9</v>
      </c>
      <c r="R84" s="134" t="n">
        <f aca="false">Q84-P84</f>
        <v>0.600000000000001</v>
      </c>
      <c r="S84" s="130" t="n">
        <f aca="false">RANK(O84,$O$83:$O$98)</f>
        <v>8</v>
      </c>
    </row>
    <row r="85" customFormat="false" ht="15" hidden="false" customHeight="false" outlineLevel="0" collapsed="false">
      <c r="A85" s="16" t="s">
        <v>1693</v>
      </c>
      <c r="B85" s="127" t="s">
        <v>1694</v>
      </c>
      <c r="C85" s="132" t="n">
        <v>3.2</v>
      </c>
      <c r="D85" s="132" t="n">
        <v>3.3</v>
      </c>
      <c r="E85" s="132" t="n">
        <v>3.3</v>
      </c>
      <c r="F85" s="132" t="n">
        <v>3.3</v>
      </c>
      <c r="G85" s="132" t="n">
        <v>3.2</v>
      </c>
      <c r="H85" s="132" t="n">
        <v>3.3</v>
      </c>
      <c r="I85" s="132" t="n">
        <v>3.4</v>
      </c>
      <c r="J85" s="132" t="n">
        <v>3.4</v>
      </c>
      <c r="K85" s="132" t="n">
        <v>3.3</v>
      </c>
      <c r="L85" s="132" t="n">
        <v>3.3</v>
      </c>
      <c r="M85" s="132" t="n">
        <v>3.4</v>
      </c>
      <c r="N85" s="132" t="n">
        <v>3.4</v>
      </c>
      <c r="O85" s="133" t="n">
        <f aca="false">AVERAGE(C85:N85)</f>
        <v>3.31666666666667</v>
      </c>
      <c r="P85" s="134" t="n">
        <f aca="false">MIN(C85:N85)</f>
        <v>3.2</v>
      </c>
      <c r="Q85" s="134" t="n">
        <f aca="false">MAX(C85:N85)</f>
        <v>3.4</v>
      </c>
      <c r="R85" s="134" t="n">
        <f aca="false">Q85-P85</f>
        <v>0.2</v>
      </c>
      <c r="S85" s="130" t="n">
        <f aca="false">RANK(O85,$O$83:$O$98)</f>
        <v>16</v>
      </c>
    </row>
    <row r="86" customFormat="false" ht="15" hidden="false" customHeight="false" outlineLevel="0" collapsed="false">
      <c r="A86" s="16" t="s">
        <v>672</v>
      </c>
      <c r="B86" s="127" t="s">
        <v>1695</v>
      </c>
      <c r="C86" s="132" t="n">
        <v>7.3</v>
      </c>
      <c r="D86" s="132" t="n">
        <v>7.2</v>
      </c>
      <c r="E86" s="132" t="n">
        <v>7.2</v>
      </c>
      <c r="F86" s="132" t="n">
        <v>7.2</v>
      </c>
      <c r="G86" s="132" t="n">
        <v>7.4</v>
      </c>
      <c r="H86" s="132" t="n">
        <v>7.2</v>
      </c>
      <c r="I86" s="132" t="n">
        <v>7.3</v>
      </c>
      <c r="J86" s="132" t="n">
        <v>7.3</v>
      </c>
      <c r="K86" s="132" t="n">
        <v>7.3</v>
      </c>
      <c r="L86" s="132" t="n">
        <v>7.4</v>
      </c>
      <c r="M86" s="132" t="n">
        <v>7.4</v>
      </c>
      <c r="N86" s="132" t="n">
        <v>7.3</v>
      </c>
      <c r="O86" s="133" t="n">
        <f aca="false">AVERAGE(C86:N86)</f>
        <v>7.29166666666667</v>
      </c>
      <c r="P86" s="134" t="n">
        <f aca="false">MIN(C86:N86)</f>
        <v>7.2</v>
      </c>
      <c r="Q86" s="134" t="n">
        <f aca="false">MAX(C86:N86)</f>
        <v>7.4</v>
      </c>
      <c r="R86" s="134" t="n">
        <f aca="false">Q86-P86</f>
        <v>0.2</v>
      </c>
      <c r="S86" s="130" t="n">
        <f aca="false">RANK(O86,$O$83:$O$98)</f>
        <v>4</v>
      </c>
    </row>
    <row r="87" customFormat="false" ht="15" hidden="false" customHeight="false" outlineLevel="0" collapsed="false">
      <c r="A87" s="16" t="s">
        <v>690</v>
      </c>
      <c r="B87" s="127" t="s">
        <v>1696</v>
      </c>
      <c r="C87" s="132" t="n">
        <v>8.2</v>
      </c>
      <c r="D87" s="132" t="n">
        <v>8.2</v>
      </c>
      <c r="E87" s="132" t="n">
        <v>8.2</v>
      </c>
      <c r="F87" s="132" t="n">
        <v>8.3</v>
      </c>
      <c r="G87" s="132" t="n">
        <v>8.3</v>
      </c>
      <c r="H87" s="132" t="n">
        <v>8.2</v>
      </c>
      <c r="I87" s="132" t="n">
        <v>8.2</v>
      </c>
      <c r="J87" s="132" t="n">
        <v>8.2</v>
      </c>
      <c r="K87" s="132" t="n">
        <v>8.4</v>
      </c>
      <c r="L87" s="132" t="n">
        <v>8.5</v>
      </c>
      <c r="M87" s="132" t="n">
        <v>8.5</v>
      </c>
      <c r="N87" s="132" t="n">
        <v>8.5</v>
      </c>
      <c r="O87" s="133" t="n">
        <f aca="false">AVERAGE(C87:N87)</f>
        <v>8.30833333333333</v>
      </c>
      <c r="P87" s="134" t="n">
        <f aca="false">MIN(C87:N87)</f>
        <v>8.2</v>
      </c>
      <c r="Q87" s="134" t="n">
        <f aca="false">MAX(C87:N87)</f>
        <v>8.5</v>
      </c>
      <c r="R87" s="134" t="n">
        <f aca="false">Q87-P87</f>
        <v>0.300000000000001</v>
      </c>
      <c r="S87" s="130" t="n">
        <f aca="false">RANK(O87,$O$83:$O$98)</f>
        <v>2</v>
      </c>
    </row>
    <row r="88" customFormat="false" ht="15" hidden="false" customHeight="false" outlineLevel="0" collapsed="false">
      <c r="A88" s="16" t="s">
        <v>1697</v>
      </c>
      <c r="B88" s="127" t="s">
        <v>1076</v>
      </c>
      <c r="C88" s="132" t="n">
        <v>7.4</v>
      </c>
      <c r="D88" s="132" t="n">
        <v>7.3</v>
      </c>
      <c r="E88" s="132" t="n">
        <v>7.3</v>
      </c>
      <c r="F88" s="132" t="n">
        <v>7.4</v>
      </c>
      <c r="G88" s="132" t="n">
        <v>7.3</v>
      </c>
      <c r="H88" s="132" t="n">
        <v>7.3</v>
      </c>
      <c r="I88" s="132" t="n">
        <v>7.2</v>
      </c>
      <c r="J88" s="132" t="n">
        <v>7.1</v>
      </c>
      <c r="K88" s="132" t="n">
        <v>7.2</v>
      </c>
      <c r="L88" s="132" t="n">
        <v>7.2</v>
      </c>
      <c r="M88" s="132" t="n">
        <v>7.4</v>
      </c>
      <c r="N88" s="132" t="n">
        <v>7.5</v>
      </c>
      <c r="O88" s="133" t="n">
        <f aca="false">AVERAGE(C88:N88)</f>
        <v>7.3</v>
      </c>
      <c r="P88" s="134" t="n">
        <f aca="false">MIN(C88:N88)</f>
        <v>7.1</v>
      </c>
      <c r="Q88" s="134" t="n">
        <f aca="false">MAX(C88:N88)</f>
        <v>7.5</v>
      </c>
      <c r="R88" s="134" t="n">
        <f aca="false">Q88-P88</f>
        <v>0.4</v>
      </c>
      <c r="S88" s="130" t="n">
        <f aca="false">RANK(O88,$O$83:$O$98)</f>
        <v>3</v>
      </c>
    </row>
    <row r="89" customFormat="false" ht="15" hidden="false" customHeight="false" outlineLevel="0" collapsed="false">
      <c r="A89" s="16" t="s">
        <v>669</v>
      </c>
      <c r="B89" s="127" t="s">
        <v>630</v>
      </c>
      <c r="C89" s="132" t="n">
        <v>3.5</v>
      </c>
      <c r="D89" s="132" t="n">
        <v>3.5</v>
      </c>
      <c r="E89" s="132" t="n">
        <v>3.5</v>
      </c>
      <c r="F89" s="132" t="n">
        <v>3.6</v>
      </c>
      <c r="G89" s="132" t="n">
        <v>3.6</v>
      </c>
      <c r="H89" s="132" t="n">
        <v>3.6</v>
      </c>
      <c r="I89" s="132" t="n">
        <v>3.7</v>
      </c>
      <c r="J89" s="132" t="n">
        <v>3.7</v>
      </c>
      <c r="K89" s="132" t="n">
        <v>3.7</v>
      </c>
      <c r="L89" s="132" t="n">
        <v>3.8</v>
      </c>
      <c r="M89" s="132" t="n">
        <v>3.9</v>
      </c>
      <c r="N89" s="132" t="n">
        <v>4</v>
      </c>
      <c r="O89" s="133" t="n">
        <f aca="false">AVERAGE(C89:N89)</f>
        <v>3.675</v>
      </c>
      <c r="P89" s="134" t="n">
        <f aca="false">MIN(C89:N89)</f>
        <v>3.5</v>
      </c>
      <c r="Q89" s="134" t="n">
        <f aca="false">MAX(C89:N89)</f>
        <v>4</v>
      </c>
      <c r="R89" s="134" t="n">
        <f aca="false">Q89-P89</f>
        <v>0.5</v>
      </c>
      <c r="S89" s="130" t="n">
        <f aca="false">RANK(O89,$O$83:$O$98)</f>
        <v>14</v>
      </c>
    </row>
    <row r="90" customFormat="false" ht="15" hidden="false" customHeight="false" outlineLevel="0" collapsed="false">
      <c r="A90" s="16" t="s">
        <v>1698</v>
      </c>
      <c r="B90" s="127" t="s">
        <v>1699</v>
      </c>
      <c r="C90" s="132" t="n">
        <v>9.3</v>
      </c>
      <c r="D90" s="132" t="n">
        <v>9.3</v>
      </c>
      <c r="E90" s="132" t="n">
        <v>9.3</v>
      </c>
      <c r="F90" s="132" t="n">
        <v>9.5</v>
      </c>
      <c r="G90" s="132" t="n">
        <v>9.2</v>
      </c>
      <c r="H90" s="132" t="n">
        <v>9.3</v>
      </c>
      <c r="I90" s="132" t="n">
        <v>9.3</v>
      </c>
      <c r="J90" s="132" t="n">
        <v>9.4</v>
      </c>
      <c r="K90" s="132" t="n">
        <v>9.4</v>
      </c>
      <c r="L90" s="132" t="n">
        <v>9.7</v>
      </c>
      <c r="M90" s="132" t="n">
        <v>9.8</v>
      </c>
      <c r="N90" s="132" t="n">
        <v>9.7</v>
      </c>
      <c r="O90" s="133" t="n">
        <f aca="false">AVERAGE(C90:N90)</f>
        <v>9.43333333333333</v>
      </c>
      <c r="P90" s="134" t="n">
        <f aca="false">MIN(C90:N90)</f>
        <v>9.2</v>
      </c>
      <c r="Q90" s="134" t="n">
        <f aca="false">MAX(C90:N90)</f>
        <v>9.8</v>
      </c>
      <c r="R90" s="134" t="n">
        <f aca="false">Q90-P90</f>
        <v>0.600000000000001</v>
      </c>
      <c r="S90" s="130" t="n">
        <f aca="false">RANK(O90,$O$83:$O$98)</f>
        <v>1</v>
      </c>
    </row>
    <row r="91" customFormat="false" ht="15" hidden="false" customHeight="false" outlineLevel="0" collapsed="false">
      <c r="A91" s="16" t="s">
        <v>662</v>
      </c>
      <c r="B91" s="127" t="s">
        <v>753</v>
      </c>
      <c r="C91" s="132" t="n">
        <v>5.6</v>
      </c>
      <c r="D91" s="132" t="n">
        <v>5.6</v>
      </c>
      <c r="E91" s="132" t="n">
        <v>5.6</v>
      </c>
      <c r="F91" s="132" t="n">
        <v>5.7</v>
      </c>
      <c r="G91" s="132" t="n">
        <v>5.6</v>
      </c>
      <c r="H91" s="132" t="n">
        <v>5.6</v>
      </c>
      <c r="I91" s="132" t="n">
        <v>5.6</v>
      </c>
      <c r="J91" s="132" t="n">
        <v>5.6</v>
      </c>
      <c r="K91" s="132" t="n">
        <v>5.7</v>
      </c>
      <c r="L91" s="132" t="n">
        <v>5.7</v>
      </c>
      <c r="M91" s="132" t="n">
        <v>5.7</v>
      </c>
      <c r="N91" s="132" t="n">
        <v>5.7</v>
      </c>
      <c r="O91" s="133" t="n">
        <f aca="false">AVERAGE(C91:N91)</f>
        <v>5.64166666666667</v>
      </c>
      <c r="P91" s="134" t="n">
        <f aca="false">MIN(C91:N91)</f>
        <v>5.6</v>
      </c>
      <c r="Q91" s="134" t="n">
        <f aca="false">MAX(C91:N91)</f>
        <v>5.7</v>
      </c>
      <c r="R91" s="134" t="n">
        <f aca="false">Q91-P91</f>
        <v>0.100000000000001</v>
      </c>
      <c r="S91" s="130" t="n">
        <f aca="false">RANK(O91,$O$83:$O$98)</f>
        <v>5</v>
      </c>
    </row>
    <row r="92" customFormat="false" ht="15" hidden="false" customHeight="false" outlineLevel="0" collapsed="false">
      <c r="A92" s="16" t="s">
        <v>1700</v>
      </c>
      <c r="B92" s="127" t="s">
        <v>1701</v>
      </c>
      <c r="C92" s="132" t="n">
        <v>3.6</v>
      </c>
      <c r="D92" s="132" t="n">
        <v>3.7</v>
      </c>
      <c r="E92" s="132" t="n">
        <v>3.7</v>
      </c>
      <c r="F92" s="132" t="n">
        <v>3.7</v>
      </c>
      <c r="G92" s="132" t="n">
        <v>3.8</v>
      </c>
      <c r="H92" s="132" t="n">
        <v>3.8</v>
      </c>
      <c r="I92" s="132" t="n">
        <v>3.9</v>
      </c>
      <c r="J92" s="132" t="n">
        <v>3.9</v>
      </c>
      <c r="K92" s="132" t="n">
        <v>3.9</v>
      </c>
      <c r="L92" s="132" t="n">
        <v>3.9</v>
      </c>
      <c r="M92" s="132" t="n">
        <v>3.9</v>
      </c>
      <c r="N92" s="132" t="n">
        <v>4</v>
      </c>
      <c r="O92" s="133" t="n">
        <f aca="false">AVERAGE(C92:N92)</f>
        <v>3.81666666666667</v>
      </c>
      <c r="P92" s="134" t="n">
        <f aca="false">MIN(C92:N92)</f>
        <v>3.6</v>
      </c>
      <c r="Q92" s="134" t="n">
        <f aca="false">MAX(C92:N92)</f>
        <v>4</v>
      </c>
      <c r="R92" s="134" t="n">
        <f aca="false">Q92-P92</f>
        <v>0.4</v>
      </c>
      <c r="S92" s="130" t="n">
        <f aca="false">RANK(O92,$O$83:$O$98)</f>
        <v>13</v>
      </c>
    </row>
    <row r="93" customFormat="false" ht="17.15" hidden="false" customHeight="false" outlineLevel="0" collapsed="false">
      <c r="A93" s="16" t="s">
        <v>695</v>
      </c>
      <c r="B93" s="127" t="s">
        <v>1702</v>
      </c>
      <c r="C93" s="132" t="n">
        <v>4.2</v>
      </c>
      <c r="D93" s="132" t="n">
        <v>4.2</v>
      </c>
      <c r="E93" s="132" t="n">
        <v>4.1</v>
      </c>
      <c r="F93" s="132" t="n">
        <v>4.1</v>
      </c>
      <c r="G93" s="132" t="n">
        <v>4.1</v>
      </c>
      <c r="H93" s="132" t="n">
        <v>4.1</v>
      </c>
      <c r="I93" s="132" t="n">
        <v>4.3</v>
      </c>
      <c r="J93" s="132" t="n">
        <v>4.5</v>
      </c>
      <c r="K93" s="132" t="n">
        <v>4.7</v>
      </c>
      <c r="L93" s="132" t="n">
        <v>4.7</v>
      </c>
      <c r="M93" s="132" t="n">
        <v>4.8</v>
      </c>
      <c r="N93" s="132" t="n">
        <v>4.7</v>
      </c>
      <c r="O93" s="133" t="n">
        <f aca="false">AVERAGE(C93:N93)</f>
        <v>4.375</v>
      </c>
      <c r="P93" s="134" t="n">
        <f aca="false">MIN(C93:N93)</f>
        <v>4.1</v>
      </c>
      <c r="Q93" s="134" t="n">
        <f aca="false">MAX(C93:N93)</f>
        <v>4.8</v>
      </c>
      <c r="R93" s="134" t="n">
        <f aca="false">Q93-P93</f>
        <v>0.7</v>
      </c>
      <c r="S93" s="130" t="n">
        <f aca="false">RANK(O93,$O$83:$O$98)</f>
        <v>9</v>
      </c>
    </row>
    <row r="94" customFormat="false" ht="15" hidden="false" customHeight="false" outlineLevel="0" collapsed="false">
      <c r="A94" s="16" t="s">
        <v>688</v>
      </c>
      <c r="B94" s="127" t="s">
        <v>784</v>
      </c>
      <c r="C94" s="132" t="n">
        <v>3.9</v>
      </c>
      <c r="D94" s="132" t="n">
        <v>4</v>
      </c>
      <c r="E94" s="132" t="n">
        <v>4</v>
      </c>
      <c r="F94" s="132" t="n">
        <v>4</v>
      </c>
      <c r="G94" s="132" t="n">
        <v>4.1</v>
      </c>
      <c r="H94" s="132" t="n">
        <v>4.1</v>
      </c>
      <c r="I94" s="132" t="n">
        <v>4.1</v>
      </c>
      <c r="J94" s="132" t="n">
        <v>4.2</v>
      </c>
      <c r="K94" s="132" t="n">
        <v>4.2</v>
      </c>
      <c r="L94" s="132" t="n">
        <v>4.2</v>
      </c>
      <c r="M94" s="132" t="n">
        <v>4.3</v>
      </c>
      <c r="N94" s="132" t="n">
        <v>4.3</v>
      </c>
      <c r="O94" s="133" t="n">
        <f aca="false">AVERAGE(C94:N94)</f>
        <v>4.11666666666667</v>
      </c>
      <c r="P94" s="134" t="n">
        <f aca="false">MIN(C94:N94)</f>
        <v>3.9</v>
      </c>
      <c r="Q94" s="134" t="n">
        <f aca="false">MAX(C94:N94)</f>
        <v>4.3</v>
      </c>
      <c r="R94" s="134" t="n">
        <f aca="false">Q94-P94</f>
        <v>0.4</v>
      </c>
      <c r="S94" s="130" t="n">
        <f aca="false">RANK(O94,$O$83:$O$98)</f>
        <v>11</v>
      </c>
    </row>
    <row r="95" customFormat="false" ht="15" hidden="false" customHeight="false" outlineLevel="0" collapsed="false">
      <c r="A95" s="16" t="s">
        <v>1703</v>
      </c>
      <c r="B95" s="127" t="s">
        <v>808</v>
      </c>
      <c r="C95" s="132" t="n">
        <v>4.2</v>
      </c>
      <c r="D95" s="132" t="n">
        <v>4.2</v>
      </c>
      <c r="E95" s="132" t="n">
        <v>4.2</v>
      </c>
      <c r="F95" s="132" t="n">
        <v>4.3</v>
      </c>
      <c r="G95" s="132" t="n">
        <v>4.3</v>
      </c>
      <c r="H95" s="132" t="n">
        <v>4.3</v>
      </c>
      <c r="I95" s="132" t="n">
        <v>4.3</v>
      </c>
      <c r="J95" s="132" t="n">
        <v>4.3</v>
      </c>
      <c r="K95" s="132" t="n">
        <v>4.4</v>
      </c>
      <c r="L95" s="132" t="n">
        <v>4.4</v>
      </c>
      <c r="M95" s="132" t="n">
        <v>4.5</v>
      </c>
      <c r="N95" s="132" t="n">
        <v>4.4</v>
      </c>
      <c r="O95" s="133" t="n">
        <f aca="false">AVERAGE(C95:N95)</f>
        <v>4.31666666666667</v>
      </c>
      <c r="P95" s="134" t="n">
        <f aca="false">MIN(C95:N95)</f>
        <v>4.2</v>
      </c>
      <c r="Q95" s="134" t="n">
        <f aca="false">MAX(C95:N95)</f>
        <v>4.5</v>
      </c>
      <c r="R95" s="134" t="n">
        <f aca="false">Q95-P95</f>
        <v>0.3</v>
      </c>
      <c r="S95" s="130" t="n">
        <f aca="false">RANK(O95,$O$83:$O$98)</f>
        <v>10</v>
      </c>
    </row>
    <row r="96" customFormat="false" ht="15" hidden="false" customHeight="false" outlineLevel="0" collapsed="false">
      <c r="A96" s="16" t="s">
        <v>678</v>
      </c>
      <c r="B96" s="127" t="s">
        <v>750</v>
      </c>
      <c r="C96" s="132" t="n">
        <v>5.3</v>
      </c>
      <c r="D96" s="132" t="n">
        <v>5.3</v>
      </c>
      <c r="E96" s="132" t="n">
        <v>5.3</v>
      </c>
      <c r="F96" s="132" t="n">
        <v>5.4</v>
      </c>
      <c r="G96" s="132" t="n">
        <v>5.4</v>
      </c>
      <c r="H96" s="132" t="n">
        <v>5.5</v>
      </c>
      <c r="I96" s="132" t="n">
        <v>5.5</v>
      </c>
      <c r="J96" s="132" t="n">
        <v>5.6</v>
      </c>
      <c r="K96" s="132" t="n">
        <v>5.6</v>
      </c>
      <c r="L96" s="132" t="n">
        <v>5.5</v>
      </c>
      <c r="M96" s="132" t="n">
        <v>5.5</v>
      </c>
      <c r="N96" s="132" t="n">
        <v>5.5</v>
      </c>
      <c r="O96" s="133" t="n">
        <f aca="false">AVERAGE(C96:N96)</f>
        <v>5.45</v>
      </c>
      <c r="P96" s="134" t="n">
        <f aca="false">MIN(C96:N96)</f>
        <v>5.3</v>
      </c>
      <c r="Q96" s="134" t="n">
        <f aca="false">MAX(C96:N96)</f>
        <v>5.6</v>
      </c>
      <c r="R96" s="134" t="n">
        <f aca="false">Q96-P96</f>
        <v>0.3</v>
      </c>
      <c r="S96" s="130" t="n">
        <f aca="false">RANK(O96,$O$83:$O$98)</f>
        <v>6</v>
      </c>
    </row>
    <row r="97" customFormat="false" ht="17.15" hidden="false" customHeight="false" outlineLevel="0" collapsed="false">
      <c r="A97" s="16" t="s">
        <v>1704</v>
      </c>
      <c r="B97" s="127" t="s">
        <v>1705</v>
      </c>
      <c r="C97" s="132" t="n">
        <v>3.5</v>
      </c>
      <c r="D97" s="132" t="n">
        <v>3.6</v>
      </c>
      <c r="E97" s="132" t="n">
        <v>3.6</v>
      </c>
      <c r="F97" s="132" t="n">
        <v>3.6</v>
      </c>
      <c r="G97" s="132" t="n">
        <v>3.7</v>
      </c>
      <c r="H97" s="132" t="n">
        <v>3.7</v>
      </c>
      <c r="I97" s="132" t="n">
        <v>3.8</v>
      </c>
      <c r="J97" s="132" t="n">
        <v>3.7</v>
      </c>
      <c r="K97" s="132" t="n">
        <v>3.6</v>
      </c>
      <c r="L97" s="132" t="n">
        <v>3.6</v>
      </c>
      <c r="M97" s="132" t="n">
        <v>3.7</v>
      </c>
      <c r="N97" s="132" t="n">
        <v>3.7</v>
      </c>
      <c r="O97" s="133" t="n">
        <f aca="false">AVERAGE(C97:N97)</f>
        <v>3.65</v>
      </c>
      <c r="P97" s="134" t="n">
        <f aca="false">MIN(C97:N97)</f>
        <v>3.5</v>
      </c>
      <c r="Q97" s="134" t="n">
        <f aca="false">MAX(C97:N97)</f>
        <v>3.8</v>
      </c>
      <c r="R97" s="134" t="n">
        <f aca="false">Q97-P97</f>
        <v>0.3</v>
      </c>
      <c r="S97" s="130" t="n">
        <f aca="false">RANK(O97,$O$83:$O$98)</f>
        <v>15</v>
      </c>
    </row>
    <row r="98" customFormat="false" ht="15" hidden="false" customHeight="false" outlineLevel="0" collapsed="false">
      <c r="A98" s="16" t="s">
        <v>1706</v>
      </c>
      <c r="B98" s="127" t="s">
        <v>1707</v>
      </c>
      <c r="C98" s="132" t="n">
        <v>5</v>
      </c>
      <c r="D98" s="132" t="n">
        <v>5</v>
      </c>
      <c r="E98" s="132" t="n">
        <v>4.9</v>
      </c>
      <c r="F98" s="132" t="n">
        <v>5</v>
      </c>
      <c r="G98" s="132" t="n">
        <v>5</v>
      </c>
      <c r="H98" s="132" t="n">
        <v>5.1</v>
      </c>
      <c r="I98" s="132" t="n">
        <v>5.1</v>
      </c>
      <c r="J98" s="132" t="n">
        <v>5.1</v>
      </c>
      <c r="K98" s="132" t="n">
        <v>5.1</v>
      </c>
      <c r="L98" s="132" t="n">
        <v>5.3</v>
      </c>
      <c r="M98" s="132" t="n">
        <v>5.2</v>
      </c>
      <c r="N98" s="132" t="n">
        <v>5.2</v>
      </c>
      <c r="O98" s="133" t="n">
        <f aca="false">AVERAGE(C98:N98)</f>
        <v>5.08333333333333</v>
      </c>
      <c r="P98" s="134" t="n">
        <f aca="false">MIN(C98:N98)</f>
        <v>4.9</v>
      </c>
      <c r="Q98" s="134" t="n">
        <f aca="false">MAX(C98:N98)</f>
        <v>5.3</v>
      </c>
      <c r="R98" s="134" t="n">
        <f aca="false">Q98-P98</f>
        <v>0.399999999999999</v>
      </c>
      <c r="S98" s="130" t="n">
        <f aca="false">RANK(O98,$O$83:$O$98)</f>
        <v>7</v>
      </c>
    </row>
    <row r="100" customFormat="false" ht="19.4" hidden="false" customHeight="false" outlineLevel="0" collapsed="false">
      <c r="A100" s="131" t="s">
        <v>1712</v>
      </c>
    </row>
    <row r="101" customFormat="false" ht="45.75" hidden="false" customHeight="true" outlineLevel="0" collapsed="false">
      <c r="A101" s="19" t="s">
        <v>1672</v>
      </c>
      <c r="B101" s="19" t="s">
        <v>1673</v>
      </c>
      <c r="C101" s="24" t="s">
        <v>1674</v>
      </c>
      <c r="D101" s="24" t="s">
        <v>1675</v>
      </c>
      <c r="E101" s="24" t="s">
        <v>1676</v>
      </c>
      <c r="F101" s="24" t="s">
        <v>1677</v>
      </c>
      <c r="G101" s="24" t="s">
        <v>1678</v>
      </c>
      <c r="H101" s="24" t="s">
        <v>1679</v>
      </c>
      <c r="I101" s="24" t="s">
        <v>1680</v>
      </c>
      <c r="J101" s="24" t="s">
        <v>1681</v>
      </c>
      <c r="K101" s="24" t="s">
        <v>1682</v>
      </c>
      <c r="L101" s="24" t="s">
        <v>1683</v>
      </c>
      <c r="M101" s="24" t="s">
        <v>1684</v>
      </c>
      <c r="N101" s="24" t="s">
        <v>1685</v>
      </c>
      <c r="O101" s="19" t="s">
        <v>1686</v>
      </c>
      <c r="P101" s="19" t="s">
        <v>1687</v>
      </c>
      <c r="Q101" s="19" t="s">
        <v>1688</v>
      </c>
      <c r="R101" s="19" t="s">
        <v>1689</v>
      </c>
      <c r="S101" s="24" t="s">
        <v>1690</v>
      </c>
    </row>
    <row r="102" customFormat="false" ht="15" hidden="false" customHeight="false" outlineLevel="0" collapsed="false">
      <c r="A102" s="16" t="s">
        <v>683</v>
      </c>
      <c r="B102" s="127" t="s">
        <v>1691</v>
      </c>
      <c r="C102" s="124" t="n">
        <v>3.54</v>
      </c>
      <c r="D102" s="124" t="n">
        <v>3.56</v>
      </c>
      <c r="E102" s="124" t="n">
        <v>3.55</v>
      </c>
      <c r="F102" s="124" t="n">
        <v>3.59</v>
      </c>
      <c r="G102" s="124" t="n">
        <v>3.58</v>
      </c>
      <c r="H102" s="124" t="n">
        <v>3.58</v>
      </c>
      <c r="I102" s="124" t="n">
        <v>3.59</v>
      </c>
      <c r="J102" s="124" t="n">
        <v>3.63</v>
      </c>
      <c r="K102" s="124" t="n">
        <v>3.6</v>
      </c>
      <c r="L102" s="124" t="n">
        <v>3.55</v>
      </c>
      <c r="M102" s="124" t="n">
        <v>3.47</v>
      </c>
      <c r="N102" s="124" t="n">
        <v>3.47</v>
      </c>
      <c r="O102" s="135" t="n">
        <f aca="false">AVERAGE(C102:N102)</f>
        <v>3.55916666666667</v>
      </c>
      <c r="P102" s="136" t="n">
        <f aca="false">MIN(C102:N102)</f>
        <v>3.47</v>
      </c>
      <c r="Q102" s="136" t="n">
        <f aca="false">MAX(C102:N102)</f>
        <v>3.63</v>
      </c>
      <c r="R102" s="136" t="n">
        <f aca="false">Q102-P102</f>
        <v>0.16</v>
      </c>
      <c r="S102" s="130" t="n">
        <f aca="false">RANK(O102,$O$102:$O$117)</f>
        <v>15</v>
      </c>
    </row>
    <row r="103" customFormat="false" ht="15" hidden="false" customHeight="false" outlineLevel="0" collapsed="false">
      <c r="A103" s="16" t="s">
        <v>686</v>
      </c>
      <c r="B103" s="127" t="s">
        <v>1692</v>
      </c>
      <c r="C103" s="124" t="n">
        <v>3.65</v>
      </c>
      <c r="D103" s="124" t="n">
        <v>3.68</v>
      </c>
      <c r="E103" s="124" t="n">
        <v>3.67</v>
      </c>
      <c r="F103" s="124" t="n">
        <v>3.76</v>
      </c>
      <c r="G103" s="124" t="n">
        <v>3.76</v>
      </c>
      <c r="H103" s="124" t="n">
        <v>3.76</v>
      </c>
      <c r="I103" s="124" t="n">
        <v>3.75</v>
      </c>
      <c r="J103" s="124" t="n">
        <v>3.73</v>
      </c>
      <c r="K103" s="124" t="n">
        <v>3.74</v>
      </c>
      <c r="L103" s="124" t="n">
        <v>3.66</v>
      </c>
      <c r="M103" s="124" t="n">
        <v>3.6</v>
      </c>
      <c r="N103" s="124" t="n">
        <v>3.62</v>
      </c>
      <c r="O103" s="135" t="n">
        <f aca="false">AVERAGE(C103:N103)</f>
        <v>3.69833333333333</v>
      </c>
      <c r="P103" s="136" t="n">
        <f aca="false">MIN(C103:N103)</f>
        <v>3.6</v>
      </c>
      <c r="Q103" s="136" t="n">
        <f aca="false">MAX(C103:N103)</f>
        <v>3.76</v>
      </c>
      <c r="R103" s="136" t="n">
        <f aca="false">Q103-P103</f>
        <v>0.16</v>
      </c>
      <c r="S103" s="130" t="n">
        <f aca="false">RANK(O103,$O$102:$O$117)</f>
        <v>13</v>
      </c>
    </row>
    <row r="104" customFormat="false" ht="15" hidden="false" customHeight="false" outlineLevel="0" collapsed="false">
      <c r="A104" s="16" t="s">
        <v>1693</v>
      </c>
      <c r="B104" s="127" t="s">
        <v>1694</v>
      </c>
      <c r="C104" s="124" t="n">
        <v>3.82</v>
      </c>
      <c r="D104" s="124" t="n">
        <v>3.78</v>
      </c>
      <c r="E104" s="124" t="n">
        <v>3.86</v>
      </c>
      <c r="F104" s="124" t="n">
        <v>3.97</v>
      </c>
      <c r="G104" s="124" t="n">
        <v>4.09</v>
      </c>
      <c r="H104" s="124" t="n">
        <v>4.1</v>
      </c>
      <c r="I104" s="124" t="n">
        <v>4.1</v>
      </c>
      <c r="J104" s="124" t="n">
        <v>4.08</v>
      </c>
      <c r="K104" s="124" t="n">
        <v>4.14</v>
      </c>
      <c r="L104" s="124" t="n">
        <v>4.08</v>
      </c>
      <c r="M104" s="124" t="n">
        <v>3.97</v>
      </c>
      <c r="N104" s="124" t="n">
        <v>3.95</v>
      </c>
      <c r="O104" s="135" t="n">
        <f aca="false">AVERAGE(C104:N104)</f>
        <v>3.995</v>
      </c>
      <c r="P104" s="136" t="n">
        <f aca="false">MIN(C104:N104)</f>
        <v>3.78</v>
      </c>
      <c r="Q104" s="136" t="n">
        <f aca="false">MAX(C104:N104)</f>
        <v>4.14</v>
      </c>
      <c r="R104" s="136" t="n">
        <f aca="false">Q104-P104</f>
        <v>0.36</v>
      </c>
      <c r="S104" s="130" t="n">
        <f aca="false">RANK(O104,$O$102:$O$117)</f>
        <v>9</v>
      </c>
    </row>
    <row r="105" customFormat="false" ht="15" hidden="false" customHeight="false" outlineLevel="0" collapsed="false">
      <c r="A105" s="16" t="s">
        <v>672</v>
      </c>
      <c r="B105" s="127" t="s">
        <v>1695</v>
      </c>
      <c r="C105" s="124" t="n">
        <v>5.08</v>
      </c>
      <c r="D105" s="124" t="n">
        <v>5.07</v>
      </c>
      <c r="E105" s="124" t="n">
        <v>5</v>
      </c>
      <c r="F105" s="124" t="n">
        <v>5.02</v>
      </c>
      <c r="G105" s="124" t="n">
        <v>5.11</v>
      </c>
      <c r="H105" s="124" t="n">
        <v>5.08</v>
      </c>
      <c r="I105" s="124" t="n">
        <v>5.05</v>
      </c>
      <c r="J105" s="124" t="n">
        <v>5.1</v>
      </c>
      <c r="K105" s="124" t="n">
        <v>5.16</v>
      </c>
      <c r="L105" s="124" t="n">
        <v>5.17</v>
      </c>
      <c r="M105" s="124" t="n">
        <v>5.14</v>
      </c>
      <c r="N105" s="124" t="n">
        <v>5.08</v>
      </c>
      <c r="O105" s="135" t="n">
        <f aca="false">AVERAGE(C105:N105)</f>
        <v>5.08833333333333</v>
      </c>
      <c r="P105" s="136" t="n">
        <f aca="false">MIN(C105:N105)</f>
        <v>5</v>
      </c>
      <c r="Q105" s="136" t="n">
        <f aca="false">MAX(C105:N105)</f>
        <v>5.17</v>
      </c>
      <c r="R105" s="136" t="n">
        <f aca="false">Q105-P105</f>
        <v>0.17</v>
      </c>
      <c r="S105" s="130" t="n">
        <f aca="false">RANK(O105,$O$102:$O$117)</f>
        <v>1</v>
      </c>
    </row>
    <row r="106" customFormat="false" ht="15" hidden="false" customHeight="false" outlineLevel="0" collapsed="false">
      <c r="A106" s="16" t="s">
        <v>690</v>
      </c>
      <c r="B106" s="127" t="s">
        <v>1696</v>
      </c>
      <c r="C106" s="124" t="n">
        <v>4.78</v>
      </c>
      <c r="D106" s="124" t="n">
        <v>4.89</v>
      </c>
      <c r="E106" s="124" t="n">
        <v>4.86</v>
      </c>
      <c r="F106" s="124" t="n">
        <v>4.83</v>
      </c>
      <c r="G106" s="124" t="n">
        <v>4.83</v>
      </c>
      <c r="H106" s="124" t="n">
        <v>4.83</v>
      </c>
      <c r="I106" s="124" t="n">
        <v>4.87</v>
      </c>
      <c r="J106" s="124" t="n">
        <v>4.89</v>
      </c>
      <c r="K106" s="124" t="n">
        <v>4.88</v>
      </c>
      <c r="L106" s="124" t="n">
        <v>4.9</v>
      </c>
      <c r="M106" s="124" t="n">
        <v>4.85</v>
      </c>
      <c r="N106" s="124" t="n">
        <v>4.91</v>
      </c>
      <c r="O106" s="135" t="n">
        <f aca="false">AVERAGE(C106:N106)</f>
        <v>4.86</v>
      </c>
      <c r="P106" s="136" t="n">
        <f aca="false">MIN(C106:N106)</f>
        <v>4.78</v>
      </c>
      <c r="Q106" s="136" t="n">
        <f aca="false">MAX(C106:N106)</f>
        <v>4.91</v>
      </c>
      <c r="R106" s="136" t="n">
        <f aca="false">Q106-P106</f>
        <v>0.13</v>
      </c>
      <c r="S106" s="130" t="n">
        <f aca="false">RANK(O106,$O$102:$O$117)</f>
        <v>2</v>
      </c>
    </row>
    <row r="107" customFormat="false" ht="15" hidden="false" customHeight="false" outlineLevel="0" collapsed="false">
      <c r="A107" s="16" t="s">
        <v>1697</v>
      </c>
      <c r="B107" s="127" t="s">
        <v>1076</v>
      </c>
      <c r="C107" s="124" t="n">
        <v>4.09</v>
      </c>
      <c r="D107" s="124" t="n">
        <v>4.2</v>
      </c>
      <c r="E107" s="124" t="n">
        <v>4.28</v>
      </c>
      <c r="F107" s="124" t="n">
        <v>4.35</v>
      </c>
      <c r="G107" s="124" t="n">
        <v>4.26</v>
      </c>
      <c r="H107" s="124" t="n">
        <v>4.3</v>
      </c>
      <c r="I107" s="124" t="n">
        <v>4.35</v>
      </c>
      <c r="J107" s="124" t="n">
        <v>4.37</v>
      </c>
      <c r="K107" s="124" t="n">
        <v>4.26</v>
      </c>
      <c r="L107" s="124" t="n">
        <v>4.34</v>
      </c>
      <c r="M107" s="124" t="n">
        <v>4.24</v>
      </c>
      <c r="N107" s="124" t="n">
        <v>4.23</v>
      </c>
      <c r="O107" s="135" t="n">
        <f aca="false">AVERAGE(C107:N107)</f>
        <v>4.2725</v>
      </c>
      <c r="P107" s="136" t="n">
        <f aca="false">MIN(C107:N107)</f>
        <v>4.09</v>
      </c>
      <c r="Q107" s="136" t="n">
        <f aca="false">MAX(C107:N107)</f>
        <v>4.37</v>
      </c>
      <c r="R107" s="136" t="n">
        <f aca="false">Q107-P107</f>
        <v>0.28</v>
      </c>
      <c r="S107" s="130" t="n">
        <f aca="false">RANK(O107,$O$102:$O$117)</f>
        <v>6</v>
      </c>
    </row>
    <row r="108" customFormat="false" ht="15" hidden="false" customHeight="false" outlineLevel="0" collapsed="false">
      <c r="A108" s="16" t="s">
        <v>669</v>
      </c>
      <c r="B108" s="127" t="s">
        <v>630</v>
      </c>
      <c r="C108" s="124" t="n">
        <v>3.87</v>
      </c>
      <c r="D108" s="124" t="n">
        <v>3.86</v>
      </c>
      <c r="E108" s="124" t="n">
        <v>3.95</v>
      </c>
      <c r="F108" s="124" t="n">
        <v>4.06</v>
      </c>
      <c r="G108" s="124" t="n">
        <v>4.11</v>
      </c>
      <c r="H108" s="124" t="n">
        <v>4.1</v>
      </c>
      <c r="I108" s="124" t="n">
        <v>4.07</v>
      </c>
      <c r="J108" s="124" t="n">
        <v>4.04</v>
      </c>
      <c r="K108" s="124" t="n">
        <v>4.13</v>
      </c>
      <c r="L108" s="124" t="n">
        <v>4.01</v>
      </c>
      <c r="M108" s="124" t="n">
        <v>3.89</v>
      </c>
      <c r="N108" s="124" t="n">
        <v>3.87</v>
      </c>
      <c r="O108" s="135" t="n">
        <f aca="false">AVERAGE(C108:N108)</f>
        <v>3.99666666666667</v>
      </c>
      <c r="P108" s="136" t="n">
        <f aca="false">MIN(C108:N108)</f>
        <v>3.86</v>
      </c>
      <c r="Q108" s="136" t="n">
        <f aca="false">MAX(C108:N108)</f>
        <v>4.13</v>
      </c>
      <c r="R108" s="136" t="n">
        <f aca="false">Q108-P108</f>
        <v>0.27</v>
      </c>
      <c r="S108" s="130" t="n">
        <f aca="false">RANK(O108,$O$102:$O$117)</f>
        <v>8</v>
      </c>
    </row>
    <row r="109" customFormat="false" ht="15" hidden="false" customHeight="false" outlineLevel="0" collapsed="false">
      <c r="A109" s="16" t="s">
        <v>1698</v>
      </c>
      <c r="B109" s="127" t="s">
        <v>1699</v>
      </c>
      <c r="C109" s="124" t="n">
        <v>2.36</v>
      </c>
      <c r="D109" s="124" t="n">
        <v>2.38</v>
      </c>
      <c r="E109" s="124" t="n">
        <v>2.41</v>
      </c>
      <c r="F109" s="124" t="n">
        <v>2.35</v>
      </c>
      <c r="G109" s="124" t="n">
        <v>2.26</v>
      </c>
      <c r="H109" s="124" t="n">
        <v>2.31</v>
      </c>
      <c r="I109" s="124" t="n">
        <v>2.3</v>
      </c>
      <c r="J109" s="124" t="n">
        <v>2.29</v>
      </c>
      <c r="K109" s="124" t="n">
        <v>2.33</v>
      </c>
      <c r="L109" s="124" t="n">
        <v>2.28</v>
      </c>
      <c r="M109" s="124" t="n">
        <v>2.31</v>
      </c>
      <c r="N109" s="124" t="n">
        <v>2.26</v>
      </c>
      <c r="O109" s="135" t="n">
        <f aca="false">AVERAGE(C109:N109)</f>
        <v>2.32</v>
      </c>
      <c r="P109" s="136" t="n">
        <f aca="false">MIN(C109:N109)</f>
        <v>2.26</v>
      </c>
      <c r="Q109" s="136" t="n">
        <f aca="false">MAX(C109:N109)</f>
        <v>2.41</v>
      </c>
      <c r="R109" s="136" t="n">
        <f aca="false">Q109-P109</f>
        <v>0.15</v>
      </c>
      <c r="S109" s="130" t="n">
        <f aca="false">RANK(O109,$O$102:$O$117)</f>
        <v>16</v>
      </c>
    </row>
    <row r="110" customFormat="false" ht="15" hidden="false" customHeight="false" outlineLevel="0" collapsed="false">
      <c r="A110" s="16" t="s">
        <v>662</v>
      </c>
      <c r="B110" s="127" t="s">
        <v>753</v>
      </c>
      <c r="C110" s="124" t="n">
        <v>4.59</v>
      </c>
      <c r="D110" s="124" t="n">
        <v>4.69</v>
      </c>
      <c r="E110" s="124" t="n">
        <v>4.74</v>
      </c>
      <c r="F110" s="124" t="n">
        <v>4.78</v>
      </c>
      <c r="G110" s="124" t="n">
        <v>4.82</v>
      </c>
      <c r="H110" s="124" t="n">
        <v>4.77</v>
      </c>
      <c r="I110" s="124" t="n">
        <v>4.76</v>
      </c>
      <c r="J110" s="124" t="n">
        <v>4.77</v>
      </c>
      <c r="K110" s="124" t="n">
        <v>4.9</v>
      </c>
      <c r="L110" s="124" t="n">
        <v>4.9</v>
      </c>
      <c r="M110" s="124" t="n">
        <v>4.79</v>
      </c>
      <c r="N110" s="124" t="n">
        <v>4.8</v>
      </c>
      <c r="O110" s="135" t="n">
        <f aca="false">AVERAGE(C110:N110)</f>
        <v>4.77583333333333</v>
      </c>
      <c r="P110" s="136" t="n">
        <f aca="false">MIN(C110:N110)</f>
        <v>4.59</v>
      </c>
      <c r="Q110" s="136" t="n">
        <f aca="false">MAX(C110:N110)</f>
        <v>4.9</v>
      </c>
      <c r="R110" s="136" t="n">
        <f aca="false">Q110-P110</f>
        <v>0.310000000000001</v>
      </c>
      <c r="S110" s="130" t="n">
        <f aca="false">RANK(O110,$O$102:$O$117)</f>
        <v>3</v>
      </c>
    </row>
    <row r="111" customFormat="false" ht="15" hidden="false" customHeight="false" outlineLevel="0" collapsed="false">
      <c r="A111" s="16" t="s">
        <v>1700</v>
      </c>
      <c r="B111" s="127" t="s">
        <v>1701</v>
      </c>
      <c r="C111" s="124" t="n">
        <v>3.84</v>
      </c>
      <c r="D111" s="124" t="n">
        <v>3.85</v>
      </c>
      <c r="E111" s="124" t="n">
        <v>3.89</v>
      </c>
      <c r="F111" s="124" t="n">
        <v>3.99</v>
      </c>
      <c r="G111" s="124" t="n">
        <v>3.99</v>
      </c>
      <c r="H111" s="124" t="n">
        <v>3.94</v>
      </c>
      <c r="I111" s="124" t="n">
        <v>3.96</v>
      </c>
      <c r="J111" s="124" t="n">
        <v>4.01</v>
      </c>
      <c r="K111" s="124" t="n">
        <v>4.02</v>
      </c>
      <c r="L111" s="124" t="n">
        <v>3.95</v>
      </c>
      <c r="M111" s="124" t="n">
        <v>3.9</v>
      </c>
      <c r="N111" s="124" t="n">
        <v>3.97</v>
      </c>
      <c r="O111" s="135" t="n">
        <f aca="false">AVERAGE(C111:N111)</f>
        <v>3.9425</v>
      </c>
      <c r="P111" s="136" t="n">
        <f aca="false">MIN(C111:N111)</f>
        <v>3.84</v>
      </c>
      <c r="Q111" s="136" t="n">
        <f aca="false">MAX(C111:N111)</f>
        <v>4.02</v>
      </c>
      <c r="R111" s="136" t="n">
        <f aca="false">Q111-P111</f>
        <v>0.18</v>
      </c>
      <c r="S111" s="130" t="n">
        <f aca="false">RANK(O111,$O$102:$O$117)</f>
        <v>10</v>
      </c>
    </row>
    <row r="112" customFormat="false" ht="17.15" hidden="false" customHeight="false" outlineLevel="0" collapsed="false">
      <c r="A112" s="16" t="s">
        <v>695</v>
      </c>
      <c r="B112" s="127" t="s">
        <v>1702</v>
      </c>
      <c r="C112" s="124" t="n">
        <v>3.97</v>
      </c>
      <c r="D112" s="124" t="n">
        <v>3.97</v>
      </c>
      <c r="E112" s="124" t="n">
        <v>4.02</v>
      </c>
      <c r="F112" s="124" t="n">
        <v>4.09</v>
      </c>
      <c r="G112" s="124" t="n">
        <v>4.06</v>
      </c>
      <c r="H112" s="124" t="n">
        <v>4.08</v>
      </c>
      <c r="I112" s="124" t="n">
        <v>3.99</v>
      </c>
      <c r="J112" s="124" t="n">
        <v>3.99</v>
      </c>
      <c r="K112" s="124" t="n">
        <v>4.04</v>
      </c>
      <c r="L112" s="124" t="n">
        <v>4.02</v>
      </c>
      <c r="M112" s="124" t="n">
        <v>3.95</v>
      </c>
      <c r="N112" s="124" t="n">
        <v>4</v>
      </c>
      <c r="O112" s="135" t="n">
        <f aca="false">AVERAGE(C112:N112)</f>
        <v>4.015</v>
      </c>
      <c r="P112" s="136" t="n">
        <f aca="false">MIN(C112:N112)</f>
        <v>3.95</v>
      </c>
      <c r="Q112" s="136" t="n">
        <f aca="false">MAX(C112:N112)</f>
        <v>4.09</v>
      </c>
      <c r="R112" s="136" t="n">
        <f aca="false">Q112-P112</f>
        <v>0.14</v>
      </c>
      <c r="S112" s="130" t="n">
        <f aca="false">RANK(O112,$O$102:$O$117)</f>
        <v>7</v>
      </c>
    </row>
    <row r="113" customFormat="false" ht="15" hidden="false" customHeight="false" outlineLevel="0" collapsed="false">
      <c r="A113" s="16" t="s">
        <v>688</v>
      </c>
      <c r="B113" s="127" t="s">
        <v>784</v>
      </c>
      <c r="C113" s="124" t="n">
        <v>3.58</v>
      </c>
      <c r="D113" s="124" t="n">
        <v>3.61</v>
      </c>
      <c r="E113" s="124" t="n">
        <v>3.67</v>
      </c>
      <c r="F113" s="124" t="n">
        <v>3.73</v>
      </c>
      <c r="G113" s="124" t="n">
        <v>3.72</v>
      </c>
      <c r="H113" s="124" t="n">
        <v>3.73</v>
      </c>
      <c r="I113" s="124" t="n">
        <v>3.7</v>
      </c>
      <c r="J113" s="124" t="n">
        <v>3.71</v>
      </c>
      <c r="K113" s="124" t="n">
        <v>3.72</v>
      </c>
      <c r="L113" s="124" t="n">
        <v>3.68</v>
      </c>
      <c r="M113" s="124" t="n">
        <v>3.62</v>
      </c>
      <c r="N113" s="124" t="n">
        <v>3.64</v>
      </c>
      <c r="O113" s="135" t="n">
        <f aca="false">AVERAGE(C113:N113)</f>
        <v>3.67583333333333</v>
      </c>
      <c r="P113" s="136" t="n">
        <f aca="false">MIN(C113:N113)</f>
        <v>3.58</v>
      </c>
      <c r="Q113" s="136" t="n">
        <f aca="false">MAX(C113:N113)</f>
        <v>3.73</v>
      </c>
      <c r="R113" s="136" t="n">
        <f aca="false">Q113-P113</f>
        <v>0.15</v>
      </c>
      <c r="S113" s="130" t="n">
        <f aca="false">RANK(O113,$O$102:$O$117)</f>
        <v>14</v>
      </c>
    </row>
    <row r="114" customFormat="false" ht="15" hidden="false" customHeight="false" outlineLevel="0" collapsed="false">
      <c r="A114" s="16" t="s">
        <v>1703</v>
      </c>
      <c r="B114" s="127" t="s">
        <v>808</v>
      </c>
      <c r="C114" s="124" t="n">
        <v>3.79</v>
      </c>
      <c r="D114" s="124" t="n">
        <v>3.79</v>
      </c>
      <c r="E114" s="124" t="n">
        <v>3.81</v>
      </c>
      <c r="F114" s="124" t="n">
        <v>3.84</v>
      </c>
      <c r="G114" s="124" t="n">
        <v>3.79</v>
      </c>
      <c r="H114" s="124" t="n">
        <v>3.77</v>
      </c>
      <c r="I114" s="124" t="n">
        <v>3.85</v>
      </c>
      <c r="J114" s="124" t="n">
        <v>3.85</v>
      </c>
      <c r="K114" s="124" t="n">
        <v>3.86</v>
      </c>
      <c r="L114" s="124" t="n">
        <v>3.83</v>
      </c>
      <c r="M114" s="124" t="n">
        <v>3.74</v>
      </c>
      <c r="N114" s="124" t="n">
        <v>3.78</v>
      </c>
      <c r="O114" s="135" t="n">
        <f aca="false">AVERAGE(C114:N114)</f>
        <v>3.80833333333333</v>
      </c>
      <c r="P114" s="136" t="n">
        <f aca="false">MIN(C114:N114)</f>
        <v>3.74</v>
      </c>
      <c r="Q114" s="136" t="n">
        <f aca="false">MAX(C114:N114)</f>
        <v>3.86</v>
      </c>
      <c r="R114" s="136" t="n">
        <f aca="false">Q114-P114</f>
        <v>0.12</v>
      </c>
      <c r="S114" s="130" t="n">
        <f aca="false">RANK(O114,$O$102:$O$117)</f>
        <v>12</v>
      </c>
    </row>
    <row r="115" customFormat="false" ht="15" hidden="false" customHeight="false" outlineLevel="0" collapsed="false">
      <c r="A115" s="16" t="s">
        <v>678</v>
      </c>
      <c r="B115" s="127" t="s">
        <v>750</v>
      </c>
      <c r="C115" s="124" t="n">
        <v>4.24</v>
      </c>
      <c r="D115" s="124" t="n">
        <v>4.21</v>
      </c>
      <c r="E115" s="124" t="n">
        <v>4.23</v>
      </c>
      <c r="F115" s="124" t="n">
        <v>4.27</v>
      </c>
      <c r="G115" s="124" t="n">
        <v>4.32</v>
      </c>
      <c r="H115" s="124" t="n">
        <v>4.3</v>
      </c>
      <c r="I115" s="124" t="n">
        <v>4.31</v>
      </c>
      <c r="J115" s="124" t="n">
        <v>4.35</v>
      </c>
      <c r="K115" s="124" t="n">
        <v>4.34</v>
      </c>
      <c r="L115" s="124" t="n">
        <v>4.35</v>
      </c>
      <c r="M115" s="124" t="n">
        <v>4.28</v>
      </c>
      <c r="N115" s="124" t="n">
        <v>4.36</v>
      </c>
      <c r="O115" s="135" t="n">
        <f aca="false">AVERAGE(C115:N115)</f>
        <v>4.29666666666667</v>
      </c>
      <c r="P115" s="136" t="n">
        <f aca="false">MIN(C115:N115)</f>
        <v>4.21</v>
      </c>
      <c r="Q115" s="136" t="n">
        <f aca="false">MAX(C115:N115)</f>
        <v>4.36</v>
      </c>
      <c r="R115" s="136" t="n">
        <f aca="false">Q115-P115</f>
        <v>0.15</v>
      </c>
      <c r="S115" s="130" t="n">
        <f aca="false">RANK(O115,$O$102:$O$117)</f>
        <v>5</v>
      </c>
    </row>
    <row r="116" customFormat="false" ht="17.15" hidden="false" customHeight="false" outlineLevel="0" collapsed="false">
      <c r="A116" s="16" t="s">
        <v>1704</v>
      </c>
      <c r="B116" s="127" t="s">
        <v>1705</v>
      </c>
      <c r="C116" s="124" t="n">
        <v>3.78</v>
      </c>
      <c r="D116" s="124" t="n">
        <v>3.79</v>
      </c>
      <c r="E116" s="124" t="n">
        <v>3.72</v>
      </c>
      <c r="F116" s="124" t="n">
        <v>3.8</v>
      </c>
      <c r="G116" s="124" t="n">
        <v>3.8</v>
      </c>
      <c r="H116" s="124" t="n">
        <v>3.81</v>
      </c>
      <c r="I116" s="124" t="n">
        <v>3.92</v>
      </c>
      <c r="J116" s="124" t="n">
        <v>3.94</v>
      </c>
      <c r="K116" s="124" t="n">
        <v>3.93</v>
      </c>
      <c r="L116" s="124" t="n">
        <v>3.9</v>
      </c>
      <c r="M116" s="124" t="n">
        <v>3.84</v>
      </c>
      <c r="N116" s="124" t="n">
        <v>3.86</v>
      </c>
      <c r="O116" s="135" t="n">
        <f aca="false">AVERAGE(C116:N116)</f>
        <v>3.84083333333333</v>
      </c>
      <c r="P116" s="136" t="n">
        <f aca="false">MIN(C116:N116)</f>
        <v>3.72</v>
      </c>
      <c r="Q116" s="136" t="n">
        <f aca="false">MAX(C116:N116)</f>
        <v>3.94</v>
      </c>
      <c r="R116" s="136" t="n">
        <f aca="false">Q116-P116</f>
        <v>0.22</v>
      </c>
      <c r="S116" s="130" t="n">
        <f aca="false">RANK(O116,$O$102:$O$117)</f>
        <v>11</v>
      </c>
    </row>
    <row r="117" customFormat="false" ht="15" hidden="false" customHeight="false" outlineLevel="0" collapsed="false">
      <c r="A117" s="16" t="s">
        <v>1706</v>
      </c>
      <c r="B117" s="127" t="s">
        <v>1707</v>
      </c>
      <c r="C117" s="124" t="n">
        <v>4.36</v>
      </c>
      <c r="D117" s="124" t="n">
        <v>4.36</v>
      </c>
      <c r="E117" s="124" t="n">
        <v>4.38</v>
      </c>
      <c r="F117" s="124" t="n">
        <v>4.42</v>
      </c>
      <c r="G117" s="124" t="n">
        <v>4.37</v>
      </c>
      <c r="H117" s="124" t="n">
        <v>4.35</v>
      </c>
      <c r="I117" s="124" t="n">
        <v>4.31</v>
      </c>
      <c r="J117" s="124" t="n">
        <v>4.22</v>
      </c>
      <c r="K117" s="124" t="n">
        <v>4.26</v>
      </c>
      <c r="L117" s="124" t="n">
        <v>4.24</v>
      </c>
      <c r="M117" s="124" t="n">
        <v>4.27</v>
      </c>
      <c r="N117" s="124" t="n">
        <v>4.33</v>
      </c>
      <c r="O117" s="135" t="n">
        <f aca="false">AVERAGE(C117:N117)</f>
        <v>4.3225</v>
      </c>
      <c r="P117" s="136" t="n">
        <f aca="false">MIN(C117:N117)</f>
        <v>4.22</v>
      </c>
      <c r="Q117" s="136" t="n">
        <f aca="false">MAX(C117:N117)</f>
        <v>4.42</v>
      </c>
      <c r="R117" s="136" t="n">
        <f aca="false">Q117-P117</f>
        <v>0.2</v>
      </c>
      <c r="S117" s="130" t="n">
        <f aca="false">RANK(O117,$O$102:$O$117)</f>
        <v>4</v>
      </c>
    </row>
    <row r="119" customFormat="false" ht="17.15" hidden="false" customHeight="false" outlineLevel="0" collapsed="false">
      <c r="A119" s="38" t="s">
        <v>1713</v>
      </c>
    </row>
    <row r="120" customFormat="false" ht="17.15" hidden="false" customHeight="false" outlineLevel="0" collapsed="false">
      <c r="A120" s="22" t="s">
        <v>1714</v>
      </c>
    </row>
    <row r="121" customFormat="false" ht="17.15" hidden="false" customHeight="false" outlineLevel="0" collapsed="false">
      <c r="A121" s="22" t="s">
        <v>1715</v>
      </c>
    </row>
    <row r="122" customFormat="false" ht="17.15" hidden="false" customHeight="false" outlineLevel="0" collapsed="false">
      <c r="A122" s="38" t="s">
        <v>1716</v>
      </c>
    </row>
    <row r="123" customFormat="false" ht="17.15" hidden="false" customHeight="false" outlineLevel="0" collapsed="false">
      <c r="A123" s="22" t="s">
        <v>1717</v>
      </c>
    </row>
  </sheetData>
  <conditionalFormatting sqref="C7:N22">
    <cfRule type="colorScale" priority="2">
      <colorScale>
        <cfvo type="min" val="0"/>
        <cfvo type="max" val="0"/>
        <color rgb="FFF2F2F2"/>
        <color rgb="FF8EA9DB"/>
      </colorScale>
    </cfRule>
  </conditionalFormatting>
  <conditionalFormatting sqref="O7:O22">
    <cfRule type="colorScale" priority="3">
      <colorScale>
        <cfvo type="min" val="0"/>
        <cfvo type="max" val="0"/>
        <color rgb="FFF2F2F2"/>
        <color rgb="FF8EA9DB"/>
      </colorScale>
    </cfRule>
  </conditionalFormatting>
  <conditionalFormatting sqref="C26:N41">
    <cfRule type="colorScale" priority="4">
      <colorScale>
        <cfvo type="min" val="0"/>
        <cfvo type="max" val="0"/>
        <color rgb="FFF2F2F2"/>
        <color rgb="FF8EA9DB"/>
      </colorScale>
    </cfRule>
  </conditionalFormatting>
  <conditionalFormatting sqref="O26:O41">
    <cfRule type="colorScale" priority="5">
      <colorScale>
        <cfvo type="min" val="0"/>
        <cfvo type="max" val="0"/>
        <color rgb="FFF2F2F2"/>
        <color rgb="FF8EA9DB"/>
      </colorScale>
    </cfRule>
  </conditionalFormatting>
  <conditionalFormatting sqref="C45:N60">
    <cfRule type="colorScale" priority="6">
      <colorScale>
        <cfvo type="min" val="0"/>
        <cfvo type="max" val="0"/>
        <color rgb="FFF2F2F2"/>
        <color rgb="FF8EA9DB"/>
      </colorScale>
    </cfRule>
  </conditionalFormatting>
  <conditionalFormatting sqref="O45:O60">
    <cfRule type="colorScale" priority="7">
      <colorScale>
        <cfvo type="min" val="0"/>
        <cfvo type="max" val="0"/>
        <color rgb="FFF2F2F2"/>
        <color rgb="FF8EA9DB"/>
      </colorScale>
    </cfRule>
  </conditionalFormatting>
  <conditionalFormatting sqref="C64:N79">
    <cfRule type="colorScale" priority="8">
      <colorScale>
        <cfvo type="min" val="0"/>
        <cfvo type="max" val="0"/>
        <color rgb="FFF2F2F2"/>
        <color rgb="FF8EA9DB"/>
      </colorScale>
    </cfRule>
  </conditionalFormatting>
  <conditionalFormatting sqref="O64:O79">
    <cfRule type="colorScale" priority="9">
      <colorScale>
        <cfvo type="min" val="0"/>
        <cfvo type="max" val="0"/>
        <color rgb="FFF2F2F2"/>
        <color rgb="FF8EA9DB"/>
      </colorScale>
    </cfRule>
  </conditionalFormatting>
  <conditionalFormatting sqref="C83:N98">
    <cfRule type="colorScale" priority="10">
      <colorScale>
        <cfvo type="min" val="0"/>
        <cfvo type="max" val="0"/>
        <color rgb="FFF2F2F2"/>
        <color rgb="FF8EA9DB"/>
      </colorScale>
    </cfRule>
  </conditionalFormatting>
  <conditionalFormatting sqref="O83:O98">
    <cfRule type="colorScale" priority="11">
      <colorScale>
        <cfvo type="min" val="0"/>
        <cfvo type="max" val="0"/>
        <color rgb="FFF2F2F2"/>
        <color rgb="FF8EA9DB"/>
      </colorScale>
    </cfRule>
  </conditionalFormatting>
  <conditionalFormatting sqref="C102:N117">
    <cfRule type="colorScale" priority="12">
      <colorScale>
        <cfvo type="min" val="0"/>
        <cfvo type="max" val="0"/>
        <color rgb="FFF2F2F2"/>
        <color rgb="FF8EA9DB"/>
      </colorScale>
    </cfRule>
  </conditionalFormatting>
  <conditionalFormatting sqref="O102:O117">
    <cfRule type="colorScale" priority="13">
      <colorScale>
        <cfvo type="min" val="0"/>
        <cfvo type="max" val="0"/>
        <color rgb="FFF2F2F2"/>
        <color rgb="FF8EA9D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R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6"/>
    <col collapsed="false" customWidth="true" hidden="false" outlineLevel="0" max="9" min="9" style="0" width="11"/>
    <col collapsed="false" customWidth="true" hidden="false" outlineLevel="0" max="10" min="10" style="0" width="6"/>
    <col collapsed="false" customWidth="true" hidden="false" outlineLevel="0" max="11" min="11" style="0" width="11"/>
    <col collapsed="false" customWidth="true" hidden="false" outlineLevel="0" max="12" min="12" style="0" width="6"/>
    <col collapsed="false" customWidth="true" hidden="false" outlineLevel="0" max="13" min="13" style="0" width="10"/>
    <col collapsed="false" customWidth="true" hidden="false" outlineLevel="0" max="14" min="14" style="0" width="6"/>
    <col collapsed="false" customWidth="true" hidden="false" outlineLevel="0" max="15" min="15" style="0" width="52"/>
    <col collapsed="false" customWidth="true" hidden="false" outlineLevel="0" max="16" min="16" style="0" width="44"/>
  </cols>
  <sheetData>
    <row r="1" customFormat="false" ht="20.1" hidden="false" customHeight="false" outlineLevel="0" collapsed="false">
      <c r="A1" s="64" t="s">
        <v>1718</v>
      </c>
      <c r="R1" s="122" t="s">
        <v>1719</v>
      </c>
    </row>
    <row r="2" customFormat="false" ht="17.15" hidden="false" customHeight="false" outlineLevel="0" collapsed="false">
      <c r="A2" s="65" t="s">
        <v>1720</v>
      </c>
    </row>
    <row r="4" customFormat="false" ht="36" hidden="false" customHeight="true" outlineLevel="0" collapsed="false">
      <c r="A4" s="19" t="s">
        <v>154</v>
      </c>
      <c r="B4" s="19" t="s">
        <v>1673</v>
      </c>
      <c r="C4" s="24" t="s">
        <v>616</v>
      </c>
      <c r="D4" s="19" t="s">
        <v>173</v>
      </c>
      <c r="E4" s="24" t="s">
        <v>617</v>
      </c>
      <c r="F4" s="19" t="s">
        <v>173</v>
      </c>
      <c r="G4" s="24" t="s">
        <v>1721</v>
      </c>
      <c r="H4" s="19" t="s">
        <v>173</v>
      </c>
      <c r="I4" s="19" t="s">
        <v>656</v>
      </c>
      <c r="J4" s="19" t="s">
        <v>173</v>
      </c>
      <c r="K4" s="19" t="s">
        <v>657</v>
      </c>
      <c r="L4" s="19" t="s">
        <v>173</v>
      </c>
      <c r="M4" s="19" t="s">
        <v>658</v>
      </c>
      <c r="N4" s="19" t="s">
        <v>173</v>
      </c>
      <c r="O4" s="19" t="s">
        <v>1722</v>
      </c>
      <c r="P4" s="19" t="s">
        <v>1723</v>
      </c>
    </row>
    <row r="5" customFormat="false" ht="17.15" hidden="false" customHeight="false" outlineLevel="0" collapsed="false">
      <c r="A5" s="16" t="s">
        <v>683</v>
      </c>
      <c r="B5" s="127" t="s">
        <v>1691</v>
      </c>
      <c r="C5" s="129" t="n">
        <f aca="false">'4-2 장르 차트 판독값(참조)'!O7</f>
        <v>0.183533333333333</v>
      </c>
      <c r="D5" s="130" t="n">
        <f aca="false">'4-2 장르 차트 판독값(참조)'!S7</f>
        <v>10</v>
      </c>
      <c r="E5" s="129" t="n">
        <f aca="false">'4-2 장르 차트 판독값(참조)'!O26</f>
        <v>0.029125</v>
      </c>
      <c r="F5" s="130" t="n">
        <f aca="false">'4-2 장르 차트 판독값(참조)'!S26</f>
        <v>12</v>
      </c>
      <c r="G5" s="129" t="n">
        <f aca="false">'4-2 장르 차트 판독값(참조)'!O45</f>
        <v>0.00633333333333333</v>
      </c>
      <c r="H5" s="130" t="n">
        <f aca="false">'4-2 장르 차트 판독값(참조)'!S45</f>
        <v>12</v>
      </c>
      <c r="I5" s="134" t="n">
        <f aca="false">'4-2 장르 차트 판독값(참조)'!O64</f>
        <v>14.0833333333333</v>
      </c>
      <c r="J5" s="130" t="n">
        <f aca="false">'4-2 장르 차트 판독값(참조)'!S64</f>
        <v>13</v>
      </c>
      <c r="K5" s="134" t="n">
        <f aca="false">'4-2 장르 차트 판독값(참조)'!O83</f>
        <v>3.85833333333333</v>
      </c>
      <c r="L5" s="130" t="n">
        <f aca="false">'4-2 장르 차트 판독값(참조)'!S83</f>
        <v>12</v>
      </c>
      <c r="M5" s="136" t="n">
        <f aca="false">'4-2 장르 차트 판독값(참조)'!O102</f>
        <v>3.55916666666667</v>
      </c>
      <c r="N5" s="130" t="n">
        <f aca="false">'4-2 장르 차트 판독값(참조)'!S102</f>
        <v>15</v>
      </c>
      <c r="O5" s="127" t="str">
        <f aca="false">"다음날 "&amp;TEXT(C5*100,"0.0")&amp;"명 → 1주 뒤 "&amp;TEXT(E5*100,"0.0")&amp;"명 → 4주 뒤 "&amp;TEXT(G5*100,"0.0")&amp;"명이 다시 옴"</f>
        <v>다음날 18.4명 → 1주 뒤 2.9명 → 4주 뒤 0.6명이 다시 옴</v>
      </c>
      <c r="P5" s="127" t="str">
        <f aca="false">"하루 "&amp;TEXT(M5,"0.0")&amp;"번 켜고, 한 번에 "&amp;TEXT(K5,"0.0")&amp;"분, 하루 합계 약 "&amp;TEXT(I5,"0")&amp;"분"</f>
        <v>하루 3.6번 켜고, 한 번에 3.9분, 하루 합계 약 14분</v>
      </c>
    </row>
    <row r="6" customFormat="false" ht="17.15" hidden="false" customHeight="false" outlineLevel="0" collapsed="false">
      <c r="A6" s="16" t="s">
        <v>686</v>
      </c>
      <c r="B6" s="127" t="s">
        <v>1692</v>
      </c>
      <c r="C6" s="129" t="n">
        <f aca="false">'4-2 장르 차트 판독값(참조)'!O8</f>
        <v>0.160516666666667</v>
      </c>
      <c r="D6" s="130" t="n">
        <f aca="false">'4-2 장르 차트 판독값(참조)'!S8</f>
        <v>14</v>
      </c>
      <c r="E6" s="129" t="n">
        <f aca="false">'4-2 장르 차트 판독값(참조)'!O27</f>
        <v>0.0228166666666667</v>
      </c>
      <c r="F6" s="130" t="n">
        <f aca="false">'4-2 장르 차트 판독값(참조)'!S27</f>
        <v>14</v>
      </c>
      <c r="G6" s="129" t="n">
        <f aca="false">'4-2 장르 차트 판독값(참조)'!O46</f>
        <v>0.00481666666666667</v>
      </c>
      <c r="H6" s="130" t="n">
        <f aca="false">'4-2 장르 차트 판독값(참조)'!S46</f>
        <v>14</v>
      </c>
      <c r="I6" s="134" t="n">
        <f aca="false">'4-2 장르 차트 판독값(참조)'!O65</f>
        <v>16.4</v>
      </c>
      <c r="J6" s="130" t="n">
        <f aca="false">'4-2 장르 차트 판독값(참조)'!S65</f>
        <v>8</v>
      </c>
      <c r="K6" s="134" t="n">
        <f aca="false">'4-2 장르 차트 판독값(참조)'!O84</f>
        <v>4.60833333333333</v>
      </c>
      <c r="L6" s="130" t="n">
        <f aca="false">'4-2 장르 차트 판독값(참조)'!S84</f>
        <v>8</v>
      </c>
      <c r="M6" s="136" t="n">
        <f aca="false">'4-2 장르 차트 판독값(참조)'!O103</f>
        <v>3.69833333333333</v>
      </c>
      <c r="N6" s="130" t="n">
        <f aca="false">'4-2 장르 차트 판독값(참조)'!S103</f>
        <v>13</v>
      </c>
      <c r="O6" s="127" t="str">
        <f aca="false">"다음날 "&amp;TEXT(C6*100,"0.0")&amp;"명 → 1주 뒤 "&amp;TEXT(E6*100,"0.0")&amp;"명 → 4주 뒤 "&amp;TEXT(G6*100,"0.0")&amp;"명이 다시 옴"</f>
        <v>다음날 16.1명 → 1주 뒤 2.3명 → 4주 뒤 0.5명이 다시 옴</v>
      </c>
      <c r="P6" s="127" t="str">
        <f aca="false">"하루 "&amp;TEXT(M6,"0.0")&amp;"번 켜고, 한 번에 "&amp;TEXT(K6,"0.0")&amp;"분, 하루 합계 약 "&amp;TEXT(I6,"0")&amp;"분"</f>
        <v>하루 3.7번 켜고, 한 번에 4.6분, 하루 합계 약 16분</v>
      </c>
    </row>
    <row r="7" customFormat="false" ht="17.15" hidden="false" customHeight="false" outlineLevel="0" collapsed="false">
      <c r="A7" s="16" t="s">
        <v>1693</v>
      </c>
      <c r="B7" s="127" t="s">
        <v>1694</v>
      </c>
      <c r="C7" s="129" t="n">
        <f aca="false">'4-2 장르 차트 판독값(참조)'!O9</f>
        <v>0.222433333333333</v>
      </c>
      <c r="D7" s="130" t="n">
        <f aca="false">'4-2 장르 차트 판독값(참조)'!S9</f>
        <v>1</v>
      </c>
      <c r="E7" s="129" t="n">
        <f aca="false">'4-2 장르 차트 판독값(참조)'!O28</f>
        <v>0.0417333333333333</v>
      </c>
      <c r="F7" s="130" t="n">
        <f aca="false">'4-2 장르 차트 판독값(참조)'!S28</f>
        <v>6</v>
      </c>
      <c r="G7" s="129" t="n">
        <f aca="false">'4-2 장르 차트 판독값(참조)'!O47</f>
        <v>0.009775</v>
      </c>
      <c r="H7" s="130" t="n">
        <f aca="false">'4-2 장르 차트 판독값(참조)'!S47</f>
        <v>6</v>
      </c>
      <c r="I7" s="134" t="n">
        <f aca="false">'4-2 장르 차트 판독값(참조)'!O66</f>
        <v>12.8416666666667</v>
      </c>
      <c r="J7" s="130" t="n">
        <f aca="false">'4-2 장르 차트 판독값(참조)'!S66</f>
        <v>16</v>
      </c>
      <c r="K7" s="134" t="n">
        <f aca="false">'4-2 장르 차트 판독값(참조)'!O85</f>
        <v>3.31666666666667</v>
      </c>
      <c r="L7" s="130" t="n">
        <f aca="false">'4-2 장르 차트 판독값(참조)'!S85</f>
        <v>16</v>
      </c>
      <c r="M7" s="136" t="n">
        <f aca="false">'4-2 장르 차트 판독값(참조)'!O104</f>
        <v>3.995</v>
      </c>
      <c r="N7" s="130" t="n">
        <f aca="false">'4-2 장르 차트 판독값(참조)'!S104</f>
        <v>9</v>
      </c>
      <c r="O7" s="127" t="str">
        <f aca="false">"다음날 "&amp;TEXT(C7*100,"0.0")&amp;"명 → 1주 뒤 "&amp;TEXT(E7*100,"0.0")&amp;"명 → 4주 뒤 "&amp;TEXT(G7*100,"0.0")&amp;"명이 다시 옴"</f>
        <v>다음날 22.2명 → 1주 뒤 4.2명 → 4주 뒤 1.0명이 다시 옴</v>
      </c>
      <c r="P7" s="127" t="str">
        <f aca="false">"하루 "&amp;TEXT(M7,"0.0")&amp;"번 켜고, 한 번에 "&amp;TEXT(K7,"0.0")&amp;"분, 하루 합계 약 "&amp;TEXT(I7,"0")&amp;"분"</f>
        <v>하루 4.0번 켜고, 한 번에 3.3분, 하루 합계 약 13분</v>
      </c>
    </row>
    <row r="8" customFormat="false" ht="17.15" hidden="false" customHeight="false" outlineLevel="0" collapsed="false">
      <c r="A8" s="16" t="s">
        <v>672</v>
      </c>
      <c r="B8" s="127" t="s">
        <v>1695</v>
      </c>
      <c r="C8" s="129" t="n">
        <f aca="false">'4-2 장르 차트 판독값(참조)'!O10</f>
        <v>0.190991666666667</v>
      </c>
      <c r="D8" s="130" t="n">
        <f aca="false">'4-2 장르 차트 판독값(참조)'!S10</f>
        <v>7</v>
      </c>
      <c r="E8" s="129" t="n">
        <f aca="false">'4-2 장르 차트 판독값(참조)'!O29</f>
        <v>0.0582833333333333</v>
      </c>
      <c r="F8" s="130" t="n">
        <f aca="false">'4-2 장르 차트 판독값(참조)'!S29</f>
        <v>2</v>
      </c>
      <c r="G8" s="129" t="n">
        <f aca="false">'4-2 장르 차트 판독값(참조)'!O48</f>
        <v>0.0217166666666667</v>
      </c>
      <c r="H8" s="130" t="n">
        <f aca="false">'4-2 장르 차트 판독값(참조)'!S48</f>
        <v>2</v>
      </c>
      <c r="I8" s="134" t="n">
        <f aca="false">'4-2 장르 차트 판독값(참조)'!O67</f>
        <v>41.0583333333333</v>
      </c>
      <c r="J8" s="130" t="n">
        <f aca="false">'4-2 장르 차트 판독값(참조)'!S67</f>
        <v>2</v>
      </c>
      <c r="K8" s="134" t="n">
        <f aca="false">'4-2 장르 차트 판독값(참조)'!O86</f>
        <v>7.29166666666667</v>
      </c>
      <c r="L8" s="130" t="n">
        <f aca="false">'4-2 장르 차트 판독값(참조)'!S86</f>
        <v>4</v>
      </c>
      <c r="M8" s="136" t="n">
        <f aca="false">'4-2 장르 차트 판독값(참조)'!O105</f>
        <v>5.08833333333333</v>
      </c>
      <c r="N8" s="130" t="n">
        <f aca="false">'4-2 장르 차트 판독값(참조)'!S105</f>
        <v>1</v>
      </c>
      <c r="O8" s="127" t="str">
        <f aca="false">"다음날 "&amp;TEXT(C8*100,"0.0")&amp;"명 → 1주 뒤 "&amp;TEXT(E8*100,"0.0")&amp;"명 → 4주 뒤 "&amp;TEXT(G8*100,"0.0")&amp;"명이 다시 옴"</f>
        <v>다음날 19.1명 → 1주 뒤 5.8명 → 4주 뒤 2.2명이 다시 옴</v>
      </c>
      <c r="P8" s="127" t="str">
        <f aca="false">"하루 "&amp;TEXT(M8,"0.0")&amp;"번 켜고, 한 번에 "&amp;TEXT(K8,"0.0")&amp;"분, 하루 합계 약 "&amp;TEXT(I8,"0")&amp;"분"</f>
        <v>하루 5.1번 켜고, 한 번에 7.3분, 하루 합계 약 41분</v>
      </c>
    </row>
    <row r="9" customFormat="false" ht="17.15" hidden="false" customHeight="false" outlineLevel="0" collapsed="false">
      <c r="A9" s="16" t="s">
        <v>690</v>
      </c>
      <c r="B9" s="127" t="s">
        <v>1696</v>
      </c>
      <c r="C9" s="129" t="n">
        <f aca="false">'4-2 장르 차트 판독값(참조)'!O11</f>
        <v>0.188383333333333</v>
      </c>
      <c r="D9" s="130" t="n">
        <f aca="false">'4-2 장르 차트 판독값(참조)'!S11</f>
        <v>8</v>
      </c>
      <c r="E9" s="129" t="n">
        <f aca="false">'4-2 장르 차트 판독값(참조)'!O30</f>
        <v>0.0672</v>
      </c>
      <c r="F9" s="130" t="n">
        <f aca="false">'4-2 장르 차트 판독값(참조)'!S30</f>
        <v>1</v>
      </c>
      <c r="G9" s="129" t="n">
        <f aca="false">'4-2 장르 차트 판독값(참조)'!O49</f>
        <v>0.03</v>
      </c>
      <c r="H9" s="130" t="n">
        <f aca="false">'4-2 장르 차트 판독값(참조)'!S49</f>
        <v>1</v>
      </c>
      <c r="I9" s="134" t="n">
        <f aca="false">'4-2 장르 차트 판독값(참조)'!O68</f>
        <v>48.525</v>
      </c>
      <c r="J9" s="130" t="n">
        <f aca="false">'4-2 장르 차트 판독값(참조)'!S68</f>
        <v>1</v>
      </c>
      <c r="K9" s="134" t="n">
        <f aca="false">'4-2 장르 차트 판독값(참조)'!O87</f>
        <v>8.30833333333333</v>
      </c>
      <c r="L9" s="130" t="n">
        <f aca="false">'4-2 장르 차트 판독값(참조)'!S87</f>
        <v>2</v>
      </c>
      <c r="M9" s="136" t="n">
        <f aca="false">'4-2 장르 차트 판독값(참조)'!O106</f>
        <v>4.86</v>
      </c>
      <c r="N9" s="130" t="n">
        <f aca="false">'4-2 장르 차트 판독값(참조)'!S106</f>
        <v>2</v>
      </c>
      <c r="O9" s="127" t="str">
        <f aca="false">"다음날 "&amp;TEXT(C9*100,"0.0")&amp;"명 → 1주 뒤 "&amp;TEXT(E9*100,"0.0")&amp;"명 → 4주 뒤 "&amp;TEXT(G9*100,"0.0")&amp;"명이 다시 옴"</f>
        <v>다음날 18.8명 → 1주 뒤 6.7명 → 4주 뒤 3.0명이 다시 옴</v>
      </c>
      <c r="P9" s="127" t="str">
        <f aca="false">"하루 "&amp;TEXT(M9,"0.0")&amp;"번 켜고, 한 번에 "&amp;TEXT(K9,"0.0")&amp;"분, 하루 합계 약 "&amp;TEXT(I9,"0")&amp;"분"</f>
        <v>하루 4.9번 켜고, 한 번에 8.3분, 하루 합계 약 49분</v>
      </c>
    </row>
    <row r="10" customFormat="false" ht="17.15" hidden="false" customHeight="false" outlineLevel="0" collapsed="false">
      <c r="A10" s="16" t="s">
        <v>1697</v>
      </c>
      <c r="B10" s="127" t="s">
        <v>1076</v>
      </c>
      <c r="C10" s="129" t="n">
        <f aca="false">'4-2 장르 차트 판독값(참조)'!O12</f>
        <v>0.193825</v>
      </c>
      <c r="D10" s="130" t="n">
        <f aca="false">'4-2 장르 차트 판독값(참조)'!S12</f>
        <v>5</v>
      </c>
      <c r="E10" s="129" t="n">
        <f aca="false">'4-2 장르 차트 판독값(참조)'!O31</f>
        <v>0.05505</v>
      </c>
      <c r="F10" s="130" t="n">
        <f aca="false">'4-2 장르 차트 판독값(참조)'!S31</f>
        <v>3</v>
      </c>
      <c r="G10" s="129" t="n">
        <f aca="false">'4-2 장르 차트 판독값(참조)'!O50</f>
        <v>0.0192083333333333</v>
      </c>
      <c r="H10" s="130" t="n">
        <f aca="false">'4-2 장르 차트 판독값(참조)'!S50</f>
        <v>3</v>
      </c>
      <c r="I10" s="134" t="n">
        <f aca="false">'4-2 장르 차트 판독값(참조)'!O69</f>
        <v>35.35</v>
      </c>
      <c r="J10" s="130" t="n">
        <f aca="false">'4-2 장르 차트 판독값(참조)'!S69</f>
        <v>3</v>
      </c>
      <c r="K10" s="134" t="n">
        <f aca="false">'4-2 장르 차트 판독값(참조)'!O88</f>
        <v>7.3</v>
      </c>
      <c r="L10" s="130" t="n">
        <f aca="false">'4-2 장르 차트 판독값(참조)'!S88</f>
        <v>3</v>
      </c>
      <c r="M10" s="136" t="n">
        <f aca="false">'4-2 장르 차트 판독값(참조)'!O107</f>
        <v>4.2725</v>
      </c>
      <c r="N10" s="130" t="n">
        <f aca="false">'4-2 장르 차트 판독값(참조)'!S107</f>
        <v>6</v>
      </c>
      <c r="O10" s="127" t="str">
        <f aca="false">"다음날 "&amp;TEXT(C10*100,"0.0")&amp;"명 → 1주 뒤 "&amp;TEXT(E10*100,"0.0")&amp;"명 → 4주 뒤 "&amp;TEXT(G10*100,"0.0")&amp;"명이 다시 옴"</f>
        <v>다음날 19.4명 → 1주 뒤 5.5명 → 4주 뒤 1.9명이 다시 옴</v>
      </c>
      <c r="P10" s="127" t="str">
        <f aca="false">"하루 "&amp;TEXT(M10,"0.0")&amp;"번 켜고, 한 번에 "&amp;TEXT(K10,"0.0")&amp;"분, 하루 합계 약 "&amp;TEXT(I10,"0")&amp;"분"</f>
        <v>하루 4.3번 켜고, 한 번에 7.3분, 하루 합계 약 35분</v>
      </c>
    </row>
    <row r="11" customFormat="false" ht="17.15" hidden="false" customHeight="false" outlineLevel="0" collapsed="false">
      <c r="A11" s="16" t="s">
        <v>669</v>
      </c>
      <c r="B11" s="127" t="s">
        <v>630</v>
      </c>
      <c r="C11" s="129" t="n">
        <f aca="false">'4-2 장르 차트 판독값(참조)'!O13</f>
        <v>0.2065</v>
      </c>
      <c r="D11" s="130" t="n">
        <f aca="false">'4-2 장르 차트 판독값(참조)'!S13</f>
        <v>2</v>
      </c>
      <c r="E11" s="129" t="n">
        <f aca="false">'4-2 장르 차트 판독값(참조)'!O32</f>
        <v>0.0331833333333333</v>
      </c>
      <c r="F11" s="130" t="n">
        <f aca="false">'4-2 장르 차트 판독값(참조)'!S32</f>
        <v>9</v>
      </c>
      <c r="G11" s="129" t="n">
        <f aca="false">'4-2 장르 차트 판독값(참조)'!O51</f>
        <v>0.00706666666666667</v>
      </c>
      <c r="H11" s="130" t="n">
        <f aca="false">'4-2 장르 차트 판독값(참조)'!S51</f>
        <v>10</v>
      </c>
      <c r="I11" s="134" t="n">
        <f aca="false">'4-2 장르 차트 판독값(참조)'!O70</f>
        <v>13.6416666666667</v>
      </c>
      <c r="J11" s="130" t="n">
        <f aca="false">'4-2 장르 차트 판독값(참조)'!S70</f>
        <v>15</v>
      </c>
      <c r="K11" s="134" t="n">
        <f aca="false">'4-2 장르 차트 판독값(참조)'!O89</f>
        <v>3.675</v>
      </c>
      <c r="L11" s="130" t="n">
        <f aca="false">'4-2 장르 차트 판독값(참조)'!S89</f>
        <v>14</v>
      </c>
      <c r="M11" s="136" t="n">
        <f aca="false">'4-2 장르 차트 판독값(참조)'!O108</f>
        <v>3.99666666666667</v>
      </c>
      <c r="N11" s="130" t="n">
        <f aca="false">'4-2 장르 차트 판독값(참조)'!S108</f>
        <v>8</v>
      </c>
      <c r="O11" s="127" t="str">
        <f aca="false">"다음날 "&amp;TEXT(C11*100,"0.0")&amp;"명 → 1주 뒤 "&amp;TEXT(E11*100,"0.0")&amp;"명 → 4주 뒤 "&amp;TEXT(G11*100,"0.0")&amp;"명이 다시 옴"</f>
        <v>다음날 20.7명 → 1주 뒤 3.3명 → 4주 뒤 0.7명이 다시 옴</v>
      </c>
      <c r="P11" s="127" t="str">
        <f aca="false">"하루 "&amp;TEXT(M11,"0.0")&amp;"번 켜고, 한 번에 "&amp;TEXT(K11,"0.0")&amp;"분, 하루 합계 약 "&amp;TEXT(I11,"0")&amp;"분"</f>
        <v>하루 4.0번 켜고, 한 번에 3.7분, 하루 합계 약 14분</v>
      </c>
    </row>
    <row r="12" customFormat="false" ht="17.15" hidden="false" customHeight="false" outlineLevel="0" collapsed="false">
      <c r="A12" s="16" t="s">
        <v>1698</v>
      </c>
      <c r="B12" s="127" t="s">
        <v>1699</v>
      </c>
      <c r="C12" s="129" t="n">
        <f aca="false">'4-2 장르 차트 판독값(참조)'!O14</f>
        <v>0.114608333333333</v>
      </c>
      <c r="D12" s="130" t="n">
        <f aca="false">'4-2 장르 차트 판독값(참조)'!S14</f>
        <v>16</v>
      </c>
      <c r="E12" s="129" t="n">
        <f aca="false">'4-2 장르 차트 판독값(참조)'!O33</f>
        <v>0.016675</v>
      </c>
      <c r="F12" s="130" t="n">
        <f aca="false">'4-2 장르 차트 판독값(참조)'!S33</f>
        <v>16</v>
      </c>
      <c r="G12" s="129" t="n">
        <f aca="false">'4-2 장르 차트 판독값(참조)'!O52</f>
        <v>0.00471666666666667</v>
      </c>
      <c r="H12" s="130" t="n">
        <f aca="false">'4-2 장르 차트 판독값(참조)'!S52</f>
        <v>15</v>
      </c>
      <c r="I12" s="134" t="n">
        <f aca="false">'4-2 장르 차트 판독값(참조)'!O71</f>
        <v>24.2333333333333</v>
      </c>
      <c r="J12" s="130" t="n">
        <f aca="false">'4-2 장르 차트 판독값(참조)'!S71</f>
        <v>5</v>
      </c>
      <c r="K12" s="134" t="n">
        <f aca="false">'4-2 장르 차트 판독값(참조)'!O90</f>
        <v>9.43333333333333</v>
      </c>
      <c r="L12" s="130" t="n">
        <f aca="false">'4-2 장르 차트 판독값(참조)'!S90</f>
        <v>1</v>
      </c>
      <c r="M12" s="136" t="n">
        <f aca="false">'4-2 장르 차트 판독값(참조)'!O109</f>
        <v>2.32</v>
      </c>
      <c r="N12" s="130" t="n">
        <f aca="false">'4-2 장르 차트 판독값(참조)'!S109</f>
        <v>16</v>
      </c>
      <c r="O12" s="127" t="str">
        <f aca="false">"다음날 "&amp;TEXT(C12*100,"0.0")&amp;"명 → 1주 뒤 "&amp;TEXT(E12*100,"0.0")&amp;"명 → 4주 뒤 "&amp;TEXT(G12*100,"0.0")&amp;"명이 다시 옴"</f>
        <v>다음날 11.5명 → 1주 뒤 1.7명 → 4주 뒤 0.5명이 다시 옴</v>
      </c>
      <c r="P12" s="127" t="str">
        <f aca="false">"하루 "&amp;TEXT(M12,"0.0")&amp;"번 켜고, 한 번에 "&amp;TEXT(K12,"0.0")&amp;"분, 하루 합계 약 "&amp;TEXT(I12,"0")&amp;"분"</f>
        <v>하루 2.3번 켜고, 한 번에 9.4분, 하루 합계 약 24분</v>
      </c>
    </row>
    <row r="13" customFormat="false" ht="17.15" hidden="false" customHeight="false" outlineLevel="0" collapsed="false">
      <c r="A13" s="16" t="s">
        <v>662</v>
      </c>
      <c r="B13" s="127" t="s">
        <v>753</v>
      </c>
      <c r="C13" s="129" t="n">
        <f aca="false">'4-2 장르 차트 판독값(참조)'!O15</f>
        <v>0.20205</v>
      </c>
      <c r="D13" s="130" t="n">
        <f aca="false">'4-2 장르 차트 판독값(참조)'!S15</f>
        <v>3</v>
      </c>
      <c r="E13" s="129" t="n">
        <f aca="false">'4-2 장르 차트 판독값(참조)'!O34</f>
        <v>0.0453583333333333</v>
      </c>
      <c r="F13" s="130" t="n">
        <f aca="false">'4-2 장르 차트 판독값(참조)'!S34</f>
        <v>4</v>
      </c>
      <c r="G13" s="129" t="n">
        <f aca="false">'4-2 장르 차트 판독값(참조)'!O53</f>
        <v>0.0119</v>
      </c>
      <c r="H13" s="130" t="n">
        <f aca="false">'4-2 장르 차트 판독값(참조)'!S53</f>
        <v>4</v>
      </c>
      <c r="I13" s="134" t="n">
        <f aca="false">'4-2 장르 차트 판독값(참조)'!O72</f>
        <v>30.1916666666667</v>
      </c>
      <c r="J13" s="130" t="n">
        <f aca="false">'4-2 장르 차트 판독값(참조)'!S72</f>
        <v>4</v>
      </c>
      <c r="K13" s="134" t="n">
        <f aca="false">'4-2 장르 차트 판독값(참조)'!O91</f>
        <v>5.64166666666667</v>
      </c>
      <c r="L13" s="130" t="n">
        <f aca="false">'4-2 장르 차트 판독값(참조)'!S91</f>
        <v>5</v>
      </c>
      <c r="M13" s="136" t="n">
        <f aca="false">'4-2 장르 차트 판독값(참조)'!O110</f>
        <v>4.77583333333333</v>
      </c>
      <c r="N13" s="130" t="n">
        <f aca="false">'4-2 장르 차트 판독값(참조)'!S110</f>
        <v>3</v>
      </c>
      <c r="O13" s="127" t="str">
        <f aca="false">"다음날 "&amp;TEXT(C13*100,"0.0")&amp;"명 → 1주 뒤 "&amp;TEXT(E13*100,"0.0")&amp;"명 → 4주 뒤 "&amp;TEXT(G13*100,"0.0")&amp;"명이 다시 옴"</f>
        <v>다음날 20.2명 → 1주 뒤 4.5명 → 4주 뒤 1.2명이 다시 옴</v>
      </c>
      <c r="P13" s="127" t="str">
        <f aca="false">"하루 "&amp;TEXT(M13,"0.0")&amp;"번 켜고, 한 번에 "&amp;TEXT(K13,"0.0")&amp;"분, 하루 합계 약 "&amp;TEXT(I13,"0")&amp;"분"</f>
        <v>하루 4.8번 켜고, 한 번에 5.6분, 하루 합계 약 30분</v>
      </c>
    </row>
    <row r="14" customFormat="false" ht="17.15" hidden="false" customHeight="false" outlineLevel="0" collapsed="false">
      <c r="A14" s="16" t="s">
        <v>1700</v>
      </c>
      <c r="B14" s="127" t="s">
        <v>1701</v>
      </c>
      <c r="C14" s="129" t="n">
        <f aca="false">'4-2 장르 차트 판독값(참조)'!O16</f>
        <v>0.180991666666667</v>
      </c>
      <c r="D14" s="130" t="n">
        <f aca="false">'4-2 장르 차트 판독값(참조)'!S16</f>
        <v>11</v>
      </c>
      <c r="E14" s="129" t="n">
        <f aca="false">'4-2 장르 차트 판독값(참조)'!O35</f>
        <v>0.0301083333333333</v>
      </c>
      <c r="F14" s="130" t="n">
        <f aca="false">'4-2 장르 차트 판독값(참조)'!S35</f>
        <v>11</v>
      </c>
      <c r="G14" s="129" t="n">
        <f aca="false">'4-2 장르 차트 판독값(참조)'!O54</f>
        <v>0.00655</v>
      </c>
      <c r="H14" s="130" t="n">
        <f aca="false">'4-2 장르 차트 판독값(참조)'!S54</f>
        <v>11</v>
      </c>
      <c r="I14" s="134" t="n">
        <f aca="false">'4-2 장르 차트 판독값(참조)'!O73</f>
        <v>14.1166666666667</v>
      </c>
      <c r="J14" s="130" t="n">
        <f aca="false">'4-2 장르 차트 판독값(참조)'!S73</f>
        <v>12</v>
      </c>
      <c r="K14" s="134" t="n">
        <f aca="false">'4-2 장르 차트 판독값(참조)'!O92</f>
        <v>3.81666666666667</v>
      </c>
      <c r="L14" s="130" t="n">
        <f aca="false">'4-2 장르 차트 판독값(참조)'!S92</f>
        <v>13</v>
      </c>
      <c r="M14" s="136" t="n">
        <f aca="false">'4-2 장르 차트 판독값(참조)'!O111</f>
        <v>3.9425</v>
      </c>
      <c r="N14" s="130" t="n">
        <f aca="false">'4-2 장르 차트 판독값(참조)'!S111</f>
        <v>10</v>
      </c>
      <c r="O14" s="127" t="str">
        <f aca="false">"다음날 "&amp;TEXT(C14*100,"0.0")&amp;"명 → 1주 뒤 "&amp;TEXT(E14*100,"0.0")&amp;"명 → 4주 뒤 "&amp;TEXT(G14*100,"0.0")&amp;"명이 다시 옴"</f>
        <v>다음날 18.1명 → 1주 뒤 3.0명 → 4주 뒤 0.7명이 다시 옴</v>
      </c>
      <c r="P14" s="127" t="str">
        <f aca="false">"하루 "&amp;TEXT(M14,"0.0")&amp;"번 켜고, 한 번에 "&amp;TEXT(K14,"0.0")&amp;"분, 하루 합계 약 "&amp;TEXT(I14,"0")&amp;"분"</f>
        <v>하루 3.9번 켜고, 한 번에 3.8분, 하루 합계 약 14분</v>
      </c>
    </row>
    <row r="15" customFormat="false" ht="17.15" hidden="false" customHeight="false" outlineLevel="0" collapsed="false">
      <c r="A15" s="16" t="s">
        <v>695</v>
      </c>
      <c r="B15" s="127" t="s">
        <v>1702</v>
      </c>
      <c r="C15" s="129" t="n">
        <f aca="false">'4-2 장르 차트 판독값(참조)'!O17</f>
        <v>0.150716666666667</v>
      </c>
      <c r="D15" s="130" t="n">
        <f aca="false">'4-2 장르 차트 판독값(참조)'!S17</f>
        <v>15</v>
      </c>
      <c r="E15" s="129" t="n">
        <f aca="false">'4-2 장르 차트 판독값(참조)'!O36</f>
        <v>0.020725</v>
      </c>
      <c r="F15" s="130" t="n">
        <f aca="false">'4-2 장르 차트 판독값(참조)'!S36</f>
        <v>15</v>
      </c>
      <c r="G15" s="129" t="n">
        <f aca="false">'4-2 장르 차트 판독값(참조)'!O55</f>
        <v>0.004325</v>
      </c>
      <c r="H15" s="130" t="n">
        <f aca="false">'4-2 장르 차트 판독값(참조)'!S55</f>
        <v>16</v>
      </c>
      <c r="I15" s="134" t="n">
        <f aca="false">'4-2 장르 차트 판독값(참조)'!O74</f>
        <v>15.6416666666667</v>
      </c>
      <c r="J15" s="130" t="n">
        <f aca="false">'4-2 장르 차트 판독값(참조)'!S74</f>
        <v>10</v>
      </c>
      <c r="K15" s="134" t="n">
        <f aca="false">'4-2 장르 차트 판독값(참조)'!O93</f>
        <v>4.375</v>
      </c>
      <c r="L15" s="130" t="n">
        <f aca="false">'4-2 장르 차트 판독값(참조)'!S93</f>
        <v>9</v>
      </c>
      <c r="M15" s="136" t="n">
        <f aca="false">'4-2 장르 차트 판독값(참조)'!O112</f>
        <v>4.015</v>
      </c>
      <c r="N15" s="130" t="n">
        <f aca="false">'4-2 장르 차트 판독값(참조)'!S112</f>
        <v>7</v>
      </c>
      <c r="O15" s="127" t="str">
        <f aca="false">"다음날 "&amp;TEXT(C15*100,"0.0")&amp;"명 → 1주 뒤 "&amp;TEXT(E15*100,"0.0")&amp;"명 → 4주 뒤 "&amp;TEXT(G15*100,"0.0")&amp;"명이 다시 옴"</f>
        <v>다음날 15.1명 → 1주 뒤 2.1명 → 4주 뒤 0.4명이 다시 옴</v>
      </c>
      <c r="P15" s="127" t="str">
        <f aca="false">"하루 "&amp;TEXT(M15,"0.0")&amp;"번 켜고, 한 번에 "&amp;TEXT(K15,"0.0")&amp;"분, 하루 합계 약 "&amp;TEXT(I15,"0")&amp;"분"</f>
        <v>하루 4.0번 켜고, 한 번에 4.4분, 하루 합계 약 16분</v>
      </c>
    </row>
    <row r="16" customFormat="false" ht="17.15" hidden="false" customHeight="false" outlineLevel="0" collapsed="false">
      <c r="A16" s="16" t="s">
        <v>688</v>
      </c>
      <c r="B16" s="127" t="s">
        <v>784</v>
      </c>
      <c r="C16" s="129" t="n">
        <f aca="false">'4-2 장르 차트 판독값(참조)'!O18</f>
        <v>0.17035</v>
      </c>
      <c r="D16" s="130" t="n">
        <f aca="false">'4-2 장르 차트 판독값(참조)'!S18</f>
        <v>12</v>
      </c>
      <c r="E16" s="129" t="n">
        <f aca="false">'4-2 장르 차트 판독값(참조)'!O37</f>
        <v>0.0238916666666667</v>
      </c>
      <c r="F16" s="130" t="n">
        <f aca="false">'4-2 장르 차트 판독값(참조)'!S37</f>
        <v>13</v>
      </c>
      <c r="G16" s="129" t="n">
        <f aca="false">'4-2 장르 차트 판독값(참조)'!O56</f>
        <v>0.00500833333333333</v>
      </c>
      <c r="H16" s="130" t="n">
        <f aca="false">'4-2 장르 차트 판독값(참조)'!S56</f>
        <v>13</v>
      </c>
      <c r="I16" s="134" t="n">
        <f aca="false">'4-2 장르 차트 판독값(참조)'!O75</f>
        <v>14.6916666666667</v>
      </c>
      <c r="J16" s="130" t="n">
        <f aca="false">'4-2 장르 차트 판독값(참조)'!S75</f>
        <v>11</v>
      </c>
      <c r="K16" s="134" t="n">
        <f aca="false">'4-2 장르 차트 판독값(참조)'!O94</f>
        <v>4.11666666666667</v>
      </c>
      <c r="L16" s="130" t="n">
        <f aca="false">'4-2 장르 차트 판독값(참조)'!S94</f>
        <v>11</v>
      </c>
      <c r="M16" s="136" t="n">
        <f aca="false">'4-2 장르 차트 판독값(참조)'!O113</f>
        <v>3.67583333333333</v>
      </c>
      <c r="N16" s="130" t="n">
        <f aca="false">'4-2 장르 차트 판독값(참조)'!S113</f>
        <v>14</v>
      </c>
      <c r="O16" s="127" t="str">
        <f aca="false">"다음날 "&amp;TEXT(C16*100,"0.0")&amp;"명 → 1주 뒤 "&amp;TEXT(E16*100,"0.0")&amp;"명 → 4주 뒤 "&amp;TEXT(G16*100,"0.0")&amp;"명이 다시 옴"</f>
        <v>다음날 17.0명 → 1주 뒤 2.4명 → 4주 뒤 0.5명이 다시 옴</v>
      </c>
      <c r="P16" s="127" t="str">
        <f aca="false">"하루 "&amp;TEXT(M16,"0.0")&amp;"번 켜고, 한 번에 "&amp;TEXT(K16,"0.0")&amp;"분, 하루 합계 약 "&amp;TEXT(I16,"0")&amp;"분"</f>
        <v>하루 3.7번 켜고, 한 번에 4.1분, 하루 합계 약 15분</v>
      </c>
    </row>
    <row r="17" customFormat="false" ht="17.15" hidden="false" customHeight="false" outlineLevel="0" collapsed="false">
      <c r="A17" s="16" t="s">
        <v>1703</v>
      </c>
      <c r="B17" s="127" t="s">
        <v>808</v>
      </c>
      <c r="C17" s="129" t="n">
        <f aca="false">'4-2 장르 차트 판독값(참조)'!O19</f>
        <v>0.192625</v>
      </c>
      <c r="D17" s="130" t="n">
        <f aca="false">'4-2 장르 차트 판독값(참조)'!S19</f>
        <v>6</v>
      </c>
      <c r="E17" s="129" t="n">
        <f aca="false">'4-2 장르 차트 판독값(참조)'!O38</f>
        <v>0.035825</v>
      </c>
      <c r="F17" s="130" t="n">
        <f aca="false">'4-2 장르 차트 판독값(참조)'!S38</f>
        <v>7</v>
      </c>
      <c r="G17" s="129" t="n">
        <f aca="false">'4-2 장르 차트 판독값(참조)'!O57</f>
        <v>0.00815</v>
      </c>
      <c r="H17" s="130" t="n">
        <f aca="false">'4-2 장르 차트 판독값(참조)'!S57</f>
        <v>8</v>
      </c>
      <c r="I17" s="134" t="n">
        <f aca="false">'4-2 장르 차트 판독값(참조)'!O76</f>
        <v>15.7083333333333</v>
      </c>
      <c r="J17" s="130" t="n">
        <f aca="false">'4-2 장르 차트 판독값(참조)'!S76</f>
        <v>9</v>
      </c>
      <c r="K17" s="134" t="n">
        <f aca="false">'4-2 장르 차트 판독값(참조)'!O95</f>
        <v>4.31666666666667</v>
      </c>
      <c r="L17" s="130" t="n">
        <f aca="false">'4-2 장르 차트 판독값(참조)'!S95</f>
        <v>10</v>
      </c>
      <c r="M17" s="136" t="n">
        <f aca="false">'4-2 장르 차트 판독값(참조)'!O114</f>
        <v>3.80833333333333</v>
      </c>
      <c r="N17" s="130" t="n">
        <f aca="false">'4-2 장르 차트 판독값(참조)'!S114</f>
        <v>12</v>
      </c>
      <c r="O17" s="127" t="str">
        <f aca="false">"다음날 "&amp;TEXT(C17*100,"0.0")&amp;"명 → 1주 뒤 "&amp;TEXT(E17*100,"0.0")&amp;"명 → 4주 뒤 "&amp;TEXT(G17*100,"0.0")&amp;"명이 다시 옴"</f>
        <v>다음날 19.3명 → 1주 뒤 3.6명 → 4주 뒤 0.8명이 다시 옴</v>
      </c>
      <c r="P17" s="127" t="str">
        <f aca="false">"하루 "&amp;TEXT(M17,"0.0")&amp;"번 켜고, 한 번에 "&amp;TEXT(K17,"0.0")&amp;"분, 하루 합계 약 "&amp;TEXT(I17,"0")&amp;"분"</f>
        <v>하루 3.8번 켜고, 한 번에 4.3분, 하루 합계 약 16분</v>
      </c>
    </row>
    <row r="18" customFormat="false" ht="17.15" hidden="false" customHeight="false" outlineLevel="0" collapsed="false">
      <c r="A18" s="16" t="s">
        <v>678</v>
      </c>
      <c r="B18" s="127" t="s">
        <v>750</v>
      </c>
      <c r="C18" s="129" t="n">
        <f aca="false">'4-2 장르 차트 판독값(참조)'!O20</f>
        <v>0.198991666666667</v>
      </c>
      <c r="D18" s="130" t="n">
        <f aca="false">'4-2 장르 차트 판독값(참조)'!S20</f>
        <v>4</v>
      </c>
      <c r="E18" s="129" t="n">
        <f aca="false">'4-2 장르 차트 판독값(참조)'!O39</f>
        <v>0.03365</v>
      </c>
      <c r="F18" s="130" t="n">
        <f aca="false">'4-2 장르 차트 판독값(참조)'!S39</f>
        <v>8</v>
      </c>
      <c r="G18" s="129" t="n">
        <f aca="false">'4-2 장르 차트 판독값(참조)'!O58</f>
        <v>0.00714166666666667</v>
      </c>
      <c r="H18" s="130" t="n">
        <f aca="false">'4-2 장르 차트 판독값(참조)'!S58</f>
        <v>9</v>
      </c>
      <c r="I18" s="134" t="n">
        <f aca="false">'4-2 장르 차트 판독값(참조)'!O77</f>
        <v>23.5</v>
      </c>
      <c r="J18" s="130" t="n">
        <f aca="false">'4-2 장르 차트 판독값(참조)'!S77</f>
        <v>7</v>
      </c>
      <c r="K18" s="134" t="n">
        <f aca="false">'4-2 장르 차트 판독값(참조)'!O96</f>
        <v>5.45</v>
      </c>
      <c r="L18" s="130" t="n">
        <f aca="false">'4-2 장르 차트 판독값(참조)'!S96</f>
        <v>6</v>
      </c>
      <c r="M18" s="136" t="n">
        <f aca="false">'4-2 장르 차트 판독값(참조)'!O115</f>
        <v>4.29666666666667</v>
      </c>
      <c r="N18" s="130" t="n">
        <f aca="false">'4-2 장르 차트 판독값(참조)'!S115</f>
        <v>5</v>
      </c>
      <c r="O18" s="127" t="str">
        <f aca="false">"다음날 "&amp;TEXT(C18*100,"0.0")&amp;"명 → 1주 뒤 "&amp;TEXT(E18*100,"0.0")&amp;"명 → 4주 뒤 "&amp;TEXT(G18*100,"0.0")&amp;"명이 다시 옴"</f>
        <v>다음날 19.9명 → 1주 뒤 3.4명 → 4주 뒤 0.7명이 다시 옴</v>
      </c>
      <c r="P18" s="127" t="str">
        <f aca="false">"하루 "&amp;TEXT(M18,"0.0")&amp;"번 켜고, 한 번에 "&amp;TEXT(K18,"0.0")&amp;"분, 하루 합계 약 "&amp;TEXT(I18,"0")&amp;"분"</f>
        <v>하루 4.3번 켜고, 한 번에 5.5분, 하루 합계 약 24분</v>
      </c>
    </row>
    <row r="19" customFormat="false" ht="17.15" hidden="false" customHeight="false" outlineLevel="0" collapsed="false">
      <c r="A19" s="16" t="s">
        <v>1704</v>
      </c>
      <c r="B19" s="127" t="s">
        <v>1705</v>
      </c>
      <c r="C19" s="129" t="n">
        <f aca="false">'4-2 장르 차트 판독값(참조)'!O21</f>
        <v>0.163358333333333</v>
      </c>
      <c r="D19" s="130" t="n">
        <f aca="false">'4-2 장르 차트 판독값(참조)'!S21</f>
        <v>13</v>
      </c>
      <c r="E19" s="129" t="n">
        <f aca="false">'4-2 장르 차트 판독값(참조)'!O40</f>
        <v>0.0328166666666667</v>
      </c>
      <c r="F19" s="130" t="n">
        <f aca="false">'4-2 장르 차트 판독값(참조)'!S40</f>
        <v>10</v>
      </c>
      <c r="G19" s="129" t="n">
        <f aca="false">'4-2 장르 차트 판독값(참조)'!O59</f>
        <v>0.0082</v>
      </c>
      <c r="H19" s="130" t="n">
        <f aca="false">'4-2 장르 차트 판독값(참조)'!S59</f>
        <v>7</v>
      </c>
      <c r="I19" s="134" t="n">
        <f aca="false">'4-2 장르 차트 판독값(참조)'!O78</f>
        <v>13.875</v>
      </c>
      <c r="J19" s="130" t="n">
        <f aca="false">'4-2 장르 차트 판독값(참조)'!S78</f>
        <v>14</v>
      </c>
      <c r="K19" s="134" t="n">
        <f aca="false">'4-2 장르 차트 판독값(참조)'!O97</f>
        <v>3.65</v>
      </c>
      <c r="L19" s="130" t="n">
        <f aca="false">'4-2 장르 차트 판독값(참조)'!S97</f>
        <v>15</v>
      </c>
      <c r="M19" s="136" t="n">
        <f aca="false">'4-2 장르 차트 판독값(참조)'!O116</f>
        <v>3.84083333333333</v>
      </c>
      <c r="N19" s="130" t="n">
        <f aca="false">'4-2 장르 차트 판독값(참조)'!S116</f>
        <v>11</v>
      </c>
      <c r="O19" s="127" t="str">
        <f aca="false">"다음날 "&amp;TEXT(C19*100,"0.0")&amp;"명 → 1주 뒤 "&amp;TEXT(E19*100,"0.0")&amp;"명 → 4주 뒤 "&amp;TEXT(G19*100,"0.0")&amp;"명이 다시 옴"</f>
        <v>다음날 16.3명 → 1주 뒤 3.3명 → 4주 뒤 0.8명이 다시 옴</v>
      </c>
      <c r="P19" s="127" t="str">
        <f aca="false">"하루 "&amp;TEXT(M19,"0.0")&amp;"번 켜고, 한 번에 "&amp;TEXT(K19,"0.0")&amp;"분, 하루 합계 약 "&amp;TEXT(I19,"0")&amp;"분"</f>
        <v>하루 3.8번 켜고, 한 번에 3.7분, 하루 합계 약 14분</v>
      </c>
    </row>
    <row r="20" customFormat="false" ht="17.15" hidden="false" customHeight="false" outlineLevel="0" collapsed="false">
      <c r="A20" s="16" t="s">
        <v>1706</v>
      </c>
      <c r="B20" s="127" t="s">
        <v>1707</v>
      </c>
      <c r="C20" s="129" t="n">
        <f aca="false">'4-2 장르 차트 판독값(참조)'!O22</f>
        <v>0.183966666666667</v>
      </c>
      <c r="D20" s="130" t="n">
        <f aca="false">'4-2 장르 차트 판독값(참조)'!S22</f>
        <v>9</v>
      </c>
      <c r="E20" s="129" t="n">
        <f aca="false">'4-2 장르 차트 판독값(참조)'!O41</f>
        <v>0.0418333333333333</v>
      </c>
      <c r="F20" s="130" t="n">
        <f aca="false">'4-2 장르 차트 판독값(참조)'!S41</f>
        <v>5</v>
      </c>
      <c r="G20" s="129" t="n">
        <f aca="false">'4-2 장르 차트 판독값(참조)'!O60</f>
        <v>0.011225</v>
      </c>
      <c r="H20" s="130" t="n">
        <f aca="false">'4-2 장르 차트 판독값(참조)'!S60</f>
        <v>5</v>
      </c>
      <c r="I20" s="134" t="n">
        <f aca="false">'4-2 장르 차트 판독값(참조)'!O79</f>
        <v>23.8083333333333</v>
      </c>
      <c r="J20" s="130" t="n">
        <f aca="false">'4-2 장르 차트 판독값(참조)'!S79</f>
        <v>6</v>
      </c>
      <c r="K20" s="134" t="n">
        <f aca="false">'4-2 장르 차트 판독값(참조)'!O98</f>
        <v>5.08333333333333</v>
      </c>
      <c r="L20" s="130" t="n">
        <f aca="false">'4-2 장르 차트 판독값(참조)'!S98</f>
        <v>7</v>
      </c>
      <c r="M20" s="136" t="n">
        <f aca="false">'4-2 장르 차트 판독값(참조)'!O117</f>
        <v>4.3225</v>
      </c>
      <c r="N20" s="130" t="n">
        <f aca="false">'4-2 장르 차트 판독값(참조)'!S117</f>
        <v>4</v>
      </c>
      <c r="O20" s="127" t="str">
        <f aca="false">"다음날 "&amp;TEXT(C20*100,"0.0")&amp;"명 → 1주 뒤 "&amp;TEXT(E20*100,"0.0")&amp;"명 → 4주 뒤 "&amp;TEXT(G20*100,"0.0")&amp;"명이 다시 옴"</f>
        <v>다음날 18.4명 → 1주 뒤 4.2명 → 4주 뒤 1.1명이 다시 옴</v>
      </c>
      <c r="P20" s="127" t="str">
        <f aca="false">"하루 "&amp;TEXT(M20,"0.0")&amp;"번 켜고, 한 번에 "&amp;TEXT(K20,"0.0")&amp;"분, 하루 합계 약 "&amp;TEXT(I20,"0")&amp;"분"</f>
        <v>하루 4.3번 켜고, 한 번에 5.1분, 하루 합계 약 24분</v>
      </c>
    </row>
    <row r="23" customFormat="false" ht="19.4" hidden="false" customHeight="false" outlineLevel="0" collapsed="false">
      <c r="A23" s="43" t="s">
        <v>1724</v>
      </c>
    </row>
    <row r="24" customFormat="false" ht="17.15" hidden="false" customHeight="false" outlineLevel="0" collapsed="false">
      <c r="A24" s="137" t="s">
        <v>1725</v>
      </c>
      <c r="B24" s="137"/>
      <c r="C24" s="137"/>
      <c r="D24" s="137"/>
      <c r="E24" s="137"/>
      <c r="F24" s="137"/>
      <c r="G24" s="137"/>
      <c r="H24" s="137"/>
      <c r="I24" s="137" t="s">
        <v>1726</v>
      </c>
      <c r="J24" s="137"/>
      <c r="K24" s="137"/>
      <c r="L24" s="137"/>
      <c r="M24" s="137"/>
      <c r="N24" s="137"/>
      <c r="O24" s="138" t="s">
        <v>709</v>
      </c>
    </row>
    <row r="25" customFormat="false" ht="49.5" hidden="false" customHeight="true" outlineLevel="0" collapsed="false">
      <c r="A25" s="139" t="s">
        <v>1727</v>
      </c>
      <c r="B25" s="139"/>
      <c r="C25" s="139"/>
      <c r="D25" s="139"/>
      <c r="E25" s="139"/>
      <c r="F25" s="139"/>
      <c r="G25" s="139"/>
      <c r="H25" s="139"/>
      <c r="I25" s="140" t="str">
        <f aca="false">"D1 1위: "&amp;INDEX($A$5:$A$20,MATCH(MAX($C$5:$C$20),$C$5:$C$20,0))&amp;" ("&amp;TEXT(MAX($C$5:$C$20),"0.00%")&amp;")"</f>
        <v>D1 1위: Arcade (22.24%)</v>
      </c>
      <c r="J25" s="140"/>
      <c r="K25" s="140"/>
      <c r="L25" s="140"/>
      <c r="M25" s="140"/>
      <c r="N25" s="140"/>
      <c r="O25" s="36" t="str">
        <f aca="false">IF(INDEX($A$5:$A$20,MATCH(MAX($C$5:$C$20),$C$5:$C$20,0))="Arcade","일치","다름")</f>
        <v>일치</v>
      </c>
    </row>
    <row r="26" customFormat="false" ht="49.5" hidden="false" customHeight="true" outlineLevel="0" collapsed="false">
      <c r="A26" s="139" t="s">
        <v>1728</v>
      </c>
      <c r="B26" s="139"/>
      <c r="C26" s="139"/>
      <c r="D26" s="139"/>
      <c r="E26" s="139"/>
      <c r="F26" s="139"/>
      <c r="G26" s="139"/>
      <c r="H26" s="139"/>
      <c r="I26" s="140" t="str">
        <f aca="false">"Arcade 순위: D1 "&amp;INDEX($D$5:$D$20,MATCH("Arcade",$A$5:$A$20,0))&amp;"위 → D7 "&amp;INDEX($F$5:$F$20,MATCH("Arcade",$A$5:$A$20,0))&amp;"위 → D28 "&amp;INDEX($H$5:$H$20,MATCH("Arcade",$A$5:$A$20,0))&amp;"위"</f>
        <v>Arcade 순위: D1 1위 → D7 6위 → D28 6위</v>
      </c>
      <c r="J26" s="140"/>
      <c r="K26" s="140"/>
      <c r="L26" s="140"/>
      <c r="M26" s="140"/>
      <c r="N26" s="140"/>
      <c r="O26" s="36" t="str">
        <f aca="false">IF(INDEX($H$5:$H$20,MATCH("Arcade",$A$5:$A$20,0))&gt;INDEX($D$5:$D$20,MATCH("Arcade",$A$5:$A$20,0)),"일치 (뒤로 갈수록 순위 하락)","다름")</f>
        <v>일치 (뒤로 갈수록 순위 하락)</v>
      </c>
    </row>
    <row r="27" customFormat="false" ht="49.5" hidden="false" customHeight="true" outlineLevel="0" collapsed="false">
      <c r="A27" s="139" t="s">
        <v>1729</v>
      </c>
      <c r="B27" s="139"/>
      <c r="C27" s="139"/>
      <c r="D27" s="139"/>
      <c r="E27" s="139"/>
      <c r="F27" s="139"/>
      <c r="G27" s="139"/>
      <c r="H27" s="139"/>
      <c r="I27" s="140" t="str">
        <f aca="false">"D7 순위 보드 "&amp;INDEX($F$5:$F$20,MATCH("Board",$A$5:$A$20,0))&amp;"·카드 "&amp;INDEX($F$5:$F$20,MATCH("Card",$A$5:$A$20,0))&amp;"·퍼즐 "&amp;INDEX($F$5:$F$20,MATCH("Puzzle",$A$5:$A$20,0))&amp;"·카지노 "&amp;INDEX($F$5:$F$20,MATCH("Casino",$A$5:$A$20,0))&amp;" / D28 순위 "&amp;INDEX($H$5:$H$20,MATCH("Board",$A$5:$A$20,0))&amp;"·"&amp;INDEX($H$5:$H$20,MATCH("Card",$A$5:$A$20,0))&amp;"·"&amp;INDEX($H$5:$H$20,MATCH("Puzzle",$A$5:$A$20,0))&amp;"·"&amp;INDEX($H$5:$H$20,MATCH("Casino",$A$5:$A$20,0))</f>
        <v>D7 순위 보드 2·카드 1·퍼즐 4·카지노 3 / D28 순위 2·1·4·3</v>
      </c>
      <c r="J27" s="140"/>
      <c r="K27" s="140"/>
      <c r="L27" s="140"/>
      <c r="M27" s="140"/>
      <c r="N27" s="140"/>
      <c r="O27" s="36" t="str">
        <f aca="false">IF(MAX(INDEX($F$5:$F$20,MATCH("Board",$A$5:$A$20,0)),INDEX($F$5:$F$20,MATCH("Card",$A$5:$A$20,0)),INDEX($F$5:$F$20,MATCH("Puzzle",$A$5:$A$20,0)),INDEX($F$5:$F$20,MATCH("Casino",$A$5:$A$20,0)),INDEX($H$5:$H$20,MATCH("Board",$A$5:$A$20,0)),INDEX($H$5:$H$20,MATCH("Card",$A$5:$A$20,0)),INDEX($H$5:$H$20,MATCH("Puzzle",$A$5:$A$20,0)),INDEX($H$5:$H$20,MATCH("Casino",$A$5:$A$20,0)))&lt;=5,"일치 (모두 5위 안)","부분 일치")</f>
        <v>일치 (모두 5위 안)</v>
      </c>
    </row>
    <row r="28" customFormat="false" ht="49.5" hidden="false" customHeight="true" outlineLevel="0" collapsed="false">
      <c r="A28" s="139" t="s">
        <v>1730</v>
      </c>
      <c r="B28" s="139"/>
      <c r="C28" s="139"/>
      <c r="D28" s="139"/>
      <c r="E28" s="139"/>
      <c r="F28" s="139"/>
      <c r="G28" s="139"/>
      <c r="H28" s="139"/>
      <c r="I28" s="140" t="str">
        <f aca="false">"D1 순위 보드 "&amp;INDEX($D$5:$D$20,MATCH("Board",$A$5:$A$20,0))&amp;"·카드 "&amp;INDEX($D$5:$D$20,MATCH("Card",$A$5:$A$20,0))&amp;"·퍼즐 "&amp;INDEX($D$5:$D$20,MATCH("Puzzle",$A$5:$A$20,0))&amp;"·카지노 "&amp;INDEX($D$5:$D$20,MATCH("Casino",$A$5:$A$20,0))</f>
        <v>D1 순위 보드 7·카드 8·퍼즐 3·카지노 5</v>
      </c>
      <c r="J28" s="140"/>
      <c r="K28" s="140"/>
      <c r="L28" s="140"/>
      <c r="M28" s="140"/>
      <c r="N28" s="140"/>
      <c r="O28" s="36" t="str">
        <f aca="false">IF(MAX(INDEX($D$5:$D$20,MATCH("Board",$A$5:$A$20,0)),INDEX($D$5:$D$20,MATCH("Card",$A$5:$A$20,0)),INDEX($D$5:$D$20,MATCH("Puzzle",$A$5:$A$20,0)),INDEX($D$5:$D$20,MATCH("Casino",$A$5:$A$20,0)))&lt;=5,"일치 (모두 5위 안)","부분 일치 (D1은 중간권 포함)")</f>
        <v>부분 일치 (D1은 중간권 포함)</v>
      </c>
    </row>
    <row r="29" customFormat="false" ht="49.5" hidden="false" customHeight="true" outlineLevel="0" collapsed="false">
      <c r="A29" s="139" t="s">
        <v>1731</v>
      </c>
      <c r="B29" s="139"/>
      <c r="C29" s="139"/>
      <c r="D29" s="139"/>
      <c r="E29" s="139"/>
      <c r="F29" s="139"/>
      <c r="G29" s="139"/>
      <c r="H29" s="139"/>
      <c r="I29" s="140" t="str">
        <f aca="false">"최저 장르: D1 "&amp;INDEX($A$5:$A$20,MATCH(MIN($C$5:$C$20),$C$5:$C$20,0))&amp;" / D7 "&amp;INDEX($A$5:$A$20,MATCH(MIN($E$5:$E$20),$E$5:$E$20,0))&amp;" / D28 "&amp;INDEX($A$5:$A$20,MATCH(MIN($G$5:$G$20),$G$5:$G$20,0))</f>
        <v>최저 장르: D1 Multiplayer / D7 Multiplayer / D28 Role Playing</v>
      </c>
      <c r="J29" s="140"/>
      <c r="K29" s="140"/>
      <c r="L29" s="140"/>
      <c r="M29" s="140"/>
      <c r="N29" s="140"/>
      <c r="O29" s="36" t="str">
        <f aca="false">IF(AND(INDEX($A$5:$A$20,MATCH(MIN($C$5:$C$20),$C$5:$C$20,0))="Multiplayer",INDEX($A$5:$A$20,MATCH(MIN($E$5:$E$20),$E$5:$E$20,0))="Multiplayer",INDEX($A$5:$A$20,MATCH(MIN($G$5:$G$20),$G$5:$G$20,0))="Multiplayer"),"일치","부분 일치 (D28 최저는 다른 장르)")</f>
        <v>부분 일치 (D28 최저는 다른 장르)</v>
      </c>
    </row>
    <row r="30" customFormat="false" ht="49.5" hidden="false" customHeight="true" outlineLevel="0" collapsed="false">
      <c r="A30" s="139" t="s">
        <v>1732</v>
      </c>
      <c r="B30" s="139"/>
      <c r="C30" s="139"/>
      <c r="D30" s="139"/>
      <c r="E30" s="139"/>
      <c r="F30" s="139"/>
      <c r="G30" s="139"/>
      <c r="H30" s="139"/>
      <c r="I30" s="140" t="str">
        <f aca="false">"세션 길이 1위: "&amp;INDEX($A$5:$A$20,MATCH(MAX($K$5:$K$20),$K$5:$K$20,0))&amp;" ("&amp;TEXT(MAX($K$5:$K$20),"0.0")&amp;"분)"</f>
        <v>세션 길이 1위: Multiplayer (9.4분)</v>
      </c>
      <c r="J30" s="140"/>
      <c r="K30" s="140"/>
      <c r="L30" s="140"/>
      <c r="M30" s="140"/>
      <c r="N30" s="140"/>
      <c r="O30" s="36" t="str">
        <f aca="false">IF(INDEX($A$5:$A$20,MATCH(MAX($K$5:$K$20),$K$5:$K$20,0))="Multiplayer","일치","다름")</f>
        <v>일치</v>
      </c>
    </row>
    <row r="31" customFormat="false" ht="49.5" hidden="false" customHeight="true" outlineLevel="0" collapsed="false">
      <c r="A31" s="139" t="s">
        <v>1733</v>
      </c>
      <c r="B31" s="139"/>
      <c r="C31" s="139"/>
      <c r="D31" s="139"/>
      <c r="E31" s="139"/>
      <c r="F31" s="139"/>
      <c r="G31" s="139"/>
      <c r="H31" s="139"/>
      <c r="I31" s="140" t="str">
        <f aca="false">"플레이 시간 순위 "&amp;INDEX($J$5:$J$20,MATCH("Board",$A$5:$A$20,0))&amp;"·"&amp;INDEX($J$5:$J$20,MATCH("Card",$A$5:$A$20,0))&amp;"·"&amp;INDEX($J$5:$J$20,MATCH("Puzzle",$A$5:$A$20,0))&amp;"·"&amp;INDEX($J$5:$J$20,MATCH("Casino",$A$5:$A$20,0))&amp;" / 세션 수 순위 "&amp;INDEX($N$5:$N$20,MATCH("Board",$A$5:$A$20,0))&amp;"·"&amp;INDEX($N$5:$N$20,MATCH("Card",$A$5:$A$20,0))&amp;"·"&amp;INDEX($N$5:$N$20,MATCH("Puzzle",$A$5:$A$20,0))&amp;"·"&amp;INDEX($N$5:$N$20,MATCH("Casino",$A$5:$A$20,0))&amp;" (보드·카드·퍼즐·카지노 순)"</f>
        <v>플레이 시간 순위 2·1·4·3 / 세션 수 순위 1·2·3·6 (보드·카드·퍼즐·카지노 순)</v>
      </c>
      <c r="J31" s="140"/>
      <c r="K31" s="140"/>
      <c r="L31" s="140"/>
      <c r="M31" s="140"/>
      <c r="N31" s="140"/>
      <c r="O31" s="36" t="str">
        <f aca="false">IF(MAX(INDEX($J$5:$J$20,MATCH("Board",$A$5:$A$20,0)),INDEX($J$5:$J$20,MATCH("Card",$A$5:$A$20,0)),INDEX($J$5:$J$20,MATCH("Puzzle",$A$5:$A$20,0)),INDEX($J$5:$J$20,MATCH("Casino",$A$5:$A$20,0)),INDEX($N$5:$N$20,MATCH("Board",$A$5:$A$20,0)),INDEX($N$5:$N$20,MATCH("Card",$A$5:$A$20,0)),INDEX($N$5:$N$20,MATCH("Puzzle",$A$5:$A$20,0)),INDEX($N$5:$N$20,MATCH("Casino",$A$5:$A$20,0)))&lt;=4,"일치 (모두 4위 안)","부분 일치")</f>
        <v>부분 일치</v>
      </c>
    </row>
    <row r="32" customFormat="false" ht="49.5" hidden="false" customHeight="true" outlineLevel="0" collapsed="false">
      <c r="A32" s="139" t="s">
        <v>1734</v>
      </c>
      <c r="B32" s="139"/>
      <c r="C32" s="139"/>
      <c r="D32" s="139"/>
      <c r="E32" s="139"/>
      <c r="F32" s="139"/>
      <c r="G32" s="139"/>
      <c r="H32" s="139"/>
      <c r="I32" s="140" t="str">
        <f aca="false">"16개 장르 중 하루 세션 수 최고: "&amp;INDEX($A$5:$A$20,MATCH(MAX($M$5:$M$20),$M$5:$M$20,0))&amp;" "&amp;TEXT(MAX($M$5:$M$20),"0.00")&amp;"회"</f>
        <v>16개 장르 중 하루 세션 수 최고: Board 5.09회</v>
      </c>
      <c r="J32" s="140"/>
      <c r="K32" s="140"/>
      <c r="L32" s="140"/>
      <c r="M32" s="140"/>
      <c r="N32" s="140"/>
      <c r="O32" s="36" t="str">
        <f aca="false">IF(MAX($M$5:$M$20)&gt;=6,"일치","판독값으로는 확인 안 됨 (분류 기준이 다를 가능성, 추정)")</f>
        <v>판독값으로는 확인 안 됨 (분류 기준이 다를 가능성, 추정)</v>
      </c>
    </row>
    <row r="34" customFormat="false" ht="17.15" hidden="false" customHeight="false" outlineLevel="0" collapsed="false">
      <c r="A34" s="22" t="s">
        <v>1735</v>
      </c>
    </row>
    <row r="35" customFormat="false" ht="17.15" hidden="false" customHeight="false" outlineLevel="0" collapsed="false">
      <c r="A35" s="38" t="s">
        <v>1736</v>
      </c>
    </row>
    <row r="36" customFormat="false" ht="17.15" hidden="false" customHeight="false" outlineLevel="0" collapsed="false">
      <c r="A36" s="22" t="s">
        <v>1737</v>
      </c>
    </row>
  </sheetData>
  <mergeCells count="18">
    <mergeCell ref="A24:H24"/>
    <mergeCell ref="I24:N24"/>
    <mergeCell ref="A25:H25"/>
    <mergeCell ref="I25:N25"/>
    <mergeCell ref="A26:H26"/>
    <mergeCell ref="I26:N26"/>
    <mergeCell ref="A27:H27"/>
    <mergeCell ref="I27:N27"/>
    <mergeCell ref="A28:H28"/>
    <mergeCell ref="I28:N28"/>
    <mergeCell ref="A29:H29"/>
    <mergeCell ref="I29:N29"/>
    <mergeCell ref="A30:H30"/>
    <mergeCell ref="I30:N30"/>
    <mergeCell ref="A31:H31"/>
    <mergeCell ref="I31:N31"/>
    <mergeCell ref="A32:H32"/>
    <mergeCell ref="I32:N32"/>
  </mergeCells>
  <conditionalFormatting sqref="C5:C20">
    <cfRule type="colorScale" priority="2">
      <colorScale>
        <cfvo type="min" val="0"/>
        <cfvo type="max" val="0"/>
        <color rgb="FFF2F2F2"/>
        <color rgb="FF8EA9DB"/>
      </colorScale>
    </cfRule>
  </conditionalFormatting>
  <conditionalFormatting sqref="E5:E20">
    <cfRule type="colorScale" priority="3">
      <colorScale>
        <cfvo type="min" val="0"/>
        <cfvo type="max" val="0"/>
        <color rgb="FFF2F2F2"/>
        <color rgb="FF8EA9DB"/>
      </colorScale>
    </cfRule>
  </conditionalFormatting>
  <conditionalFormatting sqref="G5:G20">
    <cfRule type="colorScale" priority="4">
      <colorScale>
        <cfvo type="min" val="0"/>
        <cfvo type="max" val="0"/>
        <color rgb="FFF2F2F2"/>
        <color rgb="FF8EA9DB"/>
      </colorScale>
    </cfRule>
  </conditionalFormatting>
  <conditionalFormatting sqref="I5:I20">
    <cfRule type="colorScale" priority="5">
      <colorScale>
        <cfvo type="min" val="0"/>
        <cfvo type="max" val="0"/>
        <color rgb="FFF2F2F2"/>
        <color rgb="FF8EA9DB"/>
      </colorScale>
    </cfRule>
  </conditionalFormatting>
  <conditionalFormatting sqref="K5:K20">
    <cfRule type="colorScale" priority="6">
      <colorScale>
        <cfvo type="min" val="0"/>
        <cfvo type="max" val="0"/>
        <color rgb="FFF2F2F2"/>
        <color rgb="FF8EA9DB"/>
      </colorScale>
    </cfRule>
  </conditionalFormatting>
  <conditionalFormatting sqref="M5:M20">
    <cfRule type="colorScale" priority="7">
      <colorScale>
        <cfvo type="min" val="0"/>
        <cfvo type="max" val="0"/>
        <color rgb="FFF2F2F2"/>
        <color rgb="FF8EA9D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30"/>
  </cols>
  <sheetData>
    <row r="1" customFormat="false" ht="17.15" hidden="false" customHeight="false" outlineLevel="0" collapsed="false">
      <c r="A1" s="138" t="s">
        <v>173</v>
      </c>
      <c r="B1" s="138" t="s">
        <v>835</v>
      </c>
      <c r="C1" s="138" t="s">
        <v>153</v>
      </c>
      <c r="D1" s="138" t="s">
        <v>743</v>
      </c>
      <c r="E1" s="138" t="s">
        <v>744</v>
      </c>
      <c r="F1" s="138" t="s">
        <v>6</v>
      </c>
      <c r="H1" s="122" t="s">
        <v>1738</v>
      </c>
    </row>
    <row r="2" customFormat="false" ht="17.15" hidden="false" customHeight="false" outlineLevel="0" collapsed="false">
      <c r="A2" s="49" t="n">
        <v>1</v>
      </c>
      <c r="B2" s="47" t="s">
        <v>178</v>
      </c>
      <c r="C2" s="47" t="s">
        <v>179</v>
      </c>
      <c r="D2" s="127" t="s">
        <v>753</v>
      </c>
      <c r="E2" s="127" t="s">
        <v>756</v>
      </c>
      <c r="F2" s="127"/>
    </row>
    <row r="3" customFormat="false" ht="17.15" hidden="false" customHeight="false" outlineLevel="0" collapsed="false">
      <c r="A3" s="49" t="n">
        <v>2</v>
      </c>
      <c r="B3" s="47" t="s">
        <v>960</v>
      </c>
      <c r="C3" s="47" t="s">
        <v>175</v>
      </c>
      <c r="D3" s="127" t="s">
        <v>753</v>
      </c>
      <c r="E3" s="127" t="s">
        <v>791</v>
      </c>
      <c r="F3" s="127" t="s">
        <v>1739</v>
      </c>
    </row>
    <row r="4" customFormat="false" ht="17.15" hidden="false" customHeight="false" outlineLevel="0" collapsed="false">
      <c r="A4" s="49" t="n">
        <v>3</v>
      </c>
      <c r="B4" s="47" t="s">
        <v>957</v>
      </c>
      <c r="C4" s="47" t="s">
        <v>1740</v>
      </c>
      <c r="D4" s="127" t="s">
        <v>770</v>
      </c>
      <c r="E4" s="127" t="s">
        <v>771</v>
      </c>
      <c r="F4" s="127"/>
    </row>
    <row r="5" customFormat="false" ht="17.15" hidden="false" customHeight="false" outlineLevel="0" collapsed="false">
      <c r="A5" s="49" t="n">
        <v>4</v>
      </c>
      <c r="B5" s="47" t="s">
        <v>880</v>
      </c>
      <c r="C5" s="47" t="s">
        <v>1741</v>
      </c>
      <c r="D5" s="127" t="s">
        <v>805</v>
      </c>
      <c r="E5" s="47" t="s">
        <v>806</v>
      </c>
      <c r="F5" s="127"/>
    </row>
    <row r="6" customFormat="false" ht="17.15" hidden="false" customHeight="false" outlineLevel="0" collapsed="false">
      <c r="A6" s="49" t="n">
        <v>5</v>
      </c>
      <c r="B6" s="47" t="s">
        <v>365</v>
      </c>
      <c r="C6" s="47" t="s">
        <v>366</v>
      </c>
      <c r="D6" s="127" t="s">
        <v>753</v>
      </c>
      <c r="E6" s="127" t="s">
        <v>768</v>
      </c>
      <c r="F6" s="127"/>
    </row>
    <row r="7" customFormat="false" ht="17.15" hidden="false" customHeight="false" outlineLevel="0" collapsed="false">
      <c r="A7" s="49" t="n">
        <v>6</v>
      </c>
      <c r="B7" s="47" t="s">
        <v>961</v>
      </c>
      <c r="C7" s="47" t="s">
        <v>1742</v>
      </c>
      <c r="D7" s="127" t="s">
        <v>770</v>
      </c>
      <c r="E7" s="127" t="s">
        <v>771</v>
      </c>
      <c r="F7" s="127"/>
    </row>
    <row r="8" customFormat="false" ht="15" hidden="false" customHeight="false" outlineLevel="0" collapsed="false">
      <c r="A8" s="49" t="n">
        <v>7</v>
      </c>
      <c r="B8" s="47" t="s">
        <v>181</v>
      </c>
      <c r="C8" s="47" t="s">
        <v>182</v>
      </c>
      <c r="D8" s="127" t="s">
        <v>753</v>
      </c>
      <c r="E8" s="127" t="s">
        <v>780</v>
      </c>
      <c r="F8" s="127"/>
    </row>
    <row r="9" customFormat="false" ht="17.15" hidden="false" customHeight="false" outlineLevel="0" collapsed="false">
      <c r="A9" s="49" t="n">
        <v>8</v>
      </c>
      <c r="B9" s="47" t="s">
        <v>186</v>
      </c>
      <c r="C9" s="47" t="s">
        <v>187</v>
      </c>
      <c r="D9" s="127" t="s">
        <v>753</v>
      </c>
      <c r="E9" s="127" t="s">
        <v>756</v>
      </c>
      <c r="F9" s="127" t="s">
        <v>1743</v>
      </c>
    </row>
    <row r="10" customFormat="false" ht="17.15" hidden="false" customHeight="false" outlineLevel="0" collapsed="false">
      <c r="A10" s="49" t="n">
        <v>9</v>
      </c>
      <c r="B10" s="47" t="s">
        <v>860</v>
      </c>
      <c r="C10" s="47" t="s">
        <v>1744</v>
      </c>
      <c r="D10" s="127" t="s">
        <v>770</v>
      </c>
      <c r="E10" s="127" t="s">
        <v>771</v>
      </c>
      <c r="F10" s="127"/>
    </row>
    <row r="11" customFormat="false" ht="17.15" hidden="false" customHeight="false" outlineLevel="0" collapsed="false">
      <c r="A11" s="49" t="n">
        <v>10</v>
      </c>
      <c r="B11" s="47" t="s">
        <v>962</v>
      </c>
      <c r="C11" s="47" t="s">
        <v>1745</v>
      </c>
      <c r="D11" s="127" t="s">
        <v>823</v>
      </c>
      <c r="E11" s="127" t="s">
        <v>824</v>
      </c>
      <c r="F11" s="47" t="s">
        <v>1746</v>
      </c>
    </row>
    <row r="12" customFormat="false" ht="17.15" hidden="false" customHeight="false" outlineLevel="0" collapsed="false">
      <c r="A12" s="49" t="n">
        <v>11</v>
      </c>
      <c r="B12" s="47" t="s">
        <v>184</v>
      </c>
      <c r="C12" s="47" t="s">
        <v>185</v>
      </c>
      <c r="D12" s="127" t="s">
        <v>753</v>
      </c>
      <c r="E12" s="127" t="s">
        <v>756</v>
      </c>
      <c r="F12" s="127"/>
    </row>
    <row r="13" customFormat="false" ht="17.15" hidden="false" customHeight="false" outlineLevel="0" collapsed="false">
      <c r="A13" s="49" t="n">
        <v>12</v>
      </c>
      <c r="B13" s="47" t="s">
        <v>963</v>
      </c>
      <c r="C13" s="47" t="s">
        <v>1747</v>
      </c>
      <c r="D13" s="127" t="s">
        <v>753</v>
      </c>
      <c r="E13" s="127" t="s">
        <v>791</v>
      </c>
      <c r="F13" s="127"/>
    </row>
    <row r="14" customFormat="false" ht="15" hidden="false" customHeight="false" outlineLevel="0" collapsed="false">
      <c r="A14" s="49" t="n">
        <v>13</v>
      </c>
      <c r="B14" s="47" t="s">
        <v>964</v>
      </c>
      <c r="C14" s="47" t="s">
        <v>1748</v>
      </c>
      <c r="D14" s="127" t="s">
        <v>753</v>
      </c>
      <c r="E14" s="127" t="s">
        <v>780</v>
      </c>
      <c r="F14" s="127"/>
    </row>
    <row r="15" customFormat="false" ht="15" hidden="false" customHeight="false" outlineLevel="0" collapsed="false">
      <c r="A15" s="49" t="n">
        <v>14</v>
      </c>
      <c r="B15" s="47" t="s">
        <v>965</v>
      </c>
      <c r="C15" s="47" t="s">
        <v>175</v>
      </c>
      <c r="D15" s="127" t="s">
        <v>753</v>
      </c>
      <c r="E15" s="127" t="s">
        <v>795</v>
      </c>
      <c r="F15" s="127"/>
    </row>
    <row r="16" customFormat="false" ht="15" hidden="false" customHeight="false" outlineLevel="0" collapsed="false">
      <c r="A16" s="49" t="n">
        <v>15</v>
      </c>
      <c r="B16" s="47" t="s">
        <v>966</v>
      </c>
      <c r="C16" s="47" t="s">
        <v>1749</v>
      </c>
      <c r="D16" s="127" t="s">
        <v>784</v>
      </c>
      <c r="E16" s="127" t="s">
        <v>787</v>
      </c>
      <c r="F16" s="127" t="s">
        <v>1750</v>
      </c>
    </row>
    <row r="17" customFormat="false" ht="15" hidden="false" customHeight="false" outlineLevel="0" collapsed="false">
      <c r="A17" s="49" t="n">
        <v>16</v>
      </c>
      <c r="B17" s="47" t="s">
        <v>967</v>
      </c>
      <c r="C17" s="47" t="s">
        <v>1751</v>
      </c>
      <c r="D17" s="127" t="s">
        <v>753</v>
      </c>
      <c r="E17" s="127" t="s">
        <v>793</v>
      </c>
      <c r="F17" s="127"/>
    </row>
    <row r="18" customFormat="false" ht="15" hidden="false" customHeight="false" outlineLevel="0" collapsed="false">
      <c r="A18" s="49" t="n">
        <v>17</v>
      </c>
      <c r="B18" s="47" t="s">
        <v>881</v>
      </c>
      <c r="C18" s="47" t="s">
        <v>194</v>
      </c>
      <c r="D18" s="127" t="s">
        <v>753</v>
      </c>
      <c r="E18" s="127" t="s">
        <v>764</v>
      </c>
      <c r="F18" s="127" t="s">
        <v>1752</v>
      </c>
    </row>
    <row r="19" customFormat="false" ht="17.15" hidden="false" customHeight="false" outlineLevel="0" collapsed="false">
      <c r="A19" s="49" t="n">
        <v>18</v>
      </c>
      <c r="B19" s="47" t="s">
        <v>968</v>
      </c>
      <c r="C19" s="47" t="s">
        <v>1753</v>
      </c>
      <c r="D19" s="127" t="s">
        <v>753</v>
      </c>
      <c r="E19" s="127" t="s">
        <v>756</v>
      </c>
      <c r="F19" s="127"/>
    </row>
    <row r="20" customFormat="false" ht="17.15" hidden="false" customHeight="false" outlineLevel="0" collapsed="false">
      <c r="A20" s="49" t="n">
        <v>19</v>
      </c>
      <c r="B20" s="47" t="s">
        <v>969</v>
      </c>
      <c r="C20" s="47" t="s">
        <v>179</v>
      </c>
      <c r="D20" s="127" t="s">
        <v>753</v>
      </c>
      <c r="E20" s="127" t="s">
        <v>768</v>
      </c>
      <c r="F20" s="127"/>
    </row>
    <row r="21" customFormat="false" ht="17.15" hidden="false" customHeight="false" outlineLevel="0" collapsed="false">
      <c r="A21" s="49" t="n">
        <v>20</v>
      </c>
      <c r="B21" s="47" t="s">
        <v>970</v>
      </c>
      <c r="C21" s="47" t="s">
        <v>1754</v>
      </c>
      <c r="D21" s="127" t="s">
        <v>753</v>
      </c>
      <c r="E21" s="127" t="s">
        <v>756</v>
      </c>
      <c r="F21" s="127" t="s">
        <v>1755</v>
      </c>
    </row>
    <row r="22" customFormat="false" ht="17.15" hidden="false" customHeight="false" outlineLevel="0" collapsed="false">
      <c r="A22" s="49" t="n">
        <v>21</v>
      </c>
      <c r="B22" s="47" t="s">
        <v>930</v>
      </c>
      <c r="C22" s="47" t="s">
        <v>1756</v>
      </c>
      <c r="D22" s="127" t="s">
        <v>753</v>
      </c>
      <c r="E22" s="127" t="s">
        <v>830</v>
      </c>
      <c r="F22" s="127" t="s">
        <v>1757</v>
      </c>
    </row>
    <row r="23" customFormat="false" ht="17.15" hidden="false" customHeight="false" outlineLevel="0" collapsed="false">
      <c r="A23" s="49" t="n">
        <v>22</v>
      </c>
      <c r="B23" s="47" t="s">
        <v>882</v>
      </c>
      <c r="C23" s="47" t="s">
        <v>1758</v>
      </c>
      <c r="D23" s="127" t="s">
        <v>784</v>
      </c>
      <c r="E23" s="127" t="s">
        <v>785</v>
      </c>
      <c r="F23" s="127"/>
    </row>
    <row r="24" customFormat="false" ht="15" hidden="false" customHeight="false" outlineLevel="0" collapsed="false">
      <c r="A24" s="49" t="n">
        <v>23</v>
      </c>
      <c r="B24" s="47" t="s">
        <v>863</v>
      </c>
      <c r="C24" s="47" t="s">
        <v>1759</v>
      </c>
      <c r="D24" s="127" t="s">
        <v>753</v>
      </c>
      <c r="E24" s="127" t="s">
        <v>795</v>
      </c>
      <c r="F24" s="127"/>
    </row>
    <row r="25" customFormat="false" ht="17.15" hidden="false" customHeight="false" outlineLevel="0" collapsed="false">
      <c r="A25" s="49" t="n">
        <v>24</v>
      </c>
      <c r="B25" s="47" t="s">
        <v>956</v>
      </c>
      <c r="C25" s="47" t="s">
        <v>1760</v>
      </c>
      <c r="D25" s="127" t="s">
        <v>753</v>
      </c>
      <c r="E25" s="127" t="s">
        <v>756</v>
      </c>
      <c r="F25" s="127"/>
    </row>
    <row r="26" customFormat="false" ht="17.15" hidden="false" customHeight="false" outlineLevel="0" collapsed="false">
      <c r="A26" s="49" t="n">
        <v>25</v>
      </c>
      <c r="B26" s="47" t="s">
        <v>426</v>
      </c>
      <c r="C26" s="47" t="s">
        <v>427</v>
      </c>
      <c r="D26" s="127" t="s">
        <v>773</v>
      </c>
      <c r="E26" s="127" t="s">
        <v>774</v>
      </c>
      <c r="F26" s="127"/>
    </row>
    <row r="27" customFormat="false" ht="17.15" hidden="false" customHeight="false" outlineLevel="0" collapsed="false">
      <c r="A27" s="49" t="n">
        <v>26</v>
      </c>
      <c r="B27" s="47" t="s">
        <v>197</v>
      </c>
      <c r="C27" s="47" t="s">
        <v>198</v>
      </c>
      <c r="D27" s="127" t="s">
        <v>761</v>
      </c>
      <c r="E27" s="127" t="s">
        <v>766</v>
      </c>
      <c r="F27" s="127"/>
    </row>
    <row r="28" customFormat="false" ht="15" hidden="false" customHeight="false" outlineLevel="0" collapsed="false">
      <c r="A28" s="49" t="n">
        <v>27</v>
      </c>
      <c r="B28" s="47" t="s">
        <v>854</v>
      </c>
      <c r="C28" s="47" t="s">
        <v>1761</v>
      </c>
      <c r="D28" s="127" t="s">
        <v>753</v>
      </c>
      <c r="E28" s="127" t="s">
        <v>780</v>
      </c>
      <c r="F28" s="127"/>
    </row>
    <row r="29" customFormat="false" ht="17.15" hidden="false" customHeight="false" outlineLevel="0" collapsed="false">
      <c r="A29" s="49" t="n">
        <v>28</v>
      </c>
      <c r="B29" s="47" t="s">
        <v>971</v>
      </c>
      <c r="C29" s="47" t="s">
        <v>1760</v>
      </c>
      <c r="D29" s="127" t="s">
        <v>770</v>
      </c>
      <c r="E29" s="127" t="s">
        <v>797</v>
      </c>
      <c r="F29" s="127"/>
    </row>
    <row r="30" customFormat="false" ht="17.15" hidden="false" customHeight="false" outlineLevel="0" collapsed="false">
      <c r="A30" s="49" t="n">
        <v>29</v>
      </c>
      <c r="B30" s="47" t="s">
        <v>972</v>
      </c>
      <c r="C30" s="47" t="s">
        <v>1762</v>
      </c>
      <c r="D30" s="127" t="s">
        <v>770</v>
      </c>
      <c r="E30" s="127" t="s">
        <v>771</v>
      </c>
      <c r="F30" s="127" t="s">
        <v>1763</v>
      </c>
    </row>
    <row r="31" customFormat="false" ht="17.15" hidden="false" customHeight="false" outlineLevel="0" collapsed="false">
      <c r="A31" s="49" t="n">
        <v>30</v>
      </c>
      <c r="B31" s="47" t="s">
        <v>973</v>
      </c>
      <c r="C31" s="47" t="s">
        <v>1760</v>
      </c>
      <c r="D31" s="127" t="s">
        <v>770</v>
      </c>
      <c r="E31" s="127" t="s">
        <v>832</v>
      </c>
      <c r="F31" s="127"/>
    </row>
    <row r="32" customFormat="false" ht="15" hidden="false" customHeight="false" outlineLevel="0" collapsed="false">
      <c r="A32" s="49" t="n">
        <v>31</v>
      </c>
      <c r="B32" s="47" t="s">
        <v>974</v>
      </c>
      <c r="C32" s="47" t="s">
        <v>1764</v>
      </c>
      <c r="D32" s="127" t="s">
        <v>753</v>
      </c>
      <c r="E32" s="127" t="s">
        <v>795</v>
      </c>
      <c r="F32" s="127"/>
    </row>
    <row r="33" customFormat="false" ht="17.15" hidden="false" customHeight="false" outlineLevel="0" collapsed="false">
      <c r="A33" s="49" t="n">
        <v>32</v>
      </c>
      <c r="B33" s="47" t="s">
        <v>975</v>
      </c>
      <c r="C33" s="47" t="s">
        <v>1760</v>
      </c>
      <c r="D33" s="127" t="s">
        <v>770</v>
      </c>
      <c r="E33" s="47" t="s">
        <v>1765</v>
      </c>
      <c r="F33" s="127"/>
    </row>
    <row r="34" customFormat="false" ht="17.15" hidden="false" customHeight="false" outlineLevel="0" collapsed="false">
      <c r="A34" s="49" t="n">
        <v>33</v>
      </c>
      <c r="B34" s="47" t="s">
        <v>976</v>
      </c>
      <c r="C34" s="47" t="s">
        <v>1766</v>
      </c>
      <c r="D34" s="127" t="s">
        <v>823</v>
      </c>
      <c r="E34" s="127" t="s">
        <v>1767</v>
      </c>
      <c r="F34" s="127"/>
    </row>
    <row r="35" customFormat="false" ht="15" hidden="false" customHeight="false" outlineLevel="0" collapsed="false">
      <c r="A35" s="49" t="n">
        <v>34</v>
      </c>
      <c r="B35" s="47" t="s">
        <v>977</v>
      </c>
      <c r="C35" s="47" t="s">
        <v>1768</v>
      </c>
      <c r="D35" s="127" t="s">
        <v>753</v>
      </c>
      <c r="E35" s="127" t="s">
        <v>795</v>
      </c>
      <c r="F35" s="127"/>
    </row>
    <row r="36" customFormat="false" ht="17.15" hidden="false" customHeight="false" outlineLevel="0" collapsed="false">
      <c r="A36" s="49" t="n">
        <v>35</v>
      </c>
      <c r="B36" s="47" t="s">
        <v>946</v>
      </c>
      <c r="C36" s="47" t="s">
        <v>1769</v>
      </c>
      <c r="D36" s="127" t="s">
        <v>753</v>
      </c>
      <c r="E36" s="127" t="s">
        <v>756</v>
      </c>
      <c r="F36" s="127"/>
    </row>
    <row r="37" customFormat="false" ht="17.15" hidden="false" customHeight="false" outlineLevel="0" collapsed="false">
      <c r="A37" s="49" t="n">
        <v>36</v>
      </c>
      <c r="B37" s="47" t="s">
        <v>978</v>
      </c>
      <c r="C37" s="47" t="s">
        <v>1770</v>
      </c>
      <c r="D37" s="127" t="s">
        <v>808</v>
      </c>
      <c r="E37" s="127" t="s">
        <v>1771</v>
      </c>
      <c r="F37" s="127"/>
    </row>
    <row r="38" customFormat="false" ht="17.15" hidden="false" customHeight="false" outlineLevel="0" collapsed="false">
      <c r="A38" s="49" t="n">
        <v>37</v>
      </c>
      <c r="B38" s="47" t="s">
        <v>979</v>
      </c>
      <c r="C38" s="47" t="s">
        <v>1772</v>
      </c>
      <c r="D38" s="127" t="s">
        <v>770</v>
      </c>
      <c r="E38" s="127" t="s">
        <v>1773</v>
      </c>
      <c r="F38" s="127"/>
    </row>
    <row r="39" customFormat="false" ht="17.15" hidden="false" customHeight="false" outlineLevel="0" collapsed="false">
      <c r="A39" s="49" t="n">
        <v>38</v>
      </c>
      <c r="B39" s="47" t="s">
        <v>980</v>
      </c>
      <c r="C39" s="47" t="s">
        <v>175</v>
      </c>
      <c r="D39" s="127" t="s">
        <v>753</v>
      </c>
      <c r="E39" s="127" t="s">
        <v>1774</v>
      </c>
      <c r="F39" s="127"/>
    </row>
    <row r="40" customFormat="false" ht="17.15" hidden="false" customHeight="false" outlineLevel="0" collapsed="false">
      <c r="A40" s="49" t="n">
        <v>39</v>
      </c>
      <c r="B40" s="47" t="s">
        <v>981</v>
      </c>
      <c r="C40" s="47" t="s">
        <v>1749</v>
      </c>
      <c r="D40" s="127" t="s">
        <v>753</v>
      </c>
      <c r="E40" s="127" t="s">
        <v>830</v>
      </c>
      <c r="F40" s="127"/>
    </row>
    <row r="41" customFormat="false" ht="17.15" hidden="false" customHeight="false" outlineLevel="0" collapsed="false">
      <c r="A41" s="49" t="n">
        <v>40</v>
      </c>
      <c r="B41" s="47" t="s">
        <v>906</v>
      </c>
      <c r="C41" s="47" t="s">
        <v>1775</v>
      </c>
      <c r="D41" s="127" t="s">
        <v>753</v>
      </c>
      <c r="E41" s="127" t="s">
        <v>756</v>
      </c>
      <c r="F41" s="127"/>
    </row>
    <row r="42" customFormat="false" ht="17.15" hidden="false" customHeight="false" outlineLevel="0" collapsed="false">
      <c r="A42" s="49" t="n">
        <v>41</v>
      </c>
      <c r="B42" s="47" t="s">
        <v>982</v>
      </c>
      <c r="C42" s="47" t="s">
        <v>1776</v>
      </c>
      <c r="D42" s="127" t="s">
        <v>773</v>
      </c>
      <c r="E42" s="127" t="s">
        <v>813</v>
      </c>
      <c r="F42" s="127"/>
    </row>
    <row r="43" customFormat="false" ht="17.15" hidden="false" customHeight="false" outlineLevel="0" collapsed="false">
      <c r="A43" s="49" t="n">
        <v>42</v>
      </c>
      <c r="B43" s="47" t="s">
        <v>189</v>
      </c>
      <c r="C43" s="47" t="s">
        <v>190</v>
      </c>
      <c r="D43" s="127" t="s">
        <v>753</v>
      </c>
      <c r="E43" s="127" t="s">
        <v>754</v>
      </c>
      <c r="F43" s="127"/>
    </row>
    <row r="44" customFormat="false" ht="15" hidden="false" customHeight="false" outlineLevel="0" collapsed="false">
      <c r="A44" s="49" t="n">
        <v>43</v>
      </c>
      <c r="B44" s="47" t="s">
        <v>983</v>
      </c>
      <c r="C44" s="47" t="s">
        <v>1777</v>
      </c>
      <c r="D44" s="127" t="s">
        <v>753</v>
      </c>
      <c r="E44" s="127" t="s">
        <v>780</v>
      </c>
      <c r="F44" s="127"/>
    </row>
    <row r="45" customFormat="false" ht="17.15" hidden="false" customHeight="false" outlineLevel="0" collapsed="false">
      <c r="A45" s="49" t="n">
        <v>44</v>
      </c>
      <c r="B45" s="47" t="s">
        <v>984</v>
      </c>
      <c r="C45" s="47" t="s">
        <v>1778</v>
      </c>
      <c r="D45" s="127" t="s">
        <v>753</v>
      </c>
      <c r="E45" s="127" t="s">
        <v>791</v>
      </c>
      <c r="F45" s="127"/>
    </row>
    <row r="46" customFormat="false" ht="17.15" hidden="false" customHeight="false" outlineLevel="0" collapsed="false">
      <c r="A46" s="49" t="n">
        <v>45</v>
      </c>
      <c r="B46" s="47" t="s">
        <v>985</v>
      </c>
      <c r="C46" s="47" t="s">
        <v>1779</v>
      </c>
      <c r="D46" s="127" t="s">
        <v>753</v>
      </c>
      <c r="E46" s="127" t="s">
        <v>756</v>
      </c>
      <c r="F46" s="127" t="s">
        <v>1780</v>
      </c>
    </row>
    <row r="47" customFormat="false" ht="17.15" hidden="false" customHeight="false" outlineLevel="0" collapsed="false">
      <c r="A47" s="49" t="n">
        <v>46</v>
      </c>
      <c r="B47" s="47" t="s">
        <v>986</v>
      </c>
      <c r="C47" s="47" t="s">
        <v>1781</v>
      </c>
      <c r="D47" s="127" t="s">
        <v>761</v>
      </c>
      <c r="E47" s="127" t="s">
        <v>778</v>
      </c>
      <c r="F47" s="127"/>
    </row>
    <row r="48" customFormat="false" ht="17.15" hidden="false" customHeight="false" outlineLevel="0" collapsed="false">
      <c r="A48" s="49" t="n">
        <v>47</v>
      </c>
      <c r="B48" s="47" t="s">
        <v>383</v>
      </c>
      <c r="C48" s="47" t="s">
        <v>190</v>
      </c>
      <c r="D48" s="127" t="s">
        <v>753</v>
      </c>
      <c r="E48" s="127" t="s">
        <v>754</v>
      </c>
      <c r="F48" s="127"/>
    </row>
    <row r="49" customFormat="false" ht="17.15" hidden="false" customHeight="false" outlineLevel="0" collapsed="false">
      <c r="A49" s="49" t="n">
        <v>48</v>
      </c>
      <c r="B49" s="47" t="s">
        <v>374</v>
      </c>
      <c r="C49" s="47" t="s">
        <v>375</v>
      </c>
      <c r="D49" s="127" t="s">
        <v>753</v>
      </c>
      <c r="E49" s="127" t="s">
        <v>754</v>
      </c>
      <c r="F49" s="127"/>
    </row>
    <row r="50" customFormat="false" ht="17.15" hidden="false" customHeight="false" outlineLevel="0" collapsed="false">
      <c r="A50" s="49" t="n">
        <v>49</v>
      </c>
      <c r="B50" s="47" t="s">
        <v>902</v>
      </c>
      <c r="C50" s="47" t="s">
        <v>1782</v>
      </c>
      <c r="D50" s="127" t="s">
        <v>753</v>
      </c>
      <c r="E50" s="127" t="s">
        <v>830</v>
      </c>
      <c r="F50" s="127"/>
    </row>
    <row r="51" customFormat="false" ht="17.15" hidden="false" customHeight="false" outlineLevel="0" collapsed="false">
      <c r="A51" s="49" t="n">
        <v>50</v>
      </c>
      <c r="B51" s="47" t="s">
        <v>987</v>
      </c>
      <c r="C51" s="47" t="s">
        <v>1783</v>
      </c>
      <c r="D51" s="127" t="s">
        <v>770</v>
      </c>
      <c r="E51" s="127" t="s">
        <v>1694</v>
      </c>
      <c r="F51" s="127" t="s">
        <v>1691</v>
      </c>
    </row>
    <row r="52" customFormat="false" ht="15" hidden="false" customHeight="false" outlineLevel="0" collapsed="false">
      <c r="A52" s="49" t="n">
        <v>51</v>
      </c>
      <c r="B52" s="47" t="s">
        <v>988</v>
      </c>
      <c r="C52" s="47" t="s">
        <v>1784</v>
      </c>
      <c r="D52" s="47" t="s">
        <v>758</v>
      </c>
      <c r="E52" s="127" t="s">
        <v>1785</v>
      </c>
      <c r="F52" s="127"/>
    </row>
    <row r="53" customFormat="false" ht="17.15" hidden="false" customHeight="false" outlineLevel="0" collapsed="false">
      <c r="A53" s="49" t="n">
        <v>52</v>
      </c>
      <c r="B53" s="47" t="s">
        <v>989</v>
      </c>
      <c r="C53" s="47" t="s">
        <v>1786</v>
      </c>
      <c r="D53" s="127" t="s">
        <v>770</v>
      </c>
      <c r="E53" s="127" t="s">
        <v>1773</v>
      </c>
      <c r="F53" s="127"/>
    </row>
    <row r="54" customFormat="false" ht="15" hidden="false" customHeight="false" outlineLevel="0" collapsed="false">
      <c r="A54" s="49" t="n">
        <v>53</v>
      </c>
      <c r="B54" s="47" t="s">
        <v>990</v>
      </c>
      <c r="C54" s="47" t="s">
        <v>1787</v>
      </c>
      <c r="D54" s="127" t="s">
        <v>753</v>
      </c>
      <c r="E54" s="127" t="s">
        <v>793</v>
      </c>
      <c r="F54" s="127"/>
    </row>
    <row r="55" customFormat="false" ht="17.15" hidden="false" customHeight="false" outlineLevel="0" collapsed="false">
      <c r="A55" s="49" t="n">
        <v>54</v>
      </c>
      <c r="B55" s="47" t="s">
        <v>991</v>
      </c>
      <c r="C55" s="47" t="s">
        <v>1788</v>
      </c>
      <c r="D55" s="127" t="s">
        <v>770</v>
      </c>
      <c r="E55" s="127" t="s">
        <v>1694</v>
      </c>
      <c r="F55" s="127" t="s">
        <v>1789</v>
      </c>
    </row>
    <row r="56" customFormat="false" ht="17.15" hidden="false" customHeight="false" outlineLevel="0" collapsed="false">
      <c r="A56" s="49" t="n">
        <v>55</v>
      </c>
      <c r="B56" s="47" t="s">
        <v>992</v>
      </c>
      <c r="C56" s="47" t="s">
        <v>1790</v>
      </c>
      <c r="D56" s="127" t="s">
        <v>753</v>
      </c>
      <c r="E56" s="127" t="s">
        <v>768</v>
      </c>
      <c r="F56" s="127"/>
    </row>
    <row r="57" customFormat="false" ht="15" hidden="false" customHeight="false" outlineLevel="0" collapsed="false">
      <c r="A57" s="49" t="n">
        <v>56</v>
      </c>
      <c r="B57" s="47" t="s">
        <v>993</v>
      </c>
      <c r="C57" s="47" t="s">
        <v>1791</v>
      </c>
      <c r="D57" s="127" t="s">
        <v>753</v>
      </c>
      <c r="E57" s="127" t="s">
        <v>828</v>
      </c>
      <c r="F57" s="127"/>
    </row>
    <row r="58" customFormat="false" ht="17.15" hidden="false" customHeight="false" outlineLevel="0" collapsed="false">
      <c r="A58" s="49" t="n">
        <v>57</v>
      </c>
      <c r="B58" s="47" t="s">
        <v>994</v>
      </c>
      <c r="C58" s="47" t="s">
        <v>1792</v>
      </c>
      <c r="D58" s="127" t="s">
        <v>753</v>
      </c>
      <c r="E58" s="127" t="s">
        <v>830</v>
      </c>
      <c r="F58" s="127"/>
    </row>
    <row r="59" customFormat="false" ht="17.15" hidden="false" customHeight="false" outlineLevel="0" collapsed="false">
      <c r="A59" s="49" t="n">
        <v>58</v>
      </c>
      <c r="B59" s="47" t="s">
        <v>995</v>
      </c>
      <c r="C59" s="47" t="s">
        <v>1793</v>
      </c>
      <c r="D59" s="127" t="s">
        <v>773</v>
      </c>
      <c r="E59" s="127" t="s">
        <v>813</v>
      </c>
      <c r="F59" s="127" t="s">
        <v>1794</v>
      </c>
    </row>
    <row r="60" customFormat="false" ht="15" hidden="false" customHeight="false" outlineLevel="0" collapsed="false">
      <c r="A60" s="49" t="n">
        <v>59</v>
      </c>
      <c r="B60" s="47" t="s">
        <v>996</v>
      </c>
      <c r="C60" s="47" t="s">
        <v>1795</v>
      </c>
      <c r="D60" s="127" t="s">
        <v>784</v>
      </c>
      <c r="E60" s="127" t="s">
        <v>787</v>
      </c>
      <c r="F60" s="127" t="s">
        <v>1796</v>
      </c>
    </row>
    <row r="61" customFormat="false" ht="17.15" hidden="false" customHeight="false" outlineLevel="0" collapsed="false">
      <c r="A61" s="49" t="n">
        <v>60</v>
      </c>
      <c r="B61" s="47" t="s">
        <v>997</v>
      </c>
      <c r="C61" s="47" t="s">
        <v>1797</v>
      </c>
      <c r="D61" s="127" t="s">
        <v>823</v>
      </c>
      <c r="E61" s="127" t="s">
        <v>1798</v>
      </c>
      <c r="F61" s="127"/>
    </row>
    <row r="62" customFormat="false" ht="17.15" hidden="false" customHeight="false" outlineLevel="0" collapsed="false">
      <c r="A62" s="49" t="n">
        <v>61</v>
      </c>
      <c r="B62" s="47" t="s">
        <v>998</v>
      </c>
      <c r="C62" s="47" t="s">
        <v>1781</v>
      </c>
      <c r="D62" s="127" t="s">
        <v>753</v>
      </c>
      <c r="E62" s="127" t="s">
        <v>756</v>
      </c>
      <c r="F62" s="127"/>
    </row>
    <row r="63" customFormat="false" ht="17.15" hidden="false" customHeight="false" outlineLevel="0" collapsed="false">
      <c r="A63" s="49" t="n">
        <v>62</v>
      </c>
      <c r="B63" s="47" t="s">
        <v>910</v>
      </c>
      <c r="C63" s="47" t="s">
        <v>401</v>
      </c>
      <c r="D63" s="127" t="s">
        <v>761</v>
      </c>
      <c r="E63" s="127" t="s">
        <v>778</v>
      </c>
      <c r="F63" s="47" t="s">
        <v>1799</v>
      </c>
    </row>
    <row r="64" customFormat="false" ht="15" hidden="false" customHeight="false" outlineLevel="0" collapsed="false">
      <c r="A64" s="49" t="n">
        <v>63</v>
      </c>
      <c r="B64" s="47" t="s">
        <v>200</v>
      </c>
      <c r="C64" s="47" t="s">
        <v>201</v>
      </c>
      <c r="D64" s="127" t="s">
        <v>750</v>
      </c>
      <c r="E64" s="47" t="s">
        <v>751</v>
      </c>
      <c r="F64" s="127"/>
    </row>
    <row r="65" customFormat="false" ht="15" hidden="false" customHeight="false" outlineLevel="0" collapsed="false">
      <c r="A65" s="49" t="n">
        <v>64</v>
      </c>
      <c r="B65" s="47" t="s">
        <v>999</v>
      </c>
      <c r="C65" s="47" t="s">
        <v>1800</v>
      </c>
      <c r="D65" s="127" t="s">
        <v>808</v>
      </c>
      <c r="E65" s="127" t="s">
        <v>811</v>
      </c>
      <c r="F65" s="127"/>
    </row>
    <row r="66" customFormat="false" ht="15" hidden="false" customHeight="false" outlineLevel="0" collapsed="false">
      <c r="A66" s="49" t="n">
        <v>65</v>
      </c>
      <c r="B66" s="47" t="s">
        <v>1000</v>
      </c>
      <c r="C66" s="47" t="s">
        <v>1801</v>
      </c>
      <c r="D66" s="127" t="s">
        <v>753</v>
      </c>
      <c r="E66" s="127" t="s">
        <v>828</v>
      </c>
      <c r="F66" s="127"/>
    </row>
    <row r="67" customFormat="false" ht="15" hidden="false" customHeight="false" outlineLevel="0" collapsed="false">
      <c r="A67" s="49" t="n">
        <v>66</v>
      </c>
      <c r="B67" s="47" t="s">
        <v>1001</v>
      </c>
      <c r="C67" s="47" t="s">
        <v>1802</v>
      </c>
      <c r="D67" s="47" t="s">
        <v>758</v>
      </c>
      <c r="E67" s="127" t="s">
        <v>782</v>
      </c>
      <c r="F67" s="127"/>
    </row>
    <row r="68" customFormat="false" ht="15" hidden="false" customHeight="false" outlineLevel="0" collapsed="false">
      <c r="A68" s="49" t="n">
        <v>67</v>
      </c>
      <c r="B68" s="47" t="s">
        <v>916</v>
      </c>
      <c r="C68" s="47" t="s">
        <v>1803</v>
      </c>
      <c r="D68" s="127" t="s">
        <v>750</v>
      </c>
      <c r="E68" s="47" t="s">
        <v>751</v>
      </c>
      <c r="F68" s="127" t="s">
        <v>1804</v>
      </c>
    </row>
    <row r="69" customFormat="false" ht="17.15" hidden="false" customHeight="false" outlineLevel="0" collapsed="false">
      <c r="A69" s="49" t="n">
        <v>68</v>
      </c>
      <c r="B69" s="47" t="s">
        <v>449</v>
      </c>
      <c r="C69" s="47" t="s">
        <v>450</v>
      </c>
      <c r="D69" s="127" t="s">
        <v>761</v>
      </c>
      <c r="E69" s="127" t="s">
        <v>789</v>
      </c>
      <c r="F69" s="127" t="s">
        <v>1805</v>
      </c>
    </row>
    <row r="70" customFormat="false" ht="17.15" hidden="false" customHeight="false" outlineLevel="0" collapsed="false">
      <c r="A70" s="49" t="n">
        <v>69</v>
      </c>
      <c r="B70" s="47" t="s">
        <v>1002</v>
      </c>
      <c r="C70" s="47" t="s">
        <v>1806</v>
      </c>
      <c r="D70" s="127" t="s">
        <v>770</v>
      </c>
      <c r="E70" s="127" t="s">
        <v>771</v>
      </c>
      <c r="F70" s="127"/>
    </row>
    <row r="71" customFormat="false" ht="15" hidden="false" customHeight="false" outlineLevel="0" collapsed="false">
      <c r="A71" s="49" t="n">
        <v>70</v>
      </c>
      <c r="B71" s="47" t="s">
        <v>1003</v>
      </c>
      <c r="C71" s="47" t="s">
        <v>1807</v>
      </c>
      <c r="D71" s="127" t="s">
        <v>753</v>
      </c>
      <c r="E71" s="127" t="s">
        <v>780</v>
      </c>
      <c r="F71" s="127"/>
    </row>
    <row r="72" customFormat="false" ht="15" hidden="false" customHeight="false" outlineLevel="0" collapsed="false">
      <c r="A72" s="49" t="n">
        <v>71</v>
      </c>
      <c r="B72" s="47" t="s">
        <v>1004</v>
      </c>
      <c r="C72" s="47" t="s">
        <v>1751</v>
      </c>
      <c r="D72" s="127" t="s">
        <v>753</v>
      </c>
      <c r="E72" s="127" t="s">
        <v>793</v>
      </c>
      <c r="F72" s="127" t="s">
        <v>1808</v>
      </c>
    </row>
    <row r="73" customFormat="false" ht="15" hidden="false" customHeight="false" outlineLevel="0" collapsed="false">
      <c r="A73" s="49" t="n">
        <v>72</v>
      </c>
      <c r="B73" s="47" t="s">
        <v>1005</v>
      </c>
      <c r="C73" s="47" t="s">
        <v>1809</v>
      </c>
      <c r="D73" s="127" t="s">
        <v>784</v>
      </c>
      <c r="E73" s="127" t="s">
        <v>787</v>
      </c>
      <c r="F73" s="127" t="s">
        <v>1810</v>
      </c>
    </row>
    <row r="74" customFormat="false" ht="15" hidden="false" customHeight="false" outlineLevel="0" collapsed="false">
      <c r="A74" s="49" t="n">
        <v>73</v>
      </c>
      <c r="B74" s="47" t="s">
        <v>944</v>
      </c>
      <c r="C74" s="47" t="s">
        <v>393</v>
      </c>
      <c r="D74" s="127" t="s">
        <v>753</v>
      </c>
      <c r="E74" s="127" t="s">
        <v>826</v>
      </c>
      <c r="F74" s="127" t="s">
        <v>1811</v>
      </c>
    </row>
    <row r="75" customFormat="false" ht="17.15" hidden="false" customHeight="false" outlineLevel="0" collapsed="false">
      <c r="A75" s="49" t="n">
        <v>74</v>
      </c>
      <c r="B75" s="47" t="s">
        <v>1006</v>
      </c>
      <c r="C75" s="47" t="s">
        <v>182</v>
      </c>
      <c r="D75" s="127" t="s">
        <v>753</v>
      </c>
      <c r="E75" s="127" t="s">
        <v>768</v>
      </c>
      <c r="F75" s="127"/>
    </row>
    <row r="76" customFormat="false" ht="17.15" hidden="false" customHeight="false" outlineLevel="0" collapsed="false">
      <c r="A76" s="49" t="n">
        <v>75</v>
      </c>
      <c r="B76" s="47" t="s">
        <v>1007</v>
      </c>
      <c r="C76" s="47" t="s">
        <v>1747</v>
      </c>
      <c r="D76" s="127" t="s">
        <v>753</v>
      </c>
      <c r="E76" s="127" t="s">
        <v>791</v>
      </c>
      <c r="F76" s="127"/>
    </row>
    <row r="77" customFormat="false" ht="15" hidden="false" customHeight="false" outlineLevel="0" collapsed="false">
      <c r="A77" s="49" t="n">
        <v>76</v>
      </c>
      <c r="B77" s="47" t="s">
        <v>1008</v>
      </c>
      <c r="C77" s="47" t="s">
        <v>1812</v>
      </c>
      <c r="D77" s="127" t="s">
        <v>753</v>
      </c>
      <c r="E77" s="127" t="s">
        <v>764</v>
      </c>
      <c r="F77" s="127" t="s">
        <v>1752</v>
      </c>
    </row>
    <row r="78" customFormat="false" ht="17.15" hidden="false" customHeight="false" outlineLevel="0" collapsed="false">
      <c r="A78" s="49" t="n">
        <v>77</v>
      </c>
      <c r="B78" s="47" t="s">
        <v>1009</v>
      </c>
      <c r="C78" s="47" t="s">
        <v>1813</v>
      </c>
      <c r="D78" s="127" t="s">
        <v>761</v>
      </c>
      <c r="E78" s="127" t="s">
        <v>778</v>
      </c>
      <c r="F78" s="127"/>
    </row>
    <row r="79" customFormat="false" ht="17.15" hidden="false" customHeight="false" outlineLevel="0" collapsed="false">
      <c r="A79" s="49" t="n">
        <v>78</v>
      </c>
      <c r="B79" s="47" t="s">
        <v>1010</v>
      </c>
      <c r="C79" s="47" t="s">
        <v>1814</v>
      </c>
      <c r="D79" s="127" t="s">
        <v>753</v>
      </c>
      <c r="E79" s="127" t="s">
        <v>830</v>
      </c>
      <c r="F79" s="127"/>
    </row>
    <row r="80" customFormat="false" ht="17.15" hidden="false" customHeight="false" outlineLevel="0" collapsed="false">
      <c r="A80" s="49" t="n">
        <v>79</v>
      </c>
      <c r="B80" s="47" t="s">
        <v>1011</v>
      </c>
      <c r="C80" s="47" t="s">
        <v>1748</v>
      </c>
      <c r="D80" s="127" t="s">
        <v>770</v>
      </c>
      <c r="E80" s="127" t="s">
        <v>771</v>
      </c>
      <c r="F80" s="127"/>
    </row>
    <row r="81" customFormat="false" ht="15" hidden="false" customHeight="false" outlineLevel="0" collapsed="false">
      <c r="A81" s="141" t="n">
        <v>80</v>
      </c>
      <c r="B81" s="142" t="s">
        <v>799</v>
      </c>
      <c r="C81" s="143" t="s">
        <v>800</v>
      </c>
      <c r="D81" s="142" t="s">
        <v>799</v>
      </c>
      <c r="E81" s="143" t="s">
        <v>800</v>
      </c>
      <c r="F81" s="142" t="s">
        <v>1815</v>
      </c>
    </row>
    <row r="82" customFormat="false" ht="17.15" hidden="false" customHeight="false" outlineLevel="0" collapsed="false">
      <c r="A82" s="49" t="n">
        <v>81</v>
      </c>
      <c r="B82" s="47" t="s">
        <v>1012</v>
      </c>
      <c r="C82" s="47" t="s">
        <v>1816</v>
      </c>
      <c r="D82" s="127" t="s">
        <v>753</v>
      </c>
      <c r="E82" s="127" t="s">
        <v>756</v>
      </c>
      <c r="F82" s="127"/>
    </row>
    <row r="83" customFormat="false" ht="15" hidden="false" customHeight="false" outlineLevel="0" collapsed="false">
      <c r="A83" s="49" t="n">
        <v>82</v>
      </c>
      <c r="B83" s="47" t="s">
        <v>1013</v>
      </c>
      <c r="C83" s="47" t="s">
        <v>1751</v>
      </c>
      <c r="D83" s="127" t="s">
        <v>753</v>
      </c>
      <c r="E83" s="127" t="s">
        <v>793</v>
      </c>
      <c r="F83" s="127"/>
    </row>
    <row r="84" customFormat="false" ht="17.15" hidden="false" customHeight="false" outlineLevel="0" collapsed="false">
      <c r="A84" s="49" t="n">
        <v>83</v>
      </c>
      <c r="B84" s="47" t="s">
        <v>849</v>
      </c>
      <c r="C84" s="47" t="s">
        <v>1817</v>
      </c>
      <c r="D84" s="127" t="s">
        <v>753</v>
      </c>
      <c r="E84" s="127" t="s">
        <v>768</v>
      </c>
      <c r="F84" s="47" t="s">
        <v>1818</v>
      </c>
    </row>
    <row r="85" customFormat="false" ht="17.15" hidden="false" customHeight="false" outlineLevel="0" collapsed="false">
      <c r="A85" s="49" t="n">
        <v>84</v>
      </c>
      <c r="B85" s="47" t="s">
        <v>1014</v>
      </c>
      <c r="C85" s="47" t="s">
        <v>1819</v>
      </c>
      <c r="D85" s="127" t="s">
        <v>770</v>
      </c>
      <c r="E85" s="127" t="s">
        <v>1694</v>
      </c>
      <c r="F85" s="127" t="s">
        <v>1820</v>
      </c>
    </row>
    <row r="86" customFormat="false" ht="17.15" hidden="false" customHeight="false" outlineLevel="0" collapsed="false">
      <c r="A86" s="49" t="n">
        <v>85</v>
      </c>
      <c r="B86" s="47" t="s">
        <v>1015</v>
      </c>
      <c r="C86" s="47" t="s">
        <v>1821</v>
      </c>
      <c r="D86" s="127" t="s">
        <v>770</v>
      </c>
      <c r="E86" s="127" t="s">
        <v>1773</v>
      </c>
      <c r="F86" s="127" t="s">
        <v>1822</v>
      </c>
    </row>
    <row r="87" customFormat="false" ht="15" hidden="false" customHeight="false" outlineLevel="0" collapsed="false">
      <c r="A87" s="49" t="n">
        <v>86</v>
      </c>
      <c r="B87" s="47" t="s">
        <v>1016</v>
      </c>
      <c r="C87" s="47" t="s">
        <v>1823</v>
      </c>
      <c r="D87" s="127" t="s">
        <v>753</v>
      </c>
      <c r="E87" s="127" t="s">
        <v>826</v>
      </c>
      <c r="F87" s="127" t="s">
        <v>1824</v>
      </c>
    </row>
    <row r="88" customFormat="false" ht="17.15" hidden="false" customHeight="false" outlineLevel="0" collapsed="false">
      <c r="A88" s="141" t="n">
        <v>87</v>
      </c>
      <c r="B88" s="143" t="s">
        <v>931</v>
      </c>
      <c r="C88" s="143" t="s">
        <v>201</v>
      </c>
      <c r="D88" s="142" t="s">
        <v>750</v>
      </c>
      <c r="E88" s="143" t="s">
        <v>751</v>
      </c>
      <c r="F88" s="142" t="s">
        <v>1825</v>
      </c>
    </row>
    <row r="89" customFormat="false" ht="17.15" hidden="false" customHeight="false" outlineLevel="0" collapsed="false">
      <c r="A89" s="49" t="n">
        <v>88</v>
      </c>
      <c r="B89" s="47" t="s">
        <v>1017</v>
      </c>
      <c r="C89" s="47" t="s">
        <v>1826</v>
      </c>
      <c r="D89" s="127" t="s">
        <v>753</v>
      </c>
      <c r="E89" s="127" t="s">
        <v>756</v>
      </c>
      <c r="F89" s="127"/>
    </row>
    <row r="90" customFormat="false" ht="15" hidden="false" customHeight="false" outlineLevel="0" collapsed="false">
      <c r="A90" s="49" t="n">
        <v>89</v>
      </c>
      <c r="B90" s="47" t="s">
        <v>1018</v>
      </c>
      <c r="C90" s="47" t="s">
        <v>1827</v>
      </c>
      <c r="D90" s="127" t="s">
        <v>784</v>
      </c>
      <c r="E90" s="127" t="s">
        <v>787</v>
      </c>
      <c r="F90" s="127"/>
    </row>
    <row r="91" customFormat="false" ht="15" hidden="false" customHeight="false" outlineLevel="0" collapsed="false">
      <c r="A91" s="49" t="n">
        <v>90</v>
      </c>
      <c r="B91" s="47" t="s">
        <v>1019</v>
      </c>
      <c r="C91" s="47" t="s">
        <v>1806</v>
      </c>
      <c r="D91" s="127" t="s">
        <v>753</v>
      </c>
      <c r="E91" s="127" t="s">
        <v>793</v>
      </c>
      <c r="F91" s="127"/>
    </row>
    <row r="92" customFormat="false" ht="17.15" hidden="false" customHeight="false" outlineLevel="0" collapsed="false">
      <c r="A92" s="49" t="n">
        <v>91</v>
      </c>
      <c r="B92" s="47" t="s">
        <v>1020</v>
      </c>
      <c r="C92" s="47" t="s">
        <v>1760</v>
      </c>
      <c r="D92" s="127" t="s">
        <v>773</v>
      </c>
      <c r="E92" s="127" t="s">
        <v>1828</v>
      </c>
      <c r="F92" s="127"/>
    </row>
    <row r="93" customFormat="false" ht="17.15" hidden="false" customHeight="false" outlineLevel="0" collapsed="false">
      <c r="A93" s="49" t="n">
        <v>92</v>
      </c>
      <c r="B93" s="47" t="s">
        <v>1021</v>
      </c>
      <c r="C93" s="47" t="s">
        <v>1829</v>
      </c>
      <c r="D93" s="127" t="s">
        <v>753</v>
      </c>
      <c r="E93" s="127" t="s">
        <v>768</v>
      </c>
      <c r="F93" s="127"/>
    </row>
    <row r="94" customFormat="false" ht="15" hidden="false" customHeight="false" outlineLevel="0" collapsed="false">
      <c r="A94" s="49" t="n">
        <v>93</v>
      </c>
      <c r="B94" s="47" t="s">
        <v>1022</v>
      </c>
      <c r="C94" s="47" t="s">
        <v>1830</v>
      </c>
      <c r="D94" s="127" t="s">
        <v>784</v>
      </c>
      <c r="E94" s="127" t="s">
        <v>787</v>
      </c>
      <c r="F94" s="127" t="s">
        <v>1831</v>
      </c>
    </row>
    <row r="95" customFormat="false" ht="15" hidden="false" customHeight="false" outlineLevel="0" collapsed="false">
      <c r="A95" s="49" t="n">
        <v>94</v>
      </c>
      <c r="B95" s="47" t="s">
        <v>1023</v>
      </c>
      <c r="C95" s="47" t="s">
        <v>179</v>
      </c>
      <c r="D95" s="127" t="s">
        <v>753</v>
      </c>
      <c r="E95" s="127" t="s">
        <v>795</v>
      </c>
      <c r="F95" s="127"/>
    </row>
    <row r="96" customFormat="false" ht="17.15" hidden="false" customHeight="false" outlineLevel="0" collapsed="false">
      <c r="A96" s="49" t="n">
        <v>95</v>
      </c>
      <c r="B96" s="47" t="s">
        <v>1024</v>
      </c>
      <c r="C96" s="47" t="s">
        <v>1832</v>
      </c>
      <c r="D96" s="127" t="s">
        <v>770</v>
      </c>
      <c r="E96" s="127" t="s">
        <v>1326</v>
      </c>
      <c r="F96" s="127" t="s">
        <v>1833</v>
      </c>
    </row>
    <row r="97" customFormat="false" ht="17.15" hidden="false" customHeight="false" outlineLevel="0" collapsed="false">
      <c r="A97" s="49" t="n">
        <v>96</v>
      </c>
      <c r="B97" s="47" t="s">
        <v>1025</v>
      </c>
      <c r="C97" s="47" t="s">
        <v>1834</v>
      </c>
      <c r="D97" s="127" t="s">
        <v>753</v>
      </c>
      <c r="E97" s="127" t="s">
        <v>756</v>
      </c>
      <c r="F97" s="127"/>
    </row>
    <row r="98" customFormat="false" ht="17.15" hidden="false" customHeight="false" outlineLevel="0" collapsed="false">
      <c r="A98" s="49" t="n">
        <v>97</v>
      </c>
      <c r="B98" s="47" t="s">
        <v>896</v>
      </c>
      <c r="C98" s="47" t="s">
        <v>205</v>
      </c>
      <c r="D98" s="127" t="s">
        <v>773</v>
      </c>
      <c r="E98" s="127" t="s">
        <v>774</v>
      </c>
      <c r="F98" s="127"/>
    </row>
    <row r="99" customFormat="false" ht="17.15" hidden="false" customHeight="false" outlineLevel="0" collapsed="false">
      <c r="A99" s="49" t="n">
        <v>98</v>
      </c>
      <c r="B99" s="47" t="s">
        <v>400</v>
      </c>
      <c r="C99" s="47" t="s">
        <v>401</v>
      </c>
      <c r="D99" s="127" t="s">
        <v>761</v>
      </c>
      <c r="E99" s="127" t="s">
        <v>766</v>
      </c>
      <c r="F99" s="127"/>
    </row>
    <row r="100" customFormat="false" ht="17.15" hidden="false" customHeight="false" outlineLevel="0" collapsed="false">
      <c r="A100" s="49" t="n">
        <v>99</v>
      </c>
      <c r="B100" s="47" t="s">
        <v>1026</v>
      </c>
      <c r="C100" s="47" t="s">
        <v>1835</v>
      </c>
      <c r="D100" s="127" t="s">
        <v>761</v>
      </c>
      <c r="E100" s="127" t="s">
        <v>1836</v>
      </c>
      <c r="F100" s="127" t="s">
        <v>1837</v>
      </c>
    </row>
    <row r="101" customFormat="false" ht="17.15" hidden="false" customHeight="false" outlineLevel="0" collapsed="false">
      <c r="A101" s="141" t="n">
        <v>100</v>
      </c>
      <c r="B101" s="143" t="s">
        <v>1027</v>
      </c>
      <c r="C101" s="143" t="s">
        <v>1838</v>
      </c>
      <c r="D101" s="142" t="s">
        <v>770</v>
      </c>
      <c r="E101" s="142" t="s">
        <v>1694</v>
      </c>
      <c r="F101" s="142" t="s">
        <v>1839</v>
      </c>
    </row>
  </sheetData>
  <autoFilter ref="A1:F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O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5" min="4" style="0" width="24"/>
    <col collapsed="false" customWidth="true" hidden="false" outlineLevel="0" max="6" min="6" style="0" width="22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6"/>
    <col collapsed="false" customWidth="true" hidden="false" outlineLevel="0" max="12" min="12" style="0" width="11"/>
    <col collapsed="false" customWidth="true" hidden="false" outlineLevel="0" max="13" min="13" style="0" width="15"/>
  </cols>
  <sheetData>
    <row r="1" customFormat="false" ht="32.8" hidden="false" customHeight="false" outlineLevel="0" collapsed="false">
      <c r="A1" s="19" t="s">
        <v>173</v>
      </c>
      <c r="B1" s="19" t="s">
        <v>835</v>
      </c>
      <c r="C1" s="19" t="s">
        <v>153</v>
      </c>
      <c r="D1" s="19" t="s">
        <v>743</v>
      </c>
      <c r="E1" s="19" t="s">
        <v>744</v>
      </c>
      <c r="F1" s="19" t="s">
        <v>6</v>
      </c>
      <c r="H1" s="74" t="s">
        <v>743</v>
      </c>
      <c r="I1" s="74" t="s">
        <v>1840</v>
      </c>
      <c r="J1" s="74" t="s">
        <v>1841</v>
      </c>
      <c r="K1" s="74" t="s">
        <v>1842</v>
      </c>
      <c r="L1" s="74" t="s">
        <v>1843</v>
      </c>
      <c r="M1" s="74" t="s">
        <v>1844</v>
      </c>
      <c r="O1" s="122" t="s">
        <v>1845</v>
      </c>
    </row>
    <row r="2" customFormat="false" ht="17.15" hidden="false" customHeight="false" outlineLevel="0" collapsed="false">
      <c r="A2" s="49" t="n">
        <v>1</v>
      </c>
      <c r="B2" s="78" t="s">
        <v>197</v>
      </c>
      <c r="C2" s="78" t="s">
        <v>198</v>
      </c>
      <c r="D2" s="79" t="s">
        <v>761</v>
      </c>
      <c r="E2" s="79" t="s">
        <v>766</v>
      </c>
      <c r="F2" s="79"/>
      <c r="H2" s="80" t="s">
        <v>753</v>
      </c>
      <c r="I2" s="79" t="n">
        <f aca="false">COUNTIF($D$2:$D$101,H2)</f>
        <v>31</v>
      </c>
      <c r="J2" s="144" t="n">
        <f aca="false">I2/$I$13</f>
        <v>0.31</v>
      </c>
      <c r="K2" s="79" t="n">
        <f aca="false">COUNTIF('4-4 Google Play Top100(참조)'!$D$2:$D$101,H2)</f>
        <v>53</v>
      </c>
      <c r="L2" s="144" t="n">
        <f aca="false">K2/$K$13</f>
        <v>0.53</v>
      </c>
      <c r="M2" s="144" t="n">
        <f aca="false">J2-L2</f>
        <v>-0.22</v>
      </c>
    </row>
    <row r="3" customFormat="false" ht="17.15" hidden="false" customHeight="false" outlineLevel="0" collapsed="false">
      <c r="A3" s="49" t="n">
        <v>2</v>
      </c>
      <c r="B3" s="78" t="s">
        <v>880</v>
      </c>
      <c r="C3" s="78" t="s">
        <v>1741</v>
      </c>
      <c r="D3" s="79" t="s">
        <v>805</v>
      </c>
      <c r="E3" s="78" t="s">
        <v>806</v>
      </c>
      <c r="F3" s="79"/>
      <c r="H3" s="80" t="s">
        <v>1846</v>
      </c>
      <c r="I3" s="79" t="n">
        <f aca="false">COUNTIF($D$2:$D$101,H3)</f>
        <v>3</v>
      </c>
      <c r="J3" s="144" t="n">
        <f aca="false">I3/$I$13</f>
        <v>0.03</v>
      </c>
      <c r="K3" s="79" t="n">
        <f aca="false">COUNTIF('4-4 Google Play Top100(참조)'!$D$2:$D$101,H3)</f>
        <v>17</v>
      </c>
      <c r="L3" s="144" t="n">
        <f aca="false">K3/$K$13</f>
        <v>0.17</v>
      </c>
      <c r="M3" s="144" t="n">
        <f aca="false">J3-L3</f>
        <v>-0.14</v>
      </c>
    </row>
    <row r="4" customFormat="false" ht="17.15" hidden="false" customHeight="false" outlineLevel="0" collapsed="false">
      <c r="A4" s="49" t="n">
        <v>3</v>
      </c>
      <c r="B4" s="78" t="s">
        <v>374</v>
      </c>
      <c r="C4" s="78" t="s">
        <v>375</v>
      </c>
      <c r="D4" s="79" t="s">
        <v>753</v>
      </c>
      <c r="E4" s="79" t="s">
        <v>754</v>
      </c>
      <c r="F4" s="79"/>
      <c r="H4" s="80" t="s">
        <v>1847</v>
      </c>
      <c r="I4" s="79" t="n">
        <f aca="false">COUNTIF($D$2:$D$101,H4)</f>
        <v>23</v>
      </c>
      <c r="J4" s="144" t="n">
        <f aca="false">I4/$I$13</f>
        <v>0.23</v>
      </c>
      <c r="K4" s="79" t="n">
        <f aca="false">COUNTIF('4-4 Google Play Top100(참조)'!$D$2:$D$101,H4)</f>
        <v>7</v>
      </c>
      <c r="L4" s="144" t="n">
        <f aca="false">K4/$K$13</f>
        <v>0.07</v>
      </c>
      <c r="M4" s="144" t="n">
        <f aca="false">J4-L4</f>
        <v>0.16</v>
      </c>
    </row>
    <row r="5" customFormat="false" ht="17.15" hidden="false" customHeight="false" outlineLevel="0" collapsed="false">
      <c r="A5" s="49" t="n">
        <v>4</v>
      </c>
      <c r="B5" s="78" t="s">
        <v>189</v>
      </c>
      <c r="C5" s="78" t="s">
        <v>190</v>
      </c>
      <c r="D5" s="79" t="s">
        <v>753</v>
      </c>
      <c r="E5" s="79" t="s">
        <v>754</v>
      </c>
      <c r="F5" s="79"/>
      <c r="H5" s="80" t="s">
        <v>784</v>
      </c>
      <c r="I5" s="79" t="n">
        <f aca="false">COUNTIF($D$2:$D$101,H5)</f>
        <v>3</v>
      </c>
      <c r="J5" s="144" t="n">
        <f aca="false">I5/$I$13</f>
        <v>0.03</v>
      </c>
      <c r="K5" s="79" t="n">
        <f aca="false">COUNTIF('4-4 Google Play Top100(참조)'!$D$2:$D$101,H5)</f>
        <v>6</v>
      </c>
      <c r="L5" s="144" t="n">
        <f aca="false">K5/$K$13</f>
        <v>0.06</v>
      </c>
      <c r="M5" s="144" t="n">
        <f aca="false">J5-L5</f>
        <v>-0.03</v>
      </c>
    </row>
    <row r="6" customFormat="false" ht="15" hidden="false" customHeight="false" outlineLevel="0" collapsed="false">
      <c r="A6" s="49" t="n">
        <v>5</v>
      </c>
      <c r="B6" s="78" t="s">
        <v>881</v>
      </c>
      <c r="C6" s="78" t="s">
        <v>194</v>
      </c>
      <c r="D6" s="79" t="s">
        <v>753</v>
      </c>
      <c r="E6" s="79" t="s">
        <v>764</v>
      </c>
      <c r="F6" s="79" t="s">
        <v>1752</v>
      </c>
      <c r="H6" s="80" t="s">
        <v>750</v>
      </c>
      <c r="I6" s="79" t="n">
        <f aca="false">COUNTIF($D$2:$D$101,H6)</f>
        <v>17</v>
      </c>
      <c r="J6" s="144" t="n">
        <f aca="false">I6/$I$13</f>
        <v>0.17</v>
      </c>
      <c r="K6" s="79" t="n">
        <f aca="false">COUNTIF('4-4 Google Play Top100(참조)'!$D$2:$D$101,H6)</f>
        <v>3</v>
      </c>
      <c r="L6" s="144" t="n">
        <f aca="false">K6/$K$13</f>
        <v>0.03</v>
      </c>
      <c r="M6" s="144" t="n">
        <f aca="false">J6-L6</f>
        <v>0.14</v>
      </c>
    </row>
    <row r="7" customFormat="false" ht="17.15" hidden="false" customHeight="false" outlineLevel="0" collapsed="false">
      <c r="A7" s="49" t="n">
        <v>6</v>
      </c>
      <c r="B7" s="78" t="s">
        <v>882</v>
      </c>
      <c r="C7" s="78" t="s">
        <v>1758</v>
      </c>
      <c r="D7" s="79" t="s">
        <v>784</v>
      </c>
      <c r="E7" s="79" t="s">
        <v>785</v>
      </c>
      <c r="F7" s="79"/>
      <c r="H7" s="80" t="s">
        <v>1848</v>
      </c>
      <c r="I7" s="79" t="n">
        <f aca="false">COUNTIF($D$2:$D$101,H7)</f>
        <v>4</v>
      </c>
      <c r="J7" s="144" t="n">
        <f aca="false">I7/$I$13</f>
        <v>0.04</v>
      </c>
      <c r="K7" s="79" t="n">
        <f aca="false">COUNTIF('4-4 Google Play Top100(참조)'!$D$2:$D$101,H7)</f>
        <v>5</v>
      </c>
      <c r="L7" s="144" t="n">
        <f aca="false">K7/$K$13</f>
        <v>0.05</v>
      </c>
      <c r="M7" s="144" t="n">
        <f aca="false">J7-L7</f>
        <v>-0.01</v>
      </c>
    </row>
    <row r="8" customFormat="false" ht="17.15" hidden="false" customHeight="false" outlineLevel="0" collapsed="false">
      <c r="A8" s="49" t="n">
        <v>7</v>
      </c>
      <c r="B8" s="78" t="s">
        <v>392</v>
      </c>
      <c r="C8" s="78" t="s">
        <v>393</v>
      </c>
      <c r="D8" s="79" t="s">
        <v>761</v>
      </c>
      <c r="E8" s="79" t="s">
        <v>766</v>
      </c>
      <c r="F8" s="79"/>
      <c r="H8" s="80" t="s">
        <v>808</v>
      </c>
      <c r="I8" s="79" t="n">
        <f aca="false">COUNTIF($D$2:$D$101,H8)</f>
        <v>2</v>
      </c>
      <c r="J8" s="144" t="n">
        <f aca="false">I8/$I$13</f>
        <v>0.02</v>
      </c>
      <c r="K8" s="79" t="n">
        <f aca="false">COUNTIF('4-4 Google Play Top100(참조)'!$D$2:$D$101,H8)</f>
        <v>2</v>
      </c>
      <c r="L8" s="144" t="n">
        <f aca="false">K8/$K$13</f>
        <v>0.02</v>
      </c>
      <c r="M8" s="144" t="n">
        <f aca="false">J8-L8</f>
        <v>0</v>
      </c>
    </row>
    <row r="9" customFormat="false" ht="15" hidden="false" customHeight="false" outlineLevel="0" collapsed="false">
      <c r="A9" s="49" t="n">
        <v>8</v>
      </c>
      <c r="B9" s="78" t="s">
        <v>409</v>
      </c>
      <c r="C9" s="78" t="s">
        <v>201</v>
      </c>
      <c r="D9" s="79" t="s">
        <v>750</v>
      </c>
      <c r="E9" s="78" t="s">
        <v>751</v>
      </c>
      <c r="F9" s="79"/>
      <c r="H9" s="113" t="s">
        <v>758</v>
      </c>
      <c r="I9" s="79" t="n">
        <f aca="false">COUNTIF($D$2:$D$101,H9)</f>
        <v>12</v>
      </c>
      <c r="J9" s="144" t="n">
        <f aca="false">I9/$I$13</f>
        <v>0.12</v>
      </c>
      <c r="K9" s="79" t="n">
        <f aca="false">COUNTIF('4-4 Google Play Top100(참조)'!$D$2:$D$101,H9)</f>
        <v>2</v>
      </c>
      <c r="L9" s="144" t="n">
        <f aca="false">K9/$K$13</f>
        <v>0.02</v>
      </c>
      <c r="M9" s="144" t="n">
        <f aca="false">J9-L9</f>
        <v>0.1</v>
      </c>
    </row>
    <row r="10" customFormat="false" ht="17.15" hidden="false" customHeight="false" outlineLevel="0" collapsed="false">
      <c r="A10" s="49" t="n">
        <v>9</v>
      </c>
      <c r="B10" s="78" t="s">
        <v>383</v>
      </c>
      <c r="C10" s="78" t="s">
        <v>190</v>
      </c>
      <c r="D10" s="79" t="s">
        <v>753</v>
      </c>
      <c r="E10" s="79" t="s">
        <v>754</v>
      </c>
      <c r="F10" s="79"/>
      <c r="H10" s="80" t="s">
        <v>1849</v>
      </c>
      <c r="I10" s="79" t="n">
        <f aca="false">COUNTIF($D$2:$D$101,H10)</f>
        <v>0</v>
      </c>
      <c r="J10" s="144" t="n">
        <f aca="false">I10/$I$13</f>
        <v>0</v>
      </c>
      <c r="K10" s="79" t="n">
        <f aca="false">COUNTIF('4-4 Google Play Top100(참조)'!$D$2:$D$101,H10)</f>
        <v>3</v>
      </c>
      <c r="L10" s="144" t="n">
        <f aca="false">K10/$K$13</f>
        <v>0.03</v>
      </c>
      <c r="M10" s="144" t="n">
        <f aca="false">J10-L10</f>
        <v>-0.03</v>
      </c>
    </row>
    <row r="11" customFormat="false" ht="17.15" hidden="false" customHeight="false" outlineLevel="0" collapsed="false">
      <c r="A11" s="49" t="n">
        <v>10</v>
      </c>
      <c r="B11" s="78" t="s">
        <v>200</v>
      </c>
      <c r="C11" s="78" t="s">
        <v>201</v>
      </c>
      <c r="D11" s="79" t="s">
        <v>750</v>
      </c>
      <c r="E11" s="78" t="s">
        <v>751</v>
      </c>
      <c r="F11" s="79"/>
      <c r="H11" s="80" t="s">
        <v>1850</v>
      </c>
      <c r="I11" s="79" t="n">
        <f aca="false">COUNTIF($D$2:$D$101,H11)</f>
        <v>1</v>
      </c>
      <c r="J11" s="144" t="n">
        <f aca="false">I11/$I$13</f>
        <v>0.01</v>
      </c>
      <c r="K11" s="79" t="n">
        <f aca="false">COUNTIF('4-4 Google Play Top100(참조)'!$D$2:$D$101,H11)</f>
        <v>1</v>
      </c>
      <c r="L11" s="144" t="n">
        <f aca="false">K11/$K$13</f>
        <v>0.01</v>
      </c>
      <c r="M11" s="144" t="n">
        <f aca="false">J11-L11</f>
        <v>0</v>
      </c>
    </row>
    <row r="12" customFormat="false" ht="15" hidden="false" customHeight="false" outlineLevel="0" collapsed="false">
      <c r="A12" s="49" t="n">
        <v>11</v>
      </c>
      <c r="B12" s="78" t="s">
        <v>442</v>
      </c>
      <c r="C12" s="78" t="s">
        <v>1851</v>
      </c>
      <c r="D12" s="78" t="s">
        <v>758</v>
      </c>
      <c r="E12" s="79" t="s">
        <v>803</v>
      </c>
      <c r="F12" s="79"/>
      <c r="H12" s="80" t="s">
        <v>799</v>
      </c>
      <c r="I12" s="79" t="n">
        <f aca="false">COUNTIF($D$2:$D$101,H12)</f>
        <v>4</v>
      </c>
      <c r="J12" s="144" t="n">
        <f aca="false">I12/$I$13</f>
        <v>0.04</v>
      </c>
      <c r="K12" s="79" t="n">
        <f aca="false">COUNTIF('4-4 Google Play Top100(참조)'!$D$2:$D$101,H12)</f>
        <v>1</v>
      </c>
      <c r="L12" s="144" t="n">
        <f aca="false">K12/$K$13</f>
        <v>0.01</v>
      </c>
      <c r="M12" s="144" t="n">
        <f aca="false">J12-L12</f>
        <v>0.03</v>
      </c>
    </row>
    <row r="13" customFormat="false" ht="15" hidden="false" customHeight="false" outlineLevel="0" collapsed="false">
      <c r="A13" s="49" t="n">
        <v>12</v>
      </c>
      <c r="B13" s="78" t="s">
        <v>883</v>
      </c>
      <c r="C13" s="78" t="s">
        <v>1852</v>
      </c>
      <c r="D13" s="79" t="s">
        <v>750</v>
      </c>
      <c r="E13" s="78" t="s">
        <v>751</v>
      </c>
      <c r="F13" s="79"/>
      <c r="H13" s="80" t="s">
        <v>736</v>
      </c>
      <c r="I13" s="79" t="n">
        <f aca="false">SUM(I2:I12)</f>
        <v>100</v>
      </c>
      <c r="J13" s="144" t="n">
        <f aca="false">SUM(J2:J12)</f>
        <v>1</v>
      </c>
      <c r="K13" s="79" t="n">
        <f aca="false">SUM(K2:K12)</f>
        <v>100</v>
      </c>
      <c r="L13" s="144" t="n">
        <f aca="false">SUM(L2:L12)</f>
        <v>1</v>
      </c>
      <c r="M13" s="144"/>
    </row>
    <row r="14" customFormat="false" ht="17.15" hidden="false" customHeight="false" outlineLevel="0" collapsed="false">
      <c r="A14" s="49" t="n">
        <v>13</v>
      </c>
      <c r="B14" s="78" t="s">
        <v>884</v>
      </c>
      <c r="C14" s="78" t="s">
        <v>1853</v>
      </c>
      <c r="D14" s="78" t="s">
        <v>758</v>
      </c>
      <c r="E14" s="79" t="s">
        <v>759</v>
      </c>
      <c r="F14" s="78" t="s">
        <v>1799</v>
      </c>
    </row>
    <row r="15" customFormat="false" ht="17.15" hidden="false" customHeight="false" outlineLevel="0" collapsed="false">
      <c r="A15" s="49" t="n">
        <v>14</v>
      </c>
      <c r="B15" s="78" t="s">
        <v>885</v>
      </c>
      <c r="C15" s="78" t="s">
        <v>1817</v>
      </c>
      <c r="D15" s="79" t="s">
        <v>753</v>
      </c>
      <c r="E15" s="79" t="s">
        <v>754</v>
      </c>
      <c r="F15" s="79" t="s">
        <v>1854</v>
      </c>
      <c r="H15" s="22" t="s">
        <v>1855</v>
      </c>
    </row>
    <row r="16" customFormat="false" ht="17.15" hidden="false" customHeight="false" outlineLevel="0" collapsed="false">
      <c r="A16" s="49" t="n">
        <v>15</v>
      </c>
      <c r="B16" s="78" t="s">
        <v>886</v>
      </c>
      <c r="C16" s="78" t="s">
        <v>1856</v>
      </c>
      <c r="D16" s="79" t="s">
        <v>750</v>
      </c>
      <c r="E16" s="78" t="s">
        <v>751</v>
      </c>
      <c r="F16" s="79"/>
      <c r="H16" s="38" t="s">
        <v>1857</v>
      </c>
    </row>
    <row r="17" customFormat="false" ht="17.15" hidden="false" customHeight="false" outlineLevel="0" collapsed="false">
      <c r="A17" s="49" t="n">
        <v>16</v>
      </c>
      <c r="B17" s="78" t="s">
        <v>887</v>
      </c>
      <c r="C17" s="78" t="s">
        <v>1858</v>
      </c>
      <c r="D17" s="79" t="s">
        <v>750</v>
      </c>
      <c r="E17" s="78" t="s">
        <v>751</v>
      </c>
      <c r="F17" s="79"/>
      <c r="H17" s="22" t="s">
        <v>1859</v>
      </c>
    </row>
    <row r="18" customFormat="false" ht="17.15" hidden="false" customHeight="false" outlineLevel="0" collapsed="false">
      <c r="A18" s="49" t="n">
        <v>17</v>
      </c>
      <c r="B18" s="78" t="s">
        <v>888</v>
      </c>
      <c r="C18" s="78" t="s">
        <v>1860</v>
      </c>
      <c r="D18" s="79" t="s">
        <v>750</v>
      </c>
      <c r="E18" s="78" t="s">
        <v>751</v>
      </c>
      <c r="F18" s="79"/>
      <c r="H18" s="22" t="s">
        <v>1861</v>
      </c>
    </row>
    <row r="19" customFormat="false" ht="17.15" hidden="false" customHeight="false" outlineLevel="0" collapsed="false">
      <c r="A19" s="49" t="n">
        <v>18</v>
      </c>
      <c r="B19" s="78" t="s">
        <v>889</v>
      </c>
      <c r="C19" s="78" t="s">
        <v>1862</v>
      </c>
      <c r="D19" s="78" t="s">
        <v>758</v>
      </c>
      <c r="E19" s="79" t="s">
        <v>759</v>
      </c>
      <c r="F19" s="79"/>
      <c r="H19" s="38" t="s">
        <v>1863</v>
      </c>
    </row>
    <row r="20" customFormat="false" ht="17.15" hidden="false" customHeight="false" outlineLevel="0" collapsed="false">
      <c r="A20" s="49" t="n">
        <v>19</v>
      </c>
      <c r="B20" s="78" t="s">
        <v>890</v>
      </c>
      <c r="C20" s="78" t="s">
        <v>1758</v>
      </c>
      <c r="D20" s="79" t="s">
        <v>753</v>
      </c>
      <c r="E20" s="79" t="s">
        <v>754</v>
      </c>
      <c r="F20" s="79"/>
      <c r="H20" s="145" t="s">
        <v>1864</v>
      </c>
    </row>
    <row r="21" customFormat="false" ht="17.15" hidden="false" customHeight="false" outlineLevel="0" collapsed="false">
      <c r="A21" s="49" t="n">
        <v>20</v>
      </c>
      <c r="B21" s="78" t="s">
        <v>400</v>
      </c>
      <c r="C21" s="78" t="s">
        <v>401</v>
      </c>
      <c r="D21" s="79" t="s">
        <v>761</v>
      </c>
      <c r="E21" s="79" t="s">
        <v>766</v>
      </c>
      <c r="F21" s="79"/>
      <c r="H21" s="22" t="s">
        <v>1865</v>
      </c>
    </row>
    <row r="22" customFormat="false" ht="17.15" hidden="false" customHeight="false" outlineLevel="0" collapsed="false">
      <c r="A22" s="49" t="n">
        <v>21</v>
      </c>
      <c r="B22" s="78" t="s">
        <v>891</v>
      </c>
      <c r="C22" s="78" t="s">
        <v>1866</v>
      </c>
      <c r="D22" s="79" t="s">
        <v>761</v>
      </c>
      <c r="E22" s="79" t="s">
        <v>776</v>
      </c>
      <c r="F22" s="79"/>
    </row>
    <row r="23" customFormat="false" ht="17.15" hidden="false" customHeight="false" outlineLevel="0" collapsed="false">
      <c r="A23" s="49" t="n">
        <v>22</v>
      </c>
      <c r="B23" s="78" t="s">
        <v>892</v>
      </c>
      <c r="C23" s="78" t="s">
        <v>1867</v>
      </c>
      <c r="D23" s="79" t="s">
        <v>761</v>
      </c>
      <c r="E23" s="79" t="s">
        <v>762</v>
      </c>
      <c r="F23" s="79"/>
    </row>
    <row r="24" customFormat="false" ht="17.15" hidden="false" customHeight="false" outlineLevel="0" collapsed="false">
      <c r="A24" s="141" t="n">
        <v>23</v>
      </c>
      <c r="B24" s="97" t="s">
        <v>893</v>
      </c>
      <c r="C24" s="97" t="s">
        <v>1868</v>
      </c>
      <c r="D24" s="95" t="s">
        <v>750</v>
      </c>
      <c r="E24" s="97" t="s">
        <v>751</v>
      </c>
      <c r="F24" s="95" t="s">
        <v>1869</v>
      </c>
    </row>
    <row r="25" customFormat="false" ht="17.15" hidden="false" customHeight="false" outlineLevel="0" collapsed="false">
      <c r="A25" s="49" t="n">
        <v>24</v>
      </c>
      <c r="B25" s="78" t="s">
        <v>894</v>
      </c>
      <c r="C25" s="78" t="s">
        <v>1758</v>
      </c>
      <c r="D25" s="79" t="s">
        <v>753</v>
      </c>
      <c r="E25" s="79" t="s">
        <v>754</v>
      </c>
      <c r="F25" s="79"/>
    </row>
    <row r="26" customFormat="false" ht="17.15" hidden="false" customHeight="false" outlineLevel="0" collapsed="false">
      <c r="A26" s="49" t="n">
        <v>25</v>
      </c>
      <c r="B26" s="78" t="s">
        <v>895</v>
      </c>
      <c r="C26" s="78" t="s">
        <v>1870</v>
      </c>
      <c r="D26" s="79" t="s">
        <v>761</v>
      </c>
      <c r="E26" s="79" t="s">
        <v>762</v>
      </c>
      <c r="F26" s="79"/>
    </row>
    <row r="27" customFormat="false" ht="17.15" hidden="false" customHeight="false" outlineLevel="0" collapsed="false">
      <c r="A27" s="141" t="n">
        <v>26</v>
      </c>
      <c r="B27" s="95" t="s">
        <v>1871</v>
      </c>
      <c r="C27" s="97" t="s">
        <v>800</v>
      </c>
      <c r="D27" s="95" t="s">
        <v>799</v>
      </c>
      <c r="E27" s="97" t="s">
        <v>800</v>
      </c>
      <c r="F27" s="95" t="s">
        <v>1872</v>
      </c>
    </row>
    <row r="28" customFormat="false" ht="17.15" hidden="false" customHeight="false" outlineLevel="0" collapsed="false">
      <c r="A28" s="49" t="n">
        <v>27</v>
      </c>
      <c r="B28" s="78" t="s">
        <v>849</v>
      </c>
      <c r="C28" s="78" t="s">
        <v>1817</v>
      </c>
      <c r="D28" s="79" t="s">
        <v>753</v>
      </c>
      <c r="E28" s="79" t="s">
        <v>768</v>
      </c>
      <c r="F28" s="78" t="s">
        <v>1818</v>
      </c>
    </row>
    <row r="29" customFormat="false" ht="17.15" hidden="false" customHeight="false" outlineLevel="0" collapsed="false">
      <c r="A29" s="49" t="n">
        <v>28</v>
      </c>
      <c r="B29" s="78" t="s">
        <v>896</v>
      </c>
      <c r="C29" s="78" t="s">
        <v>205</v>
      </c>
      <c r="D29" s="79" t="s">
        <v>773</v>
      </c>
      <c r="E29" s="79" t="s">
        <v>774</v>
      </c>
      <c r="F29" s="79"/>
    </row>
    <row r="30" customFormat="false" ht="17.15" hidden="false" customHeight="false" outlineLevel="0" collapsed="false">
      <c r="A30" s="49" t="n">
        <v>29</v>
      </c>
      <c r="B30" s="78" t="s">
        <v>449</v>
      </c>
      <c r="C30" s="78" t="s">
        <v>450</v>
      </c>
      <c r="D30" s="79" t="s">
        <v>761</v>
      </c>
      <c r="E30" s="79" t="s">
        <v>789</v>
      </c>
      <c r="F30" s="79" t="s">
        <v>1805</v>
      </c>
    </row>
    <row r="31" customFormat="false" ht="15" hidden="false" customHeight="false" outlineLevel="0" collapsed="false">
      <c r="A31" s="49" t="n">
        <v>30</v>
      </c>
      <c r="B31" s="78" t="s">
        <v>897</v>
      </c>
      <c r="C31" s="78" t="s">
        <v>201</v>
      </c>
      <c r="D31" s="79" t="s">
        <v>753</v>
      </c>
      <c r="E31" s="79" t="s">
        <v>764</v>
      </c>
      <c r="F31" s="79"/>
    </row>
    <row r="32" customFormat="false" ht="17.15" hidden="false" customHeight="false" outlineLevel="0" collapsed="false">
      <c r="A32" s="49" t="n">
        <v>31</v>
      </c>
      <c r="B32" s="78" t="s">
        <v>898</v>
      </c>
      <c r="C32" s="78" t="s">
        <v>418</v>
      </c>
      <c r="D32" s="79" t="s">
        <v>750</v>
      </c>
      <c r="E32" s="78" t="s">
        <v>751</v>
      </c>
      <c r="F32" s="79" t="s">
        <v>1873</v>
      </c>
    </row>
    <row r="33" customFormat="false" ht="17.15" hidden="false" customHeight="false" outlineLevel="0" collapsed="false">
      <c r="A33" s="49" t="n">
        <v>32</v>
      </c>
      <c r="B33" s="78" t="s">
        <v>899</v>
      </c>
      <c r="C33" s="78" t="s">
        <v>375</v>
      </c>
      <c r="D33" s="79" t="s">
        <v>753</v>
      </c>
      <c r="E33" s="79" t="s">
        <v>754</v>
      </c>
      <c r="F33" s="79"/>
    </row>
    <row r="34" customFormat="false" ht="17.15" hidden="false" customHeight="false" outlineLevel="0" collapsed="false">
      <c r="A34" s="49" t="n">
        <v>33</v>
      </c>
      <c r="B34" s="78" t="s">
        <v>900</v>
      </c>
      <c r="C34" s="78" t="s">
        <v>1870</v>
      </c>
      <c r="D34" s="79" t="s">
        <v>761</v>
      </c>
      <c r="E34" s="79" t="s">
        <v>762</v>
      </c>
      <c r="F34" s="79"/>
    </row>
    <row r="35" customFormat="false" ht="17.15" hidden="false" customHeight="false" outlineLevel="0" collapsed="false">
      <c r="A35" s="141" t="n">
        <v>34</v>
      </c>
      <c r="B35" s="97" t="s">
        <v>901</v>
      </c>
      <c r="C35" s="97" t="s">
        <v>1874</v>
      </c>
      <c r="D35" s="97" t="s">
        <v>758</v>
      </c>
      <c r="E35" s="95" t="s">
        <v>212</v>
      </c>
      <c r="F35" s="95" t="s">
        <v>1875</v>
      </c>
    </row>
    <row r="36" customFormat="false" ht="17.15" hidden="false" customHeight="false" outlineLevel="0" collapsed="false">
      <c r="A36" s="49" t="n">
        <v>35</v>
      </c>
      <c r="B36" s="78" t="s">
        <v>902</v>
      </c>
      <c r="C36" s="78" t="s">
        <v>1782</v>
      </c>
      <c r="D36" s="79" t="s">
        <v>753</v>
      </c>
      <c r="E36" s="79" t="s">
        <v>830</v>
      </c>
      <c r="F36" s="79"/>
    </row>
    <row r="37" customFormat="false" ht="17.15" hidden="false" customHeight="false" outlineLevel="0" collapsed="false">
      <c r="A37" s="49" t="n">
        <v>36</v>
      </c>
      <c r="B37" s="78" t="s">
        <v>903</v>
      </c>
      <c r="C37" s="78" t="s">
        <v>1876</v>
      </c>
      <c r="D37" s="79" t="s">
        <v>761</v>
      </c>
      <c r="E37" s="79" t="s">
        <v>762</v>
      </c>
      <c r="F37" s="79"/>
    </row>
    <row r="38" customFormat="false" ht="17.15" hidden="false" customHeight="false" outlineLevel="0" collapsed="false">
      <c r="A38" s="49" t="n">
        <v>37</v>
      </c>
      <c r="B38" s="78" t="s">
        <v>904</v>
      </c>
      <c r="C38" s="78" t="s">
        <v>1758</v>
      </c>
      <c r="D38" s="79" t="s">
        <v>753</v>
      </c>
      <c r="E38" s="79" t="s">
        <v>754</v>
      </c>
      <c r="F38" s="79"/>
    </row>
    <row r="39" customFormat="false" ht="15" hidden="false" customHeight="false" outlineLevel="0" collapsed="false">
      <c r="A39" s="49" t="n">
        <v>38</v>
      </c>
      <c r="B39" s="78" t="s">
        <v>905</v>
      </c>
      <c r="C39" s="78" t="s">
        <v>1858</v>
      </c>
      <c r="D39" s="79" t="s">
        <v>750</v>
      </c>
      <c r="E39" s="78" t="s">
        <v>751</v>
      </c>
      <c r="F39" s="79"/>
    </row>
    <row r="40" customFormat="false" ht="17.15" hidden="false" customHeight="false" outlineLevel="0" collapsed="false">
      <c r="A40" s="49" t="n">
        <v>39</v>
      </c>
      <c r="B40" s="78" t="s">
        <v>906</v>
      </c>
      <c r="C40" s="78" t="s">
        <v>1775</v>
      </c>
      <c r="D40" s="79" t="s">
        <v>753</v>
      </c>
      <c r="E40" s="79" t="s">
        <v>756</v>
      </c>
      <c r="F40" s="79" t="s">
        <v>1877</v>
      </c>
    </row>
    <row r="41" customFormat="false" ht="17.15" hidden="false" customHeight="false" outlineLevel="0" collapsed="false">
      <c r="A41" s="49" t="n">
        <v>40</v>
      </c>
      <c r="B41" s="78" t="s">
        <v>907</v>
      </c>
      <c r="C41" s="78" t="s">
        <v>1878</v>
      </c>
      <c r="D41" s="78" t="s">
        <v>758</v>
      </c>
      <c r="E41" s="79" t="s">
        <v>759</v>
      </c>
      <c r="F41" s="79"/>
    </row>
    <row r="42" customFormat="false" ht="17.15" hidden="false" customHeight="false" outlineLevel="0" collapsed="false">
      <c r="A42" s="49" t="n">
        <v>41</v>
      </c>
      <c r="B42" s="78" t="s">
        <v>908</v>
      </c>
      <c r="C42" s="78" t="s">
        <v>1879</v>
      </c>
      <c r="D42" s="79" t="s">
        <v>761</v>
      </c>
      <c r="E42" s="79" t="s">
        <v>778</v>
      </c>
      <c r="F42" s="79"/>
    </row>
    <row r="43" customFormat="false" ht="15" hidden="false" customHeight="false" outlineLevel="0" collapsed="false">
      <c r="A43" s="49" t="n">
        <v>42</v>
      </c>
      <c r="B43" s="78" t="s">
        <v>909</v>
      </c>
      <c r="C43" s="78" t="s">
        <v>1880</v>
      </c>
      <c r="D43" s="78" t="s">
        <v>758</v>
      </c>
      <c r="E43" s="79" t="s">
        <v>782</v>
      </c>
      <c r="F43" s="79"/>
    </row>
    <row r="44" customFormat="false" ht="17.15" hidden="false" customHeight="false" outlineLevel="0" collapsed="false">
      <c r="A44" s="49" t="n">
        <v>43</v>
      </c>
      <c r="B44" s="78" t="s">
        <v>910</v>
      </c>
      <c r="C44" s="78" t="s">
        <v>401</v>
      </c>
      <c r="D44" s="79" t="s">
        <v>761</v>
      </c>
      <c r="E44" s="79" t="s">
        <v>778</v>
      </c>
      <c r="F44" s="78" t="s">
        <v>1799</v>
      </c>
    </row>
    <row r="45" customFormat="false" ht="17.15" hidden="false" customHeight="false" outlineLevel="0" collapsed="false">
      <c r="A45" s="49" t="n">
        <v>44</v>
      </c>
      <c r="B45" s="78" t="s">
        <v>911</v>
      </c>
      <c r="C45" s="78" t="s">
        <v>393</v>
      </c>
      <c r="D45" s="79" t="s">
        <v>761</v>
      </c>
      <c r="E45" s="79" t="s">
        <v>766</v>
      </c>
      <c r="F45" s="79" t="s">
        <v>1881</v>
      </c>
    </row>
    <row r="46" customFormat="false" ht="15" hidden="false" customHeight="false" outlineLevel="0" collapsed="false">
      <c r="A46" s="49" t="n">
        <v>45</v>
      </c>
      <c r="B46" s="78" t="s">
        <v>912</v>
      </c>
      <c r="C46" s="78" t="s">
        <v>1882</v>
      </c>
      <c r="D46" s="79" t="s">
        <v>753</v>
      </c>
      <c r="E46" s="79" t="s">
        <v>764</v>
      </c>
      <c r="F46" s="79"/>
    </row>
    <row r="47" customFormat="false" ht="17.15" hidden="false" customHeight="false" outlineLevel="0" collapsed="false">
      <c r="A47" s="49" t="n">
        <v>46</v>
      </c>
      <c r="B47" s="78" t="s">
        <v>913</v>
      </c>
      <c r="C47" s="78" t="s">
        <v>1876</v>
      </c>
      <c r="D47" s="79" t="s">
        <v>761</v>
      </c>
      <c r="E47" s="79" t="s">
        <v>762</v>
      </c>
      <c r="F47" s="79"/>
    </row>
    <row r="48" customFormat="false" ht="17.15" hidden="false" customHeight="false" outlineLevel="0" collapsed="false">
      <c r="A48" s="49" t="n">
        <v>47</v>
      </c>
      <c r="B48" s="78" t="s">
        <v>914</v>
      </c>
      <c r="C48" s="78" t="s">
        <v>1803</v>
      </c>
      <c r="D48" s="79" t="s">
        <v>750</v>
      </c>
      <c r="E48" s="78" t="s">
        <v>751</v>
      </c>
      <c r="F48" s="79" t="s">
        <v>1883</v>
      </c>
    </row>
    <row r="49" customFormat="false" ht="17.15" hidden="false" customHeight="false" outlineLevel="0" collapsed="false">
      <c r="A49" s="49" t="n">
        <v>48</v>
      </c>
      <c r="B49" s="78" t="s">
        <v>915</v>
      </c>
      <c r="C49" s="78" t="s">
        <v>1884</v>
      </c>
      <c r="D49" s="79" t="s">
        <v>770</v>
      </c>
      <c r="E49" s="79" t="s">
        <v>797</v>
      </c>
      <c r="F49" s="79" t="s">
        <v>1885</v>
      </c>
    </row>
    <row r="50" customFormat="false" ht="17.15" hidden="false" customHeight="false" outlineLevel="0" collapsed="false">
      <c r="A50" s="141" t="n">
        <v>49</v>
      </c>
      <c r="B50" s="97" t="s">
        <v>916</v>
      </c>
      <c r="C50" s="97" t="s">
        <v>1868</v>
      </c>
      <c r="D50" s="95" t="s">
        <v>750</v>
      </c>
      <c r="E50" s="97" t="s">
        <v>751</v>
      </c>
      <c r="F50" s="95" t="s">
        <v>1869</v>
      </c>
    </row>
    <row r="51" customFormat="false" ht="17.15" hidden="false" customHeight="false" outlineLevel="0" collapsed="false">
      <c r="A51" s="49" t="n">
        <v>50</v>
      </c>
      <c r="B51" s="78" t="s">
        <v>917</v>
      </c>
      <c r="C51" s="78" t="s">
        <v>1870</v>
      </c>
      <c r="D51" s="79" t="s">
        <v>761</v>
      </c>
      <c r="E51" s="79" t="s">
        <v>762</v>
      </c>
      <c r="F51" s="79"/>
    </row>
    <row r="52" customFormat="false" ht="15" hidden="false" customHeight="false" outlineLevel="0" collapsed="false">
      <c r="A52" s="49" t="n">
        <v>51</v>
      </c>
      <c r="B52" s="78" t="s">
        <v>918</v>
      </c>
      <c r="C52" s="78" t="s">
        <v>194</v>
      </c>
      <c r="D52" s="79" t="s">
        <v>753</v>
      </c>
      <c r="E52" s="79" t="s">
        <v>764</v>
      </c>
      <c r="F52" s="79" t="s">
        <v>1886</v>
      </c>
    </row>
    <row r="53" customFormat="false" ht="15" hidden="false" customHeight="false" outlineLevel="0" collapsed="false">
      <c r="A53" s="49" t="n">
        <v>52</v>
      </c>
      <c r="B53" s="78" t="s">
        <v>919</v>
      </c>
      <c r="C53" s="78" t="s">
        <v>1887</v>
      </c>
      <c r="D53" s="79" t="s">
        <v>753</v>
      </c>
      <c r="E53" s="79" t="s">
        <v>764</v>
      </c>
      <c r="F53" s="79" t="s">
        <v>1886</v>
      </c>
    </row>
    <row r="54" customFormat="false" ht="17.15" hidden="false" customHeight="false" outlineLevel="0" collapsed="false">
      <c r="A54" s="141" t="n">
        <v>53</v>
      </c>
      <c r="B54" s="97" t="s">
        <v>920</v>
      </c>
      <c r="C54" s="97" t="s">
        <v>1888</v>
      </c>
      <c r="D54" s="95" t="s">
        <v>753</v>
      </c>
      <c r="E54" s="95" t="s">
        <v>768</v>
      </c>
      <c r="F54" s="95" t="s">
        <v>1889</v>
      </c>
    </row>
    <row r="55" customFormat="false" ht="17.15" hidden="false" customHeight="false" outlineLevel="0" collapsed="false">
      <c r="A55" s="49" t="n">
        <v>54</v>
      </c>
      <c r="B55" s="78" t="s">
        <v>921</v>
      </c>
      <c r="C55" s="78" t="s">
        <v>418</v>
      </c>
      <c r="D55" s="79" t="s">
        <v>784</v>
      </c>
      <c r="E55" s="79" t="s">
        <v>785</v>
      </c>
      <c r="F55" s="79"/>
    </row>
    <row r="56" customFormat="false" ht="15" hidden="false" customHeight="false" outlineLevel="0" collapsed="false">
      <c r="A56" s="49" t="n">
        <v>55</v>
      </c>
      <c r="B56" s="78" t="s">
        <v>922</v>
      </c>
      <c r="C56" s="78" t="s">
        <v>1890</v>
      </c>
      <c r="D56" s="79" t="s">
        <v>753</v>
      </c>
      <c r="E56" s="79" t="s">
        <v>828</v>
      </c>
      <c r="F56" s="79" t="s">
        <v>1752</v>
      </c>
    </row>
    <row r="57" customFormat="false" ht="17.15" hidden="false" customHeight="false" outlineLevel="0" collapsed="false">
      <c r="A57" s="49" t="n">
        <v>56</v>
      </c>
      <c r="B57" s="78" t="s">
        <v>923</v>
      </c>
      <c r="C57" s="78" t="s">
        <v>1891</v>
      </c>
      <c r="D57" s="79" t="s">
        <v>761</v>
      </c>
      <c r="E57" s="79" t="s">
        <v>789</v>
      </c>
      <c r="F57" s="79"/>
    </row>
    <row r="58" customFormat="false" ht="17.15" hidden="false" customHeight="false" outlineLevel="0" collapsed="false">
      <c r="A58" s="49" t="n">
        <v>57</v>
      </c>
      <c r="B58" s="78" t="s">
        <v>184</v>
      </c>
      <c r="C58" s="78" t="s">
        <v>185</v>
      </c>
      <c r="D58" s="79" t="s">
        <v>753</v>
      </c>
      <c r="E58" s="79" t="s">
        <v>756</v>
      </c>
      <c r="F58" s="79"/>
    </row>
    <row r="59" customFormat="false" ht="17.15" hidden="false" customHeight="false" outlineLevel="0" collapsed="false">
      <c r="A59" s="49" t="n">
        <v>58</v>
      </c>
      <c r="B59" s="78" t="s">
        <v>924</v>
      </c>
      <c r="C59" s="78" t="s">
        <v>1867</v>
      </c>
      <c r="D59" s="79" t="s">
        <v>761</v>
      </c>
      <c r="E59" s="79" t="s">
        <v>762</v>
      </c>
      <c r="F59" s="79"/>
    </row>
    <row r="60" customFormat="false" ht="15" hidden="false" customHeight="false" outlineLevel="0" collapsed="false">
      <c r="A60" s="49" t="n">
        <v>59</v>
      </c>
      <c r="B60" s="78" t="s">
        <v>925</v>
      </c>
      <c r="C60" s="78" t="s">
        <v>1892</v>
      </c>
      <c r="D60" s="79" t="s">
        <v>753</v>
      </c>
      <c r="E60" s="79" t="s">
        <v>764</v>
      </c>
      <c r="F60" s="79"/>
    </row>
    <row r="61" customFormat="false" ht="17.15" hidden="false" customHeight="false" outlineLevel="0" collapsed="false">
      <c r="A61" s="49" t="n">
        <v>60</v>
      </c>
      <c r="B61" s="78" t="s">
        <v>926</v>
      </c>
      <c r="C61" s="78" t="s">
        <v>1893</v>
      </c>
      <c r="D61" s="79" t="s">
        <v>773</v>
      </c>
      <c r="E61" s="79" t="s">
        <v>774</v>
      </c>
      <c r="F61" s="79"/>
    </row>
    <row r="62" customFormat="false" ht="17.15" hidden="false" customHeight="false" outlineLevel="0" collapsed="false">
      <c r="A62" s="49" t="n">
        <v>61</v>
      </c>
      <c r="B62" s="78" t="s">
        <v>927</v>
      </c>
      <c r="C62" s="78" t="s">
        <v>1803</v>
      </c>
      <c r="D62" s="79" t="s">
        <v>750</v>
      </c>
      <c r="E62" s="78" t="s">
        <v>751</v>
      </c>
      <c r="F62" s="79" t="s">
        <v>1883</v>
      </c>
    </row>
    <row r="63" customFormat="false" ht="17.15" hidden="false" customHeight="false" outlineLevel="0" collapsed="false">
      <c r="A63" s="49" t="n">
        <v>62</v>
      </c>
      <c r="B63" s="78" t="s">
        <v>928</v>
      </c>
      <c r="C63" s="78" t="s">
        <v>1893</v>
      </c>
      <c r="D63" s="78" t="s">
        <v>758</v>
      </c>
      <c r="E63" s="79" t="s">
        <v>759</v>
      </c>
      <c r="F63" s="79" t="s">
        <v>1894</v>
      </c>
    </row>
    <row r="64" customFormat="false" ht="17.15" hidden="false" customHeight="false" outlineLevel="0" collapsed="false">
      <c r="A64" s="49" t="n">
        <v>63</v>
      </c>
      <c r="B64" s="78" t="s">
        <v>929</v>
      </c>
      <c r="C64" s="78" t="s">
        <v>1888</v>
      </c>
      <c r="D64" s="79" t="s">
        <v>761</v>
      </c>
      <c r="E64" s="79" t="s">
        <v>776</v>
      </c>
      <c r="F64" s="79"/>
    </row>
    <row r="65" customFormat="false" ht="15" hidden="false" customHeight="false" outlineLevel="0" collapsed="false">
      <c r="A65" s="49" t="n">
        <v>64</v>
      </c>
      <c r="B65" s="78" t="s">
        <v>854</v>
      </c>
      <c r="C65" s="78" t="s">
        <v>1761</v>
      </c>
      <c r="D65" s="79" t="s">
        <v>753</v>
      </c>
      <c r="E65" s="79" t="s">
        <v>780</v>
      </c>
      <c r="F65" s="79"/>
    </row>
    <row r="66" customFormat="false" ht="17.15" hidden="false" customHeight="false" outlineLevel="0" collapsed="false">
      <c r="A66" s="141" t="n">
        <v>65</v>
      </c>
      <c r="B66" s="95" t="s">
        <v>1895</v>
      </c>
      <c r="C66" s="97" t="s">
        <v>800</v>
      </c>
      <c r="D66" s="95" t="s">
        <v>799</v>
      </c>
      <c r="E66" s="97" t="s">
        <v>800</v>
      </c>
      <c r="F66" s="95" t="s">
        <v>1872</v>
      </c>
    </row>
    <row r="67" customFormat="false" ht="17.15" hidden="false" customHeight="false" outlineLevel="0" collapsed="false">
      <c r="A67" s="49" t="n">
        <v>66</v>
      </c>
      <c r="B67" s="78" t="s">
        <v>930</v>
      </c>
      <c r="C67" s="78" t="s">
        <v>1896</v>
      </c>
      <c r="D67" s="79" t="s">
        <v>753</v>
      </c>
      <c r="E67" s="79" t="s">
        <v>830</v>
      </c>
      <c r="F67" s="79" t="s">
        <v>1757</v>
      </c>
    </row>
    <row r="68" customFormat="false" ht="17.15" hidden="false" customHeight="false" outlineLevel="0" collapsed="false">
      <c r="A68" s="49" t="n">
        <v>67</v>
      </c>
      <c r="B68" s="78" t="s">
        <v>434</v>
      </c>
      <c r="C68" s="78" t="s">
        <v>418</v>
      </c>
      <c r="D68" s="79" t="s">
        <v>773</v>
      </c>
      <c r="E68" s="79" t="s">
        <v>815</v>
      </c>
      <c r="F68" s="79"/>
    </row>
    <row r="69" customFormat="false" ht="17.15" hidden="false" customHeight="false" outlineLevel="0" collapsed="false">
      <c r="A69" s="141" t="n">
        <v>68</v>
      </c>
      <c r="B69" s="97" t="s">
        <v>931</v>
      </c>
      <c r="C69" s="97" t="s">
        <v>1897</v>
      </c>
      <c r="D69" s="95" t="s">
        <v>750</v>
      </c>
      <c r="E69" s="97" t="s">
        <v>751</v>
      </c>
      <c r="F69" s="95" t="s">
        <v>1825</v>
      </c>
    </row>
    <row r="70" customFormat="false" ht="15" hidden="false" customHeight="false" outlineLevel="0" collapsed="false">
      <c r="A70" s="49" t="n">
        <v>69</v>
      </c>
      <c r="B70" s="78" t="s">
        <v>932</v>
      </c>
      <c r="C70" s="78" t="s">
        <v>1898</v>
      </c>
      <c r="D70" s="79" t="s">
        <v>808</v>
      </c>
      <c r="E70" s="79" t="s">
        <v>811</v>
      </c>
      <c r="F70" s="79"/>
    </row>
    <row r="71" customFormat="false" ht="17.15" hidden="false" customHeight="false" outlineLevel="0" collapsed="false">
      <c r="A71" s="49" t="n">
        <v>70</v>
      </c>
      <c r="B71" s="78" t="s">
        <v>860</v>
      </c>
      <c r="C71" s="78" t="s">
        <v>1744</v>
      </c>
      <c r="D71" s="79" t="s">
        <v>770</v>
      </c>
      <c r="E71" s="79" t="s">
        <v>771</v>
      </c>
      <c r="F71" s="79"/>
    </row>
    <row r="72" customFormat="false" ht="15" hidden="false" customHeight="false" outlineLevel="0" collapsed="false">
      <c r="A72" s="49" t="n">
        <v>71</v>
      </c>
      <c r="B72" s="78" t="s">
        <v>933</v>
      </c>
      <c r="C72" s="78" t="s">
        <v>1899</v>
      </c>
      <c r="D72" s="79" t="s">
        <v>784</v>
      </c>
      <c r="E72" s="79" t="s">
        <v>787</v>
      </c>
      <c r="F72" s="79" t="s">
        <v>1900</v>
      </c>
    </row>
    <row r="73" customFormat="false" ht="17.15" hidden="false" customHeight="false" outlineLevel="0" collapsed="false">
      <c r="A73" s="49" t="n">
        <v>72</v>
      </c>
      <c r="B73" s="78" t="s">
        <v>934</v>
      </c>
      <c r="C73" s="78" t="s">
        <v>1901</v>
      </c>
      <c r="D73" s="79" t="s">
        <v>753</v>
      </c>
      <c r="E73" s="79" t="s">
        <v>764</v>
      </c>
      <c r="F73" s="79" t="s">
        <v>1902</v>
      </c>
    </row>
    <row r="74" customFormat="false" ht="15" hidden="false" customHeight="false" outlineLevel="0" collapsed="false">
      <c r="A74" s="141" t="n">
        <v>73</v>
      </c>
      <c r="B74" s="97" t="s">
        <v>935</v>
      </c>
      <c r="C74" s="97" t="s">
        <v>1903</v>
      </c>
      <c r="D74" s="95" t="s">
        <v>799</v>
      </c>
      <c r="E74" s="97" t="s">
        <v>800</v>
      </c>
      <c r="F74" s="95" t="s">
        <v>1904</v>
      </c>
    </row>
    <row r="75" customFormat="false" ht="17.15" hidden="false" customHeight="false" outlineLevel="0" collapsed="false">
      <c r="A75" s="49" t="n">
        <v>74</v>
      </c>
      <c r="B75" s="78" t="s">
        <v>936</v>
      </c>
      <c r="C75" s="78" t="s">
        <v>198</v>
      </c>
      <c r="D75" s="78" t="s">
        <v>758</v>
      </c>
      <c r="E75" s="79" t="s">
        <v>759</v>
      </c>
      <c r="F75" s="78" t="s">
        <v>1799</v>
      </c>
    </row>
    <row r="76" customFormat="false" ht="15" hidden="false" customHeight="false" outlineLevel="0" collapsed="false">
      <c r="A76" s="49" t="n">
        <v>75</v>
      </c>
      <c r="B76" s="78" t="s">
        <v>937</v>
      </c>
      <c r="C76" s="78" t="s">
        <v>1800</v>
      </c>
      <c r="D76" s="79" t="s">
        <v>808</v>
      </c>
      <c r="E76" s="79" t="s">
        <v>809</v>
      </c>
      <c r="F76" s="79"/>
    </row>
    <row r="77" customFormat="false" ht="17.15" hidden="false" customHeight="false" outlineLevel="0" collapsed="false">
      <c r="A77" s="49" t="n">
        <v>76</v>
      </c>
      <c r="B77" s="78" t="s">
        <v>938</v>
      </c>
      <c r="C77" s="78" t="s">
        <v>1888</v>
      </c>
      <c r="D77" s="79" t="s">
        <v>761</v>
      </c>
      <c r="E77" s="79" t="s">
        <v>776</v>
      </c>
      <c r="F77" s="79"/>
    </row>
    <row r="78" customFormat="false" ht="15" hidden="false" customHeight="false" outlineLevel="0" collapsed="false">
      <c r="A78" s="141" t="n">
        <v>77</v>
      </c>
      <c r="B78" s="97" t="s">
        <v>939</v>
      </c>
      <c r="C78" s="97" t="s">
        <v>1905</v>
      </c>
      <c r="D78" s="95" t="s">
        <v>799</v>
      </c>
      <c r="E78" s="97" t="s">
        <v>800</v>
      </c>
      <c r="F78" s="95" t="s">
        <v>1904</v>
      </c>
    </row>
    <row r="79" customFormat="false" ht="17.15" hidden="false" customHeight="false" outlineLevel="0" collapsed="false">
      <c r="A79" s="49" t="n">
        <v>78</v>
      </c>
      <c r="B79" s="78" t="s">
        <v>940</v>
      </c>
      <c r="C79" s="78" t="s">
        <v>1906</v>
      </c>
      <c r="D79" s="79" t="s">
        <v>761</v>
      </c>
      <c r="E79" s="79" t="s">
        <v>821</v>
      </c>
      <c r="F79" s="79"/>
    </row>
    <row r="80" customFormat="false" ht="17.15" hidden="false" customHeight="false" outlineLevel="0" collapsed="false">
      <c r="A80" s="49" t="n">
        <v>79</v>
      </c>
      <c r="B80" s="78" t="s">
        <v>941</v>
      </c>
      <c r="C80" s="78" t="s">
        <v>1817</v>
      </c>
      <c r="D80" s="79" t="s">
        <v>753</v>
      </c>
      <c r="E80" s="79" t="s">
        <v>754</v>
      </c>
      <c r="F80" s="79" t="s">
        <v>1854</v>
      </c>
    </row>
    <row r="81" customFormat="false" ht="17.15" hidden="false" customHeight="false" outlineLevel="0" collapsed="false">
      <c r="A81" s="49" t="n">
        <v>80</v>
      </c>
      <c r="B81" s="78" t="s">
        <v>942</v>
      </c>
      <c r="C81" s="78" t="s">
        <v>1876</v>
      </c>
      <c r="D81" s="79" t="s">
        <v>761</v>
      </c>
      <c r="E81" s="79" t="s">
        <v>762</v>
      </c>
      <c r="F81" s="79"/>
    </row>
    <row r="82" customFormat="false" ht="17.15" hidden="false" customHeight="false" outlineLevel="0" collapsed="false">
      <c r="A82" s="49" t="n">
        <v>81</v>
      </c>
      <c r="B82" s="78" t="s">
        <v>943</v>
      </c>
      <c r="C82" s="78" t="s">
        <v>1907</v>
      </c>
      <c r="D82" s="79" t="s">
        <v>761</v>
      </c>
      <c r="E82" s="79" t="s">
        <v>819</v>
      </c>
      <c r="F82" s="79" t="s">
        <v>1908</v>
      </c>
    </row>
    <row r="83" customFormat="false" ht="15" hidden="false" customHeight="false" outlineLevel="0" collapsed="false">
      <c r="A83" s="49" t="n">
        <v>82</v>
      </c>
      <c r="B83" s="78" t="s">
        <v>944</v>
      </c>
      <c r="C83" s="78" t="s">
        <v>393</v>
      </c>
      <c r="D83" s="79" t="s">
        <v>753</v>
      </c>
      <c r="E83" s="79" t="s">
        <v>826</v>
      </c>
      <c r="F83" s="79" t="s">
        <v>1811</v>
      </c>
    </row>
    <row r="84" customFormat="false" ht="17.15" hidden="false" customHeight="false" outlineLevel="0" collapsed="false">
      <c r="A84" s="49" t="n">
        <v>83</v>
      </c>
      <c r="B84" s="78" t="s">
        <v>945</v>
      </c>
      <c r="C84" s="78" t="s">
        <v>1909</v>
      </c>
      <c r="D84" s="79" t="s">
        <v>773</v>
      </c>
      <c r="E84" s="79" t="s">
        <v>813</v>
      </c>
      <c r="F84" s="79" t="s">
        <v>1794</v>
      </c>
    </row>
    <row r="85" customFormat="false" ht="17.15" hidden="false" customHeight="false" outlineLevel="0" collapsed="false">
      <c r="A85" s="49" t="n">
        <v>84</v>
      </c>
      <c r="B85" s="78" t="s">
        <v>946</v>
      </c>
      <c r="C85" s="78" t="s">
        <v>1769</v>
      </c>
      <c r="D85" s="79" t="s">
        <v>753</v>
      </c>
      <c r="E85" s="79" t="s">
        <v>756</v>
      </c>
      <c r="F85" s="79"/>
    </row>
    <row r="86" customFormat="false" ht="17.15" hidden="false" customHeight="false" outlineLevel="0" collapsed="false">
      <c r="A86" s="49" t="n">
        <v>85</v>
      </c>
      <c r="B86" s="78" t="s">
        <v>947</v>
      </c>
      <c r="C86" s="78" t="s">
        <v>1800</v>
      </c>
      <c r="D86" s="78" t="s">
        <v>758</v>
      </c>
      <c r="E86" s="79" t="s">
        <v>759</v>
      </c>
      <c r="F86" s="78" t="s">
        <v>1799</v>
      </c>
    </row>
    <row r="87" customFormat="false" ht="17.15" hidden="false" customHeight="false" outlineLevel="0" collapsed="false">
      <c r="A87" s="49" t="n">
        <v>86</v>
      </c>
      <c r="B87" s="78" t="s">
        <v>857</v>
      </c>
      <c r="C87" s="78" t="s">
        <v>198</v>
      </c>
      <c r="D87" s="79" t="s">
        <v>761</v>
      </c>
      <c r="E87" s="79" t="s">
        <v>778</v>
      </c>
      <c r="F87" s="79"/>
    </row>
    <row r="88" customFormat="false" ht="17.15" hidden="false" customHeight="false" outlineLevel="0" collapsed="false">
      <c r="A88" s="49" t="n">
        <v>87</v>
      </c>
      <c r="B88" s="78" t="s">
        <v>948</v>
      </c>
      <c r="C88" s="78" t="s">
        <v>1910</v>
      </c>
      <c r="D88" s="78" t="s">
        <v>758</v>
      </c>
      <c r="E88" s="79" t="s">
        <v>759</v>
      </c>
      <c r="F88" s="78" t="s">
        <v>1799</v>
      </c>
    </row>
    <row r="89" customFormat="false" ht="17.15" hidden="false" customHeight="false" outlineLevel="0" collapsed="false">
      <c r="A89" s="49" t="n">
        <v>88</v>
      </c>
      <c r="B89" s="78" t="s">
        <v>949</v>
      </c>
      <c r="C89" s="78" t="s">
        <v>198</v>
      </c>
      <c r="D89" s="79" t="s">
        <v>761</v>
      </c>
      <c r="E89" s="79" t="s">
        <v>766</v>
      </c>
      <c r="F89" s="79"/>
    </row>
    <row r="90" customFormat="false" ht="17.15" hidden="false" customHeight="false" outlineLevel="0" collapsed="false">
      <c r="A90" s="49" t="n">
        <v>89</v>
      </c>
      <c r="B90" s="78" t="s">
        <v>950</v>
      </c>
      <c r="C90" s="78" t="s">
        <v>1911</v>
      </c>
      <c r="D90" s="78" t="s">
        <v>758</v>
      </c>
      <c r="E90" s="79" t="s">
        <v>759</v>
      </c>
      <c r="F90" s="79"/>
    </row>
    <row r="91" customFormat="false" ht="17.15" hidden="false" customHeight="false" outlineLevel="0" collapsed="false">
      <c r="A91" s="141" t="n">
        <v>90</v>
      </c>
      <c r="B91" s="97" t="s">
        <v>951</v>
      </c>
      <c r="C91" s="97" t="s">
        <v>1901</v>
      </c>
      <c r="D91" s="95" t="s">
        <v>750</v>
      </c>
      <c r="E91" s="97" t="s">
        <v>751</v>
      </c>
      <c r="F91" s="95" t="s">
        <v>1912</v>
      </c>
    </row>
    <row r="92" customFormat="false" ht="17.15" hidden="false" customHeight="false" outlineLevel="0" collapsed="false">
      <c r="A92" s="49" t="n">
        <v>91</v>
      </c>
      <c r="B92" s="78" t="s">
        <v>952</v>
      </c>
      <c r="C92" s="78" t="s">
        <v>1764</v>
      </c>
      <c r="D92" s="79" t="s">
        <v>753</v>
      </c>
      <c r="E92" s="79" t="s">
        <v>756</v>
      </c>
      <c r="F92" s="79" t="s">
        <v>1743</v>
      </c>
    </row>
    <row r="93" customFormat="false" ht="15" hidden="false" customHeight="false" outlineLevel="0" collapsed="false">
      <c r="A93" s="49" t="n">
        <v>92</v>
      </c>
      <c r="B93" s="78" t="s">
        <v>953</v>
      </c>
      <c r="C93" s="78" t="s">
        <v>1913</v>
      </c>
      <c r="D93" s="79" t="s">
        <v>750</v>
      </c>
      <c r="E93" s="78" t="s">
        <v>751</v>
      </c>
      <c r="F93" s="79"/>
    </row>
    <row r="94" customFormat="false" ht="17.15" hidden="false" customHeight="false" outlineLevel="0" collapsed="false">
      <c r="A94" s="49" t="n">
        <v>93</v>
      </c>
      <c r="B94" s="78" t="s">
        <v>954</v>
      </c>
      <c r="C94" s="78" t="s">
        <v>198</v>
      </c>
      <c r="D94" s="79" t="s">
        <v>750</v>
      </c>
      <c r="E94" s="78" t="s">
        <v>751</v>
      </c>
      <c r="F94" s="78" t="s">
        <v>1799</v>
      </c>
    </row>
    <row r="95" customFormat="false" ht="15" hidden="false" customHeight="false" outlineLevel="0" collapsed="false">
      <c r="A95" s="49" t="n">
        <v>94</v>
      </c>
      <c r="B95" s="78" t="s">
        <v>867</v>
      </c>
      <c r="C95" s="78" t="s">
        <v>1914</v>
      </c>
      <c r="D95" s="79" t="s">
        <v>753</v>
      </c>
      <c r="E95" s="79" t="s">
        <v>793</v>
      </c>
      <c r="F95" s="79" t="s">
        <v>1808</v>
      </c>
    </row>
    <row r="96" customFormat="false" ht="15" hidden="false" customHeight="false" outlineLevel="0" collapsed="false">
      <c r="A96" s="49" t="n">
        <v>95</v>
      </c>
      <c r="B96" s="78" t="s">
        <v>955</v>
      </c>
      <c r="C96" s="78" t="s">
        <v>194</v>
      </c>
      <c r="D96" s="79" t="s">
        <v>753</v>
      </c>
      <c r="E96" s="79" t="s">
        <v>764</v>
      </c>
      <c r="F96" s="79" t="s">
        <v>1752</v>
      </c>
    </row>
    <row r="97" customFormat="false" ht="15" hidden="false" customHeight="false" outlineLevel="0" collapsed="false">
      <c r="A97" s="49" t="n">
        <v>96</v>
      </c>
      <c r="B97" s="78" t="s">
        <v>417</v>
      </c>
      <c r="C97" s="78" t="s">
        <v>418</v>
      </c>
      <c r="D97" s="79" t="s">
        <v>750</v>
      </c>
      <c r="E97" s="79" t="s">
        <v>817</v>
      </c>
      <c r="F97" s="79"/>
    </row>
    <row r="98" customFormat="false" ht="17.15" hidden="false" customHeight="false" outlineLevel="0" collapsed="false">
      <c r="A98" s="49" t="n">
        <v>97</v>
      </c>
      <c r="B98" s="78" t="s">
        <v>956</v>
      </c>
      <c r="C98" s="78" t="s">
        <v>1915</v>
      </c>
      <c r="D98" s="79" t="s">
        <v>753</v>
      </c>
      <c r="E98" s="79" t="s">
        <v>756</v>
      </c>
      <c r="F98" s="79"/>
    </row>
    <row r="99" customFormat="false" ht="17.15" hidden="false" customHeight="false" outlineLevel="0" collapsed="false">
      <c r="A99" s="49" t="n">
        <v>98</v>
      </c>
      <c r="B99" s="78" t="s">
        <v>957</v>
      </c>
      <c r="C99" s="78" t="s">
        <v>1740</v>
      </c>
      <c r="D99" s="79" t="s">
        <v>770</v>
      </c>
      <c r="E99" s="79" t="s">
        <v>771</v>
      </c>
      <c r="F99" s="79"/>
    </row>
    <row r="100" customFormat="false" ht="17.15" hidden="false" customHeight="false" outlineLevel="0" collapsed="false">
      <c r="A100" s="49" t="n">
        <v>99</v>
      </c>
      <c r="B100" s="78" t="s">
        <v>958</v>
      </c>
      <c r="C100" s="78" t="s">
        <v>1916</v>
      </c>
      <c r="D100" s="79" t="s">
        <v>753</v>
      </c>
      <c r="E100" s="79" t="s">
        <v>754</v>
      </c>
      <c r="F100" s="78" t="s">
        <v>1917</v>
      </c>
    </row>
    <row r="101" customFormat="false" ht="15" hidden="false" customHeight="false" outlineLevel="0" collapsed="false">
      <c r="A101" s="49" t="n">
        <v>100</v>
      </c>
      <c r="B101" s="78" t="s">
        <v>959</v>
      </c>
      <c r="C101" s="78" t="s">
        <v>1878</v>
      </c>
      <c r="D101" s="78" t="s">
        <v>758</v>
      </c>
      <c r="E101" s="79" t="s">
        <v>782</v>
      </c>
      <c r="F101" s="7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O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0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8" min="7" style="0" width="18"/>
    <col collapsed="false" customWidth="true" hidden="false" outlineLevel="0" max="9" min="9" style="0" width="40"/>
    <col collapsed="false" customWidth="true" hidden="false" outlineLevel="0" max="11" min="11" style="0" width="18"/>
    <col collapsed="false" customWidth="true" hidden="false" outlineLevel="0" max="12" min="12" style="0" width="9"/>
    <col collapsed="false" customWidth="true" hidden="false" outlineLevel="0" max="13" min="13" style="0" width="44"/>
  </cols>
  <sheetData>
    <row r="1" customFormat="false" ht="19.4" hidden="false" customHeight="false" outlineLevel="0" collapsed="false">
      <c r="A1" s="43" t="s">
        <v>1918</v>
      </c>
      <c r="O1" s="122" t="s">
        <v>1919</v>
      </c>
    </row>
    <row r="2" customFormat="false" ht="17.15" hidden="false" customHeight="false" outlineLevel="0" collapsed="false">
      <c r="A2" s="90" t="s">
        <v>1920</v>
      </c>
      <c r="B2" s="146" t="n">
        <v>30</v>
      </c>
      <c r="C2" s="22" t="s">
        <v>1921</v>
      </c>
    </row>
    <row r="3" customFormat="false" ht="17.15" hidden="false" customHeight="false" outlineLevel="0" collapsed="false">
      <c r="A3" s="90" t="s">
        <v>1922</v>
      </c>
      <c r="B3" s="146" t="n">
        <v>30</v>
      </c>
    </row>
    <row r="5" customFormat="false" ht="45.5" hidden="false" customHeight="false" outlineLevel="0" collapsed="false">
      <c r="A5" s="74" t="s">
        <v>835</v>
      </c>
      <c r="B5" s="74" t="s">
        <v>1923</v>
      </c>
      <c r="C5" s="74" t="s">
        <v>1924</v>
      </c>
      <c r="D5" s="75" t="s">
        <v>1925</v>
      </c>
      <c r="E5" s="74" t="s">
        <v>1926</v>
      </c>
      <c r="F5" s="75" t="s">
        <v>1927</v>
      </c>
      <c r="G5" s="74" t="s">
        <v>1928</v>
      </c>
      <c r="H5" s="74" t="s">
        <v>1929</v>
      </c>
      <c r="I5" s="74" t="s">
        <v>6</v>
      </c>
      <c r="K5" s="74" t="s">
        <v>1930</v>
      </c>
      <c r="L5" s="74" t="s">
        <v>503</v>
      </c>
      <c r="M5" s="74" t="s">
        <v>705</v>
      </c>
    </row>
    <row r="6" customFormat="false" ht="17.15" hidden="false" customHeight="false" outlineLevel="0" collapsed="false">
      <c r="A6" s="78" t="s">
        <v>197</v>
      </c>
      <c r="B6" s="49" t="n">
        <v>1</v>
      </c>
      <c r="C6" s="49" t="n">
        <v>26</v>
      </c>
      <c r="D6" s="147" t="n">
        <v>130000000</v>
      </c>
      <c r="E6" s="95" t="str">
        <f aca="false">IF(D6="","",IF(D6&gt;=1000000000,"1B+",IF(D6&gt;=500000000,"500M+",IF(D6&gt;=100000000,"100M+",IF(D6&gt;=50000000,"50M+",IF(D6&gt;=10000000,"10M+",IF(D6&gt;=5000000,"5M+",IF(D6&gt;=1000000,"1M+","1M 미만"))))))))</f>
        <v>100M+</v>
      </c>
      <c r="F6" s="78" t="s">
        <v>1931</v>
      </c>
      <c r="G6" s="78" t="s">
        <v>1932</v>
      </c>
      <c r="H6" s="79" t="str">
        <f aca="false">IF(AND(ISNUMBER(B6),B6&lt;=$B$2,ISNUMBER(C6),C6&lt;=$B$3),"① 둘 다 높음",IF(AND(ISNUMBER(B6),B6&lt;=$B$2),"② 매출만 높음",IF(AND(ISNUMBER(C6),C6&lt;=$B$3),"③ 다운로드만 높음","④ 둘 다 기준 밖")))</f>
        <v>① 둘 다 높음</v>
      </c>
      <c r="I6" s="78" t="s">
        <v>1933</v>
      </c>
      <c r="K6" s="17" t="s">
        <v>1934</v>
      </c>
      <c r="L6" s="17" t="n">
        <f aca="false">COUNTIF($H$6:$H$177,K6)</f>
        <v>4</v>
      </c>
      <c r="M6" s="17" t="s">
        <v>1935</v>
      </c>
    </row>
    <row r="7" customFormat="false" ht="32.8" hidden="false" customHeight="false" outlineLevel="0" collapsed="false">
      <c r="A7" s="78" t="s">
        <v>880</v>
      </c>
      <c r="B7" s="49" t="n">
        <v>2</v>
      </c>
      <c r="C7" s="49" t="n">
        <v>4</v>
      </c>
      <c r="D7" s="147" t="n">
        <v>1700000000</v>
      </c>
      <c r="E7" s="95" t="str">
        <f aca="false">IF(D7="","",IF(D7&gt;=1000000000,"1B+",IF(D7&gt;=500000000,"500M+",IF(D7&gt;=100000000,"100M+",IF(D7&gt;=50000000,"50M+",IF(D7&gt;=10000000,"10M+",IF(D7&gt;=5000000,"5M+",IF(D7&gt;=1000000,"1M+","1M 미만"))))))))</f>
        <v>1B+</v>
      </c>
      <c r="F7" s="78" t="s">
        <v>1936</v>
      </c>
      <c r="G7" s="78" t="s">
        <v>1937</v>
      </c>
      <c r="H7" s="79" t="str">
        <f aca="false">IF(AND(ISNUMBER(B7),B7&lt;=$B$2,ISNUMBER(C7),C7&lt;=$B$3),"① 둘 다 높음",IF(AND(ISNUMBER(B7),B7&lt;=$B$2),"② 매출만 높음",IF(AND(ISNUMBER(C7),C7&lt;=$B$3),"③ 다운로드만 높음","④ 둘 다 기준 밖")))</f>
        <v>① 둘 다 높음</v>
      </c>
      <c r="I7" s="78" t="s">
        <v>1938</v>
      </c>
      <c r="K7" s="17" t="s">
        <v>1939</v>
      </c>
      <c r="L7" s="17" t="n">
        <f aca="false">COUNTIF($H$6:$H$177,K7)</f>
        <v>25</v>
      </c>
      <c r="M7" s="17" t="s">
        <v>1940</v>
      </c>
    </row>
    <row r="8" customFormat="false" ht="32.8" hidden="false" customHeight="false" outlineLevel="0" collapsed="false">
      <c r="A8" s="78" t="s">
        <v>374</v>
      </c>
      <c r="B8" s="49" t="n">
        <v>3</v>
      </c>
      <c r="C8" s="49" t="n">
        <v>48</v>
      </c>
      <c r="D8" s="147" t="n">
        <v>2300000000</v>
      </c>
      <c r="E8" s="95" t="str">
        <f aca="false">IF(D8="","",IF(D8&gt;=1000000000,"1B+",IF(D8&gt;=500000000,"500M+",IF(D8&gt;=100000000,"100M+",IF(D8&gt;=50000000,"50M+",IF(D8&gt;=10000000,"10M+",IF(D8&gt;=5000000,"5M+",IF(D8&gt;=1000000,"1M+","1M 미만"))))))))</f>
        <v>1B+</v>
      </c>
      <c r="F8" s="78" t="s">
        <v>1936</v>
      </c>
      <c r="G8" s="78" t="s">
        <v>1941</v>
      </c>
      <c r="H8" s="79" t="str">
        <f aca="false">IF(AND(ISNUMBER(B8),B8&lt;=$B$2,ISNUMBER(C8),C8&lt;=$B$3),"① 둘 다 높음",IF(AND(ISNUMBER(B8),B8&lt;=$B$2),"② 매출만 높음",IF(AND(ISNUMBER(C8),C8&lt;=$B$3),"③ 다운로드만 높음","④ 둘 다 기준 밖")))</f>
        <v>② 매출만 높음</v>
      </c>
      <c r="I8" s="78" t="s">
        <v>1942</v>
      </c>
      <c r="K8" s="17" t="s">
        <v>1943</v>
      </c>
      <c r="L8" s="17" t="n">
        <f aca="false">COUNTIF($H$6:$H$177,K8)</f>
        <v>26</v>
      </c>
      <c r="M8" s="37" t="s">
        <v>1944</v>
      </c>
    </row>
    <row r="9" customFormat="false" ht="17.15" hidden="false" customHeight="false" outlineLevel="0" collapsed="false">
      <c r="A9" s="78" t="s">
        <v>189</v>
      </c>
      <c r="B9" s="49" t="n">
        <v>4</v>
      </c>
      <c r="C9" s="49" t="n">
        <v>42</v>
      </c>
      <c r="D9" s="147" t="n">
        <v>370000000</v>
      </c>
      <c r="E9" s="95" t="str">
        <f aca="false">IF(D9="","",IF(D9&gt;=1000000000,"1B+",IF(D9&gt;=500000000,"500M+",IF(D9&gt;=100000000,"100M+",IF(D9&gt;=50000000,"50M+",IF(D9&gt;=10000000,"10M+",IF(D9&gt;=5000000,"5M+",IF(D9&gt;=1000000,"1M+","1M 미만"))))))))</f>
        <v>100M+</v>
      </c>
      <c r="F9" s="78" t="s">
        <v>1931</v>
      </c>
      <c r="G9" s="78" t="s">
        <v>1945</v>
      </c>
      <c r="H9" s="79" t="str">
        <f aca="false">IF(AND(ISNUMBER(B9),B9&lt;=$B$2,ISNUMBER(C9),C9&lt;=$B$3),"① 둘 다 높음",IF(AND(ISNUMBER(B9),B9&lt;=$B$2),"② 매출만 높음",IF(AND(ISNUMBER(C9),C9&lt;=$B$3),"③ 다운로드만 높음","④ 둘 다 기준 밖")))</f>
        <v>② 매출만 높음</v>
      </c>
      <c r="I9" s="78" t="s">
        <v>1946</v>
      </c>
      <c r="K9" s="17" t="s">
        <v>1947</v>
      </c>
      <c r="L9" s="17" t="n">
        <f aca="false">COUNTIF($H$6:$H$177,K9)</f>
        <v>117</v>
      </c>
      <c r="M9" s="17" t="s">
        <v>1948</v>
      </c>
    </row>
    <row r="10" customFormat="false" ht="17.15" hidden="false" customHeight="false" outlineLevel="0" collapsed="false">
      <c r="A10" s="78" t="s">
        <v>881</v>
      </c>
      <c r="B10" s="49" t="n">
        <v>5</v>
      </c>
      <c r="C10" s="49" t="n">
        <v>17</v>
      </c>
      <c r="D10" s="147" t="n">
        <v>91000000</v>
      </c>
      <c r="E10" s="95" t="str">
        <f aca="false">IF(D10="","",IF(D10&gt;=1000000000,"1B+",IF(D10&gt;=500000000,"500M+",IF(D10&gt;=100000000,"100M+",IF(D10&gt;=50000000,"50M+",IF(D10&gt;=10000000,"10M+",IF(D10&gt;=5000000,"5M+",IF(D10&gt;=1000000,"1M+","1M 미만"))))))))</f>
        <v>50M+</v>
      </c>
      <c r="F10" s="78" t="s">
        <v>1949</v>
      </c>
      <c r="G10" s="78" t="s">
        <v>1950</v>
      </c>
      <c r="H10" s="79" t="str">
        <f aca="false">IF(AND(ISNUMBER(B10),B10&lt;=$B$2,ISNUMBER(C10),C10&lt;=$B$3),"① 둘 다 높음",IF(AND(ISNUMBER(B10),B10&lt;=$B$2),"② 매출만 높음",IF(AND(ISNUMBER(C10),C10&lt;=$B$3),"③ 다운로드만 높음","④ 둘 다 기준 밖")))</f>
        <v>① 둘 다 높음</v>
      </c>
      <c r="I10" s="78" t="s">
        <v>1951</v>
      </c>
      <c r="K10" s="79" t="s">
        <v>736</v>
      </c>
      <c r="L10" s="79" t="n">
        <f aca="false">SUM(L6:L9)</f>
        <v>172</v>
      </c>
      <c r="M10" s="79"/>
    </row>
    <row r="11" customFormat="false" ht="17.15" hidden="false" customHeight="false" outlineLevel="0" collapsed="false">
      <c r="A11" s="78" t="s">
        <v>882</v>
      </c>
      <c r="B11" s="49" t="n">
        <v>6</v>
      </c>
      <c r="C11" s="49" t="n">
        <v>22</v>
      </c>
      <c r="D11" s="147" t="n">
        <v>520000000</v>
      </c>
      <c r="E11" s="95" t="str">
        <f aca="false">IF(D11="","",IF(D11&gt;=1000000000,"1B+",IF(D11&gt;=500000000,"500M+",IF(D11&gt;=100000000,"100M+",IF(D11&gt;=50000000,"50M+",IF(D11&gt;=10000000,"10M+",IF(D11&gt;=5000000,"5M+",IF(D11&gt;=1000000,"1M+","1M 미만"))))))))</f>
        <v>500M+</v>
      </c>
      <c r="F11" s="78" t="s">
        <v>1952</v>
      </c>
      <c r="G11" s="78" t="s">
        <v>1953</v>
      </c>
      <c r="H11" s="79" t="str">
        <f aca="false">IF(AND(ISNUMBER(B11),B11&lt;=$B$2,ISNUMBER(C11),C11&lt;=$B$3),"① 둘 다 높음",IF(AND(ISNUMBER(B11),B11&lt;=$B$2),"② 매출만 높음",IF(AND(ISNUMBER(C11),C11&lt;=$B$3),"③ 다운로드만 높음","④ 둘 다 기준 밖")))</f>
        <v>① 둘 다 높음</v>
      </c>
      <c r="I11" s="78" t="s">
        <v>1954</v>
      </c>
    </row>
    <row r="12" customFormat="false" ht="17.15" hidden="false" customHeight="false" outlineLevel="0" collapsed="false">
      <c r="A12" s="78" t="s">
        <v>392</v>
      </c>
      <c r="B12" s="49" t="n">
        <v>7</v>
      </c>
      <c r="C12" s="49" t="s">
        <v>800</v>
      </c>
      <c r="D12" s="147" t="n">
        <v>350000000</v>
      </c>
      <c r="E12" s="95" t="str">
        <f aca="false">IF(D12="","",IF(D12&gt;=1000000000,"1B+",IF(D12&gt;=500000000,"500M+",IF(D12&gt;=100000000,"100M+",IF(D12&gt;=50000000,"50M+",IF(D12&gt;=10000000,"10M+",IF(D12&gt;=5000000,"5M+",IF(D12&gt;=1000000,"1M+","1M 미만"))))))))</f>
        <v>100M+</v>
      </c>
      <c r="F12" s="78" t="s">
        <v>1931</v>
      </c>
      <c r="G12" s="78" t="s">
        <v>1955</v>
      </c>
      <c r="H12" s="79" t="str">
        <f aca="false">IF(AND(ISNUMBER(B12),B12&lt;=$B$2,ISNUMBER(C12),C12&lt;=$B$3),"① 둘 다 높음",IF(AND(ISNUMBER(B12),B12&lt;=$B$2),"② 매출만 높음",IF(AND(ISNUMBER(C12),C12&lt;=$B$3),"③ 다운로드만 높음","④ 둘 다 기준 밖")))</f>
        <v>② 매출만 높음</v>
      </c>
      <c r="I12" s="78" t="s">
        <v>1956</v>
      </c>
      <c r="K12" s="22" t="s">
        <v>1957</v>
      </c>
    </row>
    <row r="13" customFormat="false" ht="17.15" hidden="false" customHeight="false" outlineLevel="0" collapsed="false">
      <c r="A13" s="78" t="s">
        <v>409</v>
      </c>
      <c r="B13" s="49" t="n">
        <v>8</v>
      </c>
      <c r="C13" s="49" t="s">
        <v>800</v>
      </c>
      <c r="D13" s="147" t="n">
        <v>59000000</v>
      </c>
      <c r="E13" s="95" t="str">
        <f aca="false">IF(D13="","",IF(D13&gt;=1000000000,"1B+",IF(D13&gt;=500000000,"500M+",IF(D13&gt;=100000000,"100M+",IF(D13&gt;=50000000,"50M+",IF(D13&gt;=10000000,"10M+",IF(D13&gt;=5000000,"5M+",IF(D13&gt;=1000000,"1M+","1M 미만"))))))))</f>
        <v>50M+</v>
      </c>
      <c r="F13" s="78" t="s">
        <v>1949</v>
      </c>
      <c r="G13" s="78" t="s">
        <v>1958</v>
      </c>
      <c r="H13" s="79" t="str">
        <f aca="false">IF(AND(ISNUMBER(B13),B13&lt;=$B$2,ISNUMBER(C13),C13&lt;=$B$3),"① 둘 다 높음",IF(AND(ISNUMBER(B13),B13&lt;=$B$2),"② 매출만 높음",IF(AND(ISNUMBER(C13),C13&lt;=$B$3),"③ 다운로드만 높음","④ 둘 다 기준 밖")))</f>
        <v>② 매출만 높음</v>
      </c>
      <c r="I13" s="78" t="s">
        <v>1959</v>
      </c>
      <c r="K13" s="38" t="s">
        <v>1960</v>
      </c>
    </row>
    <row r="14" customFormat="false" ht="17.15" hidden="false" customHeight="false" outlineLevel="0" collapsed="false">
      <c r="A14" s="78" t="s">
        <v>383</v>
      </c>
      <c r="B14" s="49" t="n">
        <v>9</v>
      </c>
      <c r="C14" s="49" t="n">
        <v>47</v>
      </c>
      <c r="D14" s="147" t="n">
        <v>110000000</v>
      </c>
      <c r="E14" s="95" t="str">
        <f aca="false">IF(D14="","",IF(D14&gt;=1000000000,"1B+",IF(D14&gt;=500000000,"500M+",IF(D14&gt;=100000000,"100M+",IF(D14&gt;=50000000,"50M+",IF(D14&gt;=10000000,"10M+",IF(D14&gt;=5000000,"5M+",IF(D14&gt;=1000000,"1M+","1M 미만"))))))))</f>
        <v>100M+</v>
      </c>
      <c r="F14" s="78" t="s">
        <v>1931</v>
      </c>
      <c r="G14" s="78" t="s">
        <v>1961</v>
      </c>
      <c r="H14" s="79" t="str">
        <f aca="false">IF(AND(ISNUMBER(B14),B14&lt;=$B$2,ISNUMBER(C14),C14&lt;=$B$3),"① 둘 다 높음",IF(AND(ISNUMBER(B14),B14&lt;=$B$2),"② 매출만 높음",IF(AND(ISNUMBER(C14),C14&lt;=$B$3),"③ 다운로드만 높음","④ 둘 다 기준 밖")))</f>
        <v>② 매출만 높음</v>
      </c>
      <c r="I14" s="78" t="s">
        <v>1962</v>
      </c>
      <c r="K14" s="38" t="s">
        <v>1963</v>
      </c>
    </row>
    <row r="15" customFormat="false" ht="17.15" hidden="false" customHeight="false" outlineLevel="0" collapsed="false">
      <c r="A15" s="78" t="s">
        <v>200</v>
      </c>
      <c r="B15" s="49" t="n">
        <v>10</v>
      </c>
      <c r="C15" s="49" t="n">
        <v>63</v>
      </c>
      <c r="D15" s="147" t="n">
        <v>100000000</v>
      </c>
      <c r="E15" s="95" t="str">
        <f aca="false">IF(D15="","",IF(D15&gt;=1000000000,"1B+",IF(D15&gt;=500000000,"500M+",IF(D15&gt;=100000000,"100M+",IF(D15&gt;=50000000,"50M+",IF(D15&gt;=10000000,"10M+",IF(D15&gt;=5000000,"5M+",IF(D15&gt;=1000000,"1M+","1M 미만"))))))))</f>
        <v>100M+</v>
      </c>
      <c r="F15" s="78" t="s">
        <v>1931</v>
      </c>
      <c r="G15" s="78" t="s">
        <v>1964</v>
      </c>
      <c r="H15" s="79" t="str">
        <f aca="false">IF(AND(ISNUMBER(B15),B15&lt;=$B$2,ISNUMBER(C15),C15&lt;=$B$3),"① 둘 다 높음",IF(AND(ISNUMBER(B15),B15&lt;=$B$2),"② 매출만 높음",IF(AND(ISNUMBER(C15),C15&lt;=$B$3),"③ 다운로드만 높음","④ 둘 다 기준 밖")))</f>
        <v>② 매출만 높음</v>
      </c>
      <c r="I15" s="78" t="s">
        <v>1965</v>
      </c>
      <c r="K15" s="38" t="s">
        <v>1966</v>
      </c>
    </row>
    <row r="16" customFormat="false" ht="17.15" hidden="false" customHeight="false" outlineLevel="0" collapsed="false">
      <c r="A16" s="78" t="s">
        <v>442</v>
      </c>
      <c r="B16" s="49" t="n">
        <v>11</v>
      </c>
      <c r="C16" s="49" t="s">
        <v>800</v>
      </c>
      <c r="D16" s="147" t="n">
        <v>560000000</v>
      </c>
      <c r="E16" s="95" t="str">
        <f aca="false">IF(D16="","",IF(D16&gt;=1000000000,"1B+",IF(D16&gt;=500000000,"500M+",IF(D16&gt;=100000000,"100M+",IF(D16&gt;=50000000,"50M+",IF(D16&gt;=10000000,"10M+",IF(D16&gt;=5000000,"5M+",IF(D16&gt;=1000000,"1M+","1M 미만"))))))))</f>
        <v>500M+</v>
      </c>
      <c r="F16" s="78" t="s">
        <v>1952</v>
      </c>
      <c r="G16" s="78" t="s">
        <v>1967</v>
      </c>
      <c r="H16" s="79" t="str">
        <f aca="false">IF(AND(ISNUMBER(B16),B16&lt;=$B$2,ISNUMBER(C16),C16&lt;=$B$3),"① 둘 다 높음",IF(AND(ISNUMBER(B16),B16&lt;=$B$2),"② 매출만 높음",IF(AND(ISNUMBER(C16),C16&lt;=$B$3),"③ 다운로드만 높음","④ 둘 다 기준 밖")))</f>
        <v>② 매출만 높음</v>
      </c>
      <c r="I16" s="78" t="s">
        <v>1968</v>
      </c>
      <c r="K16" s="22" t="s">
        <v>1969</v>
      </c>
    </row>
    <row r="17" customFormat="false" ht="17.15" hidden="false" customHeight="false" outlineLevel="0" collapsed="false">
      <c r="A17" s="78" t="s">
        <v>883</v>
      </c>
      <c r="B17" s="49" t="n">
        <v>12</v>
      </c>
      <c r="C17" s="49" t="s">
        <v>800</v>
      </c>
      <c r="D17" s="147" t="n">
        <v>110000000</v>
      </c>
      <c r="E17" s="95" t="str">
        <f aca="false">IF(D17="","",IF(D17&gt;=1000000000,"1B+",IF(D17&gt;=500000000,"500M+",IF(D17&gt;=100000000,"100M+",IF(D17&gt;=50000000,"50M+",IF(D17&gt;=10000000,"10M+",IF(D17&gt;=5000000,"5M+",IF(D17&gt;=1000000,"1M+","1M 미만"))))))))</f>
        <v>100M+</v>
      </c>
      <c r="F17" s="78" t="s">
        <v>1931</v>
      </c>
      <c r="G17" s="78" t="s">
        <v>1970</v>
      </c>
      <c r="H17" s="79" t="str">
        <f aca="false">IF(AND(ISNUMBER(B17),B17&lt;=$B$2,ISNUMBER(C17),C17&lt;=$B$3),"① 둘 다 높음",IF(AND(ISNUMBER(B17),B17&lt;=$B$2),"② 매출만 높음",IF(AND(ISNUMBER(C17),C17&lt;=$B$3),"③ 다운로드만 높음","④ 둘 다 기준 밖")))</f>
        <v>② 매출만 높음</v>
      </c>
      <c r="I17" s="78" t="s">
        <v>1971</v>
      </c>
      <c r="K17" s="38" t="s">
        <v>1972</v>
      </c>
    </row>
    <row r="18" customFormat="false" ht="17.15" hidden="false" customHeight="false" outlineLevel="0" collapsed="false">
      <c r="A18" s="78" t="s">
        <v>884</v>
      </c>
      <c r="B18" s="49" t="n">
        <v>13</v>
      </c>
      <c r="C18" s="49" t="s">
        <v>800</v>
      </c>
      <c r="D18" s="147" t="n">
        <v>93000000</v>
      </c>
      <c r="E18" s="95" t="str">
        <f aca="false">IF(D18="","",IF(D18&gt;=1000000000,"1B+",IF(D18&gt;=500000000,"500M+",IF(D18&gt;=100000000,"100M+",IF(D18&gt;=50000000,"50M+",IF(D18&gt;=10000000,"10M+",IF(D18&gt;=5000000,"5M+",IF(D18&gt;=1000000,"1M+","1M 미만"))))))))</f>
        <v>50M+</v>
      </c>
      <c r="F18" s="78" t="s">
        <v>1949</v>
      </c>
      <c r="G18" s="78" t="s">
        <v>1973</v>
      </c>
      <c r="H18" s="79" t="str">
        <f aca="false">IF(AND(ISNUMBER(B18),B18&lt;=$B$2,ISNUMBER(C18),C18&lt;=$B$3),"① 둘 다 높음",IF(AND(ISNUMBER(B18),B18&lt;=$B$2),"② 매출만 높음",IF(AND(ISNUMBER(C18),C18&lt;=$B$3),"③ 다운로드만 높음","④ 둘 다 기준 밖")))</f>
        <v>② 매출만 높음</v>
      </c>
      <c r="I18" s="78" t="s">
        <v>1974</v>
      </c>
      <c r="K18" s="38" t="s">
        <v>1975</v>
      </c>
    </row>
    <row r="19" customFormat="false" ht="17.15" hidden="false" customHeight="false" outlineLevel="0" collapsed="false">
      <c r="A19" s="78" t="s">
        <v>885</v>
      </c>
      <c r="B19" s="49" t="n">
        <v>14</v>
      </c>
      <c r="C19" s="49" t="s">
        <v>800</v>
      </c>
      <c r="D19" s="147" t="n">
        <v>130000000</v>
      </c>
      <c r="E19" s="95" t="str">
        <f aca="false">IF(D19="","",IF(D19&gt;=1000000000,"1B+",IF(D19&gt;=500000000,"500M+",IF(D19&gt;=100000000,"100M+",IF(D19&gt;=50000000,"50M+",IF(D19&gt;=10000000,"10M+",IF(D19&gt;=5000000,"5M+",IF(D19&gt;=1000000,"1M+","1M 미만"))))))))</f>
        <v>100M+</v>
      </c>
      <c r="F19" s="78" t="s">
        <v>1931</v>
      </c>
      <c r="G19" s="78" t="s">
        <v>1976</v>
      </c>
      <c r="H19" s="79" t="str">
        <f aca="false">IF(AND(ISNUMBER(B19),B19&lt;=$B$2,ISNUMBER(C19),C19&lt;=$B$3),"① 둘 다 높음",IF(AND(ISNUMBER(B19),B19&lt;=$B$2),"② 매출만 높음",IF(AND(ISNUMBER(C19),C19&lt;=$B$3),"③ 다운로드만 높음","④ 둘 다 기준 밖")))</f>
        <v>② 매출만 높음</v>
      </c>
      <c r="I19" s="78" t="s">
        <v>1977</v>
      </c>
      <c r="K19" s="22" t="s">
        <v>1978</v>
      </c>
    </row>
    <row r="20" customFormat="false" ht="17.15" hidden="false" customHeight="false" outlineLevel="0" collapsed="false">
      <c r="A20" s="78" t="s">
        <v>886</v>
      </c>
      <c r="B20" s="49" t="n">
        <v>15</v>
      </c>
      <c r="C20" s="49" t="s">
        <v>800</v>
      </c>
      <c r="D20" s="147" t="n">
        <v>72000000</v>
      </c>
      <c r="E20" s="95" t="str">
        <f aca="false">IF(D20="","",IF(D20&gt;=1000000000,"1B+",IF(D20&gt;=500000000,"500M+",IF(D20&gt;=100000000,"100M+",IF(D20&gt;=50000000,"50M+",IF(D20&gt;=10000000,"10M+",IF(D20&gt;=5000000,"5M+",IF(D20&gt;=1000000,"1M+","1M 미만"))))))))</f>
        <v>50M+</v>
      </c>
      <c r="F20" s="78" t="s">
        <v>1949</v>
      </c>
      <c r="G20" s="78" t="s">
        <v>1979</v>
      </c>
      <c r="H20" s="79" t="str">
        <f aca="false">IF(AND(ISNUMBER(B20),B20&lt;=$B$2,ISNUMBER(C20),C20&lt;=$B$3),"① 둘 다 높음",IF(AND(ISNUMBER(B20),B20&lt;=$B$2),"② 매출만 높음",IF(AND(ISNUMBER(C20),C20&lt;=$B$3),"③ 다운로드만 높음","④ 둘 다 기준 밖")))</f>
        <v>② 매출만 높음</v>
      </c>
      <c r="I20" s="78" t="s">
        <v>1980</v>
      </c>
    </row>
    <row r="21" customFormat="false" ht="17.15" hidden="false" customHeight="false" outlineLevel="0" collapsed="false">
      <c r="A21" s="78" t="s">
        <v>887</v>
      </c>
      <c r="B21" s="49" t="n">
        <v>16</v>
      </c>
      <c r="C21" s="49" t="s">
        <v>800</v>
      </c>
      <c r="D21" s="147" t="n">
        <v>41000000</v>
      </c>
      <c r="E21" s="95" t="str">
        <f aca="false">IF(D21="","",IF(D21&gt;=1000000000,"1B+",IF(D21&gt;=500000000,"500M+",IF(D21&gt;=100000000,"100M+",IF(D21&gt;=50000000,"50M+",IF(D21&gt;=10000000,"10M+",IF(D21&gt;=5000000,"5M+",IF(D21&gt;=1000000,"1M+","1M 미만"))))))))</f>
        <v>10M+</v>
      </c>
      <c r="F21" s="78" t="s">
        <v>1981</v>
      </c>
      <c r="G21" s="78" t="s">
        <v>1982</v>
      </c>
      <c r="H21" s="79" t="str">
        <f aca="false">IF(AND(ISNUMBER(B21),B21&lt;=$B$2,ISNUMBER(C21),C21&lt;=$B$3),"① 둘 다 높음",IF(AND(ISNUMBER(B21),B21&lt;=$B$2),"② 매출만 높음",IF(AND(ISNUMBER(C21),C21&lt;=$B$3),"③ 다운로드만 높음","④ 둘 다 기준 밖")))</f>
        <v>② 매출만 높음</v>
      </c>
      <c r="I21" s="78" t="s">
        <v>1983</v>
      </c>
    </row>
    <row r="22" customFormat="false" ht="17.15" hidden="false" customHeight="false" outlineLevel="0" collapsed="false">
      <c r="A22" s="78" t="s">
        <v>888</v>
      </c>
      <c r="B22" s="49" t="n">
        <v>17</v>
      </c>
      <c r="C22" s="49" t="s">
        <v>800</v>
      </c>
      <c r="D22" s="147" t="n">
        <v>220000000</v>
      </c>
      <c r="E22" s="95" t="str">
        <f aca="false">IF(D22="","",IF(D22&gt;=1000000000,"1B+",IF(D22&gt;=500000000,"500M+",IF(D22&gt;=100000000,"100M+",IF(D22&gt;=50000000,"50M+",IF(D22&gt;=10000000,"10M+",IF(D22&gt;=5000000,"5M+",IF(D22&gt;=1000000,"1M+","1M 미만"))))))))</f>
        <v>100M+</v>
      </c>
      <c r="F22" s="78" t="s">
        <v>1931</v>
      </c>
      <c r="G22" s="78" t="s">
        <v>1984</v>
      </c>
      <c r="H22" s="79" t="str">
        <f aca="false">IF(AND(ISNUMBER(B22),B22&lt;=$B$2,ISNUMBER(C22),C22&lt;=$B$3),"① 둘 다 높음",IF(AND(ISNUMBER(B22),B22&lt;=$B$2),"② 매출만 높음",IF(AND(ISNUMBER(C22),C22&lt;=$B$3),"③ 다운로드만 높음","④ 둘 다 기준 밖")))</f>
        <v>② 매출만 높음</v>
      </c>
      <c r="I22" s="78" t="s">
        <v>1985</v>
      </c>
    </row>
    <row r="23" customFormat="false" ht="17.15" hidden="false" customHeight="false" outlineLevel="0" collapsed="false">
      <c r="A23" s="78" t="s">
        <v>889</v>
      </c>
      <c r="B23" s="49" t="n">
        <v>18</v>
      </c>
      <c r="C23" s="49" t="s">
        <v>800</v>
      </c>
      <c r="D23" s="147" t="n">
        <v>77000000</v>
      </c>
      <c r="E23" s="95" t="str">
        <f aca="false">IF(D23="","",IF(D23&gt;=1000000000,"1B+",IF(D23&gt;=500000000,"500M+",IF(D23&gt;=100000000,"100M+",IF(D23&gt;=50000000,"50M+",IF(D23&gt;=10000000,"10M+",IF(D23&gt;=5000000,"5M+",IF(D23&gt;=1000000,"1M+","1M 미만"))))))))</f>
        <v>50M+</v>
      </c>
      <c r="F23" s="78" t="s">
        <v>1949</v>
      </c>
      <c r="G23" s="78" t="s">
        <v>1986</v>
      </c>
      <c r="H23" s="79" t="str">
        <f aca="false">IF(AND(ISNUMBER(B23),B23&lt;=$B$2,ISNUMBER(C23),C23&lt;=$B$3),"① 둘 다 높음",IF(AND(ISNUMBER(B23),B23&lt;=$B$2),"② 매출만 높음",IF(AND(ISNUMBER(C23),C23&lt;=$B$3),"③ 다운로드만 높음","④ 둘 다 기준 밖")))</f>
        <v>② 매출만 높음</v>
      </c>
      <c r="I23" s="78" t="s">
        <v>1987</v>
      </c>
    </row>
    <row r="24" customFormat="false" ht="17.15" hidden="false" customHeight="false" outlineLevel="0" collapsed="false">
      <c r="A24" s="78" t="s">
        <v>890</v>
      </c>
      <c r="B24" s="49" t="n">
        <v>19</v>
      </c>
      <c r="C24" s="49" t="s">
        <v>800</v>
      </c>
      <c r="D24" s="147" t="n">
        <v>610000000</v>
      </c>
      <c r="E24" s="95" t="str">
        <f aca="false">IF(D24="","",IF(D24&gt;=1000000000,"1B+",IF(D24&gt;=500000000,"500M+",IF(D24&gt;=100000000,"100M+",IF(D24&gt;=50000000,"50M+",IF(D24&gt;=10000000,"10M+",IF(D24&gt;=5000000,"5M+",IF(D24&gt;=1000000,"1M+","1M 미만"))))))))</f>
        <v>500M+</v>
      </c>
      <c r="F24" s="78" t="s">
        <v>1952</v>
      </c>
      <c r="G24" s="78" t="s">
        <v>1967</v>
      </c>
      <c r="H24" s="79" t="str">
        <f aca="false">IF(AND(ISNUMBER(B24),B24&lt;=$B$2,ISNUMBER(C24),C24&lt;=$B$3),"① 둘 다 높음",IF(AND(ISNUMBER(B24),B24&lt;=$B$2),"② 매출만 높음",IF(AND(ISNUMBER(C24),C24&lt;=$B$3),"③ 다운로드만 높음","④ 둘 다 기준 밖")))</f>
        <v>② 매출만 높음</v>
      </c>
      <c r="I24" s="78" t="s">
        <v>1988</v>
      </c>
    </row>
    <row r="25" customFormat="false" ht="17.15" hidden="false" customHeight="false" outlineLevel="0" collapsed="false">
      <c r="A25" s="78" t="s">
        <v>400</v>
      </c>
      <c r="B25" s="49" t="n">
        <v>20</v>
      </c>
      <c r="C25" s="49" t="n">
        <v>98</v>
      </c>
      <c r="D25" s="147" t="n">
        <v>67000000</v>
      </c>
      <c r="E25" s="95" t="str">
        <f aca="false">IF(D25="","",IF(D25&gt;=1000000000,"1B+",IF(D25&gt;=500000000,"500M+",IF(D25&gt;=100000000,"100M+",IF(D25&gt;=50000000,"50M+",IF(D25&gt;=10000000,"10M+",IF(D25&gt;=5000000,"5M+",IF(D25&gt;=1000000,"1M+","1M 미만"))))))))</f>
        <v>50M+</v>
      </c>
      <c r="F25" s="78" t="s">
        <v>1949</v>
      </c>
      <c r="G25" s="78" t="s">
        <v>1989</v>
      </c>
      <c r="H25" s="79" t="str">
        <f aca="false">IF(AND(ISNUMBER(B25),B25&lt;=$B$2,ISNUMBER(C25),C25&lt;=$B$3),"① 둘 다 높음",IF(AND(ISNUMBER(B25),B25&lt;=$B$2),"② 매출만 높음",IF(AND(ISNUMBER(C25),C25&lt;=$B$3),"③ 다운로드만 높음","④ 둘 다 기준 밖")))</f>
        <v>② 매출만 높음</v>
      </c>
      <c r="I25" s="78" t="s">
        <v>1990</v>
      </c>
    </row>
    <row r="26" customFormat="false" ht="17.15" hidden="false" customHeight="false" outlineLevel="0" collapsed="false">
      <c r="A26" s="78" t="s">
        <v>891</v>
      </c>
      <c r="B26" s="49" t="n">
        <v>21</v>
      </c>
      <c r="C26" s="49" t="s">
        <v>800</v>
      </c>
      <c r="D26" s="147" t="n">
        <v>83000000</v>
      </c>
      <c r="E26" s="95" t="str">
        <f aca="false">IF(D26="","",IF(D26&gt;=1000000000,"1B+",IF(D26&gt;=500000000,"500M+",IF(D26&gt;=100000000,"100M+",IF(D26&gt;=50000000,"50M+",IF(D26&gt;=10000000,"10M+",IF(D26&gt;=5000000,"5M+",IF(D26&gt;=1000000,"1M+","1M 미만"))))))))</f>
        <v>50M+</v>
      </c>
      <c r="F26" s="78" t="s">
        <v>1949</v>
      </c>
      <c r="G26" s="78" t="s">
        <v>1991</v>
      </c>
      <c r="H26" s="79" t="str">
        <f aca="false">IF(AND(ISNUMBER(B26),B26&lt;=$B$2,ISNUMBER(C26),C26&lt;=$B$3),"① 둘 다 높음",IF(AND(ISNUMBER(B26),B26&lt;=$B$2),"② 매출만 높음",IF(AND(ISNUMBER(C26),C26&lt;=$B$3),"③ 다운로드만 높음","④ 둘 다 기준 밖")))</f>
        <v>② 매출만 높음</v>
      </c>
      <c r="I26" s="78" t="s">
        <v>1992</v>
      </c>
    </row>
    <row r="27" customFormat="false" ht="17.15" hidden="false" customHeight="false" outlineLevel="0" collapsed="false">
      <c r="A27" s="78" t="s">
        <v>892</v>
      </c>
      <c r="B27" s="49" t="n">
        <v>22</v>
      </c>
      <c r="C27" s="49" t="s">
        <v>800</v>
      </c>
      <c r="D27" s="147" t="n">
        <v>36000000</v>
      </c>
      <c r="E27" s="95" t="str">
        <f aca="false">IF(D27="","",IF(D27&gt;=1000000000,"1B+",IF(D27&gt;=500000000,"500M+",IF(D27&gt;=100000000,"100M+",IF(D27&gt;=50000000,"50M+",IF(D27&gt;=10000000,"10M+",IF(D27&gt;=5000000,"5M+",IF(D27&gt;=1000000,"1M+","1M 미만"))))))))</f>
        <v>10M+</v>
      </c>
      <c r="F27" s="78" t="s">
        <v>1981</v>
      </c>
      <c r="G27" s="78" t="s">
        <v>1993</v>
      </c>
      <c r="H27" s="79" t="str">
        <f aca="false">IF(AND(ISNUMBER(B27),B27&lt;=$B$2,ISNUMBER(C27),C27&lt;=$B$3),"① 둘 다 높음",IF(AND(ISNUMBER(B27),B27&lt;=$B$2),"② 매출만 높음",IF(AND(ISNUMBER(C27),C27&lt;=$B$3),"③ 다운로드만 높음","④ 둘 다 기준 밖")))</f>
        <v>② 매출만 높음</v>
      </c>
      <c r="I27" s="78" t="s">
        <v>1994</v>
      </c>
    </row>
    <row r="28" customFormat="false" ht="17.15" hidden="false" customHeight="false" outlineLevel="0" collapsed="false">
      <c r="A28" s="78" t="s">
        <v>893</v>
      </c>
      <c r="B28" s="49" t="n">
        <v>23</v>
      </c>
      <c r="C28" s="49" t="s">
        <v>800</v>
      </c>
      <c r="D28" s="147" t="n">
        <v>18000000</v>
      </c>
      <c r="E28" s="95" t="str">
        <f aca="false">IF(D28="","",IF(D28&gt;=1000000000,"1B+",IF(D28&gt;=500000000,"500M+",IF(D28&gt;=100000000,"100M+",IF(D28&gt;=50000000,"50M+",IF(D28&gt;=10000000,"10M+",IF(D28&gt;=5000000,"5M+",IF(D28&gt;=1000000,"1M+","1M 미만"))))))))</f>
        <v>10M+</v>
      </c>
      <c r="F28" s="78" t="s">
        <v>1981</v>
      </c>
      <c r="G28" s="78" t="s">
        <v>1995</v>
      </c>
      <c r="H28" s="79" t="str">
        <f aca="false">IF(AND(ISNUMBER(B28),B28&lt;=$B$2,ISNUMBER(C28),C28&lt;=$B$3),"① 둘 다 높음",IF(AND(ISNUMBER(B28),B28&lt;=$B$2),"② 매출만 높음",IF(AND(ISNUMBER(C28),C28&lt;=$B$3),"③ 다운로드만 높음","④ 둘 다 기준 밖")))</f>
        <v>② 매출만 높음</v>
      </c>
      <c r="I28" s="78" t="s">
        <v>1996</v>
      </c>
    </row>
    <row r="29" customFormat="false" ht="17.15" hidden="false" customHeight="false" outlineLevel="0" collapsed="false">
      <c r="A29" s="78" t="s">
        <v>894</v>
      </c>
      <c r="B29" s="49" t="n">
        <v>24</v>
      </c>
      <c r="C29" s="49" t="s">
        <v>800</v>
      </c>
      <c r="D29" s="147" t="n">
        <v>470000000</v>
      </c>
      <c r="E29" s="95" t="str">
        <f aca="false">IF(D29="","",IF(D29&gt;=1000000000,"1B+",IF(D29&gt;=500000000,"500M+",IF(D29&gt;=100000000,"100M+",IF(D29&gt;=50000000,"50M+",IF(D29&gt;=10000000,"10M+",IF(D29&gt;=5000000,"5M+",IF(D29&gt;=1000000,"1M+","1M 미만"))))))))</f>
        <v>100M+</v>
      </c>
      <c r="F29" s="78" t="s">
        <v>1931</v>
      </c>
      <c r="G29" s="78" t="s">
        <v>1997</v>
      </c>
      <c r="H29" s="79" t="str">
        <f aca="false">IF(AND(ISNUMBER(B29),B29&lt;=$B$2,ISNUMBER(C29),C29&lt;=$B$3),"① 둘 다 높음",IF(AND(ISNUMBER(B29),B29&lt;=$B$2),"② 매출만 높음",IF(AND(ISNUMBER(C29),C29&lt;=$B$3),"③ 다운로드만 높음","④ 둘 다 기준 밖")))</f>
        <v>② 매출만 높음</v>
      </c>
      <c r="I29" s="78" t="s">
        <v>1998</v>
      </c>
    </row>
    <row r="30" customFormat="false" ht="17.15" hidden="false" customHeight="false" outlineLevel="0" collapsed="false">
      <c r="A30" s="78" t="s">
        <v>895</v>
      </c>
      <c r="B30" s="49" t="n">
        <v>25</v>
      </c>
      <c r="C30" s="49" t="s">
        <v>800</v>
      </c>
      <c r="D30" s="147" t="n">
        <v>22000000</v>
      </c>
      <c r="E30" s="95" t="str">
        <f aca="false">IF(D30="","",IF(D30&gt;=1000000000,"1B+",IF(D30&gt;=500000000,"500M+",IF(D30&gt;=100000000,"100M+",IF(D30&gt;=50000000,"50M+",IF(D30&gt;=10000000,"10M+",IF(D30&gt;=5000000,"5M+",IF(D30&gt;=1000000,"1M+","1M 미만"))))))))</f>
        <v>10M+</v>
      </c>
      <c r="F30" s="78" t="s">
        <v>1981</v>
      </c>
      <c r="G30" s="78" t="s">
        <v>1999</v>
      </c>
      <c r="H30" s="79" t="str">
        <f aca="false">IF(AND(ISNUMBER(B30),B30&lt;=$B$2,ISNUMBER(C30),C30&lt;=$B$3),"① 둘 다 높음",IF(AND(ISNUMBER(B30),B30&lt;=$B$2),"② 매출만 높음",IF(AND(ISNUMBER(C30),C30&lt;=$B$3),"③ 다운로드만 높음","④ 둘 다 기준 밖")))</f>
        <v>② 매출만 높음</v>
      </c>
      <c r="I30" s="78" t="s">
        <v>2000</v>
      </c>
    </row>
    <row r="31" customFormat="false" ht="17.15" hidden="false" customHeight="false" outlineLevel="0" collapsed="false">
      <c r="A31" s="78" t="s">
        <v>849</v>
      </c>
      <c r="B31" s="49" t="n">
        <v>27</v>
      </c>
      <c r="C31" s="49" t="n">
        <v>83</v>
      </c>
      <c r="D31" s="147" t="n">
        <v>29000000</v>
      </c>
      <c r="E31" s="95" t="str">
        <f aca="false">IF(D31="","",IF(D31&gt;=1000000000,"1B+",IF(D31&gt;=500000000,"500M+",IF(D31&gt;=100000000,"100M+",IF(D31&gt;=50000000,"50M+",IF(D31&gt;=10000000,"10M+",IF(D31&gt;=5000000,"5M+",IF(D31&gt;=1000000,"1M+","1M 미만"))))))))</f>
        <v>10M+</v>
      </c>
      <c r="F31" s="78" t="s">
        <v>1981</v>
      </c>
      <c r="G31" s="78" t="s">
        <v>1982</v>
      </c>
      <c r="H31" s="79" t="str">
        <f aca="false">IF(AND(ISNUMBER(B31),B31&lt;=$B$2,ISNUMBER(C31),C31&lt;=$B$3),"① 둘 다 높음",IF(AND(ISNUMBER(B31),B31&lt;=$B$2),"② 매출만 높음",IF(AND(ISNUMBER(C31),C31&lt;=$B$3),"③ 다운로드만 높음","④ 둘 다 기준 밖")))</f>
        <v>② 매출만 높음</v>
      </c>
      <c r="I31" s="78" t="s">
        <v>2001</v>
      </c>
    </row>
    <row r="32" customFormat="false" ht="17.15" hidden="false" customHeight="false" outlineLevel="0" collapsed="false">
      <c r="A32" s="78" t="s">
        <v>896</v>
      </c>
      <c r="B32" s="49" t="n">
        <v>28</v>
      </c>
      <c r="C32" s="49" t="n">
        <v>97</v>
      </c>
      <c r="D32" s="147" t="n">
        <v>2200000000</v>
      </c>
      <c r="E32" s="95" t="str">
        <f aca="false">IF(D32="","",IF(D32&gt;=1000000000,"1B+",IF(D32&gt;=500000000,"500M+",IF(D32&gt;=100000000,"100M+",IF(D32&gt;=50000000,"50M+",IF(D32&gt;=10000000,"10M+",IF(D32&gt;=5000000,"5M+",IF(D32&gt;=1000000,"1M+","1M 미만"))))))))</f>
        <v>1B+</v>
      </c>
      <c r="F32" s="78" t="s">
        <v>1936</v>
      </c>
      <c r="G32" s="78" t="s">
        <v>2002</v>
      </c>
      <c r="H32" s="79" t="str">
        <f aca="false">IF(AND(ISNUMBER(B32),B32&lt;=$B$2,ISNUMBER(C32),C32&lt;=$B$3),"① 둘 다 높음",IF(AND(ISNUMBER(B32),B32&lt;=$B$2),"② 매출만 높음",IF(AND(ISNUMBER(C32),C32&lt;=$B$3),"③ 다운로드만 높음","④ 둘 다 기준 밖")))</f>
        <v>② 매출만 높음</v>
      </c>
      <c r="I32" s="78" t="s">
        <v>2003</v>
      </c>
    </row>
    <row r="33" customFormat="false" ht="17.15" hidden="false" customHeight="false" outlineLevel="0" collapsed="false">
      <c r="A33" s="78" t="s">
        <v>449</v>
      </c>
      <c r="B33" s="49" t="n">
        <v>29</v>
      </c>
      <c r="C33" s="49" t="n">
        <v>68</v>
      </c>
      <c r="D33" s="147" t="n">
        <v>69000000</v>
      </c>
      <c r="E33" s="95" t="str">
        <f aca="false">IF(D33="","",IF(D33&gt;=1000000000,"1B+",IF(D33&gt;=500000000,"500M+",IF(D33&gt;=100000000,"100M+",IF(D33&gt;=50000000,"50M+",IF(D33&gt;=10000000,"10M+",IF(D33&gt;=5000000,"5M+",IF(D33&gt;=1000000,"1M+","1M 미만"))))))))</f>
        <v>50M+</v>
      </c>
      <c r="F33" s="78" t="s">
        <v>1949</v>
      </c>
      <c r="G33" s="78" t="s">
        <v>2004</v>
      </c>
      <c r="H33" s="79" t="str">
        <f aca="false">IF(AND(ISNUMBER(B33),B33&lt;=$B$2,ISNUMBER(C33),C33&lt;=$B$3),"① 둘 다 높음",IF(AND(ISNUMBER(B33),B33&lt;=$B$2),"② 매출만 높음",IF(AND(ISNUMBER(C33),C33&lt;=$B$3),"③ 다운로드만 높음","④ 둘 다 기준 밖")))</f>
        <v>② 매출만 높음</v>
      </c>
      <c r="I33" s="78" t="s">
        <v>2005</v>
      </c>
    </row>
    <row r="34" customFormat="false" ht="17.15" hidden="false" customHeight="false" outlineLevel="0" collapsed="false">
      <c r="A34" s="78" t="s">
        <v>897</v>
      </c>
      <c r="B34" s="49" t="n">
        <v>30</v>
      </c>
      <c r="C34" s="49" t="s">
        <v>800</v>
      </c>
      <c r="D34" s="147" t="n">
        <v>27000000</v>
      </c>
      <c r="E34" s="95" t="str">
        <f aca="false">IF(D34="","",IF(D34&gt;=1000000000,"1B+",IF(D34&gt;=500000000,"500M+",IF(D34&gt;=100000000,"100M+",IF(D34&gt;=50000000,"50M+",IF(D34&gt;=10000000,"10M+",IF(D34&gt;=5000000,"5M+",IF(D34&gt;=1000000,"1M+","1M 미만"))))))))</f>
        <v>10M+</v>
      </c>
      <c r="F34" s="78" t="s">
        <v>1981</v>
      </c>
      <c r="G34" s="78" t="s">
        <v>1982</v>
      </c>
      <c r="H34" s="79" t="str">
        <f aca="false">IF(AND(ISNUMBER(B34),B34&lt;=$B$2,ISNUMBER(C34),C34&lt;=$B$3),"① 둘 다 높음",IF(AND(ISNUMBER(B34),B34&lt;=$B$2),"② 매출만 높음",IF(AND(ISNUMBER(C34),C34&lt;=$B$3),"③ 다운로드만 높음","④ 둘 다 기준 밖")))</f>
        <v>② 매출만 높음</v>
      </c>
      <c r="I34" s="78" t="s">
        <v>2006</v>
      </c>
    </row>
    <row r="35" customFormat="false" ht="17.15" hidden="false" customHeight="false" outlineLevel="0" collapsed="false">
      <c r="A35" s="78" t="s">
        <v>898</v>
      </c>
      <c r="B35" s="49" t="n">
        <v>31</v>
      </c>
      <c r="C35" s="49" t="s">
        <v>800</v>
      </c>
      <c r="D35" s="147" t="n">
        <v>880000000</v>
      </c>
      <c r="E35" s="95" t="str">
        <f aca="false">IF(D35="","",IF(D35&gt;=1000000000,"1B+",IF(D35&gt;=500000000,"500M+",IF(D35&gt;=100000000,"100M+",IF(D35&gt;=50000000,"50M+",IF(D35&gt;=10000000,"10M+",IF(D35&gt;=5000000,"5M+",IF(D35&gt;=1000000,"1M+","1M 미만"))))))))</f>
        <v>500M+</v>
      </c>
      <c r="F35" s="78" t="s">
        <v>1952</v>
      </c>
      <c r="G35" s="78" t="s">
        <v>2007</v>
      </c>
      <c r="H35" s="79" t="str">
        <f aca="false">IF(AND(ISNUMBER(B35),B35&lt;=$B$2,ISNUMBER(C35),C35&lt;=$B$3),"① 둘 다 높음",IF(AND(ISNUMBER(B35),B35&lt;=$B$2),"② 매출만 높음",IF(AND(ISNUMBER(C35),C35&lt;=$B$3),"③ 다운로드만 높음","④ 둘 다 기준 밖")))</f>
        <v>④ 둘 다 기준 밖</v>
      </c>
      <c r="I35" s="78" t="s">
        <v>2008</v>
      </c>
    </row>
    <row r="36" customFormat="false" ht="17.15" hidden="false" customHeight="false" outlineLevel="0" collapsed="false">
      <c r="A36" s="78" t="s">
        <v>899</v>
      </c>
      <c r="B36" s="49" t="n">
        <v>32</v>
      </c>
      <c r="C36" s="49" t="s">
        <v>800</v>
      </c>
      <c r="D36" s="147" t="n">
        <v>630000000</v>
      </c>
      <c r="E36" s="95" t="str">
        <f aca="false">IF(D36="","",IF(D36&gt;=1000000000,"1B+",IF(D36&gt;=500000000,"500M+",IF(D36&gt;=100000000,"100M+",IF(D36&gt;=50000000,"50M+",IF(D36&gt;=10000000,"10M+",IF(D36&gt;=5000000,"5M+",IF(D36&gt;=1000000,"1M+","1M 미만"))))))))</f>
        <v>500M+</v>
      </c>
      <c r="F36" s="78" t="s">
        <v>1952</v>
      </c>
      <c r="G36" s="78" t="s">
        <v>1937</v>
      </c>
      <c r="H36" s="79" t="str">
        <f aca="false">IF(AND(ISNUMBER(B36),B36&lt;=$B$2,ISNUMBER(C36),C36&lt;=$B$3),"① 둘 다 높음",IF(AND(ISNUMBER(B36),B36&lt;=$B$2),"② 매출만 높음",IF(AND(ISNUMBER(C36),C36&lt;=$B$3),"③ 다운로드만 높음","④ 둘 다 기준 밖")))</f>
        <v>④ 둘 다 기준 밖</v>
      </c>
      <c r="I36" s="78" t="s">
        <v>2009</v>
      </c>
    </row>
    <row r="37" customFormat="false" ht="17.15" hidden="false" customHeight="false" outlineLevel="0" collapsed="false">
      <c r="A37" s="78" t="s">
        <v>900</v>
      </c>
      <c r="B37" s="49" t="n">
        <v>33</v>
      </c>
      <c r="C37" s="49" t="s">
        <v>800</v>
      </c>
      <c r="D37" s="147" t="n">
        <v>15000000</v>
      </c>
      <c r="E37" s="95" t="str">
        <f aca="false">IF(D37="","",IF(D37&gt;=1000000000,"1B+",IF(D37&gt;=500000000,"500M+",IF(D37&gt;=100000000,"100M+",IF(D37&gt;=50000000,"50M+",IF(D37&gt;=10000000,"10M+",IF(D37&gt;=5000000,"5M+",IF(D37&gt;=1000000,"1M+","1M 미만"))))))))</f>
        <v>10M+</v>
      </c>
      <c r="F37" s="78" t="s">
        <v>1981</v>
      </c>
      <c r="G37" s="78" t="s">
        <v>2010</v>
      </c>
      <c r="H37" s="79" t="str">
        <f aca="false">IF(AND(ISNUMBER(B37),B37&lt;=$B$2,ISNUMBER(C37),C37&lt;=$B$3),"① 둘 다 높음",IF(AND(ISNUMBER(B37),B37&lt;=$B$2),"② 매출만 높음",IF(AND(ISNUMBER(C37),C37&lt;=$B$3),"③ 다운로드만 높음","④ 둘 다 기준 밖")))</f>
        <v>④ 둘 다 기준 밖</v>
      </c>
      <c r="I37" s="78" t="s">
        <v>2011</v>
      </c>
    </row>
    <row r="38" customFormat="false" ht="17.15" hidden="false" customHeight="false" outlineLevel="0" collapsed="false">
      <c r="A38" s="78" t="s">
        <v>901</v>
      </c>
      <c r="B38" s="49" t="n">
        <v>34</v>
      </c>
      <c r="C38" s="49" t="s">
        <v>800</v>
      </c>
      <c r="D38" s="147" t="n">
        <v>2600000</v>
      </c>
      <c r="E38" s="95" t="str">
        <f aca="false">IF(D38="","",IF(D38&gt;=1000000000,"1B+",IF(D38&gt;=500000000,"500M+",IF(D38&gt;=100000000,"100M+",IF(D38&gt;=50000000,"50M+",IF(D38&gt;=10000000,"10M+",IF(D38&gt;=5000000,"5M+",IF(D38&gt;=1000000,"1M+","1M 미만"))))))))</f>
        <v>1M+</v>
      </c>
      <c r="F38" s="78" t="s">
        <v>2012</v>
      </c>
      <c r="G38" s="78" t="s">
        <v>2013</v>
      </c>
      <c r="H38" s="79" t="str">
        <f aca="false">IF(AND(ISNUMBER(B38),B38&lt;=$B$2,ISNUMBER(C38),C38&lt;=$B$3),"① 둘 다 높음",IF(AND(ISNUMBER(B38),B38&lt;=$B$2),"② 매출만 높음",IF(AND(ISNUMBER(C38),C38&lt;=$B$3),"③ 다운로드만 높음","④ 둘 다 기준 밖")))</f>
        <v>④ 둘 다 기준 밖</v>
      </c>
      <c r="I38" s="78" t="s">
        <v>2014</v>
      </c>
    </row>
    <row r="39" customFormat="false" ht="17.15" hidden="false" customHeight="false" outlineLevel="0" collapsed="false">
      <c r="A39" s="78" t="s">
        <v>902</v>
      </c>
      <c r="B39" s="49" t="n">
        <v>35</v>
      </c>
      <c r="C39" s="49" t="n">
        <v>49</v>
      </c>
      <c r="D39" s="147" t="n">
        <v>13000000</v>
      </c>
      <c r="E39" s="95" t="str">
        <f aca="false">IF(D39="","",IF(D39&gt;=1000000000,"1B+",IF(D39&gt;=500000000,"500M+",IF(D39&gt;=100000000,"100M+",IF(D39&gt;=50000000,"50M+",IF(D39&gt;=10000000,"10M+",IF(D39&gt;=5000000,"5M+",IF(D39&gt;=1000000,"1M+","1M 미만"))))))))</f>
        <v>10M+</v>
      </c>
      <c r="F39" s="78" t="s">
        <v>1981</v>
      </c>
      <c r="G39" s="78" t="s">
        <v>2015</v>
      </c>
      <c r="H39" s="79" t="str">
        <f aca="false">IF(AND(ISNUMBER(B39),B39&lt;=$B$2,ISNUMBER(C39),C39&lt;=$B$3),"① 둘 다 높음",IF(AND(ISNUMBER(B39),B39&lt;=$B$2),"② 매출만 높음",IF(AND(ISNUMBER(C39),C39&lt;=$B$3),"③ 다운로드만 높음","④ 둘 다 기준 밖")))</f>
        <v>④ 둘 다 기준 밖</v>
      </c>
      <c r="I39" s="78" t="s">
        <v>2016</v>
      </c>
    </row>
    <row r="40" customFormat="false" ht="17.15" hidden="false" customHeight="false" outlineLevel="0" collapsed="false">
      <c r="A40" s="78" t="s">
        <v>903</v>
      </c>
      <c r="B40" s="49" t="n">
        <v>36</v>
      </c>
      <c r="C40" s="49" t="s">
        <v>800</v>
      </c>
      <c r="D40" s="147" t="n">
        <v>34000000</v>
      </c>
      <c r="E40" s="95" t="str">
        <f aca="false">IF(D40="","",IF(D40&gt;=1000000000,"1B+",IF(D40&gt;=500000000,"500M+",IF(D40&gt;=100000000,"100M+",IF(D40&gt;=50000000,"50M+",IF(D40&gt;=10000000,"10M+",IF(D40&gt;=5000000,"5M+",IF(D40&gt;=1000000,"1M+","1M 미만"))))))))</f>
        <v>10M+</v>
      </c>
      <c r="F40" s="78" t="s">
        <v>1981</v>
      </c>
      <c r="G40" s="78" t="s">
        <v>1979</v>
      </c>
      <c r="H40" s="79" t="str">
        <f aca="false">IF(AND(ISNUMBER(B40),B40&lt;=$B$2,ISNUMBER(C40),C40&lt;=$B$3),"① 둘 다 높음",IF(AND(ISNUMBER(B40),B40&lt;=$B$2),"② 매출만 높음",IF(AND(ISNUMBER(C40),C40&lt;=$B$3),"③ 다운로드만 높음","④ 둘 다 기준 밖")))</f>
        <v>④ 둘 다 기준 밖</v>
      </c>
      <c r="I40" s="78" t="s">
        <v>2017</v>
      </c>
    </row>
    <row r="41" customFormat="false" ht="17.15" hidden="false" customHeight="false" outlineLevel="0" collapsed="false">
      <c r="A41" s="78" t="s">
        <v>904</v>
      </c>
      <c r="B41" s="49" t="n">
        <v>37</v>
      </c>
      <c r="C41" s="49" t="s">
        <v>800</v>
      </c>
      <c r="D41" s="147" t="n">
        <v>520000000</v>
      </c>
      <c r="E41" s="95" t="str">
        <f aca="false">IF(D41="","",IF(D41&gt;=1000000000,"1B+",IF(D41&gt;=500000000,"500M+",IF(D41&gt;=100000000,"100M+",IF(D41&gt;=50000000,"50M+",IF(D41&gt;=10000000,"10M+",IF(D41&gt;=5000000,"5M+",IF(D41&gt;=1000000,"1M+","1M 미만"))))))))</f>
        <v>500M+</v>
      </c>
      <c r="F41" s="78" t="s">
        <v>1952</v>
      </c>
      <c r="G41" s="78" t="s">
        <v>2018</v>
      </c>
      <c r="H41" s="79" t="str">
        <f aca="false">IF(AND(ISNUMBER(B41),B41&lt;=$B$2,ISNUMBER(C41),C41&lt;=$B$3),"① 둘 다 높음",IF(AND(ISNUMBER(B41),B41&lt;=$B$2),"② 매출만 높음",IF(AND(ISNUMBER(C41),C41&lt;=$B$3),"③ 다운로드만 높음","④ 둘 다 기준 밖")))</f>
        <v>④ 둘 다 기준 밖</v>
      </c>
      <c r="I41" s="78" t="s">
        <v>2019</v>
      </c>
    </row>
    <row r="42" customFormat="false" ht="17.15" hidden="false" customHeight="false" outlineLevel="0" collapsed="false">
      <c r="A42" s="78" t="s">
        <v>905</v>
      </c>
      <c r="B42" s="49" t="n">
        <v>38</v>
      </c>
      <c r="C42" s="49" t="s">
        <v>800</v>
      </c>
      <c r="D42" s="147" t="n">
        <v>33000000</v>
      </c>
      <c r="E42" s="95" t="str">
        <f aca="false">IF(D42="","",IF(D42&gt;=1000000000,"1B+",IF(D42&gt;=500000000,"500M+",IF(D42&gt;=100000000,"100M+",IF(D42&gt;=50000000,"50M+",IF(D42&gt;=10000000,"10M+",IF(D42&gt;=5000000,"5M+",IF(D42&gt;=1000000,"1M+","1M 미만"))))))))</f>
        <v>10M+</v>
      </c>
      <c r="F42" s="78" t="s">
        <v>1981</v>
      </c>
      <c r="G42" s="78" t="s">
        <v>1982</v>
      </c>
      <c r="H42" s="79" t="str">
        <f aca="false">IF(AND(ISNUMBER(B42),B42&lt;=$B$2,ISNUMBER(C42),C42&lt;=$B$3),"① 둘 다 높음",IF(AND(ISNUMBER(B42),B42&lt;=$B$2),"② 매출만 높음",IF(AND(ISNUMBER(C42),C42&lt;=$B$3),"③ 다운로드만 높음","④ 둘 다 기준 밖")))</f>
        <v>④ 둘 다 기준 밖</v>
      </c>
      <c r="I42" s="78" t="s">
        <v>2020</v>
      </c>
    </row>
    <row r="43" customFormat="false" ht="17.15" hidden="false" customHeight="false" outlineLevel="0" collapsed="false">
      <c r="A43" s="78" t="s">
        <v>906</v>
      </c>
      <c r="B43" s="49" t="n">
        <v>39</v>
      </c>
      <c r="C43" s="49" t="n">
        <v>40</v>
      </c>
      <c r="D43" s="147" t="n">
        <v>3400000</v>
      </c>
      <c r="E43" s="95" t="str">
        <f aca="false">IF(D43="","",IF(D43&gt;=1000000000,"1B+",IF(D43&gt;=500000000,"500M+",IF(D43&gt;=100000000,"100M+",IF(D43&gt;=50000000,"50M+",IF(D43&gt;=10000000,"10M+",IF(D43&gt;=5000000,"5M+",IF(D43&gt;=1000000,"1M+","1M 미만"))))))))</f>
        <v>1M+</v>
      </c>
      <c r="F43" s="78" t="s">
        <v>2012</v>
      </c>
      <c r="G43" s="78" t="s">
        <v>2021</v>
      </c>
      <c r="H43" s="79" t="str">
        <f aca="false">IF(AND(ISNUMBER(B43),B43&lt;=$B$2,ISNUMBER(C43),C43&lt;=$B$3),"① 둘 다 높음",IF(AND(ISNUMBER(B43),B43&lt;=$B$2),"② 매출만 높음",IF(AND(ISNUMBER(C43),C43&lt;=$B$3),"③ 다운로드만 높음","④ 둘 다 기준 밖")))</f>
        <v>④ 둘 다 기준 밖</v>
      </c>
      <c r="I43" s="78" t="s">
        <v>2022</v>
      </c>
    </row>
    <row r="44" customFormat="false" ht="17.15" hidden="false" customHeight="false" outlineLevel="0" collapsed="false">
      <c r="A44" s="78" t="s">
        <v>907</v>
      </c>
      <c r="B44" s="49" t="n">
        <v>40</v>
      </c>
      <c r="C44" s="49" t="s">
        <v>800</v>
      </c>
      <c r="D44" s="147" t="n">
        <v>37000000</v>
      </c>
      <c r="E44" s="95" t="str">
        <f aca="false">IF(D44="","",IF(D44&gt;=1000000000,"1B+",IF(D44&gt;=500000000,"500M+",IF(D44&gt;=100000000,"100M+",IF(D44&gt;=50000000,"50M+",IF(D44&gt;=10000000,"10M+",IF(D44&gt;=5000000,"5M+",IF(D44&gt;=1000000,"1M+","1M 미만"))))))))</f>
        <v>10M+</v>
      </c>
      <c r="F44" s="78" t="s">
        <v>1981</v>
      </c>
      <c r="G44" s="78" t="s">
        <v>2023</v>
      </c>
      <c r="H44" s="79" t="str">
        <f aca="false">IF(AND(ISNUMBER(B44),B44&lt;=$B$2,ISNUMBER(C44),C44&lt;=$B$3),"① 둘 다 높음",IF(AND(ISNUMBER(B44),B44&lt;=$B$2),"② 매출만 높음",IF(AND(ISNUMBER(C44),C44&lt;=$B$3),"③ 다운로드만 높음","④ 둘 다 기준 밖")))</f>
        <v>④ 둘 다 기준 밖</v>
      </c>
      <c r="I44" s="78" t="s">
        <v>2024</v>
      </c>
    </row>
    <row r="45" customFormat="false" ht="17.15" hidden="false" customHeight="false" outlineLevel="0" collapsed="false">
      <c r="A45" s="78" t="s">
        <v>908</v>
      </c>
      <c r="B45" s="49" t="n">
        <v>41</v>
      </c>
      <c r="C45" s="49" t="s">
        <v>800</v>
      </c>
      <c r="D45" s="147" t="n">
        <v>69000000</v>
      </c>
      <c r="E45" s="95" t="str">
        <f aca="false">IF(D45="","",IF(D45&gt;=1000000000,"1B+",IF(D45&gt;=500000000,"500M+",IF(D45&gt;=100000000,"100M+",IF(D45&gt;=50000000,"50M+",IF(D45&gt;=10000000,"10M+",IF(D45&gt;=5000000,"5M+",IF(D45&gt;=1000000,"1M+","1M 미만"))))))))</f>
        <v>50M+</v>
      </c>
      <c r="F45" s="78" t="s">
        <v>1949</v>
      </c>
      <c r="G45" s="78" t="s">
        <v>2025</v>
      </c>
      <c r="H45" s="79" t="str">
        <f aca="false">IF(AND(ISNUMBER(B45),B45&lt;=$B$2,ISNUMBER(C45),C45&lt;=$B$3),"① 둘 다 높음",IF(AND(ISNUMBER(B45),B45&lt;=$B$2),"② 매출만 높음",IF(AND(ISNUMBER(C45),C45&lt;=$B$3),"③ 다운로드만 높음","④ 둘 다 기준 밖")))</f>
        <v>④ 둘 다 기준 밖</v>
      </c>
      <c r="I45" s="78" t="s">
        <v>2026</v>
      </c>
    </row>
    <row r="46" customFormat="false" ht="17.15" hidden="false" customHeight="false" outlineLevel="0" collapsed="false">
      <c r="A46" s="78" t="s">
        <v>909</v>
      </c>
      <c r="B46" s="49" t="n">
        <v>42</v>
      </c>
      <c r="C46" s="49" t="s">
        <v>800</v>
      </c>
      <c r="D46" s="147" t="n">
        <v>18000000</v>
      </c>
      <c r="E46" s="95" t="str">
        <f aca="false">IF(D46="","",IF(D46&gt;=1000000000,"1B+",IF(D46&gt;=500000000,"500M+",IF(D46&gt;=100000000,"100M+",IF(D46&gt;=50000000,"50M+",IF(D46&gt;=10000000,"10M+",IF(D46&gt;=5000000,"5M+",IF(D46&gt;=1000000,"1M+","1M 미만"))))))))</f>
        <v>10M+</v>
      </c>
      <c r="F46" s="78" t="s">
        <v>1981</v>
      </c>
      <c r="G46" s="78" t="s">
        <v>2027</v>
      </c>
      <c r="H46" s="79" t="str">
        <f aca="false">IF(AND(ISNUMBER(B46),B46&lt;=$B$2,ISNUMBER(C46),C46&lt;=$B$3),"① 둘 다 높음",IF(AND(ISNUMBER(B46),B46&lt;=$B$2),"② 매출만 높음",IF(AND(ISNUMBER(C46),C46&lt;=$B$3),"③ 다운로드만 높음","④ 둘 다 기준 밖")))</f>
        <v>④ 둘 다 기준 밖</v>
      </c>
      <c r="I46" s="78" t="s">
        <v>2028</v>
      </c>
    </row>
    <row r="47" customFormat="false" ht="17.15" hidden="false" customHeight="false" outlineLevel="0" collapsed="false">
      <c r="A47" s="78" t="s">
        <v>910</v>
      </c>
      <c r="B47" s="49" t="n">
        <v>43</v>
      </c>
      <c r="C47" s="49" t="n">
        <v>62</v>
      </c>
      <c r="D47" s="147" t="n">
        <v>19000000</v>
      </c>
      <c r="E47" s="95" t="str">
        <f aca="false">IF(D47="","",IF(D47&gt;=1000000000,"1B+",IF(D47&gt;=500000000,"500M+",IF(D47&gt;=100000000,"100M+",IF(D47&gt;=50000000,"50M+",IF(D47&gt;=10000000,"10M+",IF(D47&gt;=5000000,"5M+",IF(D47&gt;=1000000,"1M+","1M 미만"))))))))</f>
        <v>10M+</v>
      </c>
      <c r="F47" s="78" t="s">
        <v>1981</v>
      </c>
      <c r="G47" s="78" t="s">
        <v>1958</v>
      </c>
      <c r="H47" s="79" t="str">
        <f aca="false">IF(AND(ISNUMBER(B47),B47&lt;=$B$2,ISNUMBER(C47),C47&lt;=$B$3),"① 둘 다 높음",IF(AND(ISNUMBER(B47),B47&lt;=$B$2),"② 매출만 높음",IF(AND(ISNUMBER(C47),C47&lt;=$B$3),"③ 다운로드만 높음","④ 둘 다 기준 밖")))</f>
        <v>④ 둘 다 기준 밖</v>
      </c>
      <c r="I47" s="78" t="s">
        <v>2029</v>
      </c>
    </row>
    <row r="48" customFormat="false" ht="17.15" hidden="false" customHeight="false" outlineLevel="0" collapsed="false">
      <c r="A48" s="78" t="s">
        <v>911</v>
      </c>
      <c r="B48" s="49" t="n">
        <v>44</v>
      </c>
      <c r="C48" s="49" t="s">
        <v>800</v>
      </c>
      <c r="D48" s="147" t="n">
        <v>7300000</v>
      </c>
      <c r="E48" s="95" t="str">
        <f aca="false">IF(D48="","",IF(D48&gt;=1000000000,"1B+",IF(D48&gt;=500000000,"500M+",IF(D48&gt;=100000000,"100M+",IF(D48&gt;=50000000,"50M+",IF(D48&gt;=10000000,"10M+",IF(D48&gt;=5000000,"5M+",IF(D48&gt;=1000000,"1M+","1M 미만"))))))))</f>
        <v>5M+</v>
      </c>
      <c r="F48" s="78" t="s">
        <v>2030</v>
      </c>
      <c r="G48" s="78" t="s">
        <v>2031</v>
      </c>
      <c r="H48" s="79" t="str">
        <f aca="false">IF(AND(ISNUMBER(B48),B48&lt;=$B$2,ISNUMBER(C48),C48&lt;=$B$3),"① 둘 다 높음",IF(AND(ISNUMBER(B48),B48&lt;=$B$2),"② 매출만 높음",IF(AND(ISNUMBER(C48),C48&lt;=$B$3),"③ 다운로드만 높음","④ 둘 다 기준 밖")))</f>
        <v>④ 둘 다 기준 밖</v>
      </c>
      <c r="I48" s="78" t="s">
        <v>2032</v>
      </c>
    </row>
    <row r="49" customFormat="false" ht="17.15" hidden="false" customHeight="false" outlineLevel="0" collapsed="false">
      <c r="A49" s="78" t="s">
        <v>912</v>
      </c>
      <c r="B49" s="49" t="n">
        <v>45</v>
      </c>
      <c r="C49" s="49" t="s">
        <v>800</v>
      </c>
      <c r="D49" s="147" t="n">
        <v>5800000</v>
      </c>
      <c r="E49" s="95" t="str">
        <f aca="false">IF(D49="","",IF(D49&gt;=1000000000,"1B+",IF(D49&gt;=500000000,"500M+",IF(D49&gt;=100000000,"100M+",IF(D49&gt;=50000000,"50M+",IF(D49&gt;=10000000,"10M+",IF(D49&gt;=5000000,"5M+",IF(D49&gt;=1000000,"1M+","1M 미만"))))))))</f>
        <v>5M+</v>
      </c>
      <c r="F49" s="78" t="s">
        <v>2030</v>
      </c>
      <c r="G49" s="78" t="s">
        <v>2033</v>
      </c>
      <c r="H49" s="79" t="str">
        <f aca="false">IF(AND(ISNUMBER(B49),B49&lt;=$B$2,ISNUMBER(C49),C49&lt;=$B$3),"① 둘 다 높음",IF(AND(ISNUMBER(B49),B49&lt;=$B$2),"② 매출만 높음",IF(AND(ISNUMBER(C49),C49&lt;=$B$3),"③ 다운로드만 높음","④ 둘 다 기준 밖")))</f>
        <v>④ 둘 다 기준 밖</v>
      </c>
      <c r="I49" s="78" t="s">
        <v>2034</v>
      </c>
    </row>
    <row r="50" customFormat="false" ht="17.15" hidden="false" customHeight="false" outlineLevel="0" collapsed="false">
      <c r="A50" s="78" t="s">
        <v>913</v>
      </c>
      <c r="B50" s="49" t="n">
        <v>46</v>
      </c>
      <c r="C50" s="49" t="s">
        <v>800</v>
      </c>
      <c r="D50" s="147" t="n">
        <v>32000000</v>
      </c>
      <c r="E50" s="95" t="str">
        <f aca="false">IF(D50="","",IF(D50&gt;=1000000000,"1B+",IF(D50&gt;=500000000,"500M+",IF(D50&gt;=100000000,"100M+",IF(D50&gt;=50000000,"50M+",IF(D50&gt;=10000000,"10M+",IF(D50&gt;=5000000,"5M+",IF(D50&gt;=1000000,"1M+","1M 미만"))))))))</f>
        <v>10M+</v>
      </c>
      <c r="F50" s="78" t="s">
        <v>1981</v>
      </c>
      <c r="G50" s="78" t="s">
        <v>2035</v>
      </c>
      <c r="H50" s="79" t="str">
        <f aca="false">IF(AND(ISNUMBER(B50),B50&lt;=$B$2,ISNUMBER(C50),C50&lt;=$B$3),"① 둘 다 높음",IF(AND(ISNUMBER(B50),B50&lt;=$B$2),"② 매출만 높음",IF(AND(ISNUMBER(C50),C50&lt;=$B$3),"③ 다운로드만 높음","④ 둘 다 기준 밖")))</f>
        <v>④ 둘 다 기준 밖</v>
      </c>
      <c r="I50" s="78" t="s">
        <v>2036</v>
      </c>
    </row>
    <row r="51" customFormat="false" ht="17.15" hidden="false" customHeight="false" outlineLevel="0" collapsed="false">
      <c r="A51" s="78" t="s">
        <v>914</v>
      </c>
      <c r="B51" s="49" t="n">
        <v>47</v>
      </c>
      <c r="C51" s="49" t="s">
        <v>800</v>
      </c>
      <c r="D51" s="147" t="n">
        <v>41000000</v>
      </c>
      <c r="E51" s="95" t="str">
        <f aca="false">IF(D51="","",IF(D51&gt;=1000000000,"1B+",IF(D51&gt;=500000000,"500M+",IF(D51&gt;=100000000,"100M+",IF(D51&gt;=50000000,"50M+",IF(D51&gt;=10000000,"10M+",IF(D51&gt;=5000000,"5M+",IF(D51&gt;=1000000,"1M+","1M 미만"))))))))</f>
        <v>10M+</v>
      </c>
      <c r="F51" s="78" t="s">
        <v>1981</v>
      </c>
      <c r="G51" s="78" t="s">
        <v>2037</v>
      </c>
      <c r="H51" s="79" t="str">
        <f aca="false">IF(AND(ISNUMBER(B51),B51&lt;=$B$2,ISNUMBER(C51),C51&lt;=$B$3),"① 둘 다 높음",IF(AND(ISNUMBER(B51),B51&lt;=$B$2),"② 매출만 높음",IF(AND(ISNUMBER(C51),C51&lt;=$B$3),"③ 다운로드만 높음","④ 둘 다 기준 밖")))</f>
        <v>④ 둘 다 기준 밖</v>
      </c>
      <c r="I51" s="78" t="s">
        <v>2038</v>
      </c>
    </row>
    <row r="52" customFormat="false" ht="17.15" hidden="false" customHeight="false" outlineLevel="0" collapsed="false">
      <c r="A52" s="78" t="s">
        <v>915</v>
      </c>
      <c r="B52" s="49" t="n">
        <v>48</v>
      </c>
      <c r="C52" s="49" t="s">
        <v>800</v>
      </c>
      <c r="D52" s="147" t="n">
        <v>12000000</v>
      </c>
      <c r="E52" s="95" t="str">
        <f aca="false">IF(D52="","",IF(D52&gt;=1000000000,"1B+",IF(D52&gt;=500000000,"500M+",IF(D52&gt;=100000000,"100M+",IF(D52&gt;=50000000,"50M+",IF(D52&gt;=10000000,"10M+",IF(D52&gt;=5000000,"5M+",IF(D52&gt;=1000000,"1M+","1M 미만"))))))))</f>
        <v>10M+</v>
      </c>
      <c r="F52" s="78" t="s">
        <v>1981</v>
      </c>
      <c r="G52" s="78" t="s">
        <v>1970</v>
      </c>
      <c r="H52" s="79" t="str">
        <f aca="false">IF(AND(ISNUMBER(B52),B52&lt;=$B$2,ISNUMBER(C52),C52&lt;=$B$3),"① 둘 다 높음",IF(AND(ISNUMBER(B52),B52&lt;=$B$2),"② 매출만 높음",IF(AND(ISNUMBER(C52),C52&lt;=$B$3),"③ 다운로드만 높음","④ 둘 다 기준 밖")))</f>
        <v>④ 둘 다 기준 밖</v>
      </c>
      <c r="I52" s="78" t="s">
        <v>2039</v>
      </c>
    </row>
    <row r="53" customFormat="false" ht="17.15" hidden="false" customHeight="false" outlineLevel="0" collapsed="false">
      <c r="A53" s="78" t="s">
        <v>916</v>
      </c>
      <c r="B53" s="49" t="n">
        <v>49</v>
      </c>
      <c r="C53" s="49" t="n">
        <v>67</v>
      </c>
      <c r="D53" s="147" t="n">
        <v>9300000</v>
      </c>
      <c r="E53" s="95" t="str">
        <f aca="false">IF(D53="","",IF(D53&gt;=1000000000,"1B+",IF(D53&gt;=500000000,"500M+",IF(D53&gt;=100000000,"100M+",IF(D53&gt;=50000000,"50M+",IF(D53&gt;=10000000,"10M+",IF(D53&gt;=5000000,"5M+",IF(D53&gt;=1000000,"1M+","1M 미만"))))))))</f>
        <v>5M+</v>
      </c>
      <c r="F53" s="78" t="s">
        <v>2030</v>
      </c>
      <c r="G53" s="78" t="s">
        <v>1995</v>
      </c>
      <c r="H53" s="79" t="str">
        <f aca="false">IF(AND(ISNUMBER(B53),B53&lt;=$B$2,ISNUMBER(C53),C53&lt;=$B$3),"① 둘 다 높음",IF(AND(ISNUMBER(B53),B53&lt;=$B$2),"② 매출만 높음",IF(AND(ISNUMBER(C53),C53&lt;=$B$3),"③ 다운로드만 높음","④ 둘 다 기준 밖")))</f>
        <v>④ 둘 다 기준 밖</v>
      </c>
      <c r="I53" s="78" t="s">
        <v>2040</v>
      </c>
    </row>
    <row r="54" customFormat="false" ht="17.15" hidden="false" customHeight="false" outlineLevel="0" collapsed="false">
      <c r="A54" s="78" t="s">
        <v>917</v>
      </c>
      <c r="B54" s="49" t="n">
        <v>50</v>
      </c>
      <c r="C54" s="49" t="s">
        <v>800</v>
      </c>
      <c r="D54" s="147" t="n">
        <v>25000000</v>
      </c>
      <c r="E54" s="95" t="str">
        <f aca="false">IF(D54="","",IF(D54&gt;=1000000000,"1B+",IF(D54&gt;=500000000,"500M+",IF(D54&gt;=100000000,"100M+",IF(D54&gt;=50000000,"50M+",IF(D54&gt;=10000000,"10M+",IF(D54&gt;=5000000,"5M+",IF(D54&gt;=1000000,"1M+","1M 미만"))))))))</f>
        <v>10M+</v>
      </c>
      <c r="F54" s="78" t="s">
        <v>1981</v>
      </c>
      <c r="G54" s="78" t="s">
        <v>1973</v>
      </c>
      <c r="H54" s="79" t="str">
        <f aca="false">IF(AND(ISNUMBER(B54),B54&lt;=$B$2,ISNUMBER(C54),C54&lt;=$B$3),"① 둘 다 높음",IF(AND(ISNUMBER(B54),B54&lt;=$B$2),"② 매출만 높음",IF(AND(ISNUMBER(C54),C54&lt;=$B$3),"③ 다운로드만 높음","④ 둘 다 기준 밖")))</f>
        <v>④ 둘 다 기준 밖</v>
      </c>
      <c r="I54" s="78" t="s">
        <v>2041</v>
      </c>
    </row>
    <row r="55" customFormat="false" ht="17.15" hidden="false" customHeight="false" outlineLevel="0" collapsed="false">
      <c r="A55" s="78" t="s">
        <v>918</v>
      </c>
      <c r="B55" s="49" t="n">
        <v>51</v>
      </c>
      <c r="C55" s="49" t="s">
        <v>800</v>
      </c>
      <c r="D55" s="147" t="n">
        <v>7600000</v>
      </c>
      <c r="E55" s="95" t="str">
        <f aca="false">IF(D55="","",IF(D55&gt;=1000000000,"1B+",IF(D55&gt;=500000000,"500M+",IF(D55&gt;=100000000,"100M+",IF(D55&gt;=50000000,"50M+",IF(D55&gt;=10000000,"10M+",IF(D55&gt;=5000000,"5M+",IF(D55&gt;=1000000,"1M+","1M 미만"))))))))</f>
        <v>5M+</v>
      </c>
      <c r="F55" s="78" t="s">
        <v>2030</v>
      </c>
      <c r="G55" s="78" t="s">
        <v>2042</v>
      </c>
      <c r="H55" s="79" t="str">
        <f aca="false">IF(AND(ISNUMBER(B55),B55&lt;=$B$2,ISNUMBER(C55),C55&lt;=$B$3),"① 둘 다 높음",IF(AND(ISNUMBER(B55),B55&lt;=$B$2),"② 매출만 높음",IF(AND(ISNUMBER(C55),C55&lt;=$B$3),"③ 다운로드만 높음","④ 둘 다 기준 밖")))</f>
        <v>④ 둘 다 기준 밖</v>
      </c>
      <c r="I55" s="78" t="s">
        <v>2043</v>
      </c>
    </row>
    <row r="56" customFormat="false" ht="17.15" hidden="false" customHeight="false" outlineLevel="0" collapsed="false">
      <c r="A56" s="78" t="s">
        <v>919</v>
      </c>
      <c r="B56" s="49" t="n">
        <v>52</v>
      </c>
      <c r="C56" s="49" t="s">
        <v>800</v>
      </c>
      <c r="D56" s="147" t="n">
        <v>23000000</v>
      </c>
      <c r="E56" s="95" t="str">
        <f aca="false">IF(D56="","",IF(D56&gt;=1000000000,"1B+",IF(D56&gt;=500000000,"500M+",IF(D56&gt;=100000000,"100M+",IF(D56&gt;=50000000,"50M+",IF(D56&gt;=10000000,"10M+",IF(D56&gt;=5000000,"5M+",IF(D56&gt;=1000000,"1M+","1M 미만"))))))))</f>
        <v>10M+</v>
      </c>
      <c r="F56" s="78" t="s">
        <v>1981</v>
      </c>
      <c r="G56" s="78" t="s">
        <v>1950</v>
      </c>
      <c r="H56" s="79" t="str">
        <f aca="false">IF(AND(ISNUMBER(B56),B56&lt;=$B$2,ISNUMBER(C56),C56&lt;=$B$3),"① 둘 다 높음",IF(AND(ISNUMBER(B56),B56&lt;=$B$2),"② 매출만 높음",IF(AND(ISNUMBER(C56),C56&lt;=$B$3),"③ 다운로드만 높음","④ 둘 다 기준 밖")))</f>
        <v>④ 둘 다 기준 밖</v>
      </c>
      <c r="I56" s="78" t="s">
        <v>2044</v>
      </c>
    </row>
    <row r="57" customFormat="false" ht="17.15" hidden="false" customHeight="false" outlineLevel="0" collapsed="false">
      <c r="A57" s="78" t="s">
        <v>920</v>
      </c>
      <c r="B57" s="49" t="n">
        <v>53</v>
      </c>
      <c r="C57" s="49" t="s">
        <v>800</v>
      </c>
      <c r="D57" s="147" t="n">
        <v>11000000</v>
      </c>
      <c r="E57" s="95" t="str">
        <f aca="false">IF(D57="","",IF(D57&gt;=1000000000,"1B+",IF(D57&gt;=500000000,"500M+",IF(D57&gt;=100000000,"100M+",IF(D57&gt;=50000000,"50M+",IF(D57&gt;=10000000,"10M+",IF(D57&gt;=5000000,"5M+",IF(D57&gt;=1000000,"1M+","1M 미만"))))))))</f>
        <v>10M+</v>
      </c>
      <c r="F57" s="78" t="s">
        <v>1981</v>
      </c>
      <c r="G57" s="78" t="s">
        <v>2045</v>
      </c>
      <c r="H57" s="79" t="str">
        <f aca="false">IF(AND(ISNUMBER(B57),B57&lt;=$B$2,ISNUMBER(C57),C57&lt;=$B$3),"① 둘 다 높음",IF(AND(ISNUMBER(B57),B57&lt;=$B$2),"② 매출만 높음",IF(AND(ISNUMBER(C57),C57&lt;=$B$3),"③ 다운로드만 높음","④ 둘 다 기준 밖")))</f>
        <v>④ 둘 다 기준 밖</v>
      </c>
      <c r="I57" s="78" t="s">
        <v>2046</v>
      </c>
    </row>
    <row r="58" customFormat="false" ht="17.15" hidden="false" customHeight="false" outlineLevel="0" collapsed="false">
      <c r="A58" s="78" t="s">
        <v>921</v>
      </c>
      <c r="B58" s="49" t="n">
        <v>54</v>
      </c>
      <c r="C58" s="49" t="s">
        <v>800</v>
      </c>
      <c r="D58" s="147" t="n">
        <v>370000000</v>
      </c>
      <c r="E58" s="95" t="str">
        <f aca="false">IF(D58="","",IF(D58&gt;=1000000000,"1B+",IF(D58&gt;=500000000,"500M+",IF(D58&gt;=100000000,"100M+",IF(D58&gt;=50000000,"50M+",IF(D58&gt;=10000000,"10M+",IF(D58&gt;=5000000,"5M+",IF(D58&gt;=1000000,"1M+","1M 미만"))))))))</f>
        <v>100M+</v>
      </c>
      <c r="F58" s="78" t="s">
        <v>1931</v>
      </c>
      <c r="G58" s="78" t="s">
        <v>1953</v>
      </c>
      <c r="H58" s="79" t="str">
        <f aca="false">IF(AND(ISNUMBER(B58),B58&lt;=$B$2,ISNUMBER(C58),C58&lt;=$B$3),"① 둘 다 높음",IF(AND(ISNUMBER(B58),B58&lt;=$B$2),"② 매출만 높음",IF(AND(ISNUMBER(C58),C58&lt;=$B$3),"③ 다운로드만 높음","④ 둘 다 기준 밖")))</f>
        <v>④ 둘 다 기준 밖</v>
      </c>
      <c r="I58" s="78" t="s">
        <v>2047</v>
      </c>
    </row>
    <row r="59" customFormat="false" ht="17.15" hidden="false" customHeight="false" outlineLevel="0" collapsed="false">
      <c r="A59" s="78" t="s">
        <v>922</v>
      </c>
      <c r="B59" s="49" t="n">
        <v>55</v>
      </c>
      <c r="C59" s="49" t="s">
        <v>800</v>
      </c>
      <c r="D59" s="147" t="n">
        <v>78000000</v>
      </c>
      <c r="E59" s="95" t="str">
        <f aca="false">IF(D59="","",IF(D59&gt;=1000000000,"1B+",IF(D59&gt;=500000000,"500M+",IF(D59&gt;=100000000,"100M+",IF(D59&gt;=50000000,"50M+",IF(D59&gt;=10000000,"10M+",IF(D59&gt;=5000000,"5M+",IF(D59&gt;=1000000,"1M+","1M 미만"))))))))</f>
        <v>50M+</v>
      </c>
      <c r="F59" s="78" t="s">
        <v>1949</v>
      </c>
      <c r="G59" s="78" t="s">
        <v>1976</v>
      </c>
      <c r="H59" s="79" t="str">
        <f aca="false">IF(AND(ISNUMBER(B59),B59&lt;=$B$2,ISNUMBER(C59),C59&lt;=$B$3),"① 둘 다 높음",IF(AND(ISNUMBER(B59),B59&lt;=$B$2),"② 매출만 높음",IF(AND(ISNUMBER(C59),C59&lt;=$B$3),"③ 다운로드만 높음","④ 둘 다 기준 밖")))</f>
        <v>④ 둘 다 기준 밖</v>
      </c>
      <c r="I59" s="78" t="s">
        <v>2048</v>
      </c>
    </row>
    <row r="60" customFormat="false" ht="17.15" hidden="false" customHeight="false" outlineLevel="0" collapsed="false">
      <c r="A60" s="78" t="s">
        <v>923</v>
      </c>
      <c r="B60" s="49" t="n">
        <v>56</v>
      </c>
      <c r="C60" s="49" t="s">
        <v>800</v>
      </c>
      <c r="D60" s="147" t="n">
        <v>8400000</v>
      </c>
      <c r="E60" s="95" t="str">
        <f aca="false">IF(D60="","",IF(D60&gt;=1000000000,"1B+",IF(D60&gt;=500000000,"500M+",IF(D60&gt;=100000000,"100M+",IF(D60&gt;=50000000,"50M+",IF(D60&gt;=10000000,"10M+",IF(D60&gt;=5000000,"5M+",IF(D60&gt;=1000000,"1M+","1M 미만"))))))))</f>
        <v>5M+</v>
      </c>
      <c r="F60" s="78" t="s">
        <v>2030</v>
      </c>
      <c r="G60" s="78" t="s">
        <v>2049</v>
      </c>
      <c r="H60" s="79" t="str">
        <f aca="false">IF(AND(ISNUMBER(B60),B60&lt;=$B$2,ISNUMBER(C60),C60&lt;=$B$3),"① 둘 다 높음",IF(AND(ISNUMBER(B60),B60&lt;=$B$2),"② 매출만 높음",IF(AND(ISNUMBER(C60),C60&lt;=$B$3),"③ 다운로드만 높음","④ 둘 다 기준 밖")))</f>
        <v>④ 둘 다 기준 밖</v>
      </c>
      <c r="I60" s="78" t="s">
        <v>2050</v>
      </c>
    </row>
    <row r="61" customFormat="false" ht="17.15" hidden="false" customHeight="false" outlineLevel="0" collapsed="false">
      <c r="A61" s="78" t="s">
        <v>184</v>
      </c>
      <c r="B61" s="49" t="n">
        <v>57</v>
      </c>
      <c r="C61" s="49" t="n">
        <v>11</v>
      </c>
      <c r="D61" s="147" t="n">
        <v>40000000</v>
      </c>
      <c r="E61" s="95" t="str">
        <f aca="false">IF(D61="","",IF(D61&gt;=1000000000,"1B+",IF(D61&gt;=500000000,"500M+",IF(D61&gt;=100000000,"100M+",IF(D61&gt;=50000000,"50M+",IF(D61&gt;=10000000,"10M+",IF(D61&gt;=5000000,"5M+",IF(D61&gt;=1000000,"1M+","1M 미만"))))))))</f>
        <v>10M+</v>
      </c>
      <c r="F61" s="78" t="s">
        <v>1981</v>
      </c>
      <c r="G61" s="78" t="s">
        <v>2051</v>
      </c>
      <c r="H61" s="79" t="str">
        <f aca="false">IF(AND(ISNUMBER(B61),B61&lt;=$B$2,ISNUMBER(C61),C61&lt;=$B$3),"① 둘 다 높음",IF(AND(ISNUMBER(B61),B61&lt;=$B$2),"② 매출만 높음",IF(AND(ISNUMBER(C61),C61&lt;=$B$3),"③ 다운로드만 높음","④ 둘 다 기준 밖")))</f>
        <v>③ 다운로드만 높음</v>
      </c>
      <c r="I61" s="78" t="s">
        <v>2052</v>
      </c>
    </row>
    <row r="62" customFormat="false" ht="17.15" hidden="false" customHeight="false" outlineLevel="0" collapsed="false">
      <c r="A62" s="78" t="s">
        <v>924</v>
      </c>
      <c r="B62" s="49" t="n">
        <v>58</v>
      </c>
      <c r="C62" s="49" t="s">
        <v>800</v>
      </c>
      <c r="D62" s="147" t="n">
        <v>23000000</v>
      </c>
      <c r="E62" s="95" t="str">
        <f aca="false">IF(D62="","",IF(D62&gt;=1000000000,"1B+",IF(D62&gt;=500000000,"500M+",IF(D62&gt;=100000000,"100M+",IF(D62&gt;=50000000,"50M+",IF(D62&gt;=10000000,"10M+",IF(D62&gt;=5000000,"5M+",IF(D62&gt;=1000000,"1M+","1M 미만"))))))))</f>
        <v>10M+</v>
      </c>
      <c r="F62" s="78" t="s">
        <v>1981</v>
      </c>
      <c r="G62" s="78" t="s">
        <v>2053</v>
      </c>
      <c r="H62" s="79" t="str">
        <f aca="false">IF(AND(ISNUMBER(B62),B62&lt;=$B$2,ISNUMBER(C62),C62&lt;=$B$3),"① 둘 다 높음",IF(AND(ISNUMBER(B62),B62&lt;=$B$2),"② 매출만 높음",IF(AND(ISNUMBER(C62),C62&lt;=$B$3),"③ 다운로드만 높음","④ 둘 다 기준 밖")))</f>
        <v>④ 둘 다 기준 밖</v>
      </c>
      <c r="I62" s="78" t="s">
        <v>2054</v>
      </c>
    </row>
    <row r="63" customFormat="false" ht="17.15" hidden="false" customHeight="false" outlineLevel="0" collapsed="false">
      <c r="A63" s="78" t="s">
        <v>925</v>
      </c>
      <c r="B63" s="49" t="n">
        <v>59</v>
      </c>
      <c r="C63" s="49" t="s">
        <v>800</v>
      </c>
      <c r="D63" s="147" t="n">
        <v>50000000</v>
      </c>
      <c r="E63" s="95" t="str">
        <f aca="false">IF(D63="","",IF(D63&gt;=1000000000,"1B+",IF(D63&gt;=500000000,"500M+",IF(D63&gt;=100000000,"100M+",IF(D63&gt;=50000000,"50M+",IF(D63&gt;=10000000,"10M+",IF(D63&gt;=5000000,"5M+",IF(D63&gt;=1000000,"1M+","1M 미만"))))))))</f>
        <v>50M+</v>
      </c>
      <c r="F63" s="78" t="s">
        <v>1981</v>
      </c>
      <c r="G63" s="78" t="s">
        <v>2049</v>
      </c>
      <c r="H63" s="79" t="str">
        <f aca="false">IF(AND(ISNUMBER(B63),B63&lt;=$B$2,ISNUMBER(C63),C63&lt;=$B$3),"① 둘 다 높음",IF(AND(ISNUMBER(B63),B63&lt;=$B$2),"② 매출만 높음",IF(AND(ISNUMBER(C63),C63&lt;=$B$3),"③ 다운로드만 높음","④ 둘 다 기준 밖")))</f>
        <v>④ 둘 다 기준 밖</v>
      </c>
      <c r="I63" s="78" t="s">
        <v>2055</v>
      </c>
    </row>
    <row r="64" customFormat="false" ht="17.15" hidden="false" customHeight="false" outlineLevel="0" collapsed="false">
      <c r="A64" s="78" t="s">
        <v>926</v>
      </c>
      <c r="B64" s="49" t="n">
        <v>60</v>
      </c>
      <c r="C64" s="49" t="s">
        <v>800</v>
      </c>
      <c r="D64" s="147" t="n">
        <v>1100000000</v>
      </c>
      <c r="E64" s="95" t="str">
        <f aca="false">IF(D64="","",IF(D64&gt;=1000000000,"1B+",IF(D64&gt;=500000000,"500M+",IF(D64&gt;=100000000,"100M+",IF(D64&gt;=50000000,"50M+",IF(D64&gt;=10000000,"10M+",IF(D64&gt;=5000000,"5M+",IF(D64&gt;=1000000,"1M+","1M 미만"))))))))</f>
        <v>1B+</v>
      </c>
      <c r="F64" s="78" t="s">
        <v>1936</v>
      </c>
      <c r="G64" s="78" t="s">
        <v>2056</v>
      </c>
      <c r="H64" s="79" t="str">
        <f aca="false">IF(AND(ISNUMBER(B64),B64&lt;=$B$2,ISNUMBER(C64),C64&lt;=$B$3),"① 둘 다 높음",IF(AND(ISNUMBER(B64),B64&lt;=$B$2),"② 매출만 높음",IF(AND(ISNUMBER(C64),C64&lt;=$B$3),"③ 다운로드만 높음","④ 둘 다 기준 밖")))</f>
        <v>④ 둘 다 기준 밖</v>
      </c>
      <c r="I64" s="78" t="s">
        <v>2057</v>
      </c>
    </row>
    <row r="65" customFormat="false" ht="17.15" hidden="false" customHeight="false" outlineLevel="0" collapsed="false">
      <c r="A65" s="78" t="s">
        <v>927</v>
      </c>
      <c r="B65" s="49" t="n">
        <v>61</v>
      </c>
      <c r="C65" s="49" t="s">
        <v>800</v>
      </c>
      <c r="D65" s="147" t="n">
        <v>16000000</v>
      </c>
      <c r="E65" s="95" t="str">
        <f aca="false">IF(D65="","",IF(D65&gt;=1000000000,"1B+",IF(D65&gt;=500000000,"500M+",IF(D65&gt;=100000000,"100M+",IF(D65&gt;=50000000,"50M+",IF(D65&gt;=10000000,"10M+",IF(D65&gt;=5000000,"5M+",IF(D65&gt;=1000000,"1M+","1M 미만"))))))))</f>
        <v>10M+</v>
      </c>
      <c r="F65" s="78" t="s">
        <v>1981</v>
      </c>
      <c r="G65" s="78" t="s">
        <v>1932</v>
      </c>
      <c r="H65" s="79" t="str">
        <f aca="false">IF(AND(ISNUMBER(B65),B65&lt;=$B$2,ISNUMBER(C65),C65&lt;=$B$3),"① 둘 다 높음",IF(AND(ISNUMBER(B65),B65&lt;=$B$2),"② 매출만 높음",IF(AND(ISNUMBER(C65),C65&lt;=$B$3),"③ 다운로드만 높음","④ 둘 다 기준 밖")))</f>
        <v>④ 둘 다 기준 밖</v>
      </c>
      <c r="I65" s="78" t="s">
        <v>2058</v>
      </c>
    </row>
    <row r="66" customFormat="false" ht="17.15" hidden="false" customHeight="false" outlineLevel="0" collapsed="false">
      <c r="A66" s="78" t="s">
        <v>928</v>
      </c>
      <c r="B66" s="49" t="n">
        <v>62</v>
      </c>
      <c r="C66" s="49" t="s">
        <v>800</v>
      </c>
      <c r="D66" s="147" t="n">
        <v>11000000</v>
      </c>
      <c r="E66" s="95" t="str">
        <f aca="false">IF(D66="","",IF(D66&gt;=1000000000,"1B+",IF(D66&gt;=500000000,"500M+",IF(D66&gt;=100000000,"100M+",IF(D66&gt;=50000000,"50M+",IF(D66&gt;=10000000,"10M+",IF(D66&gt;=5000000,"5M+",IF(D66&gt;=1000000,"1M+","1M 미만"))))))))</f>
        <v>10M+</v>
      </c>
      <c r="F66" s="78" t="s">
        <v>1981</v>
      </c>
      <c r="G66" s="78" t="s">
        <v>2059</v>
      </c>
      <c r="H66" s="79" t="str">
        <f aca="false">IF(AND(ISNUMBER(B66),B66&lt;=$B$2,ISNUMBER(C66),C66&lt;=$B$3),"① 둘 다 높음",IF(AND(ISNUMBER(B66),B66&lt;=$B$2),"② 매출만 높음",IF(AND(ISNUMBER(C66),C66&lt;=$B$3),"③ 다운로드만 높음","④ 둘 다 기준 밖")))</f>
        <v>④ 둘 다 기준 밖</v>
      </c>
      <c r="I66" s="78" t="s">
        <v>2060</v>
      </c>
    </row>
    <row r="67" customFormat="false" ht="17.15" hidden="false" customHeight="false" outlineLevel="0" collapsed="false">
      <c r="A67" s="78" t="s">
        <v>929</v>
      </c>
      <c r="B67" s="49" t="n">
        <v>63</v>
      </c>
      <c r="C67" s="49" t="s">
        <v>800</v>
      </c>
      <c r="D67" s="147" t="n">
        <v>6600000</v>
      </c>
      <c r="E67" s="95" t="str">
        <f aca="false">IF(D67="","",IF(D67&gt;=1000000000,"1B+",IF(D67&gt;=500000000,"500M+",IF(D67&gt;=100000000,"100M+",IF(D67&gt;=50000000,"50M+",IF(D67&gt;=10000000,"10M+",IF(D67&gt;=5000000,"5M+",IF(D67&gt;=1000000,"1M+","1M 미만"))))))))</f>
        <v>5M+</v>
      </c>
      <c r="F67" s="78" t="s">
        <v>2030</v>
      </c>
      <c r="G67" s="78" t="s">
        <v>1970</v>
      </c>
      <c r="H67" s="79" t="str">
        <f aca="false">IF(AND(ISNUMBER(B67),B67&lt;=$B$2,ISNUMBER(C67),C67&lt;=$B$3),"① 둘 다 높음",IF(AND(ISNUMBER(B67),B67&lt;=$B$2),"② 매출만 높음",IF(AND(ISNUMBER(C67),C67&lt;=$B$3),"③ 다운로드만 높음","④ 둘 다 기준 밖")))</f>
        <v>④ 둘 다 기준 밖</v>
      </c>
      <c r="I67" s="78" t="s">
        <v>2061</v>
      </c>
    </row>
    <row r="68" customFormat="false" ht="17.15" hidden="false" customHeight="false" outlineLevel="0" collapsed="false">
      <c r="A68" s="78" t="s">
        <v>854</v>
      </c>
      <c r="B68" s="49" t="n">
        <v>64</v>
      </c>
      <c r="C68" s="49" t="n">
        <v>27</v>
      </c>
      <c r="D68" s="147" t="n">
        <v>3000000</v>
      </c>
      <c r="E68" s="95" t="str">
        <f aca="false">IF(D68="","",IF(D68&gt;=1000000000,"1B+",IF(D68&gt;=500000000,"500M+",IF(D68&gt;=100000000,"100M+",IF(D68&gt;=50000000,"50M+",IF(D68&gt;=10000000,"10M+",IF(D68&gt;=5000000,"5M+",IF(D68&gt;=1000000,"1M+","1M 미만"))))))))</f>
        <v>1M+</v>
      </c>
      <c r="F68" s="78" t="s">
        <v>2012</v>
      </c>
      <c r="G68" s="78" t="s">
        <v>2062</v>
      </c>
      <c r="H68" s="79" t="str">
        <f aca="false">IF(AND(ISNUMBER(B68),B68&lt;=$B$2,ISNUMBER(C68),C68&lt;=$B$3),"① 둘 다 높음",IF(AND(ISNUMBER(B68),B68&lt;=$B$2),"② 매출만 높음",IF(AND(ISNUMBER(C68),C68&lt;=$B$3),"③ 다운로드만 높음","④ 둘 다 기준 밖")))</f>
        <v>③ 다운로드만 높음</v>
      </c>
      <c r="I68" s="78" t="s">
        <v>2063</v>
      </c>
    </row>
    <row r="69" customFormat="false" ht="17.15" hidden="false" customHeight="false" outlineLevel="0" collapsed="false">
      <c r="A69" s="78" t="s">
        <v>930</v>
      </c>
      <c r="B69" s="49" t="n">
        <v>66</v>
      </c>
      <c r="C69" s="49" t="n">
        <v>21</v>
      </c>
      <c r="D69" s="147" t="n">
        <v>3500000</v>
      </c>
      <c r="E69" s="95" t="str">
        <f aca="false">IF(D69="","",IF(D69&gt;=1000000000,"1B+",IF(D69&gt;=500000000,"500M+",IF(D69&gt;=100000000,"100M+",IF(D69&gt;=50000000,"50M+",IF(D69&gt;=10000000,"10M+",IF(D69&gt;=5000000,"5M+",IF(D69&gt;=1000000,"1M+","1M 미만"))))))))</f>
        <v>1M+</v>
      </c>
      <c r="F69" s="78" t="s">
        <v>2012</v>
      </c>
      <c r="G69" s="78" t="s">
        <v>2064</v>
      </c>
      <c r="H69" s="79" t="str">
        <f aca="false">IF(AND(ISNUMBER(B69),B69&lt;=$B$2,ISNUMBER(C69),C69&lt;=$B$3),"① 둘 다 높음",IF(AND(ISNUMBER(B69),B69&lt;=$B$2),"② 매출만 높음",IF(AND(ISNUMBER(C69),C69&lt;=$B$3),"③ 다운로드만 높음","④ 둘 다 기준 밖")))</f>
        <v>③ 다운로드만 높음</v>
      </c>
      <c r="I69" s="78" t="s">
        <v>2065</v>
      </c>
    </row>
    <row r="70" customFormat="false" ht="17.15" hidden="false" customHeight="false" outlineLevel="0" collapsed="false">
      <c r="A70" s="78" t="s">
        <v>434</v>
      </c>
      <c r="B70" s="49" t="n">
        <v>67</v>
      </c>
      <c r="C70" s="49" t="s">
        <v>800</v>
      </c>
      <c r="D70" s="147" t="n">
        <v>550000000</v>
      </c>
      <c r="E70" s="95" t="str">
        <f aca="false">IF(D70="","",IF(D70&gt;=1000000000,"1B+",IF(D70&gt;=500000000,"500M+",IF(D70&gt;=100000000,"100M+",IF(D70&gt;=50000000,"50M+",IF(D70&gt;=10000000,"10M+",IF(D70&gt;=5000000,"5M+",IF(D70&gt;=1000000,"1M+","1M 미만"))))))))</f>
        <v>500M+</v>
      </c>
      <c r="F70" s="78" t="s">
        <v>1952</v>
      </c>
      <c r="G70" s="78" t="s">
        <v>2066</v>
      </c>
      <c r="H70" s="79" t="str">
        <f aca="false">IF(AND(ISNUMBER(B70),B70&lt;=$B$2,ISNUMBER(C70),C70&lt;=$B$3),"① 둘 다 높음",IF(AND(ISNUMBER(B70),B70&lt;=$B$2),"② 매출만 높음",IF(AND(ISNUMBER(C70),C70&lt;=$B$3),"③ 다운로드만 높음","④ 둘 다 기준 밖")))</f>
        <v>④ 둘 다 기준 밖</v>
      </c>
      <c r="I70" s="78" t="s">
        <v>2067</v>
      </c>
    </row>
    <row r="71" customFormat="false" ht="17.15" hidden="false" customHeight="false" outlineLevel="0" collapsed="false">
      <c r="A71" s="78" t="s">
        <v>931</v>
      </c>
      <c r="B71" s="49" t="n">
        <v>68</v>
      </c>
      <c r="C71" s="49" t="n">
        <v>87</v>
      </c>
      <c r="D71" s="147" t="n">
        <v>2700000</v>
      </c>
      <c r="E71" s="95" t="str">
        <f aca="false">IF(D71="","",IF(D71&gt;=1000000000,"1B+",IF(D71&gt;=500000000,"500M+",IF(D71&gt;=100000000,"100M+",IF(D71&gt;=50000000,"50M+",IF(D71&gt;=10000000,"10M+",IF(D71&gt;=5000000,"5M+",IF(D71&gt;=1000000,"1M+","1M 미만"))))))))</f>
        <v>1M+</v>
      </c>
      <c r="F71" s="78" t="s">
        <v>2012</v>
      </c>
      <c r="G71" s="78" t="s">
        <v>2068</v>
      </c>
      <c r="H71" s="79" t="str">
        <f aca="false">IF(AND(ISNUMBER(B71),B71&lt;=$B$2,ISNUMBER(C71),C71&lt;=$B$3),"① 둘 다 높음",IF(AND(ISNUMBER(B71),B71&lt;=$B$2),"② 매출만 높음",IF(AND(ISNUMBER(C71),C71&lt;=$B$3),"③ 다운로드만 높음","④ 둘 다 기준 밖")))</f>
        <v>④ 둘 다 기준 밖</v>
      </c>
      <c r="I71" s="78" t="s">
        <v>2069</v>
      </c>
    </row>
    <row r="72" customFormat="false" ht="17.15" hidden="false" customHeight="false" outlineLevel="0" collapsed="false">
      <c r="A72" s="78" t="s">
        <v>932</v>
      </c>
      <c r="B72" s="49" t="n">
        <v>69</v>
      </c>
      <c r="C72" s="49" t="s">
        <v>800</v>
      </c>
      <c r="D72" s="147" t="n">
        <v>400000000</v>
      </c>
      <c r="E72" s="95" t="str">
        <f aca="false">IF(D72="","",IF(D72&gt;=1000000000,"1B+",IF(D72&gt;=500000000,"500M+",IF(D72&gt;=100000000,"100M+",IF(D72&gt;=50000000,"50M+",IF(D72&gt;=10000000,"10M+",IF(D72&gt;=5000000,"5M+",IF(D72&gt;=1000000,"1M+","1M 미만"))))))))</f>
        <v>100M+</v>
      </c>
      <c r="F72" s="78" t="s">
        <v>1931</v>
      </c>
      <c r="G72" s="78" t="s">
        <v>2070</v>
      </c>
      <c r="H72" s="79" t="str">
        <f aca="false">IF(AND(ISNUMBER(B72),B72&lt;=$B$2,ISNUMBER(C72),C72&lt;=$B$3),"① 둘 다 높음",IF(AND(ISNUMBER(B72),B72&lt;=$B$2),"② 매출만 높음",IF(AND(ISNUMBER(C72),C72&lt;=$B$3),"③ 다운로드만 높음","④ 둘 다 기준 밖")))</f>
        <v>④ 둘 다 기준 밖</v>
      </c>
      <c r="I72" s="78" t="s">
        <v>2071</v>
      </c>
    </row>
    <row r="73" customFormat="false" ht="17.15" hidden="false" customHeight="false" outlineLevel="0" collapsed="false">
      <c r="A73" s="78" t="s">
        <v>860</v>
      </c>
      <c r="B73" s="49" t="n">
        <v>70</v>
      </c>
      <c r="C73" s="49" t="n">
        <v>9</v>
      </c>
      <c r="D73" s="147" t="n">
        <v>10000000</v>
      </c>
      <c r="E73" s="95" t="str">
        <f aca="false">IF(D73="","",IF(D73&gt;=1000000000,"1B+",IF(D73&gt;=500000000,"500M+",IF(D73&gt;=100000000,"100M+",IF(D73&gt;=50000000,"50M+",IF(D73&gt;=10000000,"10M+",IF(D73&gt;=5000000,"5M+",IF(D73&gt;=1000000,"1M+","1M 미만"))))))))</f>
        <v>10M+</v>
      </c>
      <c r="F73" s="97" t="s">
        <v>1981</v>
      </c>
      <c r="G73" s="78" t="s">
        <v>2064</v>
      </c>
      <c r="H73" s="79" t="str">
        <f aca="false">IF(AND(ISNUMBER(B73),B73&lt;=$B$2,ISNUMBER(C73),C73&lt;=$B$3),"① 둘 다 높음",IF(AND(ISNUMBER(B73),B73&lt;=$B$2),"② 매출만 높음",IF(AND(ISNUMBER(C73),C73&lt;=$B$3),"③ 다운로드만 높음","④ 둘 다 기준 밖")))</f>
        <v>③ 다운로드만 높음</v>
      </c>
      <c r="I73" s="78" t="s">
        <v>2072</v>
      </c>
    </row>
    <row r="74" customFormat="false" ht="17.15" hidden="false" customHeight="false" outlineLevel="0" collapsed="false">
      <c r="A74" s="78" t="s">
        <v>933</v>
      </c>
      <c r="B74" s="49" t="n">
        <v>71</v>
      </c>
      <c r="C74" s="49" t="s">
        <v>800</v>
      </c>
      <c r="D74" s="147" t="n">
        <v>98000000</v>
      </c>
      <c r="E74" s="95" t="str">
        <f aca="false">IF(D74="","",IF(D74&gt;=1000000000,"1B+",IF(D74&gt;=500000000,"500M+",IF(D74&gt;=100000000,"100M+",IF(D74&gt;=50000000,"50M+",IF(D74&gt;=10000000,"10M+",IF(D74&gt;=5000000,"5M+",IF(D74&gt;=1000000,"1M+","1M 미만"))))))))</f>
        <v>50M+</v>
      </c>
      <c r="F74" s="78" t="s">
        <v>1949</v>
      </c>
      <c r="G74" s="78" t="s">
        <v>2073</v>
      </c>
      <c r="H74" s="79" t="str">
        <f aca="false">IF(AND(ISNUMBER(B74),B74&lt;=$B$2,ISNUMBER(C74),C74&lt;=$B$3),"① 둘 다 높음",IF(AND(ISNUMBER(B74),B74&lt;=$B$2),"② 매출만 높음",IF(AND(ISNUMBER(C74),C74&lt;=$B$3),"③ 다운로드만 높음","④ 둘 다 기준 밖")))</f>
        <v>④ 둘 다 기준 밖</v>
      </c>
      <c r="I74" s="78" t="s">
        <v>2074</v>
      </c>
    </row>
    <row r="75" customFormat="false" ht="17.15" hidden="false" customHeight="false" outlineLevel="0" collapsed="false">
      <c r="A75" s="78" t="s">
        <v>934</v>
      </c>
      <c r="B75" s="49" t="n">
        <v>72</v>
      </c>
      <c r="C75" s="49" t="s">
        <v>800</v>
      </c>
      <c r="D75" s="147" t="n">
        <v>8100000</v>
      </c>
      <c r="E75" s="95" t="str">
        <f aca="false">IF(D75="","",IF(D75&gt;=1000000000,"1B+",IF(D75&gt;=500000000,"500M+",IF(D75&gt;=100000000,"100M+",IF(D75&gt;=50000000,"50M+",IF(D75&gt;=10000000,"10M+",IF(D75&gt;=5000000,"5M+",IF(D75&gt;=1000000,"1M+","1M 미만"))))))))</f>
        <v>5M+</v>
      </c>
      <c r="F75" s="78" t="s">
        <v>2030</v>
      </c>
      <c r="G75" s="78" t="s">
        <v>2062</v>
      </c>
      <c r="H75" s="79" t="str">
        <f aca="false">IF(AND(ISNUMBER(B75),B75&lt;=$B$2,ISNUMBER(C75),C75&lt;=$B$3),"① 둘 다 높음",IF(AND(ISNUMBER(B75),B75&lt;=$B$2),"② 매출만 높음",IF(AND(ISNUMBER(C75),C75&lt;=$B$3),"③ 다운로드만 높음","④ 둘 다 기준 밖")))</f>
        <v>④ 둘 다 기준 밖</v>
      </c>
      <c r="I75" s="78" t="s">
        <v>2075</v>
      </c>
    </row>
    <row r="76" customFormat="false" ht="17.15" hidden="false" customHeight="false" outlineLevel="0" collapsed="false">
      <c r="A76" s="78" t="s">
        <v>935</v>
      </c>
      <c r="B76" s="49" t="n">
        <v>73</v>
      </c>
      <c r="C76" s="49" t="s">
        <v>800</v>
      </c>
      <c r="D76" s="147" t="n">
        <v>4600000</v>
      </c>
      <c r="E76" s="95" t="str">
        <f aca="false">IF(D76="","",IF(D76&gt;=1000000000,"1B+",IF(D76&gt;=500000000,"500M+",IF(D76&gt;=100000000,"100M+",IF(D76&gt;=50000000,"50M+",IF(D76&gt;=10000000,"10M+",IF(D76&gt;=5000000,"5M+",IF(D76&gt;=1000000,"1M+","1M 미만"))))))))</f>
        <v>1M+</v>
      </c>
      <c r="F76" s="78" t="s">
        <v>2012</v>
      </c>
      <c r="G76" s="78" t="s">
        <v>2076</v>
      </c>
      <c r="H76" s="79" t="str">
        <f aca="false">IF(AND(ISNUMBER(B76),B76&lt;=$B$2,ISNUMBER(C76),C76&lt;=$B$3),"① 둘 다 높음",IF(AND(ISNUMBER(B76),B76&lt;=$B$2),"② 매출만 높음",IF(AND(ISNUMBER(C76),C76&lt;=$B$3),"③ 다운로드만 높음","④ 둘 다 기준 밖")))</f>
        <v>④ 둘 다 기준 밖</v>
      </c>
      <c r="I76" s="78" t="s">
        <v>2077</v>
      </c>
    </row>
    <row r="77" customFormat="false" ht="17.15" hidden="false" customHeight="false" outlineLevel="0" collapsed="false">
      <c r="A77" s="78" t="s">
        <v>936</v>
      </c>
      <c r="B77" s="49" t="n">
        <v>74</v>
      </c>
      <c r="C77" s="49" t="s">
        <v>800</v>
      </c>
      <c r="D77" s="147" t="n">
        <v>65000000</v>
      </c>
      <c r="E77" s="95" t="str">
        <f aca="false">IF(D77="","",IF(D77&gt;=1000000000,"1B+",IF(D77&gt;=500000000,"500M+",IF(D77&gt;=100000000,"100M+",IF(D77&gt;=50000000,"50M+",IF(D77&gt;=10000000,"10M+",IF(D77&gt;=5000000,"5M+",IF(D77&gt;=1000000,"1M+","1M 미만"))))))))</f>
        <v>50M+</v>
      </c>
      <c r="F77" s="78" t="s">
        <v>1949</v>
      </c>
      <c r="G77" s="78" t="s">
        <v>2078</v>
      </c>
      <c r="H77" s="79" t="str">
        <f aca="false">IF(AND(ISNUMBER(B77),B77&lt;=$B$2,ISNUMBER(C77),C77&lt;=$B$3),"① 둘 다 높음",IF(AND(ISNUMBER(B77),B77&lt;=$B$2),"② 매출만 높음",IF(AND(ISNUMBER(C77),C77&lt;=$B$3),"③ 다운로드만 높음","④ 둘 다 기준 밖")))</f>
        <v>④ 둘 다 기준 밖</v>
      </c>
      <c r="I77" s="78" t="s">
        <v>2079</v>
      </c>
    </row>
    <row r="78" customFormat="false" ht="17.15" hidden="false" customHeight="false" outlineLevel="0" collapsed="false">
      <c r="A78" s="78" t="s">
        <v>937</v>
      </c>
      <c r="B78" s="49" t="n">
        <v>75</v>
      </c>
      <c r="C78" s="49" t="s">
        <v>800</v>
      </c>
      <c r="D78" s="147" t="n">
        <v>45000000</v>
      </c>
      <c r="E78" s="95" t="str">
        <f aca="false">IF(D78="","",IF(D78&gt;=1000000000,"1B+",IF(D78&gt;=500000000,"500M+",IF(D78&gt;=100000000,"100M+",IF(D78&gt;=50000000,"50M+",IF(D78&gt;=10000000,"10M+",IF(D78&gt;=5000000,"5M+",IF(D78&gt;=1000000,"1M+","1M 미만"))))))))</f>
        <v>10M+</v>
      </c>
      <c r="F78" s="78" t="s">
        <v>1981</v>
      </c>
      <c r="G78" s="78" t="s">
        <v>1999</v>
      </c>
      <c r="H78" s="79" t="str">
        <f aca="false">IF(AND(ISNUMBER(B78),B78&lt;=$B$2,ISNUMBER(C78),C78&lt;=$B$3),"① 둘 다 높음",IF(AND(ISNUMBER(B78),B78&lt;=$B$2),"② 매출만 높음",IF(AND(ISNUMBER(C78),C78&lt;=$B$3),"③ 다운로드만 높음","④ 둘 다 기준 밖")))</f>
        <v>④ 둘 다 기준 밖</v>
      </c>
      <c r="I78" s="78" t="s">
        <v>2080</v>
      </c>
    </row>
    <row r="79" customFormat="false" ht="17.15" hidden="false" customHeight="false" outlineLevel="0" collapsed="false">
      <c r="A79" s="78" t="s">
        <v>938</v>
      </c>
      <c r="B79" s="49" t="n">
        <v>76</v>
      </c>
      <c r="C79" s="49" t="s">
        <v>800</v>
      </c>
      <c r="D79" s="147" t="n">
        <v>13000000</v>
      </c>
      <c r="E79" s="95" t="str">
        <f aca="false">IF(D79="","",IF(D79&gt;=1000000000,"1B+",IF(D79&gt;=500000000,"500M+",IF(D79&gt;=100000000,"100M+",IF(D79&gt;=50000000,"50M+",IF(D79&gt;=10000000,"10M+",IF(D79&gt;=5000000,"5M+",IF(D79&gt;=1000000,"1M+","1M 미만"))))))))</f>
        <v>10M+</v>
      </c>
      <c r="F79" s="78" t="s">
        <v>1981</v>
      </c>
      <c r="G79" s="78" t="s">
        <v>2081</v>
      </c>
      <c r="H79" s="79" t="str">
        <f aca="false">IF(AND(ISNUMBER(B79),B79&lt;=$B$2,ISNUMBER(C79),C79&lt;=$B$3),"① 둘 다 높음",IF(AND(ISNUMBER(B79),B79&lt;=$B$2),"② 매출만 높음",IF(AND(ISNUMBER(C79),C79&lt;=$B$3),"③ 다운로드만 높음","④ 둘 다 기준 밖")))</f>
        <v>④ 둘 다 기준 밖</v>
      </c>
      <c r="I79" s="78" t="s">
        <v>2082</v>
      </c>
    </row>
    <row r="80" customFormat="false" ht="17.15" hidden="false" customHeight="false" outlineLevel="0" collapsed="false">
      <c r="A80" s="78" t="s">
        <v>939</v>
      </c>
      <c r="B80" s="49" t="n">
        <v>77</v>
      </c>
      <c r="C80" s="49" t="s">
        <v>800</v>
      </c>
      <c r="D80" s="147" t="n">
        <v>6000000</v>
      </c>
      <c r="E80" s="95" t="str">
        <f aca="false">IF(D80="","",IF(D80&gt;=1000000000,"1B+",IF(D80&gt;=500000000,"500M+",IF(D80&gt;=100000000,"100M+",IF(D80&gt;=50000000,"50M+",IF(D80&gt;=10000000,"10M+",IF(D80&gt;=5000000,"5M+",IF(D80&gt;=1000000,"1M+","1M 미만"))))))))</f>
        <v>5M+</v>
      </c>
      <c r="F80" s="78" t="s">
        <v>2030</v>
      </c>
      <c r="G80" s="78" t="s">
        <v>2042</v>
      </c>
      <c r="H80" s="79" t="str">
        <f aca="false">IF(AND(ISNUMBER(B80),B80&lt;=$B$2,ISNUMBER(C80),C80&lt;=$B$3),"① 둘 다 높음",IF(AND(ISNUMBER(B80),B80&lt;=$B$2),"② 매출만 높음",IF(AND(ISNUMBER(C80),C80&lt;=$B$3),"③ 다운로드만 높음","④ 둘 다 기준 밖")))</f>
        <v>④ 둘 다 기준 밖</v>
      </c>
      <c r="I80" s="78" t="s">
        <v>2083</v>
      </c>
    </row>
    <row r="81" customFormat="false" ht="17.15" hidden="false" customHeight="false" outlineLevel="0" collapsed="false">
      <c r="A81" s="78" t="s">
        <v>940</v>
      </c>
      <c r="B81" s="49" t="n">
        <v>78</v>
      </c>
      <c r="C81" s="49" t="s">
        <v>800</v>
      </c>
      <c r="D81" s="147" t="n">
        <v>83000000</v>
      </c>
      <c r="E81" s="95" t="str">
        <f aca="false">IF(D81="","",IF(D81&gt;=1000000000,"1B+",IF(D81&gt;=500000000,"500M+",IF(D81&gt;=100000000,"100M+",IF(D81&gt;=50000000,"50M+",IF(D81&gt;=10000000,"10M+",IF(D81&gt;=5000000,"5M+",IF(D81&gt;=1000000,"1M+","1M 미만"))))))))</f>
        <v>50M+</v>
      </c>
      <c r="F81" s="78" t="s">
        <v>1949</v>
      </c>
      <c r="G81" s="78" t="s">
        <v>1953</v>
      </c>
      <c r="H81" s="79" t="str">
        <f aca="false">IF(AND(ISNUMBER(B81),B81&lt;=$B$2,ISNUMBER(C81),C81&lt;=$B$3),"① 둘 다 높음",IF(AND(ISNUMBER(B81),B81&lt;=$B$2),"② 매출만 높음",IF(AND(ISNUMBER(C81),C81&lt;=$B$3),"③ 다운로드만 높음","④ 둘 다 기준 밖")))</f>
        <v>④ 둘 다 기준 밖</v>
      </c>
      <c r="I81" s="78" t="s">
        <v>2084</v>
      </c>
    </row>
    <row r="82" customFormat="false" ht="17.15" hidden="false" customHeight="false" outlineLevel="0" collapsed="false">
      <c r="A82" s="78" t="s">
        <v>941</v>
      </c>
      <c r="B82" s="49" t="n">
        <v>79</v>
      </c>
      <c r="C82" s="49" t="s">
        <v>800</v>
      </c>
      <c r="D82" s="147" t="n">
        <v>110000000</v>
      </c>
      <c r="E82" s="95" t="str">
        <f aca="false">IF(D82="","",IF(D82&gt;=1000000000,"1B+",IF(D82&gt;=500000000,"500M+",IF(D82&gt;=100000000,"100M+",IF(D82&gt;=50000000,"50M+",IF(D82&gt;=10000000,"10M+",IF(D82&gt;=5000000,"5M+",IF(D82&gt;=1000000,"1M+","1M 미만"))))))))</f>
        <v>100M+</v>
      </c>
      <c r="F82" s="78" t="s">
        <v>1931</v>
      </c>
      <c r="G82" s="78" t="s">
        <v>2085</v>
      </c>
      <c r="H82" s="79" t="str">
        <f aca="false">IF(AND(ISNUMBER(B82),B82&lt;=$B$2,ISNUMBER(C82),C82&lt;=$B$3),"① 둘 다 높음",IF(AND(ISNUMBER(B82),B82&lt;=$B$2),"② 매출만 높음",IF(AND(ISNUMBER(C82),C82&lt;=$B$3),"③ 다운로드만 높음","④ 둘 다 기준 밖")))</f>
        <v>④ 둘 다 기준 밖</v>
      </c>
      <c r="I82" s="78" t="s">
        <v>2086</v>
      </c>
    </row>
    <row r="83" customFormat="false" ht="17.15" hidden="false" customHeight="false" outlineLevel="0" collapsed="false">
      <c r="A83" s="78" t="s">
        <v>942</v>
      </c>
      <c r="B83" s="49" t="n">
        <v>80</v>
      </c>
      <c r="C83" s="49" t="s">
        <v>800</v>
      </c>
      <c r="D83" s="147" t="n">
        <v>38000000</v>
      </c>
      <c r="E83" s="95" t="str">
        <f aca="false">IF(D83="","",IF(D83&gt;=1000000000,"1B+",IF(D83&gt;=500000000,"500M+",IF(D83&gt;=100000000,"100M+",IF(D83&gt;=50000000,"50M+",IF(D83&gt;=10000000,"10M+",IF(D83&gt;=5000000,"5M+",IF(D83&gt;=1000000,"1M+","1M 미만"))))))))</f>
        <v>10M+</v>
      </c>
      <c r="F83" s="78" t="s">
        <v>1981</v>
      </c>
      <c r="G83" s="78" t="s">
        <v>2087</v>
      </c>
      <c r="H83" s="79" t="str">
        <f aca="false">IF(AND(ISNUMBER(B83),B83&lt;=$B$2,ISNUMBER(C83),C83&lt;=$B$3),"① 둘 다 높음",IF(AND(ISNUMBER(B83),B83&lt;=$B$2),"② 매출만 높음",IF(AND(ISNUMBER(C83),C83&lt;=$B$3),"③ 다운로드만 높음","④ 둘 다 기준 밖")))</f>
        <v>④ 둘 다 기준 밖</v>
      </c>
      <c r="I83" s="78" t="s">
        <v>2088</v>
      </c>
    </row>
    <row r="84" customFormat="false" ht="17.15" hidden="false" customHeight="false" outlineLevel="0" collapsed="false">
      <c r="A84" s="78" t="s">
        <v>943</v>
      </c>
      <c r="B84" s="49" t="n">
        <v>81</v>
      </c>
      <c r="C84" s="49" t="s">
        <v>800</v>
      </c>
      <c r="D84" s="147" t="n">
        <v>300000000</v>
      </c>
      <c r="E84" s="95" t="str">
        <f aca="false">IF(D84="","",IF(D84&gt;=1000000000,"1B+",IF(D84&gt;=500000000,"500M+",IF(D84&gt;=100000000,"100M+",IF(D84&gt;=50000000,"50M+",IF(D84&gt;=10000000,"10M+",IF(D84&gt;=5000000,"5M+",IF(D84&gt;=1000000,"1M+","1M 미만"))))))))</f>
        <v>100M+</v>
      </c>
      <c r="F84" s="78" t="s">
        <v>1931</v>
      </c>
      <c r="G84" s="78" t="s">
        <v>2089</v>
      </c>
      <c r="H84" s="79" t="str">
        <f aca="false">IF(AND(ISNUMBER(B84),B84&lt;=$B$2,ISNUMBER(C84),C84&lt;=$B$3),"① 둘 다 높음",IF(AND(ISNUMBER(B84),B84&lt;=$B$2),"② 매출만 높음",IF(AND(ISNUMBER(C84),C84&lt;=$B$3),"③ 다운로드만 높음","④ 둘 다 기준 밖")))</f>
        <v>④ 둘 다 기준 밖</v>
      </c>
      <c r="I84" s="78" t="s">
        <v>2090</v>
      </c>
    </row>
    <row r="85" customFormat="false" ht="17.15" hidden="false" customHeight="false" outlineLevel="0" collapsed="false">
      <c r="A85" s="78" t="s">
        <v>944</v>
      </c>
      <c r="B85" s="49" t="n">
        <v>82</v>
      </c>
      <c r="C85" s="49" t="n">
        <v>73</v>
      </c>
      <c r="D85" s="147" t="n">
        <v>5400000</v>
      </c>
      <c r="E85" s="95" t="str">
        <f aca="false">IF(D85="","",IF(D85&gt;=1000000000,"1B+",IF(D85&gt;=500000000,"500M+",IF(D85&gt;=100000000,"100M+",IF(D85&gt;=50000000,"50M+",IF(D85&gt;=10000000,"10M+",IF(D85&gt;=5000000,"5M+",IF(D85&gt;=1000000,"1M+","1M 미만"))))))))</f>
        <v>5M+</v>
      </c>
      <c r="F85" s="78" t="s">
        <v>2030</v>
      </c>
      <c r="G85" s="78" t="s">
        <v>2091</v>
      </c>
      <c r="H85" s="79" t="str">
        <f aca="false">IF(AND(ISNUMBER(B85),B85&lt;=$B$2,ISNUMBER(C85),C85&lt;=$B$3),"① 둘 다 높음",IF(AND(ISNUMBER(B85),B85&lt;=$B$2),"② 매출만 높음",IF(AND(ISNUMBER(C85),C85&lt;=$B$3),"③ 다운로드만 높음","④ 둘 다 기준 밖")))</f>
        <v>④ 둘 다 기준 밖</v>
      </c>
      <c r="I85" s="78" t="s">
        <v>2092</v>
      </c>
    </row>
    <row r="86" customFormat="false" ht="17.15" hidden="false" customHeight="false" outlineLevel="0" collapsed="false">
      <c r="A86" s="78" t="s">
        <v>945</v>
      </c>
      <c r="B86" s="49" t="n">
        <v>83</v>
      </c>
      <c r="C86" s="49" t="s">
        <v>800</v>
      </c>
      <c r="D86" s="147" t="n">
        <v>6800000</v>
      </c>
      <c r="E86" s="95" t="str">
        <f aca="false">IF(D86="","",IF(D86&gt;=1000000000,"1B+",IF(D86&gt;=500000000,"500M+",IF(D86&gt;=100000000,"100M+",IF(D86&gt;=50000000,"50M+",IF(D86&gt;=10000000,"10M+",IF(D86&gt;=5000000,"5M+",IF(D86&gt;=1000000,"1M+","1M 미만"))))))))</f>
        <v>5M+</v>
      </c>
      <c r="F86" s="78" t="s">
        <v>2030</v>
      </c>
      <c r="G86" s="78" t="s">
        <v>2076</v>
      </c>
      <c r="H86" s="79" t="str">
        <f aca="false">IF(AND(ISNUMBER(B86),B86&lt;=$B$2,ISNUMBER(C86),C86&lt;=$B$3),"① 둘 다 높음",IF(AND(ISNUMBER(B86),B86&lt;=$B$2),"② 매출만 높음",IF(AND(ISNUMBER(C86),C86&lt;=$B$3),"③ 다운로드만 높음","④ 둘 다 기준 밖")))</f>
        <v>④ 둘 다 기준 밖</v>
      </c>
      <c r="I86" s="78" t="s">
        <v>2093</v>
      </c>
    </row>
    <row r="87" customFormat="false" ht="17.15" hidden="false" customHeight="false" outlineLevel="0" collapsed="false">
      <c r="A87" s="78" t="s">
        <v>946</v>
      </c>
      <c r="B87" s="49" t="n">
        <v>84</v>
      </c>
      <c r="C87" s="49" t="n">
        <v>35</v>
      </c>
      <c r="D87" s="147" t="n">
        <v>39000000</v>
      </c>
      <c r="E87" s="95" t="str">
        <f aca="false">IF(D87="","",IF(D87&gt;=1000000000,"1B+",IF(D87&gt;=500000000,"500M+",IF(D87&gt;=100000000,"100M+",IF(D87&gt;=50000000,"50M+",IF(D87&gt;=10000000,"10M+",IF(D87&gt;=5000000,"5M+",IF(D87&gt;=1000000,"1M+","1M 미만"))))))))</f>
        <v>10M+</v>
      </c>
      <c r="F87" s="78" t="s">
        <v>1981</v>
      </c>
      <c r="G87" s="78" t="s">
        <v>2094</v>
      </c>
      <c r="H87" s="79" t="str">
        <f aca="false">IF(AND(ISNUMBER(B87),B87&lt;=$B$2,ISNUMBER(C87),C87&lt;=$B$3),"① 둘 다 높음",IF(AND(ISNUMBER(B87),B87&lt;=$B$2),"② 매출만 높음",IF(AND(ISNUMBER(C87),C87&lt;=$B$3),"③ 다운로드만 높음","④ 둘 다 기준 밖")))</f>
        <v>④ 둘 다 기준 밖</v>
      </c>
      <c r="I87" s="78" t="s">
        <v>2095</v>
      </c>
    </row>
    <row r="88" customFormat="false" ht="17.15" hidden="false" customHeight="false" outlineLevel="0" collapsed="false">
      <c r="A88" s="78" t="s">
        <v>947</v>
      </c>
      <c r="B88" s="49" t="n">
        <v>85</v>
      </c>
      <c r="C88" s="49" t="s">
        <v>800</v>
      </c>
      <c r="D88" s="147" t="n">
        <v>75000000</v>
      </c>
      <c r="E88" s="95" t="str">
        <f aca="false">IF(D88="","",IF(D88&gt;=1000000000,"1B+",IF(D88&gt;=500000000,"500M+",IF(D88&gt;=100000000,"100M+",IF(D88&gt;=50000000,"50M+",IF(D88&gt;=10000000,"10M+",IF(D88&gt;=5000000,"5M+",IF(D88&gt;=1000000,"1M+","1M 미만"))))))))</f>
        <v>50M+</v>
      </c>
      <c r="F88" s="78" t="s">
        <v>1949</v>
      </c>
      <c r="G88" s="78" t="s">
        <v>2096</v>
      </c>
      <c r="H88" s="79" t="str">
        <f aca="false">IF(AND(ISNUMBER(B88),B88&lt;=$B$2,ISNUMBER(C88),C88&lt;=$B$3),"① 둘 다 높음",IF(AND(ISNUMBER(B88),B88&lt;=$B$2),"② 매출만 높음",IF(AND(ISNUMBER(C88),C88&lt;=$B$3),"③ 다운로드만 높음","④ 둘 다 기준 밖")))</f>
        <v>④ 둘 다 기준 밖</v>
      </c>
      <c r="I88" s="78" t="s">
        <v>2097</v>
      </c>
    </row>
    <row r="89" customFormat="false" ht="17.15" hidden="false" customHeight="false" outlineLevel="0" collapsed="false">
      <c r="A89" s="78" t="s">
        <v>857</v>
      </c>
      <c r="B89" s="49" t="n">
        <v>86</v>
      </c>
      <c r="C89" s="49" t="s">
        <v>800</v>
      </c>
      <c r="D89" s="147" t="n">
        <v>29000000</v>
      </c>
      <c r="E89" s="95" t="str">
        <f aca="false">IF(D89="","",IF(D89&gt;=1000000000,"1B+",IF(D89&gt;=500000000,"500M+",IF(D89&gt;=100000000,"100M+",IF(D89&gt;=50000000,"50M+",IF(D89&gt;=10000000,"10M+",IF(D89&gt;=5000000,"5M+",IF(D89&gt;=1000000,"1M+","1M 미만"))))))))</f>
        <v>10M+</v>
      </c>
      <c r="F89" s="78" t="s">
        <v>1981</v>
      </c>
      <c r="G89" s="78" t="s">
        <v>2098</v>
      </c>
      <c r="H89" s="79" t="str">
        <f aca="false">IF(AND(ISNUMBER(B89),B89&lt;=$B$2,ISNUMBER(C89),C89&lt;=$B$3),"① 둘 다 높음",IF(AND(ISNUMBER(B89),B89&lt;=$B$2),"② 매출만 높음",IF(AND(ISNUMBER(C89),C89&lt;=$B$3),"③ 다운로드만 높음","④ 둘 다 기준 밖")))</f>
        <v>④ 둘 다 기준 밖</v>
      </c>
      <c r="I89" s="78" t="s">
        <v>2099</v>
      </c>
    </row>
    <row r="90" customFormat="false" ht="17.15" hidden="false" customHeight="false" outlineLevel="0" collapsed="false">
      <c r="A90" s="78" t="s">
        <v>948</v>
      </c>
      <c r="B90" s="49" t="n">
        <v>87</v>
      </c>
      <c r="C90" s="49" t="s">
        <v>800</v>
      </c>
      <c r="D90" s="147" t="n">
        <v>5400000</v>
      </c>
      <c r="E90" s="95" t="str">
        <f aca="false">IF(D90="","",IF(D90&gt;=1000000000,"1B+",IF(D90&gt;=500000000,"500M+",IF(D90&gt;=100000000,"100M+",IF(D90&gt;=50000000,"50M+",IF(D90&gt;=10000000,"10M+",IF(D90&gt;=5000000,"5M+",IF(D90&gt;=1000000,"1M+","1M 미만"))))))))</f>
        <v>5M+</v>
      </c>
      <c r="F90" s="78" t="s">
        <v>2030</v>
      </c>
      <c r="G90" s="78" t="s">
        <v>2025</v>
      </c>
      <c r="H90" s="79" t="str">
        <f aca="false">IF(AND(ISNUMBER(B90),B90&lt;=$B$2,ISNUMBER(C90),C90&lt;=$B$3),"① 둘 다 높음",IF(AND(ISNUMBER(B90),B90&lt;=$B$2),"② 매출만 높음",IF(AND(ISNUMBER(C90),C90&lt;=$B$3),"③ 다운로드만 높음","④ 둘 다 기준 밖")))</f>
        <v>④ 둘 다 기준 밖</v>
      </c>
      <c r="I90" s="78" t="s">
        <v>2100</v>
      </c>
    </row>
    <row r="91" customFormat="false" ht="17.15" hidden="false" customHeight="false" outlineLevel="0" collapsed="false">
      <c r="A91" s="78" t="s">
        <v>949</v>
      </c>
      <c r="B91" s="49" t="n">
        <v>88</v>
      </c>
      <c r="C91" s="49" t="s">
        <v>800</v>
      </c>
      <c r="D91" s="147" t="n">
        <v>23000000</v>
      </c>
      <c r="E91" s="95" t="str">
        <f aca="false">IF(D91="","",IF(D91&gt;=1000000000,"1B+",IF(D91&gt;=500000000,"500M+",IF(D91&gt;=100000000,"100M+",IF(D91&gt;=50000000,"50M+",IF(D91&gt;=10000000,"10M+",IF(D91&gt;=5000000,"5M+",IF(D91&gt;=1000000,"1M+","1M 미만"))))))))</f>
        <v>10M+</v>
      </c>
      <c r="F91" s="78" t="s">
        <v>1981</v>
      </c>
      <c r="G91" s="78" t="s">
        <v>2025</v>
      </c>
      <c r="H91" s="79" t="str">
        <f aca="false">IF(AND(ISNUMBER(B91),B91&lt;=$B$2,ISNUMBER(C91),C91&lt;=$B$3),"① 둘 다 높음",IF(AND(ISNUMBER(B91),B91&lt;=$B$2),"② 매출만 높음",IF(AND(ISNUMBER(C91),C91&lt;=$B$3),"③ 다운로드만 높음","④ 둘 다 기준 밖")))</f>
        <v>④ 둘 다 기준 밖</v>
      </c>
      <c r="I91" s="78" t="s">
        <v>2101</v>
      </c>
    </row>
    <row r="92" customFormat="false" ht="17.15" hidden="false" customHeight="false" outlineLevel="0" collapsed="false">
      <c r="A92" s="78" t="s">
        <v>950</v>
      </c>
      <c r="B92" s="49" t="n">
        <v>89</v>
      </c>
      <c r="C92" s="49" t="s">
        <v>800</v>
      </c>
      <c r="D92" s="147" t="n">
        <v>170000000</v>
      </c>
      <c r="E92" s="95" t="str">
        <f aca="false">IF(D92="","",IF(D92&gt;=1000000000,"1B+",IF(D92&gt;=500000000,"500M+",IF(D92&gt;=100000000,"100M+",IF(D92&gt;=50000000,"50M+",IF(D92&gt;=10000000,"10M+",IF(D92&gt;=5000000,"5M+",IF(D92&gt;=1000000,"1M+","1M 미만"))))))))</f>
        <v>100M+</v>
      </c>
      <c r="F92" s="78" t="s">
        <v>1931</v>
      </c>
      <c r="G92" s="78" t="s">
        <v>2102</v>
      </c>
      <c r="H92" s="79" t="str">
        <f aca="false">IF(AND(ISNUMBER(B92),B92&lt;=$B$2,ISNUMBER(C92),C92&lt;=$B$3),"① 둘 다 높음",IF(AND(ISNUMBER(B92),B92&lt;=$B$2),"② 매출만 높음",IF(AND(ISNUMBER(C92),C92&lt;=$B$3),"③ 다운로드만 높음","④ 둘 다 기준 밖")))</f>
        <v>④ 둘 다 기준 밖</v>
      </c>
      <c r="I92" s="78" t="s">
        <v>2103</v>
      </c>
    </row>
    <row r="93" customFormat="false" ht="17.15" hidden="false" customHeight="false" outlineLevel="0" collapsed="false">
      <c r="A93" s="78" t="s">
        <v>951</v>
      </c>
      <c r="B93" s="49" t="n">
        <v>90</v>
      </c>
      <c r="C93" s="49" t="s">
        <v>800</v>
      </c>
      <c r="D93" s="147" t="n">
        <v>3600000</v>
      </c>
      <c r="E93" s="95" t="str">
        <f aca="false">IF(D93="","",IF(D93&gt;=1000000000,"1B+",IF(D93&gt;=500000000,"500M+",IF(D93&gt;=100000000,"100M+",IF(D93&gt;=50000000,"50M+",IF(D93&gt;=10000000,"10M+",IF(D93&gt;=5000000,"5M+",IF(D93&gt;=1000000,"1M+","1M 미만"))))))))</f>
        <v>1M+</v>
      </c>
      <c r="F93" s="78" t="s">
        <v>2012</v>
      </c>
      <c r="G93" s="78" t="s">
        <v>2062</v>
      </c>
      <c r="H93" s="79" t="str">
        <f aca="false">IF(AND(ISNUMBER(B93),B93&lt;=$B$2,ISNUMBER(C93),C93&lt;=$B$3),"① 둘 다 높음",IF(AND(ISNUMBER(B93),B93&lt;=$B$2),"② 매출만 높음",IF(AND(ISNUMBER(C93),C93&lt;=$B$3),"③ 다운로드만 높음","④ 둘 다 기준 밖")))</f>
        <v>④ 둘 다 기준 밖</v>
      </c>
      <c r="I93" s="78" t="s">
        <v>2104</v>
      </c>
    </row>
    <row r="94" customFormat="false" ht="17.15" hidden="false" customHeight="false" outlineLevel="0" collapsed="false">
      <c r="A94" s="78" t="s">
        <v>952</v>
      </c>
      <c r="B94" s="49" t="n">
        <v>91</v>
      </c>
      <c r="C94" s="49" t="s">
        <v>800</v>
      </c>
      <c r="D94" s="147" t="n">
        <v>25000000</v>
      </c>
      <c r="E94" s="95" t="str">
        <f aca="false">IF(D94="","",IF(D94&gt;=1000000000,"1B+",IF(D94&gt;=500000000,"500M+",IF(D94&gt;=100000000,"100M+",IF(D94&gt;=50000000,"50M+",IF(D94&gt;=10000000,"10M+",IF(D94&gt;=5000000,"5M+",IF(D94&gt;=1000000,"1M+","1M 미만"))))))))</f>
        <v>10M+</v>
      </c>
      <c r="F94" s="78" t="s">
        <v>1981</v>
      </c>
      <c r="G94" s="78" t="s">
        <v>1995</v>
      </c>
      <c r="H94" s="79" t="str">
        <f aca="false">IF(AND(ISNUMBER(B94),B94&lt;=$B$2,ISNUMBER(C94),C94&lt;=$B$3),"① 둘 다 높음",IF(AND(ISNUMBER(B94),B94&lt;=$B$2),"② 매출만 높음",IF(AND(ISNUMBER(C94),C94&lt;=$B$3),"③ 다운로드만 높음","④ 둘 다 기준 밖")))</f>
        <v>④ 둘 다 기준 밖</v>
      </c>
      <c r="I94" s="78" t="s">
        <v>2105</v>
      </c>
    </row>
    <row r="95" customFormat="false" ht="17.15" hidden="false" customHeight="false" outlineLevel="0" collapsed="false">
      <c r="A95" s="78" t="s">
        <v>953</v>
      </c>
      <c r="B95" s="49" t="n">
        <v>92</v>
      </c>
      <c r="C95" s="49" t="s">
        <v>800</v>
      </c>
      <c r="D95" s="147" t="n">
        <v>95000000</v>
      </c>
      <c r="E95" s="95" t="str">
        <f aca="false">IF(D95="","",IF(D95&gt;=1000000000,"1B+",IF(D95&gt;=500000000,"500M+",IF(D95&gt;=100000000,"100M+",IF(D95&gt;=50000000,"50M+",IF(D95&gt;=10000000,"10M+",IF(D95&gt;=5000000,"5M+",IF(D95&gt;=1000000,"1M+","1M 미만"))))))))</f>
        <v>50M+</v>
      </c>
      <c r="F95" s="78" t="s">
        <v>1949</v>
      </c>
      <c r="G95" s="78" t="s">
        <v>2106</v>
      </c>
      <c r="H95" s="79" t="str">
        <f aca="false">IF(AND(ISNUMBER(B95),B95&lt;=$B$2,ISNUMBER(C95),C95&lt;=$B$3),"① 둘 다 높음",IF(AND(ISNUMBER(B95),B95&lt;=$B$2),"② 매출만 높음",IF(AND(ISNUMBER(C95),C95&lt;=$B$3),"③ 다운로드만 높음","④ 둘 다 기준 밖")))</f>
        <v>④ 둘 다 기준 밖</v>
      </c>
      <c r="I95" s="78" t="s">
        <v>2107</v>
      </c>
    </row>
    <row r="96" customFormat="false" ht="17.15" hidden="false" customHeight="false" outlineLevel="0" collapsed="false">
      <c r="A96" s="78" t="s">
        <v>954</v>
      </c>
      <c r="B96" s="49" t="n">
        <v>93</v>
      </c>
      <c r="C96" s="49" t="s">
        <v>800</v>
      </c>
      <c r="D96" s="147" t="n">
        <v>15000000</v>
      </c>
      <c r="E96" s="95" t="str">
        <f aca="false">IF(D96="","",IF(D96&gt;=1000000000,"1B+",IF(D96&gt;=500000000,"500M+",IF(D96&gt;=100000000,"100M+",IF(D96&gt;=50000000,"50M+",IF(D96&gt;=10000000,"10M+",IF(D96&gt;=5000000,"5M+",IF(D96&gt;=1000000,"1M+","1M 미만"))))))))</f>
        <v>10M+</v>
      </c>
      <c r="F96" s="78" t="s">
        <v>1981</v>
      </c>
      <c r="G96" s="78" t="s">
        <v>2089</v>
      </c>
      <c r="H96" s="79" t="str">
        <f aca="false">IF(AND(ISNUMBER(B96),B96&lt;=$B$2,ISNUMBER(C96),C96&lt;=$B$3),"① 둘 다 높음",IF(AND(ISNUMBER(B96),B96&lt;=$B$2),"② 매출만 높음",IF(AND(ISNUMBER(C96),C96&lt;=$B$3),"③ 다운로드만 높음","④ 둘 다 기준 밖")))</f>
        <v>④ 둘 다 기준 밖</v>
      </c>
      <c r="I96" s="78" t="s">
        <v>2108</v>
      </c>
    </row>
    <row r="97" customFormat="false" ht="17.15" hidden="false" customHeight="false" outlineLevel="0" collapsed="false">
      <c r="A97" s="78" t="s">
        <v>867</v>
      </c>
      <c r="B97" s="49" t="n">
        <v>94</v>
      </c>
      <c r="C97" s="49" t="s">
        <v>800</v>
      </c>
      <c r="D97" s="147" t="n">
        <v>35000000</v>
      </c>
      <c r="E97" s="95" t="str">
        <f aca="false">IF(D97="","",IF(D97&gt;=1000000000,"1B+",IF(D97&gt;=500000000,"500M+",IF(D97&gt;=100000000,"100M+",IF(D97&gt;=50000000,"50M+",IF(D97&gt;=10000000,"10M+",IF(D97&gt;=5000000,"5M+",IF(D97&gt;=1000000,"1M+","1M 미만"))))))))</f>
        <v>10M+</v>
      </c>
      <c r="F97" s="78" t="s">
        <v>1981</v>
      </c>
      <c r="G97" s="78" t="s">
        <v>2031</v>
      </c>
      <c r="H97" s="79" t="str">
        <f aca="false">IF(AND(ISNUMBER(B97),B97&lt;=$B$2,ISNUMBER(C97),C97&lt;=$B$3),"① 둘 다 높음",IF(AND(ISNUMBER(B97),B97&lt;=$B$2),"② 매출만 높음",IF(AND(ISNUMBER(C97),C97&lt;=$B$3),"③ 다운로드만 높음","④ 둘 다 기준 밖")))</f>
        <v>④ 둘 다 기준 밖</v>
      </c>
      <c r="I97" s="78" t="s">
        <v>2109</v>
      </c>
    </row>
    <row r="98" customFormat="false" ht="17.15" hidden="false" customHeight="false" outlineLevel="0" collapsed="false">
      <c r="A98" s="78" t="s">
        <v>955</v>
      </c>
      <c r="B98" s="49" t="n">
        <v>95</v>
      </c>
      <c r="C98" s="49" t="s">
        <v>800</v>
      </c>
      <c r="D98" s="147" t="n">
        <v>18000000</v>
      </c>
      <c r="E98" s="95" t="str">
        <f aca="false">IF(D98="","",IF(D98&gt;=1000000000,"1B+",IF(D98&gt;=500000000,"500M+",IF(D98&gt;=100000000,"100M+",IF(D98&gt;=50000000,"50M+",IF(D98&gt;=10000000,"10M+",IF(D98&gt;=5000000,"5M+",IF(D98&gt;=1000000,"1M+","1M 미만"))))))))</f>
        <v>10M+</v>
      </c>
      <c r="F98" s="78" t="s">
        <v>1981</v>
      </c>
      <c r="G98" s="78" t="s">
        <v>1950</v>
      </c>
      <c r="H98" s="79" t="str">
        <f aca="false">IF(AND(ISNUMBER(B98),B98&lt;=$B$2,ISNUMBER(C98),C98&lt;=$B$3),"① 둘 다 높음",IF(AND(ISNUMBER(B98),B98&lt;=$B$2),"② 매출만 높음",IF(AND(ISNUMBER(C98),C98&lt;=$B$3),"③ 다운로드만 높음","④ 둘 다 기준 밖")))</f>
        <v>④ 둘 다 기준 밖</v>
      </c>
      <c r="I98" s="78" t="s">
        <v>2110</v>
      </c>
    </row>
    <row r="99" customFormat="false" ht="17.15" hidden="false" customHeight="false" outlineLevel="0" collapsed="false">
      <c r="A99" s="78" t="s">
        <v>417</v>
      </c>
      <c r="B99" s="49" t="n">
        <v>96</v>
      </c>
      <c r="C99" s="49" t="s">
        <v>800</v>
      </c>
      <c r="D99" s="147" t="n">
        <v>630000000</v>
      </c>
      <c r="E99" s="95" t="str">
        <f aca="false">IF(D99="","",IF(D99&gt;=1000000000,"1B+",IF(D99&gt;=500000000,"500M+",IF(D99&gt;=100000000,"100M+",IF(D99&gt;=50000000,"50M+",IF(D99&gt;=10000000,"10M+",IF(D99&gt;=5000000,"5M+",IF(D99&gt;=1000000,"1M+","1M 미만"))))))))</f>
        <v>500M+</v>
      </c>
      <c r="F99" s="78" t="s">
        <v>1952</v>
      </c>
      <c r="G99" s="78" t="s">
        <v>1997</v>
      </c>
      <c r="H99" s="79" t="str">
        <f aca="false">IF(AND(ISNUMBER(B99),B99&lt;=$B$2,ISNUMBER(C99),C99&lt;=$B$3),"① 둘 다 높음",IF(AND(ISNUMBER(B99),B99&lt;=$B$2),"② 매출만 높음",IF(AND(ISNUMBER(C99),C99&lt;=$B$3),"③ 다운로드만 높음","④ 둘 다 기준 밖")))</f>
        <v>④ 둘 다 기준 밖</v>
      </c>
      <c r="I99" s="78" t="s">
        <v>2111</v>
      </c>
    </row>
    <row r="100" customFormat="false" ht="17.15" hidden="false" customHeight="false" outlineLevel="0" collapsed="false">
      <c r="A100" s="78" t="s">
        <v>956</v>
      </c>
      <c r="B100" s="49" t="n">
        <v>97</v>
      </c>
      <c r="C100" s="49" t="n">
        <v>24</v>
      </c>
      <c r="D100" s="147" t="n">
        <v>5500000</v>
      </c>
      <c r="E100" s="95" t="str">
        <f aca="false">IF(D100="","",IF(D100&gt;=1000000000,"1B+",IF(D100&gt;=500000000,"500M+",IF(D100&gt;=100000000,"100M+",IF(D100&gt;=50000000,"50M+",IF(D100&gt;=10000000,"10M+",IF(D100&gt;=5000000,"5M+",IF(D100&gt;=1000000,"1M+","1M 미만"))))))))</f>
        <v>5M+</v>
      </c>
      <c r="F100" s="78" t="s">
        <v>2012</v>
      </c>
      <c r="G100" s="78" t="s">
        <v>2091</v>
      </c>
      <c r="H100" s="79" t="str">
        <f aca="false">IF(AND(ISNUMBER(B100),B100&lt;=$B$2,ISNUMBER(C100),C100&lt;=$B$3),"① 둘 다 높음",IF(AND(ISNUMBER(B100),B100&lt;=$B$2),"② 매출만 높음",IF(AND(ISNUMBER(C100),C100&lt;=$B$3),"③ 다운로드만 높음","④ 둘 다 기준 밖")))</f>
        <v>③ 다운로드만 높음</v>
      </c>
      <c r="I100" s="78" t="s">
        <v>2112</v>
      </c>
    </row>
    <row r="101" customFormat="false" ht="17.15" hidden="false" customHeight="false" outlineLevel="0" collapsed="false">
      <c r="A101" s="78" t="s">
        <v>957</v>
      </c>
      <c r="B101" s="49" t="n">
        <v>98</v>
      </c>
      <c r="C101" s="49" t="n">
        <v>3</v>
      </c>
      <c r="D101" s="147" t="n">
        <v>350000000</v>
      </c>
      <c r="E101" s="95" t="str">
        <f aca="false">IF(D101="","",IF(D101&gt;=1000000000,"1B+",IF(D101&gt;=500000000,"500M+",IF(D101&gt;=100000000,"100M+",IF(D101&gt;=50000000,"50M+",IF(D101&gt;=10000000,"10M+",IF(D101&gt;=5000000,"5M+",IF(D101&gt;=1000000,"1M+","1M 미만"))))))))</f>
        <v>100M+</v>
      </c>
      <c r="F101" s="78" t="s">
        <v>1931</v>
      </c>
      <c r="G101" s="78" t="s">
        <v>1973</v>
      </c>
      <c r="H101" s="79" t="str">
        <f aca="false">IF(AND(ISNUMBER(B101),B101&lt;=$B$2,ISNUMBER(C101),C101&lt;=$B$3),"① 둘 다 높음",IF(AND(ISNUMBER(B101),B101&lt;=$B$2),"② 매출만 높음",IF(AND(ISNUMBER(C101),C101&lt;=$B$3),"③ 다운로드만 높음","④ 둘 다 기준 밖")))</f>
        <v>③ 다운로드만 높음</v>
      </c>
      <c r="I101" s="78" t="s">
        <v>2113</v>
      </c>
    </row>
    <row r="102" customFormat="false" ht="17.15" hidden="false" customHeight="false" outlineLevel="0" collapsed="false">
      <c r="A102" s="78" t="s">
        <v>958</v>
      </c>
      <c r="B102" s="49" t="n">
        <v>99</v>
      </c>
      <c r="C102" s="49" t="s">
        <v>800</v>
      </c>
      <c r="D102" s="147" t="n">
        <v>75000000</v>
      </c>
      <c r="E102" s="95" t="str">
        <f aca="false">IF(D102="","",IF(D102&gt;=1000000000,"1B+",IF(D102&gt;=500000000,"500M+",IF(D102&gt;=100000000,"100M+",IF(D102&gt;=50000000,"50M+",IF(D102&gt;=10000000,"10M+",IF(D102&gt;=5000000,"5M+",IF(D102&gt;=1000000,"1M+","1M 미만"))))))))</f>
        <v>50M+</v>
      </c>
      <c r="F102" s="78" t="s">
        <v>1949</v>
      </c>
      <c r="G102" s="78" t="s">
        <v>2070</v>
      </c>
      <c r="H102" s="79" t="str">
        <f aca="false">IF(AND(ISNUMBER(B102),B102&lt;=$B$2,ISNUMBER(C102),C102&lt;=$B$3),"① 둘 다 높음",IF(AND(ISNUMBER(B102),B102&lt;=$B$2),"② 매출만 높음",IF(AND(ISNUMBER(C102),C102&lt;=$B$3),"③ 다운로드만 높음","④ 둘 다 기준 밖")))</f>
        <v>④ 둘 다 기준 밖</v>
      </c>
      <c r="I102" s="78" t="s">
        <v>2114</v>
      </c>
    </row>
    <row r="103" customFormat="false" ht="17.15" hidden="false" customHeight="false" outlineLevel="0" collapsed="false">
      <c r="A103" s="78" t="s">
        <v>959</v>
      </c>
      <c r="B103" s="49" t="n">
        <v>100</v>
      </c>
      <c r="C103" s="49" t="s">
        <v>800</v>
      </c>
      <c r="D103" s="147" t="n">
        <v>140000000</v>
      </c>
      <c r="E103" s="95" t="str">
        <f aca="false">IF(D103="","",IF(D103&gt;=1000000000,"1B+",IF(D103&gt;=500000000,"500M+",IF(D103&gt;=100000000,"100M+",IF(D103&gt;=50000000,"50M+",IF(D103&gt;=10000000,"10M+",IF(D103&gt;=5000000,"5M+",IF(D103&gt;=1000000,"1M+","1M 미만"))))))))</f>
        <v>100M+</v>
      </c>
      <c r="F103" s="78" t="s">
        <v>1931</v>
      </c>
      <c r="G103" s="78" t="s">
        <v>2115</v>
      </c>
      <c r="H103" s="79" t="str">
        <f aca="false">IF(AND(ISNUMBER(B103),B103&lt;=$B$2,ISNUMBER(C103),C103&lt;=$B$3),"① 둘 다 높음",IF(AND(ISNUMBER(B103),B103&lt;=$B$2),"② 매출만 높음",IF(AND(ISNUMBER(C103),C103&lt;=$B$3),"③ 다운로드만 높음","④ 둘 다 기준 밖")))</f>
        <v>④ 둘 다 기준 밖</v>
      </c>
      <c r="I103" s="78" t="s">
        <v>2116</v>
      </c>
    </row>
    <row r="104" customFormat="false" ht="17.15" hidden="false" customHeight="false" outlineLevel="0" collapsed="false">
      <c r="A104" s="78" t="s">
        <v>178</v>
      </c>
      <c r="B104" s="49" t="s">
        <v>800</v>
      </c>
      <c r="C104" s="49" t="n">
        <v>1</v>
      </c>
      <c r="D104" s="147" t="n">
        <v>1900000</v>
      </c>
      <c r="E104" s="95" t="str">
        <f aca="false">IF(D104="","",IF(D104&gt;=1000000000,"1B+",IF(D104&gt;=500000000,"500M+",IF(D104&gt;=100000000,"100M+",IF(D104&gt;=50000000,"50M+",IF(D104&gt;=10000000,"10M+",IF(D104&gt;=5000000,"5M+",IF(D104&gt;=1000000,"1M+","1M 미만"))))))))</f>
        <v>1M+</v>
      </c>
      <c r="F104" s="78" t="s">
        <v>2012</v>
      </c>
      <c r="G104" s="78" t="s">
        <v>2068</v>
      </c>
      <c r="H104" s="79" t="str">
        <f aca="false">IF(AND(ISNUMBER(B104),B104&lt;=$B$2,ISNUMBER(C104),C104&lt;=$B$3),"① 둘 다 높음",IF(AND(ISNUMBER(B104),B104&lt;=$B$2),"② 매출만 높음",IF(AND(ISNUMBER(C104),C104&lt;=$B$3),"③ 다운로드만 높음","④ 둘 다 기준 밖")))</f>
        <v>③ 다운로드만 높음</v>
      </c>
      <c r="I104" s="78" t="s">
        <v>2117</v>
      </c>
    </row>
    <row r="105" customFormat="false" ht="17.15" hidden="false" customHeight="false" outlineLevel="0" collapsed="false">
      <c r="A105" s="78" t="s">
        <v>960</v>
      </c>
      <c r="B105" s="49" t="s">
        <v>800</v>
      </c>
      <c r="C105" s="49" t="n">
        <v>2</v>
      </c>
      <c r="D105" s="147" t="n">
        <v>21000000</v>
      </c>
      <c r="E105" s="95" t="str">
        <f aca="false">IF(D105="","",IF(D105&gt;=1000000000,"1B+",IF(D105&gt;=500000000,"500M+",IF(D105&gt;=100000000,"100M+",IF(D105&gt;=50000000,"50M+",IF(D105&gt;=10000000,"10M+",IF(D105&gt;=5000000,"5M+",IF(D105&gt;=1000000,"1M+","1M 미만"))))))))</f>
        <v>10M+</v>
      </c>
      <c r="F105" s="78" t="s">
        <v>1981</v>
      </c>
      <c r="G105" s="78" t="s">
        <v>2118</v>
      </c>
      <c r="H105" s="79" t="str">
        <f aca="false">IF(AND(ISNUMBER(B105),B105&lt;=$B$2,ISNUMBER(C105),C105&lt;=$B$3),"① 둘 다 높음",IF(AND(ISNUMBER(B105),B105&lt;=$B$2),"② 매출만 높음",IF(AND(ISNUMBER(C105),C105&lt;=$B$3),"③ 다운로드만 높음","④ 둘 다 기준 밖")))</f>
        <v>③ 다운로드만 높음</v>
      </c>
      <c r="I105" s="78" t="s">
        <v>2119</v>
      </c>
    </row>
    <row r="106" customFormat="false" ht="17.15" hidden="false" customHeight="false" outlineLevel="0" collapsed="false">
      <c r="A106" s="78" t="s">
        <v>365</v>
      </c>
      <c r="B106" s="49" t="s">
        <v>800</v>
      </c>
      <c r="C106" s="49" t="n">
        <v>5</v>
      </c>
      <c r="D106" s="147" t="n">
        <v>410000000</v>
      </c>
      <c r="E106" s="95" t="str">
        <f aca="false">IF(D106="","",IF(D106&gt;=1000000000,"1B+",IF(D106&gt;=500000000,"500M+",IF(D106&gt;=100000000,"100M+",IF(D106&gt;=50000000,"50M+",IF(D106&gt;=10000000,"10M+",IF(D106&gt;=5000000,"5M+",IF(D106&gt;=1000000,"1M+","1M 미만"))))))))</f>
        <v>100M+</v>
      </c>
      <c r="F106" s="78" t="s">
        <v>1931</v>
      </c>
      <c r="G106" s="78" t="s">
        <v>2120</v>
      </c>
      <c r="H106" s="79" t="str">
        <f aca="false">IF(AND(ISNUMBER(B106),B106&lt;=$B$2,ISNUMBER(C106),C106&lt;=$B$3),"① 둘 다 높음",IF(AND(ISNUMBER(B106),B106&lt;=$B$2),"② 매출만 높음",IF(AND(ISNUMBER(C106),C106&lt;=$B$3),"③ 다운로드만 높음","④ 둘 다 기준 밖")))</f>
        <v>③ 다운로드만 높음</v>
      </c>
      <c r="I106" s="78" t="s">
        <v>2121</v>
      </c>
    </row>
    <row r="107" customFormat="false" ht="17.15" hidden="false" customHeight="false" outlineLevel="0" collapsed="false">
      <c r="A107" s="78" t="s">
        <v>961</v>
      </c>
      <c r="B107" s="49" t="s">
        <v>800</v>
      </c>
      <c r="C107" s="49" t="n">
        <v>6</v>
      </c>
      <c r="D107" s="147" t="n">
        <v>740000</v>
      </c>
      <c r="E107" s="95" t="str">
        <f aca="false">IF(D107="","",IF(D107&gt;=1000000000,"1B+",IF(D107&gt;=500000000,"500M+",IF(D107&gt;=100000000,"100M+",IF(D107&gt;=50000000,"50M+",IF(D107&gt;=10000000,"10M+",IF(D107&gt;=5000000,"5M+",IF(D107&gt;=1000000,"1M+","1M 미만"))))))))</f>
        <v>1M 미만</v>
      </c>
      <c r="F107" s="97" t="s">
        <v>2012</v>
      </c>
      <c r="G107" s="78" t="s">
        <v>2122</v>
      </c>
      <c r="H107" s="79" t="str">
        <f aca="false">IF(AND(ISNUMBER(B107),B107&lt;=$B$2,ISNUMBER(C107),C107&lt;=$B$3),"① 둘 다 높음",IF(AND(ISNUMBER(B107),B107&lt;=$B$2),"② 매출만 높음",IF(AND(ISNUMBER(C107),C107&lt;=$B$3),"③ 다운로드만 높음","④ 둘 다 기준 밖")))</f>
        <v>③ 다운로드만 높음</v>
      </c>
      <c r="I107" s="78" t="s">
        <v>2123</v>
      </c>
    </row>
    <row r="108" customFormat="false" ht="17.15" hidden="false" customHeight="false" outlineLevel="0" collapsed="false">
      <c r="A108" s="78" t="s">
        <v>181</v>
      </c>
      <c r="B108" s="49" t="s">
        <v>800</v>
      </c>
      <c r="C108" s="49" t="n">
        <v>7</v>
      </c>
      <c r="D108" s="147" t="n">
        <v>1100000000</v>
      </c>
      <c r="E108" s="95" t="str">
        <f aca="false">IF(D108="","",IF(D108&gt;=1000000000,"1B+",IF(D108&gt;=500000000,"500M+",IF(D108&gt;=100000000,"100M+",IF(D108&gt;=50000000,"50M+",IF(D108&gt;=10000000,"10M+",IF(D108&gt;=5000000,"5M+",IF(D108&gt;=1000000,"1M+","1M 미만"))))))))</f>
        <v>1B+</v>
      </c>
      <c r="F108" s="78" t="s">
        <v>1936</v>
      </c>
      <c r="G108" s="78" t="s">
        <v>1950</v>
      </c>
      <c r="H108" s="79" t="str">
        <f aca="false">IF(AND(ISNUMBER(B108),B108&lt;=$B$2,ISNUMBER(C108),C108&lt;=$B$3),"① 둘 다 높음",IF(AND(ISNUMBER(B108),B108&lt;=$B$2),"② 매출만 높음",IF(AND(ISNUMBER(C108),C108&lt;=$B$3),"③ 다운로드만 높음","④ 둘 다 기준 밖")))</f>
        <v>③ 다운로드만 높음</v>
      </c>
      <c r="I108" s="78" t="s">
        <v>2124</v>
      </c>
    </row>
    <row r="109" customFormat="false" ht="17.15" hidden="false" customHeight="false" outlineLevel="0" collapsed="false">
      <c r="A109" s="78" t="s">
        <v>186</v>
      </c>
      <c r="B109" s="49" t="s">
        <v>800</v>
      </c>
      <c r="C109" s="49" t="n">
        <v>8</v>
      </c>
      <c r="D109" s="147" t="n">
        <v>11000000</v>
      </c>
      <c r="E109" s="95" t="str">
        <f aca="false">IF(D109="","",IF(D109&gt;=1000000000,"1B+",IF(D109&gt;=500000000,"500M+",IF(D109&gt;=100000000,"100M+",IF(D109&gt;=50000000,"50M+",IF(D109&gt;=10000000,"10M+",IF(D109&gt;=5000000,"5M+",IF(D109&gt;=1000000,"1M+","1M 미만"))))))))</f>
        <v>10M+</v>
      </c>
      <c r="F109" s="78" t="s">
        <v>1981</v>
      </c>
      <c r="G109" s="78" t="s">
        <v>2125</v>
      </c>
      <c r="H109" s="79" t="str">
        <f aca="false">IF(AND(ISNUMBER(B109),B109&lt;=$B$2,ISNUMBER(C109),C109&lt;=$B$3),"① 둘 다 높음",IF(AND(ISNUMBER(B109),B109&lt;=$B$2),"② 매출만 높음",IF(AND(ISNUMBER(C109),C109&lt;=$B$3),"③ 다운로드만 높음","④ 둘 다 기준 밖")))</f>
        <v>③ 다운로드만 높음</v>
      </c>
      <c r="I109" s="78" t="s">
        <v>2126</v>
      </c>
    </row>
    <row r="110" customFormat="false" ht="17.15" hidden="false" customHeight="false" outlineLevel="0" collapsed="false">
      <c r="A110" s="78" t="s">
        <v>962</v>
      </c>
      <c r="B110" s="49" t="s">
        <v>800</v>
      </c>
      <c r="C110" s="49" t="n">
        <v>10</v>
      </c>
      <c r="D110" s="147" t="n">
        <v>290000</v>
      </c>
      <c r="E110" s="95" t="str">
        <f aca="false">IF(D110="","",IF(D110&gt;=1000000000,"1B+",IF(D110&gt;=500000000,"500M+",IF(D110&gt;=100000000,"100M+",IF(D110&gt;=50000000,"50M+",IF(D110&gt;=10000000,"10M+",IF(D110&gt;=5000000,"5M+",IF(D110&gt;=1000000,"1M+","1M 미만"))))))))</f>
        <v>1M 미만</v>
      </c>
      <c r="F110" s="78" t="s">
        <v>2012</v>
      </c>
      <c r="G110" s="78" t="s">
        <v>2127</v>
      </c>
      <c r="H110" s="79" t="str">
        <f aca="false">IF(AND(ISNUMBER(B110),B110&lt;=$B$2,ISNUMBER(C110),C110&lt;=$B$3),"① 둘 다 높음",IF(AND(ISNUMBER(B110),B110&lt;=$B$2),"② 매출만 높음",IF(AND(ISNUMBER(C110),C110&lt;=$B$3),"③ 다운로드만 높음","④ 둘 다 기준 밖")))</f>
        <v>③ 다운로드만 높음</v>
      </c>
      <c r="I110" s="79" t="s">
        <v>2128</v>
      </c>
    </row>
    <row r="111" customFormat="false" ht="17.15" hidden="false" customHeight="false" outlineLevel="0" collapsed="false">
      <c r="A111" s="78" t="s">
        <v>963</v>
      </c>
      <c r="B111" s="49" t="s">
        <v>800</v>
      </c>
      <c r="C111" s="49" t="n">
        <v>12</v>
      </c>
      <c r="D111" s="147" t="n">
        <v>22000000</v>
      </c>
      <c r="E111" s="95" t="str">
        <f aca="false">IF(D111="","",IF(D111&gt;=1000000000,"1B+",IF(D111&gt;=500000000,"500M+",IF(D111&gt;=100000000,"100M+",IF(D111&gt;=50000000,"50M+",IF(D111&gt;=10000000,"10M+",IF(D111&gt;=5000000,"5M+",IF(D111&gt;=1000000,"1M+","1M 미만"))))))))</f>
        <v>10M+</v>
      </c>
      <c r="F111" s="78" t="s">
        <v>1981</v>
      </c>
      <c r="G111" s="78" t="s">
        <v>2021</v>
      </c>
      <c r="H111" s="79" t="str">
        <f aca="false">IF(AND(ISNUMBER(B111),B111&lt;=$B$2,ISNUMBER(C111),C111&lt;=$B$3),"① 둘 다 높음",IF(AND(ISNUMBER(B111),B111&lt;=$B$2),"② 매출만 높음",IF(AND(ISNUMBER(C111),C111&lt;=$B$3),"③ 다운로드만 높음","④ 둘 다 기준 밖")))</f>
        <v>③ 다운로드만 높음</v>
      </c>
      <c r="I111" s="78" t="s">
        <v>2129</v>
      </c>
    </row>
    <row r="112" customFormat="false" ht="17.15" hidden="false" customHeight="false" outlineLevel="0" collapsed="false">
      <c r="A112" s="78" t="s">
        <v>964</v>
      </c>
      <c r="B112" s="49" t="s">
        <v>800</v>
      </c>
      <c r="C112" s="49" t="n">
        <v>13</v>
      </c>
      <c r="D112" s="147" t="n">
        <v>16000000</v>
      </c>
      <c r="E112" s="95" t="str">
        <f aca="false">IF(D112="","",IF(D112&gt;=1000000000,"1B+",IF(D112&gt;=500000000,"500M+",IF(D112&gt;=100000000,"100M+",IF(D112&gt;=50000000,"50M+",IF(D112&gt;=10000000,"10M+",IF(D112&gt;=5000000,"5M+",IF(D112&gt;=1000000,"1M+","1M 미만"))))))))</f>
        <v>10M+</v>
      </c>
      <c r="F112" s="78" t="s">
        <v>1981</v>
      </c>
      <c r="G112" s="78" t="s">
        <v>2033</v>
      </c>
      <c r="H112" s="79" t="str">
        <f aca="false">IF(AND(ISNUMBER(B112),B112&lt;=$B$2,ISNUMBER(C112),C112&lt;=$B$3),"① 둘 다 높음",IF(AND(ISNUMBER(B112),B112&lt;=$B$2),"② 매출만 높음",IF(AND(ISNUMBER(C112),C112&lt;=$B$3),"③ 다운로드만 높음","④ 둘 다 기준 밖")))</f>
        <v>③ 다운로드만 높음</v>
      </c>
      <c r="I112" s="78" t="s">
        <v>2130</v>
      </c>
    </row>
    <row r="113" customFormat="false" ht="17.15" hidden="false" customHeight="false" outlineLevel="0" collapsed="false">
      <c r="A113" s="78" t="s">
        <v>965</v>
      </c>
      <c r="B113" s="49" t="s">
        <v>800</v>
      </c>
      <c r="C113" s="49" t="n">
        <v>14</v>
      </c>
      <c r="D113" s="147" t="n">
        <v>110000000</v>
      </c>
      <c r="E113" s="95" t="str">
        <f aca="false">IF(D113="","",IF(D113&gt;=1000000000,"1B+",IF(D113&gt;=500000000,"500M+",IF(D113&gt;=100000000,"100M+",IF(D113&gt;=50000000,"50M+",IF(D113&gt;=10000000,"10M+",IF(D113&gt;=5000000,"5M+",IF(D113&gt;=1000000,"1M+","1M 미만"))))))))</f>
        <v>100M+</v>
      </c>
      <c r="F113" s="97" t="s">
        <v>1931</v>
      </c>
      <c r="G113" s="78" t="s">
        <v>1995</v>
      </c>
      <c r="H113" s="79" t="str">
        <f aca="false">IF(AND(ISNUMBER(B113),B113&lt;=$B$2,ISNUMBER(C113),C113&lt;=$B$3),"① 둘 다 높음",IF(AND(ISNUMBER(B113),B113&lt;=$B$2),"② 매출만 높음",IF(AND(ISNUMBER(C113),C113&lt;=$B$3),"③ 다운로드만 높음","④ 둘 다 기준 밖")))</f>
        <v>③ 다운로드만 높음</v>
      </c>
      <c r="I113" s="78" t="s">
        <v>2131</v>
      </c>
    </row>
    <row r="114" customFormat="false" ht="17.15" hidden="false" customHeight="false" outlineLevel="0" collapsed="false">
      <c r="A114" s="78" t="s">
        <v>966</v>
      </c>
      <c r="B114" s="49" t="s">
        <v>800</v>
      </c>
      <c r="C114" s="49" t="n">
        <v>15</v>
      </c>
      <c r="D114" s="147" t="n">
        <v>580000000</v>
      </c>
      <c r="E114" s="95" t="str">
        <f aca="false">IF(D114="","",IF(D114&gt;=1000000000,"1B+",IF(D114&gt;=500000000,"500M+",IF(D114&gt;=100000000,"100M+",IF(D114&gt;=50000000,"50M+",IF(D114&gt;=10000000,"10M+",IF(D114&gt;=5000000,"5M+",IF(D114&gt;=1000000,"1M+","1M 미만"))))))))</f>
        <v>500M+</v>
      </c>
      <c r="F114" s="78" t="s">
        <v>1952</v>
      </c>
      <c r="G114" s="78" t="s">
        <v>2132</v>
      </c>
      <c r="H114" s="79" t="str">
        <f aca="false">IF(AND(ISNUMBER(B114),B114&lt;=$B$2,ISNUMBER(C114),C114&lt;=$B$3),"① 둘 다 높음",IF(AND(ISNUMBER(B114),B114&lt;=$B$2),"② 매출만 높음",IF(AND(ISNUMBER(C114),C114&lt;=$B$3),"③ 다운로드만 높음","④ 둘 다 기준 밖")))</f>
        <v>③ 다운로드만 높음</v>
      </c>
      <c r="I114" s="78" t="s">
        <v>2133</v>
      </c>
    </row>
    <row r="115" customFormat="false" ht="17.15" hidden="false" customHeight="false" outlineLevel="0" collapsed="false">
      <c r="A115" s="78" t="s">
        <v>967</v>
      </c>
      <c r="B115" s="49" t="s">
        <v>800</v>
      </c>
      <c r="C115" s="49" t="n">
        <v>16</v>
      </c>
      <c r="D115" s="147" t="n">
        <v>110000000</v>
      </c>
      <c r="E115" s="95" t="str">
        <f aca="false">IF(D115="","",IF(D115&gt;=1000000000,"1B+",IF(D115&gt;=500000000,"500M+",IF(D115&gt;=100000000,"100M+",IF(D115&gt;=50000000,"50M+",IF(D115&gt;=10000000,"10M+",IF(D115&gt;=5000000,"5M+",IF(D115&gt;=1000000,"1M+","1M 미만"))))))))</f>
        <v>100M+</v>
      </c>
      <c r="F115" s="78" t="s">
        <v>1931</v>
      </c>
      <c r="G115" s="78" t="s">
        <v>2134</v>
      </c>
      <c r="H115" s="79" t="str">
        <f aca="false">IF(AND(ISNUMBER(B115),B115&lt;=$B$2,ISNUMBER(C115),C115&lt;=$B$3),"① 둘 다 높음",IF(AND(ISNUMBER(B115),B115&lt;=$B$2),"② 매출만 높음",IF(AND(ISNUMBER(C115),C115&lt;=$B$3),"③ 다운로드만 높음","④ 둘 다 기준 밖")))</f>
        <v>③ 다운로드만 높음</v>
      </c>
      <c r="I115" s="78" t="s">
        <v>2135</v>
      </c>
    </row>
    <row r="116" customFormat="false" ht="17.15" hidden="false" customHeight="false" outlineLevel="0" collapsed="false">
      <c r="A116" s="78" t="s">
        <v>968</v>
      </c>
      <c r="B116" s="49" t="s">
        <v>800</v>
      </c>
      <c r="C116" s="49" t="n">
        <v>18</v>
      </c>
      <c r="D116" s="147" t="n">
        <v>2200000</v>
      </c>
      <c r="E116" s="95" t="str">
        <f aca="false">IF(D116="","",IF(D116&gt;=1000000000,"1B+",IF(D116&gt;=500000000,"500M+",IF(D116&gt;=100000000,"100M+",IF(D116&gt;=50000000,"50M+",IF(D116&gt;=10000000,"10M+",IF(D116&gt;=5000000,"5M+",IF(D116&gt;=1000000,"1M+","1M 미만"))))))))</f>
        <v>1M+</v>
      </c>
      <c r="F116" s="78" t="s">
        <v>2012</v>
      </c>
      <c r="G116" s="78" t="s">
        <v>2136</v>
      </c>
      <c r="H116" s="79" t="str">
        <f aca="false">IF(AND(ISNUMBER(B116),B116&lt;=$B$2,ISNUMBER(C116),C116&lt;=$B$3),"① 둘 다 높음",IF(AND(ISNUMBER(B116),B116&lt;=$B$2),"② 매출만 높음",IF(AND(ISNUMBER(C116),C116&lt;=$B$3),"③ 다운로드만 높음","④ 둘 다 기준 밖")))</f>
        <v>③ 다운로드만 높음</v>
      </c>
      <c r="I116" s="78" t="s">
        <v>2137</v>
      </c>
    </row>
    <row r="117" customFormat="false" ht="17.15" hidden="false" customHeight="false" outlineLevel="0" collapsed="false">
      <c r="A117" s="78" t="s">
        <v>969</v>
      </c>
      <c r="B117" s="49" t="s">
        <v>800</v>
      </c>
      <c r="C117" s="49" t="n">
        <v>19</v>
      </c>
      <c r="D117" s="147" t="n">
        <v>94000000</v>
      </c>
      <c r="E117" s="95" t="str">
        <f aca="false">IF(D117="","",IF(D117&gt;=1000000000,"1B+",IF(D117&gt;=500000000,"500M+",IF(D117&gt;=100000000,"100M+",IF(D117&gt;=50000000,"50M+",IF(D117&gt;=10000000,"10M+",IF(D117&gt;=5000000,"5M+",IF(D117&gt;=1000000,"1M+","1M 미만"))))))))</f>
        <v>50M+</v>
      </c>
      <c r="F117" s="78" t="s">
        <v>1949</v>
      </c>
      <c r="G117" s="78" t="s">
        <v>2138</v>
      </c>
      <c r="H117" s="79" t="str">
        <f aca="false">IF(AND(ISNUMBER(B117),B117&lt;=$B$2,ISNUMBER(C117),C117&lt;=$B$3),"① 둘 다 높음",IF(AND(ISNUMBER(B117),B117&lt;=$B$2),"② 매출만 높음",IF(AND(ISNUMBER(C117),C117&lt;=$B$3),"③ 다운로드만 높음","④ 둘 다 기준 밖")))</f>
        <v>③ 다운로드만 높음</v>
      </c>
      <c r="I117" s="78" t="s">
        <v>2139</v>
      </c>
    </row>
    <row r="118" customFormat="false" ht="17.15" hidden="false" customHeight="false" outlineLevel="0" collapsed="false">
      <c r="A118" s="78" t="s">
        <v>970</v>
      </c>
      <c r="B118" s="49" t="s">
        <v>800</v>
      </c>
      <c r="C118" s="49" t="n">
        <v>20</v>
      </c>
      <c r="D118" s="147" t="n">
        <v>13000000</v>
      </c>
      <c r="E118" s="95" t="str">
        <f aca="false">IF(D118="","",IF(D118&gt;=1000000000,"1B+",IF(D118&gt;=500000000,"500M+",IF(D118&gt;=100000000,"100M+",IF(D118&gt;=50000000,"50M+",IF(D118&gt;=10000000,"10M+",IF(D118&gt;=5000000,"5M+",IF(D118&gt;=1000000,"1M+","1M 미만"))))))))</f>
        <v>10M+</v>
      </c>
      <c r="F118" s="78" t="s">
        <v>1981</v>
      </c>
      <c r="G118" s="78" t="s">
        <v>2091</v>
      </c>
      <c r="H118" s="79" t="str">
        <f aca="false">IF(AND(ISNUMBER(B118),B118&lt;=$B$2,ISNUMBER(C118),C118&lt;=$B$3),"① 둘 다 높음",IF(AND(ISNUMBER(B118),B118&lt;=$B$2),"② 매출만 높음",IF(AND(ISNUMBER(C118),C118&lt;=$B$3),"③ 다운로드만 높음","④ 둘 다 기준 밖")))</f>
        <v>③ 다운로드만 높음</v>
      </c>
      <c r="I118" s="78" t="s">
        <v>2140</v>
      </c>
    </row>
    <row r="119" customFormat="false" ht="17.15" hidden="false" customHeight="false" outlineLevel="0" collapsed="false">
      <c r="A119" s="78" t="s">
        <v>863</v>
      </c>
      <c r="B119" s="49" t="s">
        <v>800</v>
      </c>
      <c r="C119" s="49" t="n">
        <v>23</v>
      </c>
      <c r="D119" s="147" t="n">
        <v>88000000</v>
      </c>
      <c r="E119" s="95" t="str">
        <f aca="false">IF(D119="","",IF(D119&gt;=1000000000,"1B+",IF(D119&gt;=500000000,"500M+",IF(D119&gt;=100000000,"100M+",IF(D119&gt;=50000000,"50M+",IF(D119&gt;=10000000,"10M+",IF(D119&gt;=5000000,"5M+",IF(D119&gt;=1000000,"1M+","1M 미만"))))))))</f>
        <v>50M+</v>
      </c>
      <c r="F119" s="78" t="s">
        <v>1949</v>
      </c>
      <c r="G119" s="78" t="s">
        <v>2141</v>
      </c>
      <c r="H119" s="79" t="str">
        <f aca="false">IF(AND(ISNUMBER(B119),B119&lt;=$B$2,ISNUMBER(C119),C119&lt;=$B$3),"① 둘 다 높음",IF(AND(ISNUMBER(B119),B119&lt;=$B$2),"② 매출만 높음",IF(AND(ISNUMBER(C119),C119&lt;=$B$3),"③ 다운로드만 높음","④ 둘 다 기준 밖")))</f>
        <v>③ 다운로드만 높음</v>
      </c>
      <c r="I119" s="78" t="s">
        <v>2142</v>
      </c>
    </row>
    <row r="120" customFormat="false" ht="17.15" hidden="false" customHeight="false" outlineLevel="0" collapsed="false">
      <c r="A120" s="78" t="s">
        <v>426</v>
      </c>
      <c r="B120" s="49" t="s">
        <v>800</v>
      </c>
      <c r="C120" s="49" t="n">
        <v>25</v>
      </c>
      <c r="D120" s="147" t="n">
        <v>37000000</v>
      </c>
      <c r="E120" s="95" t="str">
        <f aca="false">IF(D120="","",IF(D120&gt;=1000000000,"1B+",IF(D120&gt;=500000000,"500M+",IF(D120&gt;=100000000,"100M+",IF(D120&gt;=50000000,"50M+",IF(D120&gt;=10000000,"10M+",IF(D120&gt;=5000000,"5M+",IF(D120&gt;=1000000,"1M+","1M 미만"))))))))</f>
        <v>10M+</v>
      </c>
      <c r="F120" s="78" t="s">
        <v>1981</v>
      </c>
      <c r="G120" s="78" t="s">
        <v>2143</v>
      </c>
      <c r="H120" s="79" t="str">
        <f aca="false">IF(AND(ISNUMBER(B120),B120&lt;=$B$2,ISNUMBER(C120),C120&lt;=$B$3),"① 둘 다 높음",IF(AND(ISNUMBER(B120),B120&lt;=$B$2),"② 매출만 높음",IF(AND(ISNUMBER(C120),C120&lt;=$B$3),"③ 다운로드만 높음","④ 둘 다 기준 밖")))</f>
        <v>③ 다운로드만 높음</v>
      </c>
      <c r="I120" s="78" t="s">
        <v>2144</v>
      </c>
    </row>
    <row r="121" customFormat="false" ht="17.15" hidden="false" customHeight="false" outlineLevel="0" collapsed="false">
      <c r="A121" s="78" t="s">
        <v>971</v>
      </c>
      <c r="B121" s="49" t="s">
        <v>800</v>
      </c>
      <c r="C121" s="49" t="n">
        <v>28</v>
      </c>
      <c r="D121" s="147" t="n">
        <v>19000000</v>
      </c>
      <c r="E121" s="95" t="str">
        <f aca="false">IF(D121="","",IF(D121&gt;=1000000000,"1B+",IF(D121&gt;=500000000,"500M+",IF(D121&gt;=100000000,"100M+",IF(D121&gt;=50000000,"50M+",IF(D121&gt;=10000000,"10M+",IF(D121&gt;=5000000,"5M+",IF(D121&gt;=1000000,"1M+","1M 미만"))))))))</f>
        <v>10M+</v>
      </c>
      <c r="F121" s="78" t="s">
        <v>1981</v>
      </c>
      <c r="G121" s="78" t="s">
        <v>2145</v>
      </c>
      <c r="H121" s="79" t="str">
        <f aca="false">IF(AND(ISNUMBER(B121),B121&lt;=$B$2,ISNUMBER(C121),C121&lt;=$B$3),"① 둘 다 높음",IF(AND(ISNUMBER(B121),B121&lt;=$B$2),"② 매출만 높음",IF(AND(ISNUMBER(C121),C121&lt;=$B$3),"③ 다운로드만 높음","④ 둘 다 기준 밖")))</f>
        <v>③ 다운로드만 높음</v>
      </c>
      <c r="I121" s="78" t="s">
        <v>2146</v>
      </c>
    </row>
    <row r="122" customFormat="false" ht="17.15" hidden="false" customHeight="false" outlineLevel="0" collapsed="false">
      <c r="A122" s="78" t="s">
        <v>972</v>
      </c>
      <c r="B122" s="49" t="s">
        <v>800</v>
      </c>
      <c r="C122" s="49" t="n">
        <v>29</v>
      </c>
      <c r="D122" s="147" t="n">
        <v>3800000</v>
      </c>
      <c r="E122" s="95" t="str">
        <f aca="false">IF(D122="","",IF(D122&gt;=1000000000,"1B+",IF(D122&gt;=500000000,"500M+",IF(D122&gt;=100000000,"100M+",IF(D122&gt;=50000000,"50M+",IF(D122&gt;=10000000,"10M+",IF(D122&gt;=5000000,"5M+",IF(D122&gt;=1000000,"1M+","1M 미만"))))))))</f>
        <v>1M+</v>
      </c>
      <c r="F122" s="78" t="s">
        <v>2012</v>
      </c>
      <c r="G122" s="78" t="s">
        <v>2125</v>
      </c>
      <c r="H122" s="79" t="str">
        <f aca="false">IF(AND(ISNUMBER(B122),B122&lt;=$B$2,ISNUMBER(C122),C122&lt;=$B$3),"① 둘 다 높음",IF(AND(ISNUMBER(B122),B122&lt;=$B$2),"② 매출만 높음",IF(AND(ISNUMBER(C122),C122&lt;=$B$3),"③ 다운로드만 높음","④ 둘 다 기준 밖")))</f>
        <v>③ 다운로드만 높음</v>
      </c>
      <c r="I122" s="78" t="s">
        <v>2147</v>
      </c>
    </row>
    <row r="123" customFormat="false" ht="17.15" hidden="false" customHeight="false" outlineLevel="0" collapsed="false">
      <c r="A123" s="78" t="s">
        <v>973</v>
      </c>
      <c r="B123" s="49" t="s">
        <v>800</v>
      </c>
      <c r="C123" s="49" t="n">
        <v>30</v>
      </c>
      <c r="D123" s="147" t="n">
        <v>290000000</v>
      </c>
      <c r="E123" s="95" t="str">
        <f aca="false">IF(D123="","",IF(D123&gt;=1000000000,"1B+",IF(D123&gt;=500000000,"500M+",IF(D123&gt;=100000000,"100M+",IF(D123&gt;=50000000,"50M+",IF(D123&gt;=10000000,"10M+",IF(D123&gt;=5000000,"5M+",IF(D123&gt;=1000000,"1M+","1M 미만"))))))))</f>
        <v>100M+</v>
      </c>
      <c r="F123" s="78" t="s">
        <v>1931</v>
      </c>
      <c r="G123" s="78" t="s">
        <v>2045</v>
      </c>
      <c r="H123" s="79" t="str">
        <f aca="false">IF(AND(ISNUMBER(B123),B123&lt;=$B$2,ISNUMBER(C123),C123&lt;=$B$3),"① 둘 다 높음",IF(AND(ISNUMBER(B123),B123&lt;=$B$2),"② 매출만 높음",IF(AND(ISNUMBER(C123),C123&lt;=$B$3),"③ 다운로드만 높음","④ 둘 다 기준 밖")))</f>
        <v>③ 다운로드만 높음</v>
      </c>
      <c r="I123" s="78" t="s">
        <v>2148</v>
      </c>
    </row>
    <row r="124" customFormat="false" ht="17.15" hidden="false" customHeight="false" outlineLevel="0" collapsed="false">
      <c r="A124" s="78" t="s">
        <v>974</v>
      </c>
      <c r="B124" s="49" t="s">
        <v>800</v>
      </c>
      <c r="C124" s="49" t="n">
        <v>31</v>
      </c>
      <c r="D124" s="147" t="n">
        <v>6400000</v>
      </c>
      <c r="E124" s="95" t="str">
        <f aca="false">IF(D124="","",IF(D124&gt;=1000000000,"1B+",IF(D124&gt;=500000000,"500M+",IF(D124&gt;=100000000,"100M+",IF(D124&gt;=50000000,"50M+",IF(D124&gt;=10000000,"10M+",IF(D124&gt;=5000000,"5M+",IF(D124&gt;=1000000,"1M+","1M 미만"))))))))</f>
        <v>5M+</v>
      </c>
      <c r="F124" s="78" t="s">
        <v>2030</v>
      </c>
      <c r="G124" s="78" t="s">
        <v>1995</v>
      </c>
      <c r="H124" s="79" t="str">
        <f aca="false">IF(AND(ISNUMBER(B124),B124&lt;=$B$2,ISNUMBER(C124),C124&lt;=$B$3),"① 둘 다 높음",IF(AND(ISNUMBER(B124),B124&lt;=$B$2),"② 매출만 높음",IF(AND(ISNUMBER(C124),C124&lt;=$B$3),"③ 다운로드만 높음","④ 둘 다 기준 밖")))</f>
        <v>④ 둘 다 기준 밖</v>
      </c>
      <c r="I124" s="78" t="s">
        <v>2149</v>
      </c>
    </row>
    <row r="125" customFormat="false" ht="17.15" hidden="false" customHeight="false" outlineLevel="0" collapsed="false">
      <c r="A125" s="78" t="s">
        <v>975</v>
      </c>
      <c r="B125" s="49" t="s">
        <v>800</v>
      </c>
      <c r="C125" s="49" t="n">
        <v>32</v>
      </c>
      <c r="D125" s="147" t="n">
        <v>480000000</v>
      </c>
      <c r="E125" s="95" t="str">
        <f aca="false">IF(D125="","",IF(D125&gt;=1000000000,"1B+",IF(D125&gt;=500000000,"500M+",IF(D125&gt;=100000000,"100M+",IF(D125&gt;=50000000,"50M+",IF(D125&gt;=10000000,"10M+",IF(D125&gt;=5000000,"5M+",IF(D125&gt;=1000000,"1M+","1M 미만"))))))))</f>
        <v>100M+</v>
      </c>
      <c r="F125" s="78" t="s">
        <v>1931</v>
      </c>
      <c r="G125" s="78" t="s">
        <v>2089</v>
      </c>
      <c r="H125" s="79" t="str">
        <f aca="false">IF(AND(ISNUMBER(B125),B125&lt;=$B$2,ISNUMBER(C125),C125&lt;=$B$3),"① 둘 다 높음",IF(AND(ISNUMBER(B125),B125&lt;=$B$2),"② 매출만 높음",IF(AND(ISNUMBER(C125),C125&lt;=$B$3),"③ 다운로드만 높음","④ 둘 다 기준 밖")))</f>
        <v>④ 둘 다 기준 밖</v>
      </c>
      <c r="I125" s="78" t="s">
        <v>2150</v>
      </c>
    </row>
    <row r="126" customFormat="false" ht="17.15" hidden="false" customHeight="false" outlineLevel="0" collapsed="false">
      <c r="A126" s="78" t="s">
        <v>976</v>
      </c>
      <c r="B126" s="49" t="s">
        <v>800</v>
      </c>
      <c r="C126" s="49" t="n">
        <v>33</v>
      </c>
      <c r="D126" s="147" t="n">
        <v>840000000</v>
      </c>
      <c r="E126" s="95" t="str">
        <f aca="false">IF(D126="","",IF(D126&gt;=1000000000,"1B+",IF(D126&gt;=500000000,"500M+",IF(D126&gt;=100000000,"100M+",IF(D126&gt;=50000000,"50M+",IF(D126&gt;=10000000,"10M+",IF(D126&gt;=5000000,"5M+",IF(D126&gt;=1000000,"1M+","1M 미만"))))))))</f>
        <v>500M+</v>
      </c>
      <c r="F126" s="78" t="s">
        <v>1952</v>
      </c>
      <c r="G126" s="78" t="s">
        <v>2102</v>
      </c>
      <c r="H126" s="79" t="str">
        <f aca="false">IF(AND(ISNUMBER(B126),B126&lt;=$B$2,ISNUMBER(C126),C126&lt;=$B$3),"① 둘 다 높음",IF(AND(ISNUMBER(B126),B126&lt;=$B$2),"② 매출만 높음",IF(AND(ISNUMBER(C126),C126&lt;=$B$3),"③ 다운로드만 높음","④ 둘 다 기준 밖")))</f>
        <v>④ 둘 다 기준 밖</v>
      </c>
      <c r="I126" s="78" t="s">
        <v>2151</v>
      </c>
    </row>
    <row r="127" customFormat="false" ht="17.15" hidden="false" customHeight="false" outlineLevel="0" collapsed="false">
      <c r="A127" s="78" t="s">
        <v>977</v>
      </c>
      <c r="B127" s="49" t="s">
        <v>800</v>
      </c>
      <c r="C127" s="49" t="n">
        <v>34</v>
      </c>
      <c r="D127" s="147" t="n">
        <v>120000000</v>
      </c>
      <c r="E127" s="95" t="str">
        <f aca="false">IF(D127="","",IF(D127&gt;=1000000000,"1B+",IF(D127&gt;=500000000,"500M+",IF(D127&gt;=100000000,"100M+",IF(D127&gt;=50000000,"50M+",IF(D127&gt;=10000000,"10M+",IF(D127&gt;=5000000,"5M+",IF(D127&gt;=1000000,"1M+","1M 미만"))))))))</f>
        <v>100M+</v>
      </c>
      <c r="F127" s="78" t="s">
        <v>1931</v>
      </c>
      <c r="G127" s="78" t="s">
        <v>2145</v>
      </c>
      <c r="H127" s="79" t="str">
        <f aca="false">IF(AND(ISNUMBER(B127),B127&lt;=$B$2,ISNUMBER(C127),C127&lt;=$B$3),"① 둘 다 높음",IF(AND(ISNUMBER(B127),B127&lt;=$B$2),"② 매출만 높음",IF(AND(ISNUMBER(C127),C127&lt;=$B$3),"③ 다운로드만 높음","④ 둘 다 기준 밖")))</f>
        <v>④ 둘 다 기준 밖</v>
      </c>
      <c r="I127" s="78" t="s">
        <v>2152</v>
      </c>
    </row>
    <row r="128" customFormat="false" ht="17.15" hidden="false" customHeight="false" outlineLevel="0" collapsed="false">
      <c r="A128" s="78" t="s">
        <v>978</v>
      </c>
      <c r="B128" s="49" t="s">
        <v>800</v>
      </c>
      <c r="C128" s="49" t="n">
        <v>36</v>
      </c>
      <c r="D128" s="147" t="n">
        <v>1300000000</v>
      </c>
      <c r="E128" s="95" t="str">
        <f aca="false">IF(D128="","",IF(D128&gt;=1000000000,"1B+",IF(D128&gt;=500000000,"500M+",IF(D128&gt;=100000000,"100M+",IF(D128&gt;=50000000,"50M+",IF(D128&gt;=10000000,"10M+",IF(D128&gt;=5000000,"5M+",IF(D128&gt;=1000000,"1M+","1M 미만"))))))))</f>
        <v>1B+</v>
      </c>
      <c r="F128" s="78" t="s">
        <v>1936</v>
      </c>
      <c r="G128" s="78" t="s">
        <v>2153</v>
      </c>
      <c r="H128" s="79" t="str">
        <f aca="false">IF(AND(ISNUMBER(B128),B128&lt;=$B$2,ISNUMBER(C128),C128&lt;=$B$3),"① 둘 다 높음",IF(AND(ISNUMBER(B128),B128&lt;=$B$2),"② 매출만 높음",IF(AND(ISNUMBER(C128),C128&lt;=$B$3),"③ 다운로드만 높음","④ 둘 다 기준 밖")))</f>
        <v>④ 둘 다 기준 밖</v>
      </c>
      <c r="I128" s="78" t="s">
        <v>2154</v>
      </c>
    </row>
    <row r="129" customFormat="false" ht="17.15" hidden="false" customHeight="false" outlineLevel="0" collapsed="false">
      <c r="A129" s="78" t="s">
        <v>979</v>
      </c>
      <c r="B129" s="49" t="s">
        <v>800</v>
      </c>
      <c r="C129" s="49" t="n">
        <v>37</v>
      </c>
      <c r="D129" s="147" t="n">
        <v>22000000</v>
      </c>
      <c r="E129" s="95" t="str">
        <f aca="false">IF(D129="","",IF(D129&gt;=1000000000,"1B+",IF(D129&gt;=500000000,"500M+",IF(D129&gt;=100000000,"100M+",IF(D129&gt;=50000000,"50M+",IF(D129&gt;=10000000,"10M+",IF(D129&gt;=5000000,"5M+",IF(D129&gt;=1000000,"1M+","1M 미만"))))))))</f>
        <v>10M+</v>
      </c>
      <c r="F129" s="78" t="s">
        <v>1981</v>
      </c>
      <c r="G129" s="78" t="s">
        <v>2155</v>
      </c>
      <c r="H129" s="79" t="str">
        <f aca="false">IF(AND(ISNUMBER(B129),B129&lt;=$B$2,ISNUMBER(C129),C129&lt;=$B$3),"① 둘 다 높음",IF(AND(ISNUMBER(B129),B129&lt;=$B$2),"② 매출만 높음",IF(AND(ISNUMBER(C129),C129&lt;=$B$3),"③ 다운로드만 높음","④ 둘 다 기준 밖")))</f>
        <v>④ 둘 다 기준 밖</v>
      </c>
      <c r="I129" s="78" t="s">
        <v>2156</v>
      </c>
    </row>
    <row r="130" customFormat="false" ht="17.15" hidden="false" customHeight="false" outlineLevel="0" collapsed="false">
      <c r="A130" s="78" t="s">
        <v>980</v>
      </c>
      <c r="B130" s="49" t="s">
        <v>800</v>
      </c>
      <c r="C130" s="49" t="n">
        <v>38</v>
      </c>
      <c r="D130" s="147" t="n">
        <v>17000000</v>
      </c>
      <c r="E130" s="95" t="str">
        <f aca="false">IF(D130="","",IF(D130&gt;=1000000000,"1B+",IF(D130&gt;=500000000,"500M+",IF(D130&gt;=100000000,"100M+",IF(D130&gt;=50000000,"50M+",IF(D130&gt;=10000000,"10M+",IF(D130&gt;=5000000,"5M+",IF(D130&gt;=1000000,"1M+","1M 미만"))))))))</f>
        <v>10M+</v>
      </c>
      <c r="F130" s="78" t="s">
        <v>1981</v>
      </c>
      <c r="G130" s="78" t="s">
        <v>2141</v>
      </c>
      <c r="H130" s="79" t="str">
        <f aca="false">IF(AND(ISNUMBER(B130),B130&lt;=$B$2,ISNUMBER(C130),C130&lt;=$B$3),"① 둘 다 높음",IF(AND(ISNUMBER(B130),B130&lt;=$B$2),"② 매출만 높음",IF(AND(ISNUMBER(C130),C130&lt;=$B$3),"③ 다운로드만 높음","④ 둘 다 기준 밖")))</f>
        <v>④ 둘 다 기준 밖</v>
      </c>
      <c r="I130" s="78" t="s">
        <v>2157</v>
      </c>
    </row>
    <row r="131" customFormat="false" ht="17.15" hidden="false" customHeight="false" outlineLevel="0" collapsed="false">
      <c r="A131" s="78" t="s">
        <v>981</v>
      </c>
      <c r="B131" s="49" t="s">
        <v>800</v>
      </c>
      <c r="C131" s="49" t="n">
        <v>39</v>
      </c>
      <c r="D131" s="147" t="n">
        <v>110000000</v>
      </c>
      <c r="E131" s="95" t="str">
        <f aca="false">IF(D131="","",IF(D131&gt;=1000000000,"1B+",IF(D131&gt;=500000000,"500M+",IF(D131&gt;=100000000,"100M+",IF(D131&gt;=50000000,"50M+",IF(D131&gt;=10000000,"10M+",IF(D131&gt;=5000000,"5M+",IF(D131&gt;=1000000,"1M+","1M 미만"))))))))</f>
        <v>100M+</v>
      </c>
      <c r="F131" s="78" t="s">
        <v>1931</v>
      </c>
      <c r="G131" s="78" t="s">
        <v>2158</v>
      </c>
      <c r="H131" s="79" t="str">
        <f aca="false">IF(AND(ISNUMBER(B131),B131&lt;=$B$2,ISNUMBER(C131),C131&lt;=$B$3),"① 둘 다 높음",IF(AND(ISNUMBER(B131),B131&lt;=$B$2),"② 매출만 높음",IF(AND(ISNUMBER(C131),C131&lt;=$B$3),"③ 다운로드만 높음","④ 둘 다 기준 밖")))</f>
        <v>④ 둘 다 기준 밖</v>
      </c>
      <c r="I131" s="78" t="s">
        <v>2159</v>
      </c>
    </row>
    <row r="132" customFormat="false" ht="17.15" hidden="false" customHeight="false" outlineLevel="0" collapsed="false">
      <c r="A132" s="78" t="s">
        <v>982</v>
      </c>
      <c r="B132" s="49" t="s">
        <v>800</v>
      </c>
      <c r="C132" s="49" t="n">
        <v>41</v>
      </c>
      <c r="D132" s="147" t="n">
        <v>7100000</v>
      </c>
      <c r="E132" s="95" t="str">
        <f aca="false">IF(D132="","",IF(D132&gt;=1000000000,"1B+",IF(D132&gt;=500000000,"500M+",IF(D132&gt;=100000000,"100M+",IF(D132&gt;=50000000,"50M+",IF(D132&gt;=10000000,"10M+",IF(D132&gt;=5000000,"5M+",IF(D132&gt;=1000000,"1M+","1M 미만"))))))))</f>
        <v>5M+</v>
      </c>
      <c r="F132" s="78" t="s">
        <v>2030</v>
      </c>
      <c r="G132" s="78" t="s">
        <v>2145</v>
      </c>
      <c r="H132" s="79" t="str">
        <f aca="false">IF(AND(ISNUMBER(B132),B132&lt;=$B$2,ISNUMBER(C132),C132&lt;=$B$3),"① 둘 다 높음",IF(AND(ISNUMBER(B132),B132&lt;=$B$2),"② 매출만 높음",IF(AND(ISNUMBER(C132),C132&lt;=$B$3),"③ 다운로드만 높음","④ 둘 다 기준 밖")))</f>
        <v>④ 둘 다 기준 밖</v>
      </c>
      <c r="I132" s="78" t="s">
        <v>2160</v>
      </c>
    </row>
    <row r="133" customFormat="false" ht="17.15" hidden="false" customHeight="false" outlineLevel="0" collapsed="false">
      <c r="A133" s="78" t="s">
        <v>983</v>
      </c>
      <c r="B133" s="49" t="s">
        <v>800</v>
      </c>
      <c r="C133" s="49" t="n">
        <v>43</v>
      </c>
      <c r="D133" s="147" t="n">
        <v>70000000</v>
      </c>
      <c r="E133" s="95" t="str">
        <f aca="false">IF(D133="","",IF(D133&gt;=1000000000,"1B+",IF(D133&gt;=500000000,"500M+",IF(D133&gt;=100000000,"100M+",IF(D133&gt;=50000000,"50M+",IF(D133&gt;=10000000,"10M+",IF(D133&gt;=5000000,"5M+",IF(D133&gt;=1000000,"1M+","1M 미만"))))))))</f>
        <v>50M+</v>
      </c>
      <c r="F133" s="78" t="s">
        <v>1949</v>
      </c>
      <c r="G133" s="78" t="s">
        <v>2161</v>
      </c>
      <c r="H133" s="79" t="str">
        <f aca="false">IF(AND(ISNUMBER(B133),B133&lt;=$B$2,ISNUMBER(C133),C133&lt;=$B$3),"① 둘 다 높음",IF(AND(ISNUMBER(B133),B133&lt;=$B$2),"② 매출만 높음",IF(AND(ISNUMBER(C133),C133&lt;=$B$3),"③ 다운로드만 높음","④ 둘 다 기준 밖")))</f>
        <v>④ 둘 다 기준 밖</v>
      </c>
      <c r="I133" s="78" t="s">
        <v>2162</v>
      </c>
    </row>
    <row r="134" customFormat="false" ht="17.15" hidden="false" customHeight="false" outlineLevel="0" collapsed="false">
      <c r="A134" s="78" t="s">
        <v>984</v>
      </c>
      <c r="B134" s="49" t="s">
        <v>800</v>
      </c>
      <c r="C134" s="49" t="n">
        <v>44</v>
      </c>
      <c r="D134" s="147" t="n">
        <v>12000000</v>
      </c>
      <c r="E134" s="95" t="str">
        <f aca="false">IF(D134="","",IF(D134&gt;=1000000000,"1B+",IF(D134&gt;=500000000,"500M+",IF(D134&gt;=100000000,"100M+",IF(D134&gt;=50000000,"50M+",IF(D134&gt;=10000000,"10M+",IF(D134&gt;=5000000,"5M+",IF(D134&gt;=1000000,"1M+","1M 미만"))))))))</f>
        <v>10M+</v>
      </c>
      <c r="F134" s="78" t="s">
        <v>1981</v>
      </c>
      <c r="G134" s="78" t="s">
        <v>2155</v>
      </c>
      <c r="H134" s="79" t="str">
        <f aca="false">IF(AND(ISNUMBER(B134),B134&lt;=$B$2,ISNUMBER(C134),C134&lt;=$B$3),"① 둘 다 높음",IF(AND(ISNUMBER(B134),B134&lt;=$B$2),"② 매출만 높음",IF(AND(ISNUMBER(C134),C134&lt;=$B$3),"③ 다운로드만 높음","④ 둘 다 기준 밖")))</f>
        <v>④ 둘 다 기준 밖</v>
      </c>
      <c r="I134" s="78" t="s">
        <v>2163</v>
      </c>
    </row>
    <row r="135" customFormat="false" ht="17.15" hidden="false" customHeight="false" outlineLevel="0" collapsed="false">
      <c r="A135" s="78" t="s">
        <v>985</v>
      </c>
      <c r="B135" s="49" t="s">
        <v>800</v>
      </c>
      <c r="C135" s="49" t="n">
        <v>45</v>
      </c>
      <c r="D135" s="147" t="n">
        <v>750000</v>
      </c>
      <c r="E135" s="95" t="str">
        <f aca="false">IF(D135="","",IF(D135&gt;=1000000000,"1B+",IF(D135&gt;=500000000,"500M+",IF(D135&gt;=100000000,"100M+",IF(D135&gt;=50000000,"50M+",IF(D135&gt;=10000000,"10M+",IF(D135&gt;=5000000,"5M+",IF(D135&gt;=1000000,"1M+","1M 미만"))))))))</f>
        <v>1M 미만</v>
      </c>
      <c r="F135" s="78" t="s">
        <v>2164</v>
      </c>
      <c r="G135" s="78" t="s">
        <v>2118</v>
      </c>
      <c r="H135" s="79" t="str">
        <f aca="false">IF(AND(ISNUMBER(B135),B135&lt;=$B$2,ISNUMBER(C135),C135&lt;=$B$3),"① 둘 다 높음",IF(AND(ISNUMBER(B135),B135&lt;=$B$2),"② 매출만 높음",IF(AND(ISNUMBER(C135),C135&lt;=$B$3),"③ 다운로드만 높음","④ 둘 다 기준 밖")))</f>
        <v>④ 둘 다 기준 밖</v>
      </c>
      <c r="I135" s="78" t="s">
        <v>2165</v>
      </c>
    </row>
    <row r="136" customFormat="false" ht="17.15" hidden="false" customHeight="false" outlineLevel="0" collapsed="false">
      <c r="A136" s="78" t="s">
        <v>986</v>
      </c>
      <c r="B136" s="49" t="s">
        <v>800</v>
      </c>
      <c r="C136" s="49" t="n">
        <v>46</v>
      </c>
      <c r="D136" s="147" t="n">
        <v>79000000</v>
      </c>
      <c r="E136" s="95" t="str">
        <f aca="false">IF(D136="","",IF(D136&gt;=1000000000,"1B+",IF(D136&gt;=500000000,"500M+",IF(D136&gt;=100000000,"100M+",IF(D136&gt;=50000000,"50M+",IF(D136&gt;=10000000,"10M+",IF(D136&gt;=5000000,"5M+",IF(D136&gt;=1000000,"1M+","1M 미만"))))))))</f>
        <v>50M+</v>
      </c>
      <c r="F136" s="78" t="s">
        <v>1949</v>
      </c>
      <c r="G136" s="78" t="s">
        <v>2166</v>
      </c>
      <c r="H136" s="79" t="str">
        <f aca="false">IF(AND(ISNUMBER(B136),B136&lt;=$B$2,ISNUMBER(C136),C136&lt;=$B$3),"① 둘 다 높음",IF(AND(ISNUMBER(B136),B136&lt;=$B$2),"② 매출만 높음",IF(AND(ISNUMBER(C136),C136&lt;=$B$3),"③ 다운로드만 높음","④ 둘 다 기준 밖")))</f>
        <v>④ 둘 다 기준 밖</v>
      </c>
      <c r="I136" s="78" t="s">
        <v>2167</v>
      </c>
    </row>
    <row r="137" customFormat="false" ht="17.15" hidden="false" customHeight="false" outlineLevel="0" collapsed="false">
      <c r="A137" s="78" t="s">
        <v>987</v>
      </c>
      <c r="B137" s="49" t="s">
        <v>800</v>
      </c>
      <c r="C137" s="49" t="n">
        <v>50</v>
      </c>
      <c r="D137" s="147" t="n">
        <v>7500000</v>
      </c>
      <c r="E137" s="95" t="str">
        <f aca="false">IF(D137="","",IF(D137&gt;=1000000000,"1B+",IF(D137&gt;=500000000,"500M+",IF(D137&gt;=100000000,"100M+",IF(D137&gt;=50000000,"50M+",IF(D137&gt;=10000000,"10M+",IF(D137&gt;=5000000,"5M+",IF(D137&gt;=1000000,"1M+","1M 미만"))))))))</f>
        <v>5M+</v>
      </c>
      <c r="F137" s="78" t="s">
        <v>2030</v>
      </c>
      <c r="G137" s="78" t="s">
        <v>2013</v>
      </c>
      <c r="H137" s="79" t="str">
        <f aca="false">IF(AND(ISNUMBER(B137),B137&lt;=$B$2,ISNUMBER(C137),C137&lt;=$B$3),"① 둘 다 높음",IF(AND(ISNUMBER(B137),B137&lt;=$B$2),"② 매출만 높음",IF(AND(ISNUMBER(C137),C137&lt;=$B$3),"③ 다운로드만 높음","④ 둘 다 기준 밖")))</f>
        <v>④ 둘 다 기준 밖</v>
      </c>
      <c r="I137" s="78" t="s">
        <v>2168</v>
      </c>
    </row>
    <row r="138" customFormat="false" ht="17.15" hidden="false" customHeight="false" outlineLevel="0" collapsed="false">
      <c r="A138" s="78" t="s">
        <v>988</v>
      </c>
      <c r="B138" s="49" t="s">
        <v>800</v>
      </c>
      <c r="C138" s="49" t="n">
        <v>51</v>
      </c>
      <c r="D138" s="147" t="n">
        <v>2800000</v>
      </c>
      <c r="E138" s="95" t="str">
        <f aca="false">IF(D138="","",IF(D138&gt;=1000000000,"1B+",IF(D138&gt;=500000000,"500M+",IF(D138&gt;=100000000,"100M+",IF(D138&gt;=50000000,"50M+",IF(D138&gt;=10000000,"10M+",IF(D138&gt;=5000000,"5M+",IF(D138&gt;=1000000,"1M+","1M 미만"))))))))</f>
        <v>1M+</v>
      </c>
      <c r="F138" s="78" t="s">
        <v>2012</v>
      </c>
      <c r="G138" s="78" t="s">
        <v>2118</v>
      </c>
      <c r="H138" s="79" t="str">
        <f aca="false">IF(AND(ISNUMBER(B138),B138&lt;=$B$2,ISNUMBER(C138),C138&lt;=$B$3),"① 둘 다 높음",IF(AND(ISNUMBER(B138),B138&lt;=$B$2),"② 매출만 높음",IF(AND(ISNUMBER(C138),C138&lt;=$B$3),"③ 다운로드만 높음","④ 둘 다 기준 밖")))</f>
        <v>④ 둘 다 기준 밖</v>
      </c>
      <c r="I138" s="78" t="s">
        <v>2169</v>
      </c>
    </row>
    <row r="139" customFormat="false" ht="17.15" hidden="false" customHeight="false" outlineLevel="0" collapsed="false">
      <c r="A139" s="78" t="s">
        <v>989</v>
      </c>
      <c r="B139" s="49" t="s">
        <v>800</v>
      </c>
      <c r="C139" s="49" t="n">
        <v>52</v>
      </c>
      <c r="D139" s="147" t="n">
        <v>2900000000</v>
      </c>
      <c r="E139" s="95" t="str">
        <f aca="false">IF(D139="","",IF(D139&gt;=1000000000,"1B+",IF(D139&gt;=500000000,"500M+",IF(D139&gt;=100000000,"100M+",IF(D139&gt;=50000000,"50M+",IF(D139&gt;=10000000,"10M+",IF(D139&gt;=5000000,"5M+",IF(D139&gt;=1000000,"1M+","1M 미만"))))))))</f>
        <v>1B+</v>
      </c>
      <c r="F139" s="78" t="s">
        <v>1936</v>
      </c>
      <c r="G139" s="78" t="s">
        <v>1991</v>
      </c>
      <c r="H139" s="79" t="str">
        <f aca="false">IF(AND(ISNUMBER(B139),B139&lt;=$B$2,ISNUMBER(C139),C139&lt;=$B$3),"① 둘 다 높음",IF(AND(ISNUMBER(B139),B139&lt;=$B$2),"② 매출만 높음",IF(AND(ISNUMBER(C139),C139&lt;=$B$3),"③ 다운로드만 높음","④ 둘 다 기준 밖")))</f>
        <v>④ 둘 다 기준 밖</v>
      </c>
      <c r="I139" s="78" t="s">
        <v>2170</v>
      </c>
    </row>
    <row r="140" customFormat="false" ht="17.15" hidden="false" customHeight="false" outlineLevel="0" collapsed="false">
      <c r="A140" s="78" t="s">
        <v>990</v>
      </c>
      <c r="B140" s="49" t="s">
        <v>800</v>
      </c>
      <c r="C140" s="49" t="n">
        <v>53</v>
      </c>
      <c r="D140" s="147" t="n">
        <v>350000</v>
      </c>
      <c r="E140" s="95" t="str">
        <f aca="false">IF(D140="","",IF(D140&gt;=1000000000,"1B+",IF(D140&gt;=500000000,"500M+",IF(D140&gt;=100000000,"100M+",IF(D140&gt;=50000000,"50M+",IF(D140&gt;=10000000,"10M+",IF(D140&gt;=5000000,"5M+",IF(D140&gt;=1000000,"1M+","1M 미만"))))))))</f>
        <v>1M 미만</v>
      </c>
      <c r="F140" s="78" t="s">
        <v>2171</v>
      </c>
      <c r="G140" s="78" t="s">
        <v>2068</v>
      </c>
      <c r="H140" s="79" t="str">
        <f aca="false">IF(AND(ISNUMBER(B140),B140&lt;=$B$2,ISNUMBER(C140),C140&lt;=$B$3),"① 둘 다 높음",IF(AND(ISNUMBER(B140),B140&lt;=$B$2),"② 매출만 높음",IF(AND(ISNUMBER(C140),C140&lt;=$B$3),"③ 다운로드만 높음","④ 둘 다 기준 밖")))</f>
        <v>④ 둘 다 기준 밖</v>
      </c>
      <c r="I140" s="78" t="s">
        <v>2172</v>
      </c>
    </row>
    <row r="141" customFormat="false" ht="17.15" hidden="false" customHeight="false" outlineLevel="0" collapsed="false">
      <c r="A141" s="78" t="s">
        <v>991</v>
      </c>
      <c r="B141" s="49" t="s">
        <v>800</v>
      </c>
      <c r="C141" s="49" t="n">
        <v>54</v>
      </c>
      <c r="D141" s="147" t="n">
        <v>620000000</v>
      </c>
      <c r="E141" s="95" t="str">
        <f aca="false">IF(D141="","",IF(D141&gt;=1000000000,"1B+",IF(D141&gt;=500000000,"500M+",IF(D141&gt;=100000000,"100M+",IF(D141&gt;=50000000,"50M+",IF(D141&gt;=10000000,"10M+",IF(D141&gt;=5000000,"5M+",IF(D141&gt;=1000000,"1M+","1M 미만"))))))))</f>
        <v>500M+</v>
      </c>
      <c r="F141" s="78" t="s">
        <v>1952</v>
      </c>
      <c r="G141" s="78" t="s">
        <v>2007</v>
      </c>
      <c r="H141" s="79" t="str">
        <f aca="false">IF(AND(ISNUMBER(B141),B141&lt;=$B$2,ISNUMBER(C141),C141&lt;=$B$3),"① 둘 다 높음",IF(AND(ISNUMBER(B141),B141&lt;=$B$2),"② 매출만 높음",IF(AND(ISNUMBER(C141),C141&lt;=$B$3),"③ 다운로드만 높음","④ 둘 다 기준 밖")))</f>
        <v>④ 둘 다 기준 밖</v>
      </c>
      <c r="I141" s="78" t="s">
        <v>2173</v>
      </c>
    </row>
    <row r="142" customFormat="false" ht="17.15" hidden="false" customHeight="false" outlineLevel="0" collapsed="false">
      <c r="A142" s="78" t="s">
        <v>992</v>
      </c>
      <c r="B142" s="49" t="s">
        <v>800</v>
      </c>
      <c r="C142" s="49" t="n">
        <v>55</v>
      </c>
      <c r="D142" s="147" t="n">
        <v>11000000</v>
      </c>
      <c r="E142" s="95" t="str">
        <f aca="false">IF(D142="","",IF(D142&gt;=1000000000,"1B+",IF(D142&gt;=500000000,"500M+",IF(D142&gt;=100000000,"100M+",IF(D142&gt;=50000000,"50M+",IF(D142&gt;=10000000,"10M+",IF(D142&gt;=5000000,"5M+",IF(D142&gt;=1000000,"1M+","1M 미만"))))))))</f>
        <v>10M+</v>
      </c>
      <c r="F142" s="78" t="s">
        <v>1981</v>
      </c>
      <c r="G142" s="78" t="s">
        <v>2062</v>
      </c>
      <c r="H142" s="79" t="str">
        <f aca="false">IF(AND(ISNUMBER(B142),B142&lt;=$B$2,ISNUMBER(C142),C142&lt;=$B$3),"① 둘 다 높음",IF(AND(ISNUMBER(B142),B142&lt;=$B$2),"② 매출만 높음",IF(AND(ISNUMBER(C142),C142&lt;=$B$3),"③ 다운로드만 높음","④ 둘 다 기준 밖")))</f>
        <v>④ 둘 다 기준 밖</v>
      </c>
      <c r="I142" s="78" t="s">
        <v>2174</v>
      </c>
    </row>
    <row r="143" customFormat="false" ht="17.15" hidden="false" customHeight="false" outlineLevel="0" collapsed="false">
      <c r="A143" s="78" t="s">
        <v>993</v>
      </c>
      <c r="B143" s="49" t="s">
        <v>800</v>
      </c>
      <c r="C143" s="49" t="n">
        <v>56</v>
      </c>
      <c r="D143" s="147" t="n">
        <v>8900000</v>
      </c>
      <c r="E143" s="95" t="str">
        <f aca="false">IF(D143="","",IF(D143&gt;=1000000000,"1B+",IF(D143&gt;=500000000,"500M+",IF(D143&gt;=100000000,"100M+",IF(D143&gt;=50000000,"50M+",IF(D143&gt;=10000000,"10M+",IF(D143&gt;=5000000,"5M+",IF(D143&gt;=1000000,"1M+","1M 미만"))))))))</f>
        <v>5M+</v>
      </c>
      <c r="F143" s="78" t="s">
        <v>2030</v>
      </c>
      <c r="G143" s="78" t="s">
        <v>2062</v>
      </c>
      <c r="H143" s="79" t="str">
        <f aca="false">IF(AND(ISNUMBER(B143),B143&lt;=$B$2,ISNUMBER(C143),C143&lt;=$B$3),"① 둘 다 높음",IF(AND(ISNUMBER(B143),B143&lt;=$B$2),"② 매출만 높음",IF(AND(ISNUMBER(C143),C143&lt;=$B$3),"③ 다운로드만 높음","④ 둘 다 기준 밖")))</f>
        <v>④ 둘 다 기준 밖</v>
      </c>
      <c r="I143" s="78" t="s">
        <v>2175</v>
      </c>
    </row>
    <row r="144" customFormat="false" ht="17.15" hidden="false" customHeight="false" outlineLevel="0" collapsed="false">
      <c r="A144" s="78" t="s">
        <v>994</v>
      </c>
      <c r="B144" s="49" t="s">
        <v>800</v>
      </c>
      <c r="C144" s="49" t="n">
        <v>57</v>
      </c>
      <c r="D144" s="147" t="n">
        <v>350000000</v>
      </c>
      <c r="E144" s="95" t="str">
        <f aca="false">IF(D144="","",IF(D144&gt;=1000000000,"1B+",IF(D144&gt;=500000000,"500M+",IF(D144&gt;=100000000,"100M+",IF(D144&gt;=50000000,"50M+",IF(D144&gt;=10000000,"10M+",IF(D144&gt;=5000000,"5M+",IF(D144&gt;=1000000,"1M+","1M 미만"))))))))</f>
        <v>100M+</v>
      </c>
      <c r="F144" s="78" t="s">
        <v>1931</v>
      </c>
      <c r="G144" s="78" t="s">
        <v>2078</v>
      </c>
      <c r="H144" s="79" t="str">
        <f aca="false">IF(AND(ISNUMBER(B144),B144&lt;=$B$2,ISNUMBER(C144),C144&lt;=$B$3),"① 둘 다 높음",IF(AND(ISNUMBER(B144),B144&lt;=$B$2),"② 매출만 높음",IF(AND(ISNUMBER(C144),C144&lt;=$B$3),"③ 다운로드만 높음","④ 둘 다 기준 밖")))</f>
        <v>④ 둘 다 기준 밖</v>
      </c>
      <c r="I144" s="78" t="s">
        <v>2176</v>
      </c>
    </row>
    <row r="145" customFormat="false" ht="17.15" hidden="false" customHeight="false" outlineLevel="0" collapsed="false">
      <c r="A145" s="78" t="s">
        <v>995</v>
      </c>
      <c r="B145" s="49" t="s">
        <v>800</v>
      </c>
      <c r="C145" s="49" t="n">
        <v>58</v>
      </c>
      <c r="D145" s="147" t="n">
        <v>1100000</v>
      </c>
      <c r="E145" s="95" t="str">
        <f aca="false">IF(D145="","",IF(D145&gt;=1000000000,"1B+",IF(D145&gt;=500000000,"500M+",IF(D145&gt;=100000000,"100M+",IF(D145&gt;=50000000,"50M+",IF(D145&gt;=10000000,"10M+",IF(D145&gt;=5000000,"5M+",IF(D145&gt;=1000000,"1M+","1M 미만"))))))))</f>
        <v>1M+</v>
      </c>
      <c r="F145" s="78" t="s">
        <v>2012</v>
      </c>
      <c r="G145" s="78" t="s">
        <v>2068</v>
      </c>
      <c r="H145" s="79" t="str">
        <f aca="false">IF(AND(ISNUMBER(B145),B145&lt;=$B$2,ISNUMBER(C145),C145&lt;=$B$3),"① 둘 다 높음",IF(AND(ISNUMBER(B145),B145&lt;=$B$2),"② 매출만 높음",IF(AND(ISNUMBER(C145),C145&lt;=$B$3),"③ 다운로드만 높음","④ 둘 다 기준 밖")))</f>
        <v>④ 둘 다 기준 밖</v>
      </c>
      <c r="I145" s="78" t="s">
        <v>2177</v>
      </c>
    </row>
    <row r="146" customFormat="false" ht="17.15" hidden="false" customHeight="false" outlineLevel="0" collapsed="false">
      <c r="A146" s="78" t="s">
        <v>996</v>
      </c>
      <c r="B146" s="49" t="s">
        <v>800</v>
      </c>
      <c r="C146" s="49" t="n">
        <v>59</v>
      </c>
      <c r="D146" s="147" t="n">
        <v>460000000</v>
      </c>
      <c r="E146" s="95" t="str">
        <f aca="false">IF(D146="","",IF(D146&gt;=1000000000,"1B+",IF(D146&gt;=500000000,"500M+",IF(D146&gt;=100000000,"100M+",IF(D146&gt;=50000000,"50M+",IF(D146&gt;=10000000,"10M+",IF(D146&gt;=5000000,"5M+",IF(D146&gt;=1000000,"1M+","1M 미만"))))))))</f>
        <v>100M+</v>
      </c>
      <c r="F146" s="78" t="s">
        <v>1931</v>
      </c>
      <c r="G146" s="78" t="s">
        <v>2089</v>
      </c>
      <c r="H146" s="79" t="str">
        <f aca="false">IF(AND(ISNUMBER(B146),B146&lt;=$B$2,ISNUMBER(C146),C146&lt;=$B$3),"① 둘 다 높음",IF(AND(ISNUMBER(B146),B146&lt;=$B$2),"② 매출만 높음",IF(AND(ISNUMBER(C146),C146&lt;=$B$3),"③ 다운로드만 높음","④ 둘 다 기준 밖")))</f>
        <v>④ 둘 다 기준 밖</v>
      </c>
      <c r="I146" s="78" t="s">
        <v>2178</v>
      </c>
    </row>
    <row r="147" customFormat="false" ht="17.15" hidden="false" customHeight="false" outlineLevel="0" collapsed="false">
      <c r="A147" s="78" t="s">
        <v>997</v>
      </c>
      <c r="B147" s="49" t="s">
        <v>800</v>
      </c>
      <c r="C147" s="49" t="n">
        <v>60</v>
      </c>
      <c r="D147" s="147" t="n">
        <v>800000000</v>
      </c>
      <c r="E147" s="95" t="str">
        <f aca="false">IF(D147="","",IF(D147&gt;=1000000000,"1B+",IF(D147&gt;=500000000,"500M+",IF(D147&gt;=100000000,"100M+",IF(D147&gt;=50000000,"50M+",IF(D147&gt;=10000000,"10M+",IF(D147&gt;=5000000,"5M+",IF(D147&gt;=1000000,"1M+","1M 미만"))))))))</f>
        <v>500M+</v>
      </c>
      <c r="F147" s="78" t="s">
        <v>1952</v>
      </c>
      <c r="G147" s="78" t="s">
        <v>2066</v>
      </c>
      <c r="H147" s="79" t="str">
        <f aca="false">IF(AND(ISNUMBER(B147),B147&lt;=$B$2,ISNUMBER(C147),C147&lt;=$B$3),"① 둘 다 높음",IF(AND(ISNUMBER(B147),B147&lt;=$B$2),"② 매출만 높음",IF(AND(ISNUMBER(C147),C147&lt;=$B$3),"③ 다운로드만 높음","④ 둘 다 기준 밖")))</f>
        <v>④ 둘 다 기준 밖</v>
      </c>
      <c r="I147" s="78" t="s">
        <v>2179</v>
      </c>
    </row>
    <row r="148" customFormat="false" ht="17.15" hidden="false" customHeight="false" outlineLevel="0" collapsed="false">
      <c r="A148" s="78" t="s">
        <v>998</v>
      </c>
      <c r="B148" s="49" t="s">
        <v>800</v>
      </c>
      <c r="C148" s="49" t="n">
        <v>61</v>
      </c>
      <c r="D148" s="147" t="n">
        <v>67000000</v>
      </c>
      <c r="E148" s="95" t="str">
        <f aca="false">IF(D148="","",IF(D148&gt;=1000000000,"1B+",IF(D148&gt;=500000000,"500M+",IF(D148&gt;=100000000,"100M+",IF(D148&gt;=50000000,"50M+",IF(D148&gt;=10000000,"10M+",IF(D148&gt;=5000000,"5M+",IF(D148&gt;=1000000,"1M+","1M 미만"))))))))</f>
        <v>50M+</v>
      </c>
      <c r="F148" s="78" t="s">
        <v>1949</v>
      </c>
      <c r="G148" s="78" t="s">
        <v>2180</v>
      </c>
      <c r="H148" s="79" t="str">
        <f aca="false">IF(AND(ISNUMBER(B148),B148&lt;=$B$2,ISNUMBER(C148),C148&lt;=$B$3),"① 둘 다 높음",IF(AND(ISNUMBER(B148),B148&lt;=$B$2),"② 매출만 높음",IF(AND(ISNUMBER(C148),C148&lt;=$B$3),"③ 다운로드만 높음","④ 둘 다 기준 밖")))</f>
        <v>④ 둘 다 기준 밖</v>
      </c>
      <c r="I148" s="78" t="s">
        <v>2181</v>
      </c>
    </row>
    <row r="149" customFormat="false" ht="17.15" hidden="false" customHeight="false" outlineLevel="0" collapsed="false">
      <c r="A149" s="78" t="s">
        <v>999</v>
      </c>
      <c r="B149" s="49" t="s">
        <v>800</v>
      </c>
      <c r="C149" s="49" t="n">
        <v>64</v>
      </c>
      <c r="D149" s="147" t="n">
        <v>800000000</v>
      </c>
      <c r="E149" s="95" t="str">
        <f aca="false">IF(D149="","",IF(D149&gt;=1000000000,"1B+",IF(D149&gt;=500000000,"500M+",IF(D149&gt;=100000000,"100M+",IF(D149&gt;=50000000,"50M+",IF(D149&gt;=10000000,"10M+",IF(D149&gt;=5000000,"5M+",IF(D149&gt;=1000000,"1M+","1M 미만"))))))))</f>
        <v>500M+</v>
      </c>
      <c r="F149" s="78" t="s">
        <v>1952</v>
      </c>
      <c r="G149" s="78" t="s">
        <v>2182</v>
      </c>
      <c r="H149" s="79" t="str">
        <f aca="false">IF(AND(ISNUMBER(B149),B149&lt;=$B$2,ISNUMBER(C149),C149&lt;=$B$3),"① 둘 다 높음",IF(AND(ISNUMBER(B149),B149&lt;=$B$2),"② 매출만 높음",IF(AND(ISNUMBER(C149),C149&lt;=$B$3),"③ 다운로드만 높음","④ 둘 다 기준 밖")))</f>
        <v>④ 둘 다 기준 밖</v>
      </c>
      <c r="I149" s="78" t="s">
        <v>2183</v>
      </c>
    </row>
    <row r="150" customFormat="false" ht="17.15" hidden="false" customHeight="false" outlineLevel="0" collapsed="false">
      <c r="A150" s="78" t="s">
        <v>1000</v>
      </c>
      <c r="B150" s="49" t="s">
        <v>800</v>
      </c>
      <c r="C150" s="49" t="n">
        <v>65</v>
      </c>
      <c r="D150" s="147" t="n">
        <v>11000000</v>
      </c>
      <c r="E150" s="95" t="str">
        <f aca="false">IF(D150="","",IF(D150&gt;=1000000000,"1B+",IF(D150&gt;=500000000,"500M+",IF(D150&gt;=100000000,"100M+",IF(D150&gt;=50000000,"50M+",IF(D150&gt;=10000000,"10M+",IF(D150&gt;=5000000,"5M+",IF(D150&gt;=1000000,"1M+","1M 미만"))))))))</f>
        <v>10M+</v>
      </c>
      <c r="F150" s="78" t="s">
        <v>1981</v>
      </c>
      <c r="G150" s="78" t="s">
        <v>2145</v>
      </c>
      <c r="H150" s="79" t="str">
        <f aca="false">IF(AND(ISNUMBER(B150),B150&lt;=$B$2,ISNUMBER(C150),C150&lt;=$B$3),"① 둘 다 높음",IF(AND(ISNUMBER(B150),B150&lt;=$B$2),"② 매출만 높음",IF(AND(ISNUMBER(C150),C150&lt;=$B$3),"③ 다운로드만 높음","④ 둘 다 기준 밖")))</f>
        <v>④ 둘 다 기준 밖</v>
      </c>
      <c r="I150" s="78" t="s">
        <v>2184</v>
      </c>
    </row>
    <row r="151" customFormat="false" ht="17.15" hidden="false" customHeight="false" outlineLevel="0" collapsed="false">
      <c r="A151" s="78" t="s">
        <v>1001</v>
      </c>
      <c r="B151" s="49" t="s">
        <v>800</v>
      </c>
      <c r="C151" s="49" t="n">
        <v>66</v>
      </c>
      <c r="D151" s="147" t="n">
        <v>0</v>
      </c>
      <c r="E151" s="95" t="str">
        <f aca="false">IF(D151="","",IF(D151&gt;=1000000000,"1B+",IF(D151&gt;=500000000,"500M+",IF(D151&gt;=100000000,"100M+",IF(D151&gt;=50000000,"50M+",IF(D151&gt;=10000000,"10M+",IF(D151&gt;=5000000,"5M+",IF(D151&gt;=1000000,"1M+","1M 미만"))))))))</f>
        <v>1M 미만</v>
      </c>
      <c r="F151" s="78" t="s">
        <v>2012</v>
      </c>
      <c r="G151" s="78" t="s">
        <v>2127</v>
      </c>
      <c r="H151" s="79" t="str">
        <f aca="false">IF(AND(ISNUMBER(B151),B151&lt;=$B$2,ISNUMBER(C151),C151&lt;=$B$3),"① 둘 다 높음",IF(AND(ISNUMBER(B151),B151&lt;=$B$2),"② 매출만 높음",IF(AND(ISNUMBER(C151),C151&lt;=$B$3),"③ 다운로드만 높음","④ 둘 다 기준 밖")))</f>
        <v>④ 둘 다 기준 밖</v>
      </c>
      <c r="I151" s="79" t="s">
        <v>2185</v>
      </c>
    </row>
    <row r="152" customFormat="false" ht="17.15" hidden="false" customHeight="false" outlineLevel="0" collapsed="false">
      <c r="A152" s="78" t="s">
        <v>1002</v>
      </c>
      <c r="B152" s="49" t="s">
        <v>800</v>
      </c>
      <c r="C152" s="49" t="n">
        <v>69</v>
      </c>
      <c r="D152" s="147" t="n">
        <v>99000</v>
      </c>
      <c r="E152" s="95" t="str">
        <f aca="false">IF(D152="","",IF(D152&gt;=1000000000,"1B+",IF(D152&gt;=500000000,"500M+",IF(D152&gt;=100000000,"100M+",IF(D152&gt;=50000000,"50M+",IF(D152&gt;=10000000,"10M+",IF(D152&gt;=5000000,"5M+",IF(D152&gt;=1000000,"1M+","1M 미만"))))))))</f>
        <v>1M 미만</v>
      </c>
      <c r="F152" s="78" t="s">
        <v>2171</v>
      </c>
      <c r="G152" s="95" t="s">
        <v>799</v>
      </c>
      <c r="H152" s="79" t="str">
        <f aca="false">IF(AND(ISNUMBER(B152),B152&lt;=$B$2,ISNUMBER(C152),C152&lt;=$B$3),"① 둘 다 높음",IF(AND(ISNUMBER(B152),B152&lt;=$B$2),"② 매출만 높음",IF(AND(ISNUMBER(C152),C152&lt;=$B$3),"③ 다운로드만 높음","④ 둘 다 기준 밖")))</f>
        <v>④ 둘 다 기준 밖</v>
      </c>
      <c r="I152" s="79" t="s">
        <v>2186</v>
      </c>
    </row>
    <row r="153" customFormat="false" ht="17.15" hidden="false" customHeight="false" outlineLevel="0" collapsed="false">
      <c r="A153" s="78" t="s">
        <v>1003</v>
      </c>
      <c r="B153" s="49" t="s">
        <v>800</v>
      </c>
      <c r="C153" s="49" t="n">
        <v>70</v>
      </c>
      <c r="D153" s="147" t="n">
        <v>58000000</v>
      </c>
      <c r="E153" s="95" t="str">
        <f aca="false">IF(D153="","",IF(D153&gt;=1000000000,"1B+",IF(D153&gt;=500000000,"500M+",IF(D153&gt;=100000000,"100M+",IF(D153&gt;=50000000,"50M+",IF(D153&gt;=10000000,"10M+",IF(D153&gt;=5000000,"5M+",IF(D153&gt;=1000000,"1M+","1M 미만"))))))))</f>
        <v>50M+</v>
      </c>
      <c r="F153" s="78" t="s">
        <v>1949</v>
      </c>
      <c r="G153" s="78" t="s">
        <v>2187</v>
      </c>
      <c r="H153" s="79" t="str">
        <f aca="false">IF(AND(ISNUMBER(B153),B153&lt;=$B$2,ISNUMBER(C153),C153&lt;=$B$3),"① 둘 다 높음",IF(AND(ISNUMBER(B153),B153&lt;=$B$2),"② 매출만 높음",IF(AND(ISNUMBER(C153),C153&lt;=$B$3),"③ 다운로드만 높음","④ 둘 다 기준 밖")))</f>
        <v>④ 둘 다 기준 밖</v>
      </c>
      <c r="I153" s="78" t="s">
        <v>2188</v>
      </c>
    </row>
    <row r="154" customFormat="false" ht="17.15" hidden="false" customHeight="false" outlineLevel="0" collapsed="false">
      <c r="A154" s="78" t="s">
        <v>1004</v>
      </c>
      <c r="B154" s="49" t="s">
        <v>800</v>
      </c>
      <c r="C154" s="49" t="n">
        <v>71</v>
      </c>
      <c r="D154" s="147" t="n">
        <v>1700000</v>
      </c>
      <c r="E154" s="95" t="str">
        <f aca="false">IF(D154="","",IF(D154&gt;=1000000000,"1B+",IF(D154&gt;=500000000,"500M+",IF(D154&gt;=100000000,"100M+",IF(D154&gt;=50000000,"50M+",IF(D154&gt;=10000000,"10M+",IF(D154&gt;=5000000,"5M+",IF(D154&gt;=1000000,"1M+","1M 미만"))))))))</f>
        <v>1M+</v>
      </c>
      <c r="F154" s="78" t="s">
        <v>2012</v>
      </c>
      <c r="G154" s="78" t="s">
        <v>2145</v>
      </c>
      <c r="H154" s="79" t="str">
        <f aca="false">IF(AND(ISNUMBER(B154),B154&lt;=$B$2,ISNUMBER(C154),C154&lt;=$B$3),"① 둘 다 높음",IF(AND(ISNUMBER(B154),B154&lt;=$B$2),"② 매출만 높음",IF(AND(ISNUMBER(C154),C154&lt;=$B$3),"③ 다운로드만 높음","④ 둘 다 기준 밖")))</f>
        <v>④ 둘 다 기준 밖</v>
      </c>
      <c r="I154" s="78" t="s">
        <v>2189</v>
      </c>
    </row>
    <row r="155" customFormat="false" ht="17.15" hidden="false" customHeight="false" outlineLevel="0" collapsed="false">
      <c r="A155" s="78" t="s">
        <v>1005</v>
      </c>
      <c r="B155" s="49" t="s">
        <v>800</v>
      </c>
      <c r="C155" s="49" t="n">
        <v>72</v>
      </c>
      <c r="D155" s="147" t="n">
        <v>120000000</v>
      </c>
      <c r="E155" s="95" t="str">
        <f aca="false">IF(D155="","",IF(D155&gt;=1000000000,"1B+",IF(D155&gt;=500000000,"500M+",IF(D155&gt;=100000000,"100M+",IF(D155&gt;=50000000,"50M+",IF(D155&gt;=10000000,"10M+",IF(D155&gt;=5000000,"5M+",IF(D155&gt;=1000000,"1M+","1M 미만"))))))))</f>
        <v>100M+</v>
      </c>
      <c r="F155" s="78" t="s">
        <v>1931</v>
      </c>
      <c r="G155" s="78" t="s">
        <v>1932</v>
      </c>
      <c r="H155" s="79" t="str">
        <f aca="false">IF(AND(ISNUMBER(B155),B155&lt;=$B$2,ISNUMBER(C155),C155&lt;=$B$3),"① 둘 다 높음",IF(AND(ISNUMBER(B155),B155&lt;=$B$2),"② 매출만 높음",IF(AND(ISNUMBER(C155),C155&lt;=$B$3),"③ 다운로드만 높음","④ 둘 다 기준 밖")))</f>
        <v>④ 둘 다 기준 밖</v>
      </c>
      <c r="I155" s="78" t="s">
        <v>2190</v>
      </c>
    </row>
    <row r="156" customFormat="false" ht="17.15" hidden="false" customHeight="false" outlineLevel="0" collapsed="false">
      <c r="A156" s="78" t="s">
        <v>1006</v>
      </c>
      <c r="B156" s="49" t="s">
        <v>800</v>
      </c>
      <c r="C156" s="49" t="n">
        <v>74</v>
      </c>
      <c r="D156" s="147" t="n">
        <v>13000000</v>
      </c>
      <c r="E156" s="95" t="str">
        <f aca="false">IF(D156="","",IF(D156&gt;=1000000000,"1B+",IF(D156&gt;=500000000,"500M+",IF(D156&gt;=100000000,"100M+",IF(D156&gt;=50000000,"50M+",IF(D156&gt;=10000000,"10M+",IF(D156&gt;=5000000,"5M+",IF(D156&gt;=1000000,"1M+","1M 미만"))))))))</f>
        <v>10M+</v>
      </c>
      <c r="F156" s="78" t="s">
        <v>1981</v>
      </c>
      <c r="G156" s="78" t="s">
        <v>2015</v>
      </c>
      <c r="H156" s="79" t="str">
        <f aca="false">IF(AND(ISNUMBER(B156),B156&lt;=$B$2,ISNUMBER(C156),C156&lt;=$B$3),"① 둘 다 높음",IF(AND(ISNUMBER(B156),B156&lt;=$B$2),"② 매출만 높음",IF(AND(ISNUMBER(C156),C156&lt;=$B$3),"③ 다운로드만 높음","④ 둘 다 기준 밖")))</f>
        <v>④ 둘 다 기준 밖</v>
      </c>
      <c r="I156" s="78" t="s">
        <v>2191</v>
      </c>
    </row>
    <row r="157" customFormat="false" ht="17.15" hidden="false" customHeight="false" outlineLevel="0" collapsed="false">
      <c r="A157" s="78" t="s">
        <v>1007</v>
      </c>
      <c r="B157" s="49" t="s">
        <v>800</v>
      </c>
      <c r="C157" s="49" t="n">
        <v>75</v>
      </c>
      <c r="D157" s="147" t="n">
        <v>38000000</v>
      </c>
      <c r="E157" s="95" t="str">
        <f aca="false">IF(D157="","",IF(D157&gt;=1000000000,"1B+",IF(D157&gt;=500000000,"500M+",IF(D157&gt;=100000000,"100M+",IF(D157&gt;=50000000,"50M+",IF(D157&gt;=10000000,"10M+",IF(D157&gt;=5000000,"5M+",IF(D157&gt;=1000000,"1M+","1M 미만"))))))))</f>
        <v>10M+</v>
      </c>
      <c r="F157" s="78" t="s">
        <v>1981</v>
      </c>
      <c r="G157" s="78" t="s">
        <v>2155</v>
      </c>
      <c r="H157" s="79" t="str">
        <f aca="false">IF(AND(ISNUMBER(B157),B157&lt;=$B$2,ISNUMBER(C157),C157&lt;=$B$3),"① 둘 다 높음",IF(AND(ISNUMBER(B157),B157&lt;=$B$2),"② 매출만 높음",IF(AND(ISNUMBER(C157),C157&lt;=$B$3),"③ 다운로드만 높음","④ 둘 다 기준 밖")))</f>
        <v>④ 둘 다 기준 밖</v>
      </c>
      <c r="I157" s="78" t="s">
        <v>2192</v>
      </c>
    </row>
    <row r="158" customFormat="false" ht="17.15" hidden="false" customHeight="false" outlineLevel="0" collapsed="false">
      <c r="A158" s="78" t="s">
        <v>1008</v>
      </c>
      <c r="B158" s="49" t="s">
        <v>800</v>
      </c>
      <c r="C158" s="49" t="n">
        <v>76</v>
      </c>
      <c r="D158" s="147" t="n">
        <v>11000000</v>
      </c>
      <c r="E158" s="95" t="str">
        <f aca="false">IF(D158="","",IF(D158&gt;=1000000000,"1B+",IF(D158&gt;=500000000,"500M+",IF(D158&gt;=100000000,"100M+",IF(D158&gt;=50000000,"50M+",IF(D158&gt;=10000000,"10M+",IF(D158&gt;=5000000,"5M+",IF(D158&gt;=1000000,"1M+","1M 미만"))))))))</f>
        <v>10M+</v>
      </c>
      <c r="F158" s="78" t="s">
        <v>1981</v>
      </c>
      <c r="G158" s="78" t="s">
        <v>2141</v>
      </c>
      <c r="H158" s="79" t="str">
        <f aca="false">IF(AND(ISNUMBER(B158),B158&lt;=$B$2,ISNUMBER(C158),C158&lt;=$B$3),"① 둘 다 높음",IF(AND(ISNUMBER(B158),B158&lt;=$B$2),"② 매출만 높음",IF(AND(ISNUMBER(C158),C158&lt;=$B$3),"③ 다운로드만 높음","④ 둘 다 기준 밖")))</f>
        <v>④ 둘 다 기준 밖</v>
      </c>
      <c r="I158" s="78" t="s">
        <v>2193</v>
      </c>
    </row>
    <row r="159" customFormat="false" ht="17.15" hidden="false" customHeight="false" outlineLevel="0" collapsed="false">
      <c r="A159" s="78" t="s">
        <v>1009</v>
      </c>
      <c r="B159" s="49" t="s">
        <v>800</v>
      </c>
      <c r="C159" s="49" t="n">
        <v>77</v>
      </c>
      <c r="D159" s="147" t="n">
        <v>41000000</v>
      </c>
      <c r="E159" s="95" t="str">
        <f aca="false">IF(D159="","",IF(D159&gt;=1000000000,"1B+",IF(D159&gt;=500000000,"500M+",IF(D159&gt;=100000000,"100M+",IF(D159&gt;=50000000,"50M+",IF(D159&gt;=10000000,"10M+",IF(D159&gt;=5000000,"5M+",IF(D159&gt;=1000000,"1M+","1M 미만"))))))))</f>
        <v>10M+</v>
      </c>
      <c r="F159" s="78" t="s">
        <v>1981</v>
      </c>
      <c r="G159" s="78" t="s">
        <v>2194</v>
      </c>
      <c r="H159" s="79" t="str">
        <f aca="false">IF(AND(ISNUMBER(B159),B159&lt;=$B$2,ISNUMBER(C159),C159&lt;=$B$3),"① 둘 다 높음",IF(AND(ISNUMBER(B159),B159&lt;=$B$2),"② 매출만 높음",IF(AND(ISNUMBER(C159),C159&lt;=$B$3),"③ 다운로드만 높음","④ 둘 다 기준 밖")))</f>
        <v>④ 둘 다 기준 밖</v>
      </c>
      <c r="I159" s="78" t="s">
        <v>2195</v>
      </c>
    </row>
    <row r="160" customFormat="false" ht="17.15" hidden="false" customHeight="false" outlineLevel="0" collapsed="false">
      <c r="A160" s="78" t="s">
        <v>1010</v>
      </c>
      <c r="B160" s="49" t="s">
        <v>800</v>
      </c>
      <c r="C160" s="49" t="n">
        <v>78</v>
      </c>
      <c r="D160" s="147" t="n">
        <v>3800000</v>
      </c>
      <c r="E160" s="95" t="str">
        <f aca="false">IF(D160="","",IF(D160&gt;=1000000000,"1B+",IF(D160&gt;=500000000,"500M+",IF(D160&gt;=100000000,"100M+",IF(D160&gt;=50000000,"50M+",IF(D160&gt;=10000000,"10M+",IF(D160&gt;=5000000,"5M+",IF(D160&gt;=1000000,"1M+","1M 미만"))))))))</f>
        <v>1M+</v>
      </c>
      <c r="F160" s="78" t="s">
        <v>2012</v>
      </c>
      <c r="G160" s="78" t="s">
        <v>2013</v>
      </c>
      <c r="H160" s="79" t="str">
        <f aca="false">IF(AND(ISNUMBER(B160),B160&lt;=$B$2,ISNUMBER(C160),C160&lt;=$B$3),"① 둘 다 높음",IF(AND(ISNUMBER(B160),B160&lt;=$B$2),"② 매출만 높음",IF(AND(ISNUMBER(C160),C160&lt;=$B$3),"③ 다운로드만 높음","④ 둘 다 기준 밖")))</f>
        <v>④ 둘 다 기준 밖</v>
      </c>
      <c r="I160" s="78" t="s">
        <v>2196</v>
      </c>
    </row>
    <row r="161" customFormat="false" ht="17.15" hidden="false" customHeight="false" outlineLevel="0" collapsed="false">
      <c r="A161" s="78" t="s">
        <v>1011</v>
      </c>
      <c r="B161" s="49" t="s">
        <v>800</v>
      </c>
      <c r="C161" s="49" t="n">
        <v>79</v>
      </c>
      <c r="D161" s="147" t="n">
        <v>680000</v>
      </c>
      <c r="E161" s="95" t="str">
        <f aca="false">IF(D161="","",IF(D161&gt;=1000000000,"1B+",IF(D161&gt;=500000000,"500M+",IF(D161&gt;=100000000,"100M+",IF(D161&gt;=50000000,"50M+",IF(D161&gt;=10000000,"10M+",IF(D161&gt;=5000000,"5M+",IF(D161&gt;=1000000,"1M+","1M 미만"))))))))</f>
        <v>1M 미만</v>
      </c>
      <c r="F161" s="78" t="s">
        <v>2164</v>
      </c>
      <c r="G161" s="78" t="s">
        <v>2068</v>
      </c>
      <c r="H161" s="79" t="str">
        <f aca="false">IF(AND(ISNUMBER(B161),B161&lt;=$B$2,ISNUMBER(C161),C161&lt;=$B$3),"① 둘 다 높음",IF(AND(ISNUMBER(B161),B161&lt;=$B$2),"② 매출만 높음",IF(AND(ISNUMBER(C161),C161&lt;=$B$3),"③ 다운로드만 높음","④ 둘 다 기준 밖")))</f>
        <v>④ 둘 다 기준 밖</v>
      </c>
      <c r="I161" s="78" t="s">
        <v>2197</v>
      </c>
    </row>
    <row r="162" customFormat="false" ht="17.15" hidden="false" customHeight="false" outlineLevel="0" collapsed="false">
      <c r="A162" s="78" t="s">
        <v>1012</v>
      </c>
      <c r="B162" s="49" t="s">
        <v>800</v>
      </c>
      <c r="C162" s="49" t="n">
        <v>81</v>
      </c>
      <c r="D162" s="147" t="n">
        <v>4300000</v>
      </c>
      <c r="E162" s="95" t="str">
        <f aca="false">IF(D162="","",IF(D162&gt;=1000000000,"1B+",IF(D162&gt;=500000000,"500M+",IF(D162&gt;=100000000,"100M+",IF(D162&gt;=50000000,"50M+",IF(D162&gt;=10000000,"10M+",IF(D162&gt;=5000000,"5M+",IF(D162&gt;=1000000,"1M+","1M 미만"))))))))</f>
        <v>1M+</v>
      </c>
      <c r="F162" s="78" t="s">
        <v>2012</v>
      </c>
      <c r="G162" s="78" t="s">
        <v>2031</v>
      </c>
      <c r="H162" s="79" t="str">
        <f aca="false">IF(AND(ISNUMBER(B162),B162&lt;=$B$2,ISNUMBER(C162),C162&lt;=$B$3),"① 둘 다 높음",IF(AND(ISNUMBER(B162),B162&lt;=$B$2),"② 매출만 높음",IF(AND(ISNUMBER(C162),C162&lt;=$B$3),"③ 다운로드만 높음","④ 둘 다 기준 밖")))</f>
        <v>④ 둘 다 기준 밖</v>
      </c>
      <c r="I162" s="78" t="s">
        <v>2198</v>
      </c>
    </row>
    <row r="163" customFormat="false" ht="17.15" hidden="false" customHeight="false" outlineLevel="0" collapsed="false">
      <c r="A163" s="78" t="s">
        <v>1013</v>
      </c>
      <c r="B163" s="49" t="s">
        <v>800</v>
      </c>
      <c r="C163" s="49" t="n">
        <v>82</v>
      </c>
      <c r="D163" s="147" t="n">
        <v>3600000</v>
      </c>
      <c r="E163" s="95" t="str">
        <f aca="false">IF(D163="","",IF(D163&gt;=1000000000,"1B+",IF(D163&gt;=500000000,"500M+",IF(D163&gt;=100000000,"100M+",IF(D163&gt;=50000000,"50M+",IF(D163&gt;=10000000,"10M+",IF(D163&gt;=5000000,"5M+",IF(D163&gt;=1000000,"1M+","1M 미만"))))))))</f>
        <v>1M+</v>
      </c>
      <c r="F163" s="78" t="s">
        <v>2012</v>
      </c>
      <c r="G163" s="78" t="s">
        <v>2125</v>
      </c>
      <c r="H163" s="79" t="str">
        <f aca="false">IF(AND(ISNUMBER(B163),B163&lt;=$B$2,ISNUMBER(C163),C163&lt;=$B$3),"① 둘 다 높음",IF(AND(ISNUMBER(B163),B163&lt;=$B$2),"② 매출만 높음",IF(AND(ISNUMBER(C163),C163&lt;=$B$3),"③ 다운로드만 높음","④ 둘 다 기준 밖")))</f>
        <v>④ 둘 다 기준 밖</v>
      </c>
      <c r="I163" s="78" t="s">
        <v>2199</v>
      </c>
    </row>
    <row r="164" customFormat="false" ht="17.15" hidden="false" customHeight="false" outlineLevel="0" collapsed="false">
      <c r="A164" s="78" t="s">
        <v>1014</v>
      </c>
      <c r="B164" s="49" t="s">
        <v>800</v>
      </c>
      <c r="C164" s="49" t="n">
        <v>84</v>
      </c>
      <c r="D164" s="147" t="n">
        <v>14000000</v>
      </c>
      <c r="E164" s="95" t="str">
        <f aca="false">IF(D164="","",IF(D164&gt;=1000000000,"1B+",IF(D164&gt;=500000000,"500M+",IF(D164&gt;=100000000,"100M+",IF(D164&gt;=50000000,"50M+",IF(D164&gt;=10000000,"10M+",IF(D164&gt;=5000000,"5M+",IF(D164&gt;=1000000,"1M+","1M 미만"))))))))</f>
        <v>10M+</v>
      </c>
      <c r="F164" s="78" t="s">
        <v>1981</v>
      </c>
      <c r="G164" s="78" t="s">
        <v>2134</v>
      </c>
      <c r="H164" s="79" t="str">
        <f aca="false">IF(AND(ISNUMBER(B164),B164&lt;=$B$2,ISNUMBER(C164),C164&lt;=$B$3),"① 둘 다 높음",IF(AND(ISNUMBER(B164),B164&lt;=$B$2),"② 매출만 높음",IF(AND(ISNUMBER(C164),C164&lt;=$B$3),"③ 다운로드만 높음","④ 둘 다 기준 밖")))</f>
        <v>④ 둘 다 기준 밖</v>
      </c>
      <c r="I164" s="78" t="s">
        <v>2200</v>
      </c>
    </row>
    <row r="165" customFormat="false" ht="17.15" hidden="false" customHeight="false" outlineLevel="0" collapsed="false">
      <c r="A165" s="78" t="s">
        <v>1015</v>
      </c>
      <c r="B165" s="49" t="s">
        <v>800</v>
      </c>
      <c r="C165" s="49" t="n">
        <v>85</v>
      </c>
      <c r="D165" s="147" t="n">
        <v>3800000</v>
      </c>
      <c r="E165" s="95" t="str">
        <f aca="false">IF(D165="","",IF(D165&gt;=1000000000,"1B+",IF(D165&gt;=500000000,"500M+",IF(D165&gt;=100000000,"100M+",IF(D165&gt;=50000000,"50M+",IF(D165&gt;=10000000,"10M+",IF(D165&gt;=5000000,"5M+",IF(D165&gt;=1000000,"1M+","1M 미만"))))))))</f>
        <v>1M+</v>
      </c>
      <c r="F165" s="78" t="s">
        <v>2012</v>
      </c>
      <c r="G165" s="78" t="s">
        <v>2136</v>
      </c>
      <c r="H165" s="79" t="str">
        <f aca="false">IF(AND(ISNUMBER(B165),B165&lt;=$B$2,ISNUMBER(C165),C165&lt;=$B$3),"① 둘 다 높음",IF(AND(ISNUMBER(B165),B165&lt;=$B$2),"② 매출만 높음",IF(AND(ISNUMBER(C165),C165&lt;=$B$3),"③ 다운로드만 높음","④ 둘 다 기준 밖")))</f>
        <v>④ 둘 다 기준 밖</v>
      </c>
      <c r="I165" s="78" t="s">
        <v>2201</v>
      </c>
    </row>
    <row r="166" customFormat="false" ht="17.15" hidden="false" customHeight="false" outlineLevel="0" collapsed="false">
      <c r="A166" s="78" t="s">
        <v>1016</v>
      </c>
      <c r="B166" s="49" t="s">
        <v>800</v>
      </c>
      <c r="C166" s="49" t="n">
        <v>86</v>
      </c>
      <c r="D166" s="147" t="n">
        <v>210000000</v>
      </c>
      <c r="E166" s="95" t="str">
        <f aca="false">IF(D166="","",IF(D166&gt;=1000000000,"1B+",IF(D166&gt;=500000000,"500M+",IF(D166&gt;=100000000,"100M+",IF(D166&gt;=50000000,"50M+",IF(D166&gt;=10000000,"10M+",IF(D166&gt;=5000000,"5M+",IF(D166&gt;=1000000,"1M+","1M 미만"))))))))</f>
        <v>100M+</v>
      </c>
      <c r="F166" s="78" t="s">
        <v>1931</v>
      </c>
      <c r="G166" s="78" t="s">
        <v>2202</v>
      </c>
      <c r="H166" s="79" t="str">
        <f aca="false">IF(AND(ISNUMBER(B166),B166&lt;=$B$2,ISNUMBER(C166),C166&lt;=$B$3),"① 둘 다 높음",IF(AND(ISNUMBER(B166),B166&lt;=$B$2),"② 매출만 높음",IF(AND(ISNUMBER(C166),C166&lt;=$B$3),"③ 다운로드만 높음","④ 둘 다 기준 밖")))</f>
        <v>④ 둘 다 기준 밖</v>
      </c>
      <c r="I166" s="78" t="s">
        <v>2203</v>
      </c>
    </row>
    <row r="167" customFormat="false" ht="17.15" hidden="false" customHeight="false" outlineLevel="0" collapsed="false">
      <c r="A167" s="78" t="s">
        <v>1017</v>
      </c>
      <c r="B167" s="49" t="s">
        <v>800</v>
      </c>
      <c r="C167" s="49" t="n">
        <v>88</v>
      </c>
      <c r="D167" s="147" t="n">
        <v>3200000</v>
      </c>
      <c r="E167" s="95" t="str">
        <f aca="false">IF(D167="","",IF(D167&gt;=1000000000,"1B+",IF(D167&gt;=500000000,"500M+",IF(D167&gt;=100000000,"100M+",IF(D167&gt;=50000000,"50M+",IF(D167&gt;=10000000,"10M+",IF(D167&gt;=5000000,"5M+",IF(D167&gt;=1000000,"1M+","1M 미만"))))))))</f>
        <v>1M+</v>
      </c>
      <c r="F167" s="78" t="s">
        <v>2012</v>
      </c>
      <c r="G167" s="78" t="s">
        <v>2013</v>
      </c>
      <c r="H167" s="79" t="str">
        <f aca="false">IF(AND(ISNUMBER(B167),B167&lt;=$B$2,ISNUMBER(C167),C167&lt;=$B$3),"① 둘 다 높음",IF(AND(ISNUMBER(B167),B167&lt;=$B$2),"② 매출만 높음",IF(AND(ISNUMBER(C167),C167&lt;=$B$3),"③ 다운로드만 높음","④ 둘 다 기준 밖")))</f>
        <v>④ 둘 다 기준 밖</v>
      </c>
      <c r="I167" s="78" t="s">
        <v>2204</v>
      </c>
    </row>
    <row r="168" customFormat="false" ht="17.15" hidden="false" customHeight="false" outlineLevel="0" collapsed="false">
      <c r="A168" s="78" t="s">
        <v>1018</v>
      </c>
      <c r="B168" s="49" t="s">
        <v>800</v>
      </c>
      <c r="C168" s="49" t="n">
        <v>89</v>
      </c>
      <c r="D168" s="147" t="n">
        <v>150000</v>
      </c>
      <c r="E168" s="95" t="str">
        <f aca="false">IF(D168="","",IF(D168&gt;=1000000000,"1B+",IF(D168&gt;=500000000,"500M+",IF(D168&gt;=100000000,"100M+",IF(D168&gt;=50000000,"50M+",IF(D168&gt;=10000000,"10M+",IF(D168&gt;=5000000,"5M+",IF(D168&gt;=1000000,"1M+","1M 미만"))))))))</f>
        <v>1M 미만</v>
      </c>
      <c r="F168" s="78" t="s">
        <v>2171</v>
      </c>
      <c r="G168" s="78" t="s">
        <v>2122</v>
      </c>
      <c r="H168" s="79" t="str">
        <f aca="false">IF(AND(ISNUMBER(B168),B168&lt;=$B$2,ISNUMBER(C168),C168&lt;=$B$3),"① 둘 다 높음",IF(AND(ISNUMBER(B168),B168&lt;=$B$2),"② 매출만 높음",IF(AND(ISNUMBER(C168),C168&lt;=$B$3),"③ 다운로드만 높음","④ 둘 다 기준 밖")))</f>
        <v>④ 둘 다 기준 밖</v>
      </c>
      <c r="I168" s="78" t="s">
        <v>2205</v>
      </c>
    </row>
    <row r="169" customFormat="false" ht="17.15" hidden="false" customHeight="false" outlineLevel="0" collapsed="false">
      <c r="A169" s="78" t="s">
        <v>1019</v>
      </c>
      <c r="B169" s="49" t="s">
        <v>800</v>
      </c>
      <c r="C169" s="49" t="n">
        <v>90</v>
      </c>
      <c r="D169" s="147" t="n">
        <v>34000000</v>
      </c>
      <c r="E169" s="95" t="str">
        <f aca="false">IF(D169="","",IF(D169&gt;=1000000000,"1B+",IF(D169&gt;=500000000,"500M+",IF(D169&gt;=100000000,"100M+",IF(D169&gt;=50000000,"50M+",IF(D169&gt;=10000000,"10M+",IF(D169&gt;=5000000,"5M+",IF(D169&gt;=1000000,"1M+","1M 미만"))))))))</f>
        <v>10M+</v>
      </c>
      <c r="F169" s="78" t="s">
        <v>1981</v>
      </c>
      <c r="G169" s="78" t="s">
        <v>2206</v>
      </c>
      <c r="H169" s="79" t="str">
        <f aca="false">IF(AND(ISNUMBER(B169),B169&lt;=$B$2,ISNUMBER(C169),C169&lt;=$B$3),"① 둘 다 높음",IF(AND(ISNUMBER(B169),B169&lt;=$B$2),"② 매출만 높음",IF(AND(ISNUMBER(C169),C169&lt;=$B$3),"③ 다운로드만 높음","④ 둘 다 기준 밖")))</f>
        <v>④ 둘 다 기준 밖</v>
      </c>
      <c r="I169" s="78" t="s">
        <v>2207</v>
      </c>
    </row>
    <row r="170" customFormat="false" ht="17.15" hidden="false" customHeight="false" outlineLevel="0" collapsed="false">
      <c r="A170" s="78" t="s">
        <v>1020</v>
      </c>
      <c r="B170" s="49" t="s">
        <v>800</v>
      </c>
      <c r="C170" s="49" t="n">
        <v>91</v>
      </c>
      <c r="D170" s="147" t="n">
        <v>1500000</v>
      </c>
      <c r="E170" s="95" t="str">
        <f aca="false">IF(D170="","",IF(D170&gt;=1000000000,"1B+",IF(D170&gt;=500000000,"500M+",IF(D170&gt;=100000000,"100M+",IF(D170&gt;=50000000,"50M+",IF(D170&gt;=10000000,"10M+",IF(D170&gt;=5000000,"5M+",IF(D170&gt;=1000000,"1M+","1M 미만"))))))))</f>
        <v>1M+</v>
      </c>
      <c r="F170" s="78" t="s">
        <v>2012</v>
      </c>
      <c r="G170" s="78" t="s">
        <v>2013</v>
      </c>
      <c r="H170" s="79" t="str">
        <f aca="false">IF(AND(ISNUMBER(B170),B170&lt;=$B$2,ISNUMBER(C170),C170&lt;=$B$3),"① 둘 다 높음",IF(AND(ISNUMBER(B170),B170&lt;=$B$2),"② 매출만 높음",IF(AND(ISNUMBER(C170),C170&lt;=$B$3),"③ 다운로드만 높음","④ 둘 다 기준 밖")))</f>
        <v>④ 둘 다 기준 밖</v>
      </c>
      <c r="I170" s="78" t="s">
        <v>2208</v>
      </c>
    </row>
    <row r="171" customFormat="false" ht="17.15" hidden="false" customHeight="false" outlineLevel="0" collapsed="false">
      <c r="A171" s="78" t="s">
        <v>1021</v>
      </c>
      <c r="B171" s="49" t="s">
        <v>800</v>
      </c>
      <c r="C171" s="49" t="n">
        <v>92</v>
      </c>
      <c r="D171" s="147" t="n">
        <v>5200000</v>
      </c>
      <c r="E171" s="95" t="str">
        <f aca="false">IF(D171="","",IF(D171&gt;=1000000000,"1B+",IF(D171&gt;=500000000,"500M+",IF(D171&gt;=100000000,"100M+",IF(D171&gt;=50000000,"50M+",IF(D171&gt;=10000000,"10M+",IF(D171&gt;=5000000,"5M+",IF(D171&gt;=1000000,"1M+","1M 미만"))))))))</f>
        <v>5M+</v>
      </c>
      <c r="F171" s="78" t="s">
        <v>2030</v>
      </c>
      <c r="G171" s="78" t="s">
        <v>2051</v>
      </c>
      <c r="H171" s="79" t="str">
        <f aca="false">IF(AND(ISNUMBER(B171),B171&lt;=$B$2,ISNUMBER(C171),C171&lt;=$B$3),"① 둘 다 높음",IF(AND(ISNUMBER(B171),B171&lt;=$B$2),"② 매출만 높음",IF(AND(ISNUMBER(C171),C171&lt;=$B$3),"③ 다운로드만 높음","④ 둘 다 기준 밖")))</f>
        <v>④ 둘 다 기준 밖</v>
      </c>
      <c r="I171" s="78" t="s">
        <v>2209</v>
      </c>
    </row>
    <row r="172" customFormat="false" ht="17.15" hidden="false" customHeight="false" outlineLevel="0" collapsed="false">
      <c r="A172" s="78" t="s">
        <v>1022</v>
      </c>
      <c r="B172" s="49" t="s">
        <v>800</v>
      </c>
      <c r="C172" s="49" t="n">
        <v>93</v>
      </c>
      <c r="D172" s="147" t="n">
        <v>250000000</v>
      </c>
      <c r="E172" s="95" t="str">
        <f aca="false">IF(D172="","",IF(D172&gt;=1000000000,"1B+",IF(D172&gt;=500000000,"500M+",IF(D172&gt;=100000000,"100M+",IF(D172&gt;=50000000,"50M+",IF(D172&gt;=10000000,"10M+",IF(D172&gt;=5000000,"5M+",IF(D172&gt;=1000000,"1M+","1M 미만"))))))))</f>
        <v>100M+</v>
      </c>
      <c r="F172" s="78" t="s">
        <v>1931</v>
      </c>
      <c r="G172" s="78" t="s">
        <v>2210</v>
      </c>
      <c r="H172" s="79" t="str">
        <f aca="false">IF(AND(ISNUMBER(B172),B172&lt;=$B$2,ISNUMBER(C172),C172&lt;=$B$3),"① 둘 다 높음",IF(AND(ISNUMBER(B172),B172&lt;=$B$2),"② 매출만 높음",IF(AND(ISNUMBER(C172),C172&lt;=$B$3),"③ 다운로드만 높음","④ 둘 다 기준 밖")))</f>
        <v>④ 둘 다 기준 밖</v>
      </c>
      <c r="I172" s="78" t="s">
        <v>2211</v>
      </c>
    </row>
    <row r="173" customFormat="false" ht="17.15" hidden="false" customHeight="false" outlineLevel="0" collapsed="false">
      <c r="A173" s="78" t="s">
        <v>1023</v>
      </c>
      <c r="B173" s="49" t="s">
        <v>800</v>
      </c>
      <c r="C173" s="49" t="n">
        <v>94</v>
      </c>
      <c r="D173" s="147" t="n">
        <v>1800000</v>
      </c>
      <c r="E173" s="95" t="str">
        <f aca="false">IF(D173="","",IF(D173&gt;=1000000000,"1B+",IF(D173&gt;=500000000,"500M+",IF(D173&gt;=100000000,"100M+",IF(D173&gt;=50000000,"50M+",IF(D173&gt;=10000000,"10M+",IF(D173&gt;=5000000,"5M+",IF(D173&gt;=1000000,"1M+","1M 미만"))))))))</f>
        <v>1M+</v>
      </c>
      <c r="F173" s="78" t="s">
        <v>2012</v>
      </c>
      <c r="G173" s="78" t="s">
        <v>2118</v>
      </c>
      <c r="H173" s="79" t="str">
        <f aca="false">IF(AND(ISNUMBER(B173),B173&lt;=$B$2,ISNUMBER(C173),C173&lt;=$B$3),"① 둘 다 높음",IF(AND(ISNUMBER(B173),B173&lt;=$B$2),"② 매출만 높음",IF(AND(ISNUMBER(C173),C173&lt;=$B$3),"③ 다운로드만 높음","④ 둘 다 기준 밖")))</f>
        <v>④ 둘 다 기준 밖</v>
      </c>
      <c r="I173" s="78" t="s">
        <v>2212</v>
      </c>
    </row>
    <row r="174" customFormat="false" ht="17.15" hidden="false" customHeight="false" outlineLevel="0" collapsed="false">
      <c r="A174" s="78" t="s">
        <v>1024</v>
      </c>
      <c r="B174" s="49" t="s">
        <v>800</v>
      </c>
      <c r="C174" s="49" t="n">
        <v>95</v>
      </c>
      <c r="D174" s="147" t="n">
        <v>110000000</v>
      </c>
      <c r="E174" s="95" t="str">
        <f aca="false">IF(D174="","",IF(D174&gt;=1000000000,"1B+",IF(D174&gt;=500000000,"500M+",IF(D174&gt;=100000000,"100M+",IF(D174&gt;=50000000,"50M+",IF(D174&gt;=10000000,"10M+",IF(D174&gt;=5000000,"5M+",IF(D174&gt;=1000000,"1M+","1M 미만"))))))))</f>
        <v>100M+</v>
      </c>
      <c r="F174" s="78" t="s">
        <v>1931</v>
      </c>
      <c r="G174" s="78" t="s">
        <v>2213</v>
      </c>
      <c r="H174" s="79" t="str">
        <f aca="false">IF(AND(ISNUMBER(B174),B174&lt;=$B$2,ISNUMBER(C174),C174&lt;=$B$3),"① 둘 다 높음",IF(AND(ISNUMBER(B174),B174&lt;=$B$2),"② 매출만 높음",IF(AND(ISNUMBER(C174),C174&lt;=$B$3),"③ 다운로드만 높음","④ 둘 다 기준 밖")))</f>
        <v>④ 둘 다 기준 밖</v>
      </c>
      <c r="I174" s="78" t="s">
        <v>2214</v>
      </c>
    </row>
    <row r="175" customFormat="false" ht="17.15" hidden="false" customHeight="false" outlineLevel="0" collapsed="false">
      <c r="A175" s="78" t="s">
        <v>1025</v>
      </c>
      <c r="B175" s="49" t="s">
        <v>800</v>
      </c>
      <c r="C175" s="49" t="n">
        <v>96</v>
      </c>
      <c r="D175" s="147" t="n">
        <v>4400000</v>
      </c>
      <c r="E175" s="95" t="str">
        <f aca="false">IF(D175="","",IF(D175&gt;=1000000000,"1B+",IF(D175&gt;=500000000,"500M+",IF(D175&gt;=100000000,"100M+",IF(D175&gt;=50000000,"50M+",IF(D175&gt;=10000000,"10M+",IF(D175&gt;=5000000,"5M+",IF(D175&gt;=1000000,"1M+","1M 미만"))))))))</f>
        <v>1M+</v>
      </c>
      <c r="F175" s="78" t="s">
        <v>2012</v>
      </c>
      <c r="G175" s="78" t="s">
        <v>2091</v>
      </c>
      <c r="H175" s="79" t="str">
        <f aca="false">IF(AND(ISNUMBER(B175),B175&lt;=$B$2,ISNUMBER(C175),C175&lt;=$B$3),"① 둘 다 높음",IF(AND(ISNUMBER(B175),B175&lt;=$B$2),"② 매출만 높음",IF(AND(ISNUMBER(C175),C175&lt;=$B$3),"③ 다운로드만 높음","④ 둘 다 기준 밖")))</f>
        <v>④ 둘 다 기준 밖</v>
      </c>
      <c r="I175" s="78" t="s">
        <v>2215</v>
      </c>
    </row>
    <row r="176" customFormat="false" ht="17.15" hidden="false" customHeight="false" outlineLevel="0" collapsed="false">
      <c r="A176" s="78" t="s">
        <v>1026</v>
      </c>
      <c r="B176" s="49" t="s">
        <v>800</v>
      </c>
      <c r="C176" s="49" t="n">
        <v>99</v>
      </c>
      <c r="D176" s="147" t="n">
        <v>77000</v>
      </c>
      <c r="E176" s="95" t="str">
        <f aca="false">IF(D176="","",IF(D176&gt;=1000000000,"1B+",IF(D176&gt;=500000000,"500M+",IF(D176&gt;=100000000,"100M+",IF(D176&gt;=50000000,"50M+",IF(D176&gt;=10000000,"10M+",IF(D176&gt;=5000000,"5M+",IF(D176&gt;=1000000,"1M+","1M 미만"))))))))</f>
        <v>1M 미만</v>
      </c>
      <c r="F176" s="78" t="s">
        <v>2216</v>
      </c>
      <c r="G176" s="78" t="s">
        <v>2122</v>
      </c>
      <c r="H176" s="79" t="str">
        <f aca="false">IF(AND(ISNUMBER(B176),B176&lt;=$B$2,ISNUMBER(C176),C176&lt;=$B$3),"① 둘 다 높음",IF(AND(ISNUMBER(B176),B176&lt;=$B$2),"② 매출만 높음",IF(AND(ISNUMBER(C176),C176&lt;=$B$3),"③ 다운로드만 높음","④ 둘 다 기준 밖")))</f>
        <v>④ 둘 다 기준 밖</v>
      </c>
      <c r="I176" s="78" t="s">
        <v>2217</v>
      </c>
    </row>
    <row r="177" customFormat="false" ht="17.15" hidden="false" customHeight="false" outlineLevel="0" collapsed="false">
      <c r="A177" s="78" t="s">
        <v>1027</v>
      </c>
      <c r="B177" s="49" t="s">
        <v>800</v>
      </c>
      <c r="C177" s="49" t="n">
        <v>100</v>
      </c>
      <c r="D177" s="147" t="n">
        <v>200000</v>
      </c>
      <c r="E177" s="95" t="str">
        <f aca="false">IF(D177="","",IF(D177&gt;=1000000000,"1B+",IF(D177&gt;=500000000,"500M+",IF(D177&gt;=100000000,"100M+",IF(D177&gt;=50000000,"50M+",IF(D177&gt;=10000000,"10M+",IF(D177&gt;=5000000,"5M+",IF(D177&gt;=1000000,"1M+","1M 미만"))))))))</f>
        <v>1M 미만</v>
      </c>
      <c r="F177" s="78" t="s">
        <v>2171</v>
      </c>
      <c r="G177" s="78" t="s">
        <v>2122</v>
      </c>
      <c r="H177" s="79" t="str">
        <f aca="false">IF(AND(ISNUMBER(B177),B177&lt;=$B$2,ISNUMBER(C177),C177&lt;=$B$3),"① 둘 다 높음",IF(AND(ISNUMBER(B177),B177&lt;=$B$2),"② 매출만 높음",IF(AND(ISNUMBER(C177),C177&lt;=$B$3),"③ 다운로드만 높음","④ 둘 다 기준 밖")))</f>
        <v>④ 둘 다 기준 밖</v>
      </c>
      <c r="I177" s="78" t="s">
        <v>2218</v>
      </c>
    </row>
  </sheetData>
  <autoFilter ref="A5:I1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K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58"/>
    <col collapsed="false" customWidth="true" hidden="false" outlineLevel="0" max="9" min="9" style="0" width="52"/>
  </cols>
  <sheetData>
    <row r="1" customFormat="false" ht="19.4" hidden="false" customHeight="false" outlineLevel="0" collapsed="false">
      <c r="A1" s="43" t="s">
        <v>2219</v>
      </c>
      <c r="K1" s="122" t="s">
        <v>2220</v>
      </c>
    </row>
    <row r="2" customFormat="false" ht="17.15" hidden="false" customHeight="false" outlineLevel="0" collapsed="false">
      <c r="A2" s="74" t="s">
        <v>2221</v>
      </c>
      <c r="B2" s="74" t="s">
        <v>1036</v>
      </c>
      <c r="C2" s="75" t="s">
        <v>1074</v>
      </c>
      <c r="D2" s="75" t="s">
        <v>1069</v>
      </c>
      <c r="E2" s="74" t="s">
        <v>2222</v>
      </c>
      <c r="F2" s="74" t="s">
        <v>2223</v>
      </c>
      <c r="G2" s="74" t="s">
        <v>2224</v>
      </c>
      <c r="H2" s="74" t="s">
        <v>1143</v>
      </c>
      <c r="I2" s="74" t="s">
        <v>6</v>
      </c>
    </row>
    <row r="3" customFormat="false" ht="15" hidden="false" customHeight="false" outlineLevel="0" collapsed="false">
      <c r="A3" s="79" t="s">
        <v>2225</v>
      </c>
      <c r="B3" s="79" t="s">
        <v>2225</v>
      </c>
      <c r="C3" s="123" t="n">
        <v>0.6917</v>
      </c>
      <c r="D3" s="123" t="n">
        <v>0.3081</v>
      </c>
      <c r="E3" s="129" t="n">
        <f aca="false">IF(ISNUMBER(C3),1-C3-D3,"")</f>
        <v>0.000200000000000033</v>
      </c>
      <c r="F3" s="79" t="str">
        <f aca="false">IF(ISNUMBER(C3),IF(C3&gt;=D3,"Android","iOS"),"미조사")</f>
        <v>Android</v>
      </c>
      <c r="G3" s="78" t="s">
        <v>2226</v>
      </c>
      <c r="H3" s="78" t="s">
        <v>2227</v>
      </c>
      <c r="I3" s="79"/>
    </row>
    <row r="4" customFormat="false" ht="17.15" hidden="false" customHeight="false" outlineLevel="0" collapsed="false">
      <c r="A4" s="79" t="s">
        <v>2228</v>
      </c>
      <c r="B4" s="79" t="s">
        <v>629</v>
      </c>
      <c r="C4" s="123" t="n">
        <v>0.4695</v>
      </c>
      <c r="D4" s="123" t="n">
        <v>0.5303</v>
      </c>
      <c r="E4" s="129" t="n">
        <f aca="false">IF(ISNUMBER(C4),1-C4-D4,"")</f>
        <v>0.000199999999999978</v>
      </c>
      <c r="F4" s="79" t="str">
        <f aca="false">IF(ISNUMBER(C4),IF(C4&gt;=D4,"Android","iOS"),"미조사")</f>
        <v>iOS</v>
      </c>
      <c r="G4" s="78" t="s">
        <v>2226</v>
      </c>
      <c r="H4" s="78" t="s">
        <v>2229</v>
      </c>
      <c r="I4" s="78" t="s">
        <v>2230</v>
      </c>
    </row>
    <row r="5" customFormat="false" ht="15" hidden="false" customHeight="false" outlineLevel="0" collapsed="false">
      <c r="A5" s="79" t="s">
        <v>2228</v>
      </c>
      <c r="B5" s="79" t="s">
        <v>636</v>
      </c>
      <c r="C5" s="123" t="n">
        <v>0.8353</v>
      </c>
      <c r="D5" s="123" t="n">
        <v>0.1646</v>
      </c>
      <c r="E5" s="129" t="n">
        <f aca="false">IF(ISNUMBER(C5),1-C5-D5,"")</f>
        <v>9.99999999999612E-005</v>
      </c>
      <c r="F5" s="79" t="str">
        <f aca="false">IF(ISNUMBER(C5),IF(C5&gt;=D5,"Android","iOS"),"미조사")</f>
        <v>Android</v>
      </c>
      <c r="G5" s="78" t="s">
        <v>2226</v>
      </c>
      <c r="H5" s="78" t="s">
        <v>2231</v>
      </c>
      <c r="I5" s="79"/>
    </row>
    <row r="6" customFormat="false" ht="15" hidden="false" customHeight="false" outlineLevel="0" collapsed="false">
      <c r="A6" s="79" t="s">
        <v>2228</v>
      </c>
      <c r="B6" s="79" t="s">
        <v>1061</v>
      </c>
      <c r="C6" s="123" t="n">
        <v>0.6468</v>
      </c>
      <c r="D6" s="123" t="n">
        <v>0.3531</v>
      </c>
      <c r="E6" s="129" t="n">
        <f aca="false">IF(ISNUMBER(C6),1-C6-D6,"")</f>
        <v>9.99999999999335E-005</v>
      </c>
      <c r="F6" s="79" t="str">
        <f aca="false">IF(ISNUMBER(C6),IF(C6&gt;=D6,"Android","iOS"),"미조사")</f>
        <v>Android</v>
      </c>
      <c r="G6" s="78" t="s">
        <v>2226</v>
      </c>
      <c r="H6" s="78" t="s">
        <v>2232</v>
      </c>
      <c r="I6" s="79"/>
    </row>
    <row r="7" customFormat="false" ht="15" hidden="false" customHeight="false" outlineLevel="0" collapsed="false">
      <c r="A7" s="79" t="s">
        <v>2228</v>
      </c>
      <c r="B7" s="79" t="s">
        <v>637</v>
      </c>
      <c r="C7" s="123" t="n">
        <v>0.7847</v>
      </c>
      <c r="D7" s="123" t="n">
        <v>0.2149</v>
      </c>
      <c r="E7" s="129" t="n">
        <f aca="false">IF(ISNUMBER(C7),1-C7-D7,"")</f>
        <v>0.000400000000000039</v>
      </c>
      <c r="F7" s="79" t="str">
        <f aca="false">IF(ISNUMBER(C7),IF(C7&gt;=D7,"Android","iOS"),"미조사")</f>
        <v>Android</v>
      </c>
      <c r="G7" s="78" t="s">
        <v>2226</v>
      </c>
      <c r="H7" s="78" t="s">
        <v>2233</v>
      </c>
      <c r="I7" s="79"/>
    </row>
    <row r="8" customFormat="false" ht="17.15" hidden="false" customHeight="false" outlineLevel="0" collapsed="false">
      <c r="A8" s="79" t="s">
        <v>2228</v>
      </c>
      <c r="B8" s="79" t="s">
        <v>2234</v>
      </c>
      <c r="C8" s="123" t="n">
        <v>0.3825</v>
      </c>
      <c r="D8" s="123" t="n">
        <v>0.6173</v>
      </c>
      <c r="E8" s="129" t="n">
        <f aca="false">IF(ISNUMBER(C8),1-C8-D8,"")</f>
        <v>0.000199999999999978</v>
      </c>
      <c r="F8" s="79" t="str">
        <f aca="false">IF(ISNUMBER(C8),IF(C8&gt;=D8,"Android","iOS"),"미조사")</f>
        <v>iOS</v>
      </c>
      <c r="G8" s="78" t="s">
        <v>2235</v>
      </c>
      <c r="H8" s="78" t="s">
        <v>2236</v>
      </c>
      <c r="I8" s="95" t="s">
        <v>2237</v>
      </c>
    </row>
    <row r="9" customFormat="false" ht="15" hidden="false" customHeight="false" outlineLevel="0" collapsed="false">
      <c r="A9" s="79" t="s">
        <v>2228</v>
      </c>
      <c r="B9" s="79" t="s">
        <v>2238</v>
      </c>
      <c r="C9" s="123" t="n">
        <v>0.8338</v>
      </c>
      <c r="D9" s="123" t="n">
        <v>0.1658</v>
      </c>
      <c r="E9" s="129" t="n">
        <f aca="false">IF(ISNUMBER(C9),1-C9-D9,"")</f>
        <v>0.000400000000000011</v>
      </c>
      <c r="F9" s="79" t="str">
        <f aca="false">IF(ISNUMBER(C9),IF(C9&gt;=D9,"Android","iOS"),"미조사")</f>
        <v>Android</v>
      </c>
      <c r="G9" s="78" t="s">
        <v>2226</v>
      </c>
      <c r="H9" s="78" t="s">
        <v>2239</v>
      </c>
      <c r="I9" s="79"/>
    </row>
    <row r="10" customFormat="false" ht="15" hidden="false" customHeight="false" outlineLevel="0" collapsed="false">
      <c r="A10" s="79" t="s">
        <v>2240</v>
      </c>
      <c r="B10" s="79" t="s">
        <v>155</v>
      </c>
      <c r="C10" s="123" t="n">
        <v>0.4639</v>
      </c>
      <c r="D10" s="123" t="n">
        <v>0.5359</v>
      </c>
      <c r="E10" s="129" t="n">
        <f aca="false">IF(ISNUMBER(C10),1-C10-D10,"")</f>
        <v>0.000199999999999978</v>
      </c>
      <c r="F10" s="79" t="str">
        <f aca="false">IF(ISNUMBER(C10),IF(C10&gt;=D10,"Android","iOS"),"미조사")</f>
        <v>iOS</v>
      </c>
      <c r="G10" s="78" t="s">
        <v>2226</v>
      </c>
      <c r="H10" s="78" t="s">
        <v>2241</v>
      </c>
      <c r="I10" s="79"/>
    </row>
    <row r="11" customFormat="false" ht="15" hidden="false" customHeight="false" outlineLevel="0" collapsed="false">
      <c r="A11" s="79" t="s">
        <v>2240</v>
      </c>
      <c r="B11" s="79" t="s">
        <v>156</v>
      </c>
      <c r="C11" s="123" t="n">
        <v>0.3513</v>
      </c>
      <c r="D11" s="123" t="n">
        <v>0.6487</v>
      </c>
      <c r="E11" s="129" t="n">
        <f aca="false">IF(ISNUMBER(C11),1-C11-D11,"")</f>
        <v>0</v>
      </c>
      <c r="F11" s="79" t="str">
        <f aca="false">IF(ISNUMBER(C11),IF(C11&gt;=D11,"Android","iOS"),"미조사")</f>
        <v>iOS</v>
      </c>
      <c r="G11" s="78" t="s">
        <v>2226</v>
      </c>
      <c r="H11" s="78" t="s">
        <v>2242</v>
      </c>
      <c r="I11" s="79"/>
    </row>
    <row r="12" customFormat="false" ht="15" hidden="false" customHeight="false" outlineLevel="0" collapsed="false">
      <c r="A12" s="79" t="s">
        <v>2240</v>
      </c>
      <c r="B12" s="79" t="s">
        <v>157</v>
      </c>
      <c r="C12" s="123" t="n">
        <v>0.7878</v>
      </c>
      <c r="D12" s="123" t="n">
        <v>0.2121</v>
      </c>
      <c r="E12" s="129" t="n">
        <f aca="false">IF(ISNUMBER(C12),1-C12-D12,"")</f>
        <v>0.000100000000000045</v>
      </c>
      <c r="F12" s="79" t="str">
        <f aca="false">IF(ISNUMBER(C12),IF(C12&gt;=D12,"Android","iOS"),"미조사")</f>
        <v>Android</v>
      </c>
      <c r="G12" s="78" t="s">
        <v>2226</v>
      </c>
      <c r="H12" s="78" t="s">
        <v>2243</v>
      </c>
      <c r="I12" s="79"/>
    </row>
    <row r="13" customFormat="false" ht="15" hidden="false" customHeight="false" outlineLevel="0" collapsed="false">
      <c r="A13" s="79" t="s">
        <v>2240</v>
      </c>
      <c r="B13" s="79" t="s">
        <v>158</v>
      </c>
      <c r="C13" s="123" t="n">
        <v>0.7204</v>
      </c>
      <c r="D13" s="123" t="n">
        <v>0.2796</v>
      </c>
      <c r="E13" s="129" t="n">
        <f aca="false">IF(ISNUMBER(C13),1-C13-D13,"")</f>
        <v>0</v>
      </c>
      <c r="F13" s="79" t="str">
        <f aca="false">IF(ISNUMBER(C13),IF(C13&gt;=D13,"Android","iOS"),"미조사")</f>
        <v>Android</v>
      </c>
      <c r="G13" s="78" t="s">
        <v>2226</v>
      </c>
      <c r="H13" s="78" t="s">
        <v>2244</v>
      </c>
      <c r="I13" s="79"/>
    </row>
    <row r="14" customFormat="false" ht="17.15" hidden="false" customHeight="false" outlineLevel="0" collapsed="false">
      <c r="A14" s="79" t="s">
        <v>2240</v>
      </c>
      <c r="B14" s="79" t="s">
        <v>159</v>
      </c>
      <c r="C14" s="123" t="n">
        <v>0.3949</v>
      </c>
      <c r="D14" s="123" t="n">
        <v>0.6051</v>
      </c>
      <c r="E14" s="129" t="n">
        <f aca="false">IF(ISNUMBER(C14),1-C14-D14,"")</f>
        <v>0</v>
      </c>
      <c r="F14" s="79" t="str">
        <f aca="false">IF(ISNUMBER(C14),IF(C14&gt;=D14,"Android","iOS"),"미조사")</f>
        <v>iOS</v>
      </c>
      <c r="G14" s="78" t="s">
        <v>2226</v>
      </c>
      <c r="H14" s="78" t="s">
        <v>2245</v>
      </c>
      <c r="I14" s="79" t="s">
        <v>2246</v>
      </c>
    </row>
    <row r="15" customFormat="false" ht="15" hidden="false" customHeight="false" outlineLevel="0" collapsed="false">
      <c r="A15" s="79" t="s">
        <v>2240</v>
      </c>
      <c r="B15" s="79" t="s">
        <v>160</v>
      </c>
      <c r="C15" s="123" t="n">
        <v>0.6218</v>
      </c>
      <c r="D15" s="123" t="n">
        <v>0.3782</v>
      </c>
      <c r="E15" s="129" t="n">
        <f aca="false">IF(ISNUMBER(C15),1-C15-D15,"")</f>
        <v>0</v>
      </c>
      <c r="F15" s="79" t="str">
        <f aca="false">IF(ISNUMBER(C15),IF(C15&gt;=D15,"Android","iOS"),"미조사")</f>
        <v>Android</v>
      </c>
      <c r="G15" s="78" t="s">
        <v>2226</v>
      </c>
      <c r="H15" s="78" t="s">
        <v>2247</v>
      </c>
      <c r="I15" s="79"/>
    </row>
    <row r="16" customFormat="false" ht="15" hidden="false" customHeight="false" outlineLevel="0" collapsed="false">
      <c r="A16" s="79" t="s">
        <v>2240</v>
      </c>
      <c r="B16" s="79" t="s">
        <v>1404</v>
      </c>
      <c r="C16" s="123" t="n">
        <v>0.7916</v>
      </c>
      <c r="D16" s="123" t="n">
        <v>0.2079</v>
      </c>
      <c r="E16" s="129" t="n">
        <f aca="false">IF(ISNUMBER(C16),1-C16-D16,"")</f>
        <v>0.000500000000000028</v>
      </c>
      <c r="F16" s="79" t="str">
        <f aca="false">IF(ISNUMBER(C16),IF(C16&gt;=D16,"Android","iOS"),"미조사")</f>
        <v>Android</v>
      </c>
      <c r="G16" s="78" t="s">
        <v>2226</v>
      </c>
      <c r="H16" s="78" t="s">
        <v>2248</v>
      </c>
      <c r="I16" s="79"/>
    </row>
    <row r="17" customFormat="false" ht="15" hidden="false" customHeight="false" outlineLevel="0" collapsed="false">
      <c r="A17" s="79" t="s">
        <v>2240</v>
      </c>
      <c r="B17" s="79" t="s">
        <v>2249</v>
      </c>
      <c r="C17" s="123" t="n">
        <v>0.7396</v>
      </c>
      <c r="D17" s="123" t="n">
        <v>0.2601</v>
      </c>
      <c r="E17" s="129" t="n">
        <f aca="false">IF(ISNUMBER(C17),1-C17-D17,"")</f>
        <v>0.000299999999999967</v>
      </c>
      <c r="F17" s="79" t="str">
        <f aca="false">IF(ISNUMBER(C17),IF(C17&gt;=D17,"Android","iOS"),"미조사")</f>
        <v>Android</v>
      </c>
      <c r="G17" s="78" t="s">
        <v>2226</v>
      </c>
      <c r="H17" s="78" t="s">
        <v>2250</v>
      </c>
      <c r="I17" s="79"/>
    </row>
    <row r="18" customFormat="false" ht="15" hidden="false" customHeight="false" outlineLevel="0" collapsed="false">
      <c r="A18" s="79" t="s">
        <v>2240</v>
      </c>
      <c r="B18" s="79" t="s">
        <v>2251</v>
      </c>
      <c r="C18" s="123" t="n">
        <v>0.5979</v>
      </c>
      <c r="D18" s="123" t="n">
        <v>0.4019</v>
      </c>
      <c r="E18" s="129" t="n">
        <f aca="false">IF(ISNUMBER(C18),1-C18-D18,"")</f>
        <v>0.000200000000000033</v>
      </c>
      <c r="F18" s="79" t="str">
        <f aca="false">IF(ISNUMBER(C18),IF(C18&gt;=D18,"Android","iOS"),"미조사")</f>
        <v>Android</v>
      </c>
      <c r="G18" s="78" t="s">
        <v>2226</v>
      </c>
      <c r="H18" s="78" t="s">
        <v>2252</v>
      </c>
      <c r="I18" s="79"/>
    </row>
    <row r="19" customFormat="false" ht="15" hidden="false" customHeight="false" outlineLevel="0" collapsed="false">
      <c r="A19" s="79" t="s">
        <v>2240</v>
      </c>
      <c r="B19" s="79" t="s">
        <v>2253</v>
      </c>
      <c r="C19" s="123" t="n">
        <v>0.8653</v>
      </c>
      <c r="D19" s="123" t="n">
        <v>0.1347</v>
      </c>
      <c r="E19" s="129" t="n">
        <f aca="false">IF(ISNUMBER(C19),1-C19-D19,"")</f>
        <v>0</v>
      </c>
      <c r="F19" s="79" t="str">
        <f aca="false">IF(ISNUMBER(C19),IF(C19&gt;=D19,"Android","iOS"),"미조사")</f>
        <v>Android</v>
      </c>
      <c r="G19" s="78" t="s">
        <v>2226</v>
      </c>
      <c r="H19" s="78" t="s">
        <v>2254</v>
      </c>
      <c r="I19" s="79"/>
    </row>
    <row r="20" customFormat="false" ht="15" hidden="false" customHeight="false" outlineLevel="0" collapsed="false">
      <c r="A20" s="79" t="s">
        <v>2240</v>
      </c>
      <c r="B20" s="79" t="s">
        <v>2255</v>
      </c>
      <c r="C20" s="123" t="n">
        <v>0.5523</v>
      </c>
      <c r="D20" s="123" t="n">
        <v>0.4475</v>
      </c>
      <c r="E20" s="129" t="n">
        <f aca="false">IF(ISNUMBER(C20),1-C20-D20,"")</f>
        <v>0.000199999999999978</v>
      </c>
      <c r="F20" s="79" t="str">
        <f aca="false">IF(ISNUMBER(C20),IF(C20&gt;=D20,"Android","iOS"),"미조사")</f>
        <v>Android</v>
      </c>
      <c r="G20" s="78" t="s">
        <v>2226</v>
      </c>
      <c r="H20" s="78" t="s">
        <v>2256</v>
      </c>
      <c r="I20" s="79"/>
    </row>
    <row r="21" customFormat="false" ht="17.15" hidden="false" customHeight="false" outlineLevel="0" collapsed="false">
      <c r="A21" s="79" t="s">
        <v>2257</v>
      </c>
      <c r="B21" s="79" t="s">
        <v>2258</v>
      </c>
      <c r="C21" s="123" t="n">
        <v>0.5625</v>
      </c>
      <c r="D21" s="123" t="n">
        <v>0.4369</v>
      </c>
      <c r="E21" s="129" t="n">
        <f aca="false">IF(ISNUMBER(C21),1-C21-D21,"")</f>
        <v>0.000599999999999989</v>
      </c>
      <c r="F21" s="79" t="str">
        <f aca="false">IF(ISNUMBER(C21),IF(C21&gt;=D21,"Android","iOS"),"미조사")</f>
        <v>Android</v>
      </c>
      <c r="G21" s="78" t="s">
        <v>2226</v>
      </c>
      <c r="H21" s="78" t="s">
        <v>2259</v>
      </c>
      <c r="I21" s="78" t="s">
        <v>2260</v>
      </c>
    </row>
    <row r="23" customFormat="false" ht="19.4" hidden="false" customHeight="false" outlineLevel="0" collapsed="false">
      <c r="A23" s="43" t="s">
        <v>2261</v>
      </c>
    </row>
    <row r="24" customFormat="false" ht="17.15" hidden="false" customHeight="false" outlineLevel="0" collapsed="false">
      <c r="A24" s="74" t="s">
        <v>2221</v>
      </c>
      <c r="B24" s="74" t="s">
        <v>1036</v>
      </c>
      <c r="C24" s="75" t="s">
        <v>1074</v>
      </c>
      <c r="D24" s="75" t="s">
        <v>1069</v>
      </c>
      <c r="E24" s="74" t="s">
        <v>6</v>
      </c>
    </row>
    <row r="25" customFormat="false" ht="17.15" hidden="false" customHeight="false" outlineLevel="0" collapsed="false">
      <c r="A25" s="79"/>
      <c r="B25" s="79" t="s">
        <v>2225</v>
      </c>
      <c r="C25" s="95" t="s">
        <v>799</v>
      </c>
      <c r="D25" s="95" t="s">
        <v>799</v>
      </c>
      <c r="E25" s="95" t="s">
        <v>2262</v>
      </c>
    </row>
    <row r="26" customFormat="false" ht="17.15" hidden="false" customHeight="false" outlineLevel="0" collapsed="false">
      <c r="A26" s="79"/>
      <c r="B26" s="79" t="s">
        <v>629</v>
      </c>
      <c r="C26" s="95" t="s">
        <v>799</v>
      </c>
      <c r="D26" s="95" t="s">
        <v>799</v>
      </c>
      <c r="E26" s="95" t="s">
        <v>2262</v>
      </c>
    </row>
    <row r="27" customFormat="false" ht="17.15" hidden="false" customHeight="false" outlineLevel="0" collapsed="false">
      <c r="A27" s="79"/>
      <c r="B27" s="79" t="s">
        <v>636</v>
      </c>
      <c r="C27" s="95" t="s">
        <v>799</v>
      </c>
      <c r="D27" s="95" t="s">
        <v>799</v>
      </c>
      <c r="E27" s="95" t="s">
        <v>2262</v>
      </c>
    </row>
    <row r="28" customFormat="false" ht="17.15" hidden="false" customHeight="false" outlineLevel="0" collapsed="false">
      <c r="A28" s="79"/>
      <c r="B28" s="79" t="s">
        <v>1061</v>
      </c>
      <c r="C28" s="95" t="s">
        <v>799</v>
      </c>
      <c r="D28" s="95" t="s">
        <v>799</v>
      </c>
      <c r="E28" s="95" t="s">
        <v>2262</v>
      </c>
    </row>
    <row r="29" customFormat="false" ht="17.15" hidden="false" customHeight="false" outlineLevel="0" collapsed="false">
      <c r="A29" s="79"/>
      <c r="B29" s="79" t="s">
        <v>637</v>
      </c>
      <c r="C29" s="95" t="s">
        <v>799</v>
      </c>
      <c r="D29" s="95" t="s">
        <v>799</v>
      </c>
      <c r="E29" s="95" t="s">
        <v>2262</v>
      </c>
    </row>
    <row r="30" customFormat="false" ht="17.15" hidden="false" customHeight="false" outlineLevel="0" collapsed="false">
      <c r="A30" s="79"/>
      <c r="B30" s="79" t="s">
        <v>2234</v>
      </c>
      <c r="C30" s="95" t="s">
        <v>799</v>
      </c>
      <c r="D30" s="95" t="s">
        <v>799</v>
      </c>
      <c r="E30" s="95" t="s">
        <v>2262</v>
      </c>
    </row>
    <row r="31" customFormat="false" ht="17.15" hidden="false" customHeight="false" outlineLevel="0" collapsed="false">
      <c r="A31" s="79"/>
      <c r="B31" s="79" t="s">
        <v>2238</v>
      </c>
      <c r="C31" s="95" t="s">
        <v>799</v>
      </c>
      <c r="D31" s="95" t="s">
        <v>799</v>
      </c>
      <c r="E31" s="95" t="s">
        <v>2262</v>
      </c>
    </row>
    <row r="33" customFormat="false" ht="19.4" hidden="false" customHeight="false" outlineLevel="0" collapsed="false">
      <c r="A33" s="43" t="s">
        <v>2263</v>
      </c>
    </row>
    <row r="34" customFormat="false" ht="32.8" hidden="false" customHeight="false" outlineLevel="0" collapsed="false">
      <c r="A34" s="74" t="s">
        <v>1036</v>
      </c>
      <c r="B34" s="75" t="s">
        <v>2264</v>
      </c>
      <c r="C34" s="75" t="s">
        <v>2265</v>
      </c>
      <c r="D34" s="75" t="s">
        <v>2266</v>
      </c>
      <c r="E34" s="75" t="s">
        <v>2267</v>
      </c>
      <c r="F34" s="74" t="s">
        <v>1143</v>
      </c>
    </row>
    <row r="35" customFormat="false" ht="17.15" hidden="false" customHeight="false" outlineLevel="0" collapsed="false">
      <c r="A35" s="79" t="s">
        <v>2225</v>
      </c>
      <c r="B35" s="148" t="n">
        <v>52.5</v>
      </c>
      <c r="C35" s="148" t="n">
        <v>30</v>
      </c>
      <c r="D35" s="149" t="n">
        <f aca="false">B35/(B35+C35)</f>
        <v>0.636363636363636</v>
      </c>
      <c r="E35" s="149" t="n">
        <f aca="false">C35/(B35+C35)</f>
        <v>0.363636363636364</v>
      </c>
      <c r="F35" s="78" t="s">
        <v>2268</v>
      </c>
    </row>
    <row r="36" customFormat="false" ht="17.15" hidden="false" customHeight="false" outlineLevel="0" collapsed="false">
      <c r="A36" s="79" t="s">
        <v>2269</v>
      </c>
      <c r="B36" s="95" t="s">
        <v>799</v>
      </c>
      <c r="C36" s="95" t="s">
        <v>799</v>
      </c>
      <c r="D36" s="79"/>
      <c r="E36" s="79"/>
      <c r="F36" s="79" t="s">
        <v>2270</v>
      </c>
    </row>
    <row r="37" customFormat="false" ht="17.15" hidden="false" customHeight="false" outlineLevel="0" collapsed="false">
      <c r="A37" s="38" t="s">
        <v>2271</v>
      </c>
    </row>
    <row r="39" customFormat="false" ht="19.4" hidden="false" customHeight="false" outlineLevel="0" collapsed="false">
      <c r="A39" s="43" t="s">
        <v>2272</v>
      </c>
    </row>
    <row r="40" customFormat="false" ht="32.8" hidden="false" customHeight="false" outlineLevel="0" collapsed="false">
      <c r="A40" s="74" t="s">
        <v>1036</v>
      </c>
      <c r="B40" s="75" t="s">
        <v>2273</v>
      </c>
      <c r="C40" s="75" t="s">
        <v>2274</v>
      </c>
      <c r="D40" s="75" t="s">
        <v>2266</v>
      </c>
      <c r="E40" s="75" t="s">
        <v>2267</v>
      </c>
      <c r="F40" s="74" t="s">
        <v>1143</v>
      </c>
    </row>
    <row r="41" customFormat="false" ht="17.15" hidden="false" customHeight="false" outlineLevel="0" collapsed="false">
      <c r="A41" s="79" t="s">
        <v>2225</v>
      </c>
      <c r="B41" s="148" t="n">
        <v>78</v>
      </c>
      <c r="C41" s="148" t="n">
        <v>424</v>
      </c>
      <c r="D41" s="149" t="n">
        <f aca="false">B41/(B41+C41)</f>
        <v>0.155378486055777</v>
      </c>
      <c r="E41" s="149" t="n">
        <f aca="false">C41/(B41+C41)</f>
        <v>0.844621513944223</v>
      </c>
      <c r="F41" s="78" t="s">
        <v>2275</v>
      </c>
    </row>
    <row r="43" customFormat="false" ht="19.4" hidden="false" customHeight="false" outlineLevel="0" collapsed="false">
      <c r="A43" s="73" t="s">
        <v>2276</v>
      </c>
    </row>
    <row r="44" customFormat="false" ht="17.15" hidden="false" customHeight="false" outlineLevel="0" collapsed="false">
      <c r="A44" s="82" t="s">
        <v>2277</v>
      </c>
      <c r="C44" s="150" t="n">
        <v>0.5</v>
      </c>
      <c r="D44" s="22" t="s">
        <v>2278</v>
      </c>
    </row>
    <row r="45" customFormat="false" ht="17.15" hidden="false" customHeight="false" outlineLevel="0" collapsed="false">
      <c r="A45" s="74" t="s">
        <v>1036</v>
      </c>
      <c r="B45" s="75" t="s">
        <v>2279</v>
      </c>
      <c r="C45" s="74" t="s">
        <v>2280</v>
      </c>
      <c r="D45" s="74" t="s">
        <v>2281</v>
      </c>
    </row>
    <row r="46" customFormat="false" ht="48.5" hidden="false" customHeight="false" outlineLevel="0" collapsed="false">
      <c r="A46" s="17" t="s">
        <v>629</v>
      </c>
      <c r="B46" s="151" t="n">
        <f aca="false">D4</f>
        <v>0.5303</v>
      </c>
      <c r="C46" s="17" t="str">
        <f aca="false">IF(B46&gt;=$C$44,"iOS 먼저(또는 동시)","Android 먼저")</f>
        <v>iOS 먼저(또는 동시)</v>
      </c>
      <c r="D46" s="37" t="s">
        <v>2282</v>
      </c>
    </row>
    <row r="47" customFormat="false" ht="17.15" hidden="false" customHeight="false" outlineLevel="0" collapsed="false">
      <c r="A47" s="17" t="s">
        <v>2234</v>
      </c>
      <c r="B47" s="151" t="n">
        <f aca="false">D8</f>
        <v>0.6173</v>
      </c>
      <c r="C47" s="17" t="str">
        <f aca="false">IF(B47&gt;=$C$44,"iOS 먼저(또는 동시)","Android 먼저")</f>
        <v>iOS 먼저(또는 동시)</v>
      </c>
      <c r="D47" s="37" t="s">
        <v>2283</v>
      </c>
    </row>
    <row r="48" customFormat="false" ht="48.5" hidden="false" customHeight="false" outlineLevel="0" collapsed="false">
      <c r="A48" s="17" t="s">
        <v>1061</v>
      </c>
      <c r="B48" s="151" t="n">
        <f aca="false">D6</f>
        <v>0.3531</v>
      </c>
      <c r="C48" s="17" t="str">
        <f aca="false">IF(B48&gt;=$C$44,"iOS 먼저(또는 동시)","Android 먼저")</f>
        <v>Android 먼저</v>
      </c>
      <c r="D48" s="37" t="s">
        <v>2284</v>
      </c>
    </row>
    <row r="49" customFormat="false" ht="32.8" hidden="false" customHeight="false" outlineLevel="0" collapsed="false">
      <c r="A49" s="17" t="s">
        <v>636</v>
      </c>
      <c r="B49" s="151" t="n">
        <f aca="false">D5</f>
        <v>0.1646</v>
      </c>
      <c r="C49" s="17" t="str">
        <f aca="false">IF(B49&gt;=$C$44,"iOS 먼저(또는 동시)","Android 먼저")</f>
        <v>Android 먼저</v>
      </c>
      <c r="D49" s="86" t="s">
        <v>2285</v>
      </c>
    </row>
    <row r="50" customFormat="false" ht="64.15" hidden="false" customHeight="false" outlineLevel="0" collapsed="false">
      <c r="A50" s="17" t="s">
        <v>637</v>
      </c>
      <c r="B50" s="151" t="n">
        <f aca="false">D7</f>
        <v>0.2149</v>
      </c>
      <c r="C50" s="17" t="str">
        <f aca="false">IF(B50&gt;=$C$44,"iOS 먼저(또는 동시)","Android 먼저")</f>
        <v>Android 먼저</v>
      </c>
      <c r="D50" s="86" t="s">
        <v>2286</v>
      </c>
    </row>
    <row r="51" customFormat="false" ht="32.8" hidden="false" customHeight="false" outlineLevel="0" collapsed="false">
      <c r="A51" s="17" t="s">
        <v>2238</v>
      </c>
      <c r="B51" s="151" t="n">
        <f aca="false">D9</f>
        <v>0.1658</v>
      </c>
      <c r="C51" s="17" t="str">
        <f aca="false">IF(B51&gt;=$C$44,"iOS 먼저(또는 동시)","Android 먼저")</f>
        <v>Android 먼저</v>
      </c>
      <c r="D51" s="86" t="s">
        <v>2285</v>
      </c>
    </row>
    <row r="52" customFormat="false" ht="32.8" hidden="false" customHeight="false" outlineLevel="0" collapsed="false">
      <c r="A52" s="17" t="s">
        <v>155</v>
      </c>
      <c r="B52" s="151" t="n">
        <f aca="false">D10</f>
        <v>0.5359</v>
      </c>
      <c r="C52" s="17" t="str">
        <f aca="false">IF(B52&gt;=$C$44,"iOS 먼저(또는 동시)","Android 먼저")</f>
        <v>iOS 먼저(또는 동시)</v>
      </c>
      <c r="D52" s="37" t="str">
        <f aca="false">"안드로이드 "&amp;TEXT(C10,"0.0%")&amp;" · 아이폰 "&amp;TEXT(D10,"0.0%")</f>
        <v>안드로이드 46.4% · 아이폰 53.6%</v>
      </c>
    </row>
    <row r="53" customFormat="false" ht="32.8" hidden="false" customHeight="false" outlineLevel="0" collapsed="false">
      <c r="A53" s="17" t="s">
        <v>156</v>
      </c>
      <c r="B53" s="151" t="n">
        <f aca="false">D11</f>
        <v>0.6487</v>
      </c>
      <c r="C53" s="17" t="str">
        <f aca="false">IF(B53&gt;=$C$44,"iOS 먼저(또는 동시)","Android 먼저")</f>
        <v>iOS 먼저(또는 동시)</v>
      </c>
      <c r="D53" s="37" t="str">
        <f aca="false">"안드로이드 "&amp;TEXT(C11,"0.0%")&amp;" · 아이폰 "&amp;TEXT(D11,"0.0%")</f>
        <v>안드로이드 35.1% · 아이폰 64.9%</v>
      </c>
    </row>
    <row r="54" customFormat="false" ht="32.8" hidden="false" customHeight="false" outlineLevel="0" collapsed="false">
      <c r="A54" s="17" t="s">
        <v>157</v>
      </c>
      <c r="B54" s="151" t="n">
        <f aca="false">D12</f>
        <v>0.2121</v>
      </c>
      <c r="C54" s="17" t="str">
        <f aca="false">IF(B54&gt;=$C$44,"iOS 먼저(또는 동시)","Android 먼저")</f>
        <v>Android 먼저</v>
      </c>
      <c r="D54" s="37" t="str">
        <f aca="false">"안드로이드 "&amp;TEXT(C12,"0.0%")&amp;" · 아이폰 "&amp;TEXT(D12,"0.0%")</f>
        <v>안드로이드 78.8% · 아이폰 21.2%</v>
      </c>
    </row>
    <row r="55" customFormat="false" ht="32.8" hidden="false" customHeight="false" outlineLevel="0" collapsed="false">
      <c r="A55" s="17" t="s">
        <v>158</v>
      </c>
      <c r="B55" s="151" t="n">
        <f aca="false">D13</f>
        <v>0.2796</v>
      </c>
      <c r="C55" s="17" t="str">
        <f aca="false">IF(B55&gt;=$C$44,"iOS 먼저(또는 동시)","Android 먼저")</f>
        <v>Android 먼저</v>
      </c>
      <c r="D55" s="37" t="str">
        <f aca="false">"안드로이드 "&amp;TEXT(C13,"0.0%")&amp;" · 아이폰 "&amp;TEXT(D13,"0.0%")</f>
        <v>안드로이드 72.0% · 아이폰 28.0%</v>
      </c>
    </row>
    <row r="56" customFormat="false" ht="32.8" hidden="false" customHeight="false" outlineLevel="0" collapsed="false">
      <c r="A56" s="17" t="s">
        <v>159</v>
      </c>
      <c r="B56" s="151" t="n">
        <f aca="false">D14</f>
        <v>0.6051</v>
      </c>
      <c r="C56" s="17" t="str">
        <f aca="false">IF(B56&gt;=$C$44,"iOS 먼저(또는 동시)","Android 먼저")</f>
        <v>iOS 먼저(또는 동시)</v>
      </c>
      <c r="D56" s="37" t="str">
        <f aca="false">"안드로이드 "&amp;TEXT(C14,"0.0%")&amp;" · 아이폰 "&amp;TEXT(D14,"0.0%")</f>
        <v>안드로이드 39.5% · 아이폰 60.5%</v>
      </c>
    </row>
    <row r="57" customFormat="false" ht="32.8" hidden="false" customHeight="false" outlineLevel="0" collapsed="false">
      <c r="A57" s="17" t="s">
        <v>160</v>
      </c>
      <c r="B57" s="151" t="n">
        <f aca="false">D15</f>
        <v>0.3782</v>
      </c>
      <c r="C57" s="17" t="str">
        <f aca="false">IF(B57&gt;=$C$44,"iOS 먼저(또는 동시)","Android 먼저")</f>
        <v>Android 먼저</v>
      </c>
      <c r="D57" s="37" t="str">
        <f aca="false">"안드로이드 "&amp;TEXT(C15,"0.0%")&amp;" · 아이폰 "&amp;TEXT(D15,"0.0%")</f>
        <v>안드로이드 62.2% · 아이폰 37.8%</v>
      </c>
    </row>
    <row r="58" customFormat="false" ht="32.8" hidden="false" customHeight="false" outlineLevel="0" collapsed="false">
      <c r="A58" s="17" t="s">
        <v>1404</v>
      </c>
      <c r="B58" s="151" t="n">
        <f aca="false">D16</f>
        <v>0.2079</v>
      </c>
      <c r="C58" s="17" t="str">
        <f aca="false">IF(B58&gt;=$C$44,"iOS 먼저(또는 동시)","Android 먼저")</f>
        <v>Android 먼저</v>
      </c>
      <c r="D58" s="86" t="s">
        <v>2287</v>
      </c>
    </row>
    <row r="59" customFormat="false" ht="32.8" hidden="false" customHeight="false" outlineLevel="0" collapsed="false">
      <c r="A59" s="17" t="s">
        <v>2249</v>
      </c>
      <c r="B59" s="151" t="n">
        <f aca="false">D17</f>
        <v>0.2601</v>
      </c>
      <c r="C59" s="17" t="str">
        <f aca="false">IF(B59&gt;=$C$44,"iOS 먼저(또는 동시)","Android 먼저")</f>
        <v>Android 먼저</v>
      </c>
      <c r="D59" s="37" t="str">
        <f aca="false">"안드로이드 "&amp;TEXT(C17,"0.0%")&amp;" · 아이폰 "&amp;TEXT(D17,"0.0%")</f>
        <v>안드로이드 74.0% · 아이폰 26.0%</v>
      </c>
    </row>
    <row r="60" customFormat="false" ht="32.8" hidden="false" customHeight="false" outlineLevel="0" collapsed="false">
      <c r="A60" s="17" t="s">
        <v>2251</v>
      </c>
      <c r="B60" s="151" t="n">
        <f aca="false">D18</f>
        <v>0.4019</v>
      </c>
      <c r="C60" s="17" t="str">
        <f aca="false">IF(B60&gt;=$C$44,"iOS 먼저(또는 동시)","Android 먼저")</f>
        <v>Android 먼저</v>
      </c>
      <c r="D60" s="37" t="str">
        <f aca="false">"안드로이드 "&amp;TEXT(C18,"0.0%")&amp;" · 아이폰 "&amp;TEXT(D18,"0.0%")</f>
        <v>안드로이드 59.8% · 아이폰 40.2%</v>
      </c>
    </row>
    <row r="61" customFormat="false" ht="32.8" hidden="false" customHeight="false" outlineLevel="0" collapsed="false">
      <c r="A61" s="17" t="s">
        <v>2253</v>
      </c>
      <c r="B61" s="151" t="n">
        <f aca="false">D19</f>
        <v>0.1347</v>
      </c>
      <c r="C61" s="17" t="str">
        <f aca="false">IF(B61&gt;=$C$44,"iOS 먼저(또는 동시)","Android 먼저")</f>
        <v>Android 먼저</v>
      </c>
      <c r="D61" s="37" t="str">
        <f aca="false">"안드로이드 "&amp;TEXT(C19,"0.0%")&amp;" · 아이폰 "&amp;TEXT(D19,"0.0%")</f>
        <v>안드로이드 86.5% · 아이폰 13.5%</v>
      </c>
    </row>
    <row r="62" customFormat="false" ht="32.8" hidden="false" customHeight="false" outlineLevel="0" collapsed="false">
      <c r="A62" s="17" t="s">
        <v>2255</v>
      </c>
      <c r="B62" s="151" t="n">
        <f aca="false">D20</f>
        <v>0.4475</v>
      </c>
      <c r="C62" s="17" t="str">
        <f aca="false">IF(B62&gt;=$C$44,"iOS 먼저(또는 동시)","Android 먼저")</f>
        <v>Android 먼저</v>
      </c>
      <c r="D62" s="37" t="str">
        <f aca="false">"안드로이드 "&amp;TEXT(C20,"0.0%")&amp;" · 아이폰 "&amp;TEXT(D20,"0.0%")</f>
        <v>안드로이드 55.2% · 아이폰 44.8%</v>
      </c>
    </row>
    <row r="64" customFormat="false" ht="17.15" hidden="false" customHeight="false" outlineLevel="0" collapsed="false">
      <c r="A64" s="152" t="s">
        <v>2288</v>
      </c>
    </row>
    <row r="65" customFormat="false" ht="17.15" hidden="false" customHeight="false" outlineLevel="0" collapsed="false">
      <c r="A65" s="152" t="s">
        <v>2289</v>
      </c>
    </row>
    <row r="66" customFormat="false" ht="17.15" hidden="false" customHeight="false" outlineLevel="0" collapsed="false">
      <c r="A66" s="152" t="s">
        <v>2290</v>
      </c>
    </row>
    <row r="67" customFormat="false" ht="17.15" hidden="false" customHeight="false" outlineLevel="0" collapsed="false">
      <c r="A67" s="152" t="s">
        <v>2291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2026-10-07T04:11:23Z</dcterms:created>
  <dc:creator>openpyxl</dc:creator>
  <dc:description/>
  <dc:language>en-US</dc:language>
  <cp:lastModifiedBy/>
  <dcterms:modified xsi:type="dcterms:W3CDTF">2026-10-07T04:11:24Z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