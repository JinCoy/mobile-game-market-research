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목차" sheetId="1" state="visible" r:id="rId3"/>
    <sheet name="0-1 개요" sheetId="2" state="visible" r:id="rId4"/>
    <sheet name="1-1 점수 기준" sheetId="3" state="visible" r:id="rId5"/>
    <sheet name="1-2 성공 점수표" sheetId="4" state="visible" r:id="rId6"/>
    <sheet name="1-3 성적표 카드" sheetId="5" state="visible" r:id="rId7"/>
    <sheet name="1-4 성공 비결 해부" sheetId="6" state="visible" r:id="rId8"/>
    <sheet name="1-5 성공 비결 확장" sheetId="7" state="visible" r:id="rId9"/>
    <sheet name="1-6 공통점 분석" sheetId="8" state="visible" r:id="rId10"/>
    <sheet name="1-7 성공 공식 TOP5" sheetId="9" state="visible" r:id="rId11"/>
    <sheet name="2-1 MVP 명세" sheetId="10" state="visible" r:id="rId12"/>
    <sheet name="2-2 MVP 검증 목표" sheetId="11" state="visible" r:id="rId13"/>
    <sheet name="2-3 장르 연결(추정)" sheetId="12" state="visible" r:id="rId14"/>
    <sheet name="4-1 지역 벤치마크(참조)" sheetId="13" state="visible" r:id="rId15"/>
    <sheet name="4-2 장르 차트 판독값(참조)" sheetId="14" state="visible" r:id="rId16"/>
    <sheet name="4-3 장르 판독 요약(참조)" sheetId="15" state="visible" r:id="rId17"/>
  </sheets>
  <definedNames>
    <definedName function="false" hidden="true" localSheetId="6" name="_xlnm._FilterDatabase" vbProcedure="false">'1-5 성공 비결 확장'!$A$1:$J$15</definedName>
    <definedName function="false" hidden="true" localSheetId="12" name="_xlnm._FilterDatabase" vbProcedure="false">'4-1 지역 벤치마크(참조)'!$A$1:$G$25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<sst xmlns="http://schemas.openxmlformats.org/spreadsheetml/2006/main" count="1595" uniqueCount="775">
  <si>
    <r>
      <rPr>
        <b val="true"/>
        <sz val="14"/>
        <rFont val="Noto Sans CJK SC"/>
        <family val="2"/>
      </rPr>
      <t xml:space="preserve">게임전략</t>
    </r>
    <r>
      <rPr>
        <b val="true"/>
        <sz val="14"/>
        <rFont val="Arial"/>
        <family val="0"/>
        <charset val="1"/>
      </rPr>
      <t xml:space="preserve">_MVP_</t>
    </r>
    <r>
      <rPr>
        <b val="true"/>
        <sz val="14"/>
        <rFont val="Noto Sans CJK SC"/>
        <family val="2"/>
      </rPr>
      <t xml:space="preserve">마케팅</t>
    </r>
    <r>
      <rPr>
        <b val="true"/>
        <sz val="14"/>
        <rFont val="Arial"/>
        <family val="0"/>
        <charset val="1"/>
      </rPr>
      <t xml:space="preserve">.xlsx — </t>
    </r>
    <r>
      <rPr>
        <b val="true"/>
        <sz val="14"/>
        <rFont val="Noto Sans CJK SC"/>
        <family val="2"/>
      </rPr>
      <t xml:space="preserve">목차</t>
    </r>
  </si>
  <si>
    <r>
      <rPr>
        <sz val="11"/>
        <color rgb="FF595959"/>
        <rFont val="Noto Sans CJK SC"/>
        <family val="2"/>
      </rPr>
      <t xml:space="preserve">이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게임전략</t>
    </r>
    <r>
      <rPr>
        <sz val="11"/>
        <color rgb="FF595959"/>
        <rFont val="Arial"/>
        <family val="0"/>
        <charset val="1"/>
      </rPr>
      <t xml:space="preserve">_MVP_</t>
    </r>
    <r>
      <rPr>
        <sz val="11"/>
        <color rgb="FF595959"/>
        <rFont val="Noto Sans CJK SC"/>
        <family val="2"/>
      </rPr>
      <t xml:space="preserve">마케팅</t>
    </r>
    <r>
      <rPr>
        <sz val="11"/>
        <color rgb="FF595959"/>
        <rFont val="Arial"/>
        <family val="0"/>
        <charset val="1"/>
      </rPr>
      <t xml:space="preserve">.xlsx  /  </t>
    </r>
    <r>
      <rPr>
        <sz val="11"/>
        <color rgb="FF595959"/>
        <rFont val="Noto Sans CJK SC"/>
        <family val="2"/>
      </rPr>
      <t xml:space="preserve">짝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시장조사</t>
    </r>
    <r>
      <rPr>
        <sz val="11"/>
        <color rgb="FF595959"/>
        <rFont val="Arial"/>
        <family val="0"/>
        <charset val="1"/>
      </rPr>
      <t xml:space="preserve">.xlsx (</t>
    </r>
    <r>
      <rPr>
        <sz val="11"/>
        <color rgb="FF595959"/>
        <rFont val="Noto Sans CJK SC"/>
        <family val="2"/>
      </rPr>
      <t xml:space="preserve">시장</t>
    </r>
    <r>
      <rPr>
        <sz val="11"/>
        <color rgb="FF595959"/>
        <rFont val="Arial"/>
        <family val="0"/>
        <charset val="1"/>
      </rPr>
      <t xml:space="preserve">·</t>
    </r>
    <r>
      <rPr>
        <sz val="11"/>
        <color rgb="FF595959"/>
        <rFont val="Noto Sans CJK SC"/>
        <family val="2"/>
      </rPr>
      <t xml:space="preserve">지역</t>
    </r>
    <r>
      <rPr>
        <sz val="11"/>
        <color rgb="FF595959"/>
        <rFont val="Arial"/>
        <family val="0"/>
        <charset val="1"/>
      </rPr>
      <t xml:space="preserve">·</t>
    </r>
    <r>
      <rPr>
        <sz val="11"/>
        <color rgb="FF595959"/>
        <rFont val="Noto Sans CJK SC"/>
        <family val="2"/>
      </rPr>
      <t xml:space="preserve">매출</t>
    </r>
    <r>
      <rPr>
        <sz val="11"/>
        <color rgb="FF595959"/>
        <rFont val="Arial"/>
        <family val="0"/>
        <charset val="1"/>
      </rPr>
      <t xml:space="preserve">·</t>
    </r>
    <r>
      <rPr>
        <sz val="11"/>
        <color rgb="FF595959"/>
        <rFont val="Noto Sans CJK SC"/>
        <family val="2"/>
      </rPr>
      <t xml:space="preserve">벤치마크 숫자 자료</t>
    </r>
    <r>
      <rPr>
        <sz val="11"/>
        <color rgb="FF595959"/>
        <rFont val="Arial"/>
        <family val="0"/>
        <charset val="1"/>
      </rPr>
      <t xml:space="preserve">)  ·  </t>
    </r>
    <r>
      <rPr>
        <sz val="11"/>
        <color rgb="FF595959"/>
        <rFont val="Noto Sans CJK SC"/>
        <family val="2"/>
      </rPr>
      <t xml:space="preserve">시트 이름을 누르면 그 시트로 이동합니다</t>
    </r>
    <r>
      <rPr>
        <sz val="11"/>
        <color rgb="FF595959"/>
        <rFont val="Arial"/>
        <family val="0"/>
        <charset val="1"/>
      </rPr>
      <t xml:space="preserve">. </t>
    </r>
    <r>
      <rPr>
        <sz val="11"/>
        <color rgb="FF595959"/>
        <rFont val="Noto Sans CJK SC"/>
        <family val="2"/>
      </rPr>
      <t xml:space="preserve">회색 줄은 다음 단계에서 만들 </t>
    </r>
    <r>
      <rPr>
        <sz val="11"/>
        <color rgb="FF595959"/>
        <rFont val="Arial"/>
        <family val="0"/>
        <charset val="1"/>
      </rPr>
      <t xml:space="preserve">'</t>
    </r>
    <r>
      <rPr>
        <sz val="11"/>
        <color rgb="FF595959"/>
        <rFont val="Noto Sans CJK SC"/>
        <family val="2"/>
      </rPr>
      <t xml:space="preserve">예정</t>
    </r>
    <r>
      <rPr>
        <sz val="11"/>
        <color rgb="FF595959"/>
        <rFont val="Arial"/>
        <family val="0"/>
        <charset val="1"/>
      </rPr>
      <t xml:space="preserve">' </t>
    </r>
    <r>
      <rPr>
        <sz val="11"/>
        <color rgb="FF595959"/>
        <rFont val="Noto Sans CJK SC"/>
        <family val="2"/>
      </rPr>
      <t xml:space="preserve">시트입니다</t>
    </r>
    <r>
      <rPr>
        <sz val="11"/>
        <color rgb="FF595959"/>
        <rFont val="Arial"/>
        <family val="0"/>
        <charset val="1"/>
      </rPr>
      <t xml:space="preserve">.</t>
    </r>
  </si>
  <si>
    <t xml:space="preserve">그룹</t>
  </si>
  <si>
    <t xml:space="preserve">시트 이름</t>
  </si>
  <si>
    <t xml:space="preserve">한 줄 설명</t>
  </si>
  <si>
    <t xml:space="preserve">상태</t>
  </si>
  <si>
    <t xml:space="preserve">비고</t>
  </si>
  <si>
    <r>
      <rPr>
        <b val="true"/>
        <sz val="11"/>
        <color rgb="FFFFFFFF"/>
        <rFont val="Arial"/>
        <family val="0"/>
        <charset val="1"/>
      </rPr>
      <t xml:space="preserve">0 </t>
    </r>
    <r>
      <rPr>
        <b val="true"/>
        <sz val="11"/>
        <color rgb="FFFFFFFF"/>
        <rFont val="Noto Sans CJK SC"/>
        <family val="2"/>
      </rPr>
      <t xml:space="preserve">안내</t>
    </r>
  </si>
  <si>
    <r>
      <rPr>
        <sz val="11"/>
        <color rgb="FF000000"/>
        <rFont val="Arial"/>
        <family val="0"/>
        <charset val="1"/>
      </rPr>
      <t xml:space="preserve">0 </t>
    </r>
    <r>
      <rPr>
        <sz val="11"/>
        <color rgb="FF000000"/>
        <rFont val="Noto Sans CJK SC"/>
        <family val="2"/>
      </rPr>
      <t xml:space="preserve">목차</t>
    </r>
  </si>
  <si>
    <t xml:space="preserve">이 시트</t>
  </si>
  <si>
    <t xml:space="preserve">완료</t>
  </si>
  <si>
    <t xml:space="preserve">0-1 개요</t>
  </si>
  <si>
    <r>
      <rPr>
        <sz val="11"/>
        <color rgb="FF000000"/>
        <rFont val="Noto Sans CJK SC"/>
        <family val="2"/>
      </rPr>
      <t xml:space="preserve">분석 범위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기준일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출처 모음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시장조사 파일과 같은 내용</t>
    </r>
    <r>
      <rPr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</si>
  <si>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Noto Sans CJK SC"/>
        <family val="2"/>
      </rPr>
      <t xml:space="preserve">성공 비결</t>
    </r>
  </si>
  <si>
    <t xml:space="preserve">1-1 점수 기준</t>
  </si>
  <si>
    <r>
      <rPr>
        <sz val="11"/>
        <color rgb="FF000000"/>
        <rFont val="Noto Sans CJK SC"/>
        <family val="2"/>
      </rPr>
      <t xml:space="preserve">성공 점수 배점 가정값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바꾸면 점수표가 자동 재계산</t>
    </r>
    <r>
      <rPr>
        <sz val="11"/>
        <color rgb="FF000000"/>
        <rFont val="Arial"/>
        <family val="0"/>
        <charset val="1"/>
      </rPr>
      <t xml:space="preserve">)</t>
    </r>
  </si>
  <si>
    <t xml:space="preserve">1-2 성공 점수표</t>
  </si>
  <si>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 게임의 순위 기반 성공 점수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계산</t>
    </r>
    <r>
      <rPr>
        <sz val="11"/>
        <color rgb="FF000000"/>
        <rFont val="Arial"/>
        <family val="0"/>
        <charset val="1"/>
      </rPr>
      <t xml:space="preserve">)</t>
    </r>
  </si>
  <si>
    <t xml:space="preserve">1-3 성적표 카드</t>
  </si>
  <si>
    <t xml:space="preserve">게임별 쉬운 설명과 별점 카드</t>
  </si>
  <si>
    <t xml:space="preserve">1-4 성공 비결 해부</t>
  </si>
  <si>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 게임의 재미 루프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첫 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Noto Sans CJK SC"/>
        <family val="2"/>
      </rPr>
      <t xml:space="preserve">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다시 오게 하는 장치</t>
    </r>
  </si>
  <si>
    <t xml:space="preserve">1-5 성공 비결 확장</t>
  </si>
  <si>
    <t xml:space="preserve">장르 그룹별로 넓힌 게임 목록과 차트 근거</t>
  </si>
  <si>
    <t xml:space="preserve">1-6 공통점 분석</t>
  </si>
  <si>
    <r>
      <rPr>
        <sz val="11"/>
        <color rgb="FF000000"/>
        <rFont val="Arial"/>
        <family val="0"/>
        <charset val="1"/>
      </rPr>
      <t xml:space="preserve">26</t>
    </r>
    <r>
      <rPr>
        <sz val="11"/>
        <color rgb="FF000000"/>
        <rFont val="Noto Sans CJK SC"/>
        <family val="2"/>
      </rPr>
      <t xml:space="preserve">개 게임의 공통 요소 표와 요약</t>
    </r>
  </si>
  <si>
    <t xml:space="preserve">1-7 성공 공식 TOP5</t>
  </si>
  <si>
    <r>
      <rPr>
        <sz val="11"/>
        <color rgb="FF000000"/>
        <rFont val="Noto Sans CJK SC"/>
        <family val="2"/>
      </rPr>
      <t xml:space="preserve">공통점에서 뽑은 성공 공식 </t>
    </r>
    <r>
      <rPr>
        <sz val="11"/>
        <color rgb="FF000000"/>
        <rFont val="Arial"/>
        <family val="0"/>
        <charset val="1"/>
      </rPr>
      <t xml:space="preserve">5</t>
    </r>
    <r>
      <rPr>
        <sz val="11"/>
        <color rgb="FF000000"/>
        <rFont val="Noto Sans CJK SC"/>
        <family val="2"/>
      </rPr>
      <t xml:space="preserve">가지</t>
    </r>
  </si>
  <si>
    <t xml:space="preserve">2 MVP</t>
  </si>
  <si>
    <t xml:space="preserve">2-1 MVP 명세</t>
  </si>
  <si>
    <r>
      <rPr>
        <sz val="11"/>
        <color rgb="FF000000"/>
        <rFont val="Noto Sans CJK SC"/>
        <family val="2"/>
      </rPr>
      <t xml:space="preserve">게임별 꼭 필요</t>
    </r>
    <r>
      <rPr>
        <sz val="11"/>
        <color rgb="FF000000"/>
        <rFont val="Arial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있으면 좋음</t>
    </r>
    <r>
      <rPr>
        <sz val="11"/>
        <color rgb="FF000000"/>
        <rFont val="Arial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나중에 기능</t>
    </r>
  </si>
  <si>
    <t xml:space="preserve">2-2 MVP 검증 목표</t>
  </si>
  <si>
    <r>
      <rPr>
        <sz val="11"/>
        <color rgb="FF000000"/>
        <rFont val="Noto Sans CJK SC"/>
        <family val="2"/>
      </rPr>
      <t xml:space="preserve">리텐션 합격선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목표 </t>
    </r>
    <r>
      <rPr>
        <sz val="11"/>
        <color rgb="FF000000"/>
        <rFont val="Arial"/>
        <family val="0"/>
        <charset val="1"/>
      </rPr>
      <t xml:space="preserve">(4-1 </t>
    </r>
    <r>
      <rPr>
        <sz val="11"/>
        <color rgb="FF000000"/>
        <rFont val="Noto Sans CJK SC"/>
        <family val="2"/>
      </rPr>
      <t xml:space="preserve">지역 벤치마크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참조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에서 가져옴</t>
    </r>
    <r>
      <rPr>
        <sz val="11"/>
        <color rgb="FF000000"/>
        <rFont val="Arial"/>
        <family val="0"/>
        <charset val="1"/>
      </rPr>
      <t xml:space="preserve">)</t>
    </r>
  </si>
  <si>
    <t xml:space="preserve">2-3 장르 연결(추정)</t>
  </si>
  <si>
    <r>
      <rPr>
        <sz val="11"/>
        <color rgb="FF000000"/>
        <rFont val="Noto Sans CJK SC"/>
        <family val="2"/>
      </rPr>
      <t xml:space="preserve">우리 장르 그룹 ↔ </t>
    </r>
    <r>
      <rPr>
        <sz val="11"/>
        <color rgb="FF000000"/>
        <rFont val="Arial"/>
        <family val="0"/>
        <charset val="1"/>
      </rPr>
      <t xml:space="preserve">GameAnalytics </t>
    </r>
    <r>
      <rPr>
        <sz val="11"/>
        <color rgb="FF000000"/>
        <rFont val="Noto Sans CJK SC"/>
        <family val="2"/>
      </rPr>
      <t xml:space="preserve">장르 연결 </t>
    </r>
    <r>
      <rPr>
        <sz val="11"/>
        <color rgb="FF000000"/>
        <rFont val="Arial"/>
        <family val="0"/>
        <charset val="1"/>
      </rPr>
      <t xml:space="preserve">(4-3</t>
    </r>
    <r>
      <rPr>
        <sz val="11"/>
        <color rgb="FF000000"/>
        <rFont val="Noto Sans CJK SC"/>
        <family val="2"/>
      </rPr>
      <t xml:space="preserve">에서 가져옴</t>
    </r>
    <r>
      <rPr>
        <sz val="11"/>
        <color rgb="FF000000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</si>
  <si>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2-4 2</t>
    </r>
    <r>
      <rPr>
        <i val="true"/>
        <sz val="11"/>
        <color rgb="FF808080"/>
        <rFont val="Noto Sans CJK SC"/>
        <family val="2"/>
      </rPr>
      <t xml:space="preserve">인 개발 </t>
    </r>
    <r>
      <rPr>
        <i val="true"/>
        <sz val="11"/>
        <color rgb="FF808080"/>
        <rFont val="Arial"/>
        <family val="0"/>
        <charset val="1"/>
      </rPr>
      <t xml:space="preserve">MVP </t>
    </r>
    <r>
      <rPr>
        <i val="true"/>
        <sz val="11"/>
        <color rgb="FF808080"/>
        <rFont val="Noto Sans CJK SC"/>
        <family val="2"/>
      </rPr>
      <t xml:space="preserve">판단</t>
    </r>
  </si>
  <si>
    <r>
      <rPr>
        <i val="true"/>
        <sz val="11"/>
        <color rgb="FF808080"/>
        <rFont val="Noto Sans CJK SC"/>
        <family val="2"/>
      </rPr>
      <t xml:space="preserve">매출 </t>
    </r>
    <r>
      <rPr>
        <i val="true"/>
        <sz val="11"/>
        <color rgb="FF808080"/>
        <rFont val="Arial"/>
        <family val="0"/>
        <charset val="1"/>
      </rPr>
      <t xml:space="preserve">Top100 </t>
    </r>
    <r>
      <rPr>
        <i val="true"/>
        <sz val="11"/>
        <color rgb="FF808080"/>
        <rFont val="Noto Sans CJK SC"/>
        <family val="2"/>
      </rPr>
      <t xml:space="preserve">중 작은 </t>
    </r>
    <r>
      <rPr>
        <i val="true"/>
        <sz val="11"/>
        <color rgb="FF808080"/>
        <rFont val="Arial"/>
        <family val="0"/>
        <charset val="1"/>
      </rPr>
      <t xml:space="preserve">MVP </t>
    </r>
    <r>
      <rPr>
        <i val="true"/>
        <sz val="11"/>
        <color rgb="FF808080"/>
        <rFont val="Noto Sans CJK SC"/>
        <family val="2"/>
      </rPr>
      <t xml:space="preserve">후보의 </t>
    </r>
    <r>
      <rPr>
        <i val="true"/>
        <sz val="11"/>
        <color rgb="FF808080"/>
        <rFont val="Arial"/>
        <family val="0"/>
        <charset val="1"/>
      </rPr>
      <t xml:space="preserve">2</t>
    </r>
    <r>
      <rPr>
        <i val="true"/>
        <sz val="11"/>
        <color rgb="FF808080"/>
        <rFont val="Noto Sans CJK SC"/>
        <family val="2"/>
      </rPr>
      <t xml:space="preserve">인 개발 가능성</t>
    </r>
  </si>
  <si>
    <t xml:space="preserve">예정</t>
  </si>
  <si>
    <r>
      <rPr>
        <i val="true"/>
        <sz val="11"/>
        <color rgb="FF808080"/>
        <rFont val="Noto Sans CJK SC"/>
        <family val="2"/>
      </rPr>
      <t xml:space="preserve">예정 </t>
    </r>
    <r>
      <rPr>
        <i val="true"/>
        <sz val="11"/>
        <color rgb="FF808080"/>
        <rFont val="Arial"/>
        <family val="0"/>
        <charset val="1"/>
      </rPr>
      <t xml:space="preserve">(3</t>
    </r>
    <r>
      <rPr>
        <i val="true"/>
        <sz val="11"/>
        <color rgb="FF808080"/>
        <rFont val="Noto Sans CJK SC"/>
        <family val="2"/>
      </rPr>
      <t xml:space="preserve">단계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</si>
  <si>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3 </t>
    </r>
    <r>
      <rPr>
        <b val="true"/>
        <sz val="11"/>
        <color rgb="FFFFFFFF"/>
        <rFont val="Noto Sans CJK SC"/>
        <family val="2"/>
      </rPr>
      <t xml:space="preserve">마케팅</t>
    </r>
  </si>
  <si>
    <r>
      <rPr>
        <i val="true"/>
        <sz val="11"/>
        <color rgb="FF808080"/>
        <rFont val="Arial"/>
        <family val="0"/>
        <charset val="1"/>
      </rPr>
      <t xml:space="preserve">3-1 </t>
    </r>
    <r>
      <rPr>
        <i val="true"/>
        <sz val="11"/>
        <color rgb="FF808080"/>
        <rFont val="Noto Sans CJK SC"/>
        <family val="2"/>
      </rPr>
      <t xml:space="preserve">광고 대비 유입</t>
    </r>
  </si>
  <si>
    <r>
      <rPr>
        <i val="true"/>
        <sz val="11"/>
        <color rgb="FF808080"/>
        <rFont val="Noto Sans CJK SC"/>
        <family val="2"/>
      </rPr>
      <t xml:space="preserve">광고비 → 설치 → </t>
    </r>
    <r>
      <rPr>
        <i val="true"/>
        <sz val="11"/>
        <color rgb="FF808080"/>
        <rFont val="Arial"/>
        <family val="0"/>
        <charset val="1"/>
      </rPr>
      <t xml:space="preserve">D1/D7 </t>
    </r>
    <r>
      <rPr>
        <i val="true"/>
        <sz val="11"/>
        <color rgb="FF808080"/>
        <rFont val="Noto Sans CJK SC"/>
        <family val="2"/>
      </rPr>
      <t xml:space="preserve">남는 유저 계산표</t>
    </r>
  </si>
  <si>
    <r>
      <rPr>
        <i val="true"/>
        <sz val="11"/>
        <color rgb="FF808080"/>
        <rFont val="Arial"/>
        <family val="0"/>
        <charset val="1"/>
      </rPr>
      <t xml:space="preserve">3-2 </t>
    </r>
    <r>
      <rPr>
        <i val="true"/>
        <sz val="11"/>
        <color rgb="FF808080"/>
        <rFont val="Noto Sans CJK SC"/>
        <family val="2"/>
      </rPr>
      <t xml:space="preserve">광고 채널 분석</t>
    </r>
  </si>
  <si>
    <r>
      <rPr>
        <i val="true"/>
        <sz val="11"/>
        <color rgb="FF808080"/>
        <rFont val="Noto Sans CJK SC"/>
        <family val="2"/>
      </rPr>
      <t xml:space="preserve">유튜브</t>
    </r>
    <r>
      <rPr>
        <i val="true"/>
        <sz val="11"/>
        <color rgb="FF808080"/>
        <rFont val="Arial"/>
        <family val="0"/>
        <charset val="1"/>
      </rPr>
      <t xml:space="preserve">·</t>
    </r>
    <r>
      <rPr>
        <i val="true"/>
        <sz val="11"/>
        <color rgb="FF808080"/>
        <rFont val="Noto Sans CJK SC"/>
        <family val="2"/>
      </rPr>
      <t xml:space="preserve">인스타</t>
    </r>
    <r>
      <rPr>
        <i val="true"/>
        <sz val="11"/>
        <color rgb="FF808080"/>
        <rFont val="Arial"/>
        <family val="0"/>
        <charset val="1"/>
      </rPr>
      <t xml:space="preserve">·</t>
    </r>
    <r>
      <rPr>
        <i val="true"/>
        <sz val="11"/>
        <color rgb="FF808080"/>
        <rFont val="Noto Sans CJK SC"/>
        <family val="2"/>
      </rPr>
      <t xml:space="preserve">페이스북</t>
    </r>
    <r>
      <rPr>
        <i val="true"/>
        <sz val="11"/>
        <color rgb="FF808080"/>
        <rFont val="Arial"/>
        <family val="0"/>
        <charset val="1"/>
      </rPr>
      <t xml:space="preserve">·</t>
    </r>
    <r>
      <rPr>
        <i val="true"/>
        <sz val="11"/>
        <color rgb="FF808080"/>
        <rFont val="Noto Sans CJK SC"/>
        <family val="2"/>
      </rPr>
      <t xml:space="preserve">틱톡</t>
    </r>
    <r>
      <rPr>
        <i val="true"/>
        <sz val="11"/>
        <color rgb="FF808080"/>
        <rFont val="Arial"/>
        <family val="0"/>
        <charset val="1"/>
      </rPr>
      <t xml:space="preserve">·</t>
    </r>
    <r>
      <rPr>
        <i val="true"/>
        <sz val="11"/>
        <color rgb="FF808080"/>
        <rFont val="Noto Sans CJK SC"/>
        <family val="2"/>
      </rPr>
      <t xml:space="preserve">인플루언서 비교</t>
    </r>
  </si>
  <si>
    <r>
      <rPr>
        <i val="true"/>
        <sz val="11"/>
        <color rgb="FF808080"/>
        <rFont val="Arial"/>
        <family val="0"/>
        <charset val="1"/>
      </rPr>
      <t xml:space="preserve">3-3 </t>
    </r>
    <r>
      <rPr>
        <i val="true"/>
        <sz val="11"/>
        <color rgb="FF808080"/>
        <rFont val="Noto Sans CJK SC"/>
        <family val="2"/>
      </rPr>
      <t xml:space="preserve">후킹 영상 분석</t>
    </r>
  </si>
  <si>
    <r>
      <rPr>
        <i val="true"/>
        <sz val="11"/>
        <color rgb="FF808080"/>
        <rFont val="Noto Sans CJK SC"/>
        <family val="2"/>
      </rPr>
      <t xml:space="preserve">광고 영상 처음 </t>
    </r>
    <r>
      <rPr>
        <i val="true"/>
        <sz val="11"/>
        <color rgb="FF808080"/>
        <rFont val="Arial"/>
        <family val="0"/>
        <charset val="1"/>
      </rPr>
      <t xml:space="preserve">3</t>
    </r>
    <r>
      <rPr>
        <i val="true"/>
        <sz val="11"/>
        <color rgb="FF808080"/>
        <rFont val="Noto Sans CJK SC"/>
        <family val="2"/>
      </rPr>
      <t xml:space="preserve">초 유형별 빈도</t>
    </r>
  </si>
  <si>
    <r>
      <rPr>
        <i val="true"/>
        <sz val="11"/>
        <color rgb="FF808080"/>
        <rFont val="Arial"/>
        <family val="0"/>
        <charset val="1"/>
      </rPr>
      <t xml:space="preserve">3-4 </t>
    </r>
    <r>
      <rPr>
        <i val="true"/>
        <sz val="11"/>
        <color rgb="FF808080"/>
        <rFont val="Noto Sans CJK SC"/>
        <family val="2"/>
      </rPr>
      <t xml:space="preserve">마케팅 실행안</t>
    </r>
  </si>
  <si>
    <r>
      <rPr>
        <i val="true"/>
        <sz val="11"/>
        <color rgb="FF808080"/>
        <rFont val="Noto Sans CJK SC"/>
        <family val="2"/>
      </rPr>
      <t xml:space="preserve">우리 </t>
    </r>
    <r>
      <rPr>
        <i val="true"/>
        <sz val="11"/>
        <color rgb="FF808080"/>
        <rFont val="Arial"/>
        <family val="0"/>
        <charset val="1"/>
      </rPr>
      <t xml:space="preserve">MVP</t>
    </r>
    <r>
      <rPr>
        <i val="true"/>
        <sz val="11"/>
        <color rgb="FF808080"/>
        <rFont val="Noto Sans CJK SC"/>
        <family val="2"/>
      </rPr>
      <t xml:space="preserve">용 마케팅 실행 계획</t>
    </r>
  </si>
  <si>
    <r>
      <rPr>
        <b val="true"/>
        <sz val="11"/>
        <color rgb="FFFFFFFF"/>
        <rFont val="Arial"/>
        <family val="0"/>
        <charset val="1"/>
      </rPr>
      <t xml:space="preserve">4 </t>
    </r>
    <r>
      <rPr>
        <b val="true"/>
        <sz val="11"/>
        <color rgb="FFFFFFFF"/>
        <rFont val="Noto Sans CJK SC"/>
        <family val="2"/>
      </rPr>
      <t xml:space="preserve">참조용 복사본</t>
    </r>
  </si>
  <si>
    <t xml:space="preserve">4-1 지역 벤치마크(참조)</t>
  </si>
  <si>
    <r>
      <rPr>
        <sz val="11"/>
        <color rgb="FF000000"/>
        <rFont val="Arial"/>
        <family val="0"/>
        <charset val="1"/>
      </rPr>
      <t xml:space="preserve">2-2 MVP </t>
    </r>
    <r>
      <rPr>
        <sz val="11"/>
        <color rgb="FF000000"/>
        <rFont val="Noto Sans CJK SC"/>
        <family val="2"/>
      </rPr>
      <t xml:space="preserve">검증 목표가 쓰는 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</si>
  <si>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4-2 </t>
    </r>
    <r>
      <rPr>
        <sz val="11"/>
        <color rgb="FF000000"/>
        <rFont val="Noto Sans CJK SC"/>
        <family val="2"/>
      </rPr>
      <t xml:space="preserve">지역 벤치마크</t>
    </r>
  </si>
  <si>
    <t xml:space="preserve">4-2 장르 차트 판독값(참조)</t>
  </si>
  <si>
    <r>
      <rPr>
        <sz val="11"/>
        <color rgb="FF000000"/>
        <rFont val="Arial"/>
        <family val="0"/>
        <charset val="1"/>
      </rPr>
      <t xml:space="preserve">4-3</t>
    </r>
    <r>
      <rPr>
        <sz val="11"/>
        <color rgb="FF000000"/>
        <rFont val="Noto Sans CJK SC"/>
        <family val="2"/>
      </rPr>
      <t xml:space="preserve">이 계산에 쓰는 판독값의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</si>
  <si>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4-3 </t>
    </r>
    <r>
      <rPr>
        <sz val="11"/>
        <color rgb="FF000000"/>
        <rFont val="Noto Sans CJK SC"/>
        <family val="2"/>
      </rPr>
      <t xml:space="preserve">장르 차트 판독값</t>
    </r>
  </si>
  <si>
    <t xml:space="preserve">4-3 장르 판독 요약(참조)</t>
  </si>
  <si>
    <r>
      <rPr>
        <sz val="11"/>
        <color rgb="FF000000"/>
        <rFont val="Arial"/>
        <family val="0"/>
        <charset val="1"/>
      </rPr>
      <t xml:space="preserve">2-3 </t>
    </r>
    <r>
      <rPr>
        <sz val="11"/>
        <color rgb="FF000000"/>
        <rFont val="Noto Sans CJK SC"/>
        <family val="2"/>
      </rPr>
      <t xml:space="preserve">장르 연결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추정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이 쓰는 표의 복사본</t>
    </r>
  </si>
  <si>
    <r>
      <rPr>
        <sz val="11"/>
        <color rgb="FF000000"/>
        <rFont val="Noto Sans CJK SC"/>
        <family val="2"/>
      </rPr>
      <t xml:space="preserve">원본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시장조사</t>
    </r>
    <r>
      <rPr>
        <sz val="11"/>
        <color rgb="FF000000"/>
        <rFont val="Arial"/>
        <family val="0"/>
        <charset val="1"/>
      </rPr>
      <t xml:space="preserve">.xlsx › 4-4 </t>
    </r>
    <r>
      <rPr>
        <sz val="11"/>
        <color rgb="FF000000"/>
        <rFont val="Noto Sans CJK SC"/>
        <family val="2"/>
      </rPr>
      <t xml:space="preserve">장르 판독 요약</t>
    </r>
  </si>
  <si>
    <r>
      <rPr>
        <b val="true"/>
        <sz val="14"/>
        <rFont val="Noto Sans CJK SC"/>
        <family val="2"/>
      </rPr>
      <t xml:space="preserve">모바일 게임 시장 분석 — 장르 분류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지역 비교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성공 비결 </t>
    </r>
    <r>
      <rPr>
        <b val="true"/>
        <sz val="14"/>
        <rFont val="Arial"/>
        <family val="0"/>
        <charset val="1"/>
      </rPr>
      <t xml:space="preserve">&amp; MVP · </t>
    </r>
    <r>
      <rPr>
        <b val="true"/>
        <sz val="14"/>
        <rFont val="Noto Sans CJK SC"/>
        <family val="2"/>
      </rPr>
      <t xml:space="preserve">벤치마크</t>
    </r>
  </si>
  <si>
    <t xml:space="preserve">항목</t>
  </si>
  <si>
    <t xml:space="preserve">내용</t>
  </si>
  <si>
    <t xml:space="preserve">분석 범위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</si>
  <si>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/ Google Play </t>
    </r>
    <r>
      <rPr>
        <sz val="11"/>
        <rFont val="Noto Sans CJK SC"/>
        <family val="2"/>
      </rPr>
      <t xml:space="preserve">게임 카테고리 </t>
    </r>
    <r>
      <rPr>
        <sz val="11"/>
        <rFont val="Arial"/>
        <family val="0"/>
        <charset val="1"/>
      </rPr>
      <t xml:space="preserve">Top Free 1~100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</si>
  <si>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기준일</t>
    </r>
  </si>
  <si>
    <t xml:space="preserve">2026-10-03</t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</si>
  <si>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</si>
  <si>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GameDropDaily (Apple </t>
    </r>
    <r>
      <rPr>
        <sz val="11"/>
        <rFont val="Noto Sans CJK SC"/>
        <family val="2"/>
      </rPr>
      <t xml:space="preserve">공개 </t>
    </r>
    <r>
      <rPr>
        <sz val="11"/>
        <rFont val="Arial"/>
        <family val="0"/>
        <charset val="1"/>
      </rPr>
      <t xml:space="preserve">iTunes RSS </t>
    </r>
    <r>
      <rPr>
        <sz val="11"/>
        <rFont val="Noto Sans CJK SC"/>
        <family val="2"/>
      </rPr>
      <t xml:space="preserve">차트 기반</t>
    </r>
    <r>
      <rPr>
        <sz val="11"/>
        <rFont val="Arial"/>
        <family val="0"/>
        <charset val="1"/>
      </rPr>
      <t xml:space="preserve">) https://gamedropdaily.com/mobile/ · 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 교차 확인</t>
    </r>
    <r>
      <rPr>
        <sz val="11"/>
        <rFont val="Arial"/>
        <family val="0"/>
        <charset val="1"/>
      </rPr>
      <t xml:space="preserve">: AppBrain https://www.appbrain.com/stats/appstore-rankings</t>
    </r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</si>
  <si>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기준일</t>
    </r>
  </si>
  <si>
    <t xml:space="preserve">2026-10-04</t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</si>
  <si>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</si>
  <si>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Free Games https://www.appbrain.com/stats/google-play-rankings/top_free/game/us · </t>
    </r>
    <r>
      <rPr>
        <sz val="11"/>
        <rFont val="Noto Sans CJK SC"/>
        <family val="2"/>
      </rPr>
      <t xml:space="preserve">교차 확인</t>
    </r>
    <r>
      <rPr>
        <sz val="11"/>
        <rFont val="Arial"/>
        <family val="0"/>
        <charset val="1"/>
      </rPr>
      <t xml:space="preserve">: GameDropDaily https://gamedropdaily.com/android/</t>
    </r>
  </si>
  <si>
    <t xml:space="preserve">참고</t>
  </si>
  <si>
    <r>
      <rPr>
        <sz val="11"/>
        <rFont val="Noto Sans CJK SC"/>
        <family val="2"/>
      </rPr>
      <t xml:space="preserve">수집 시점 차이로 출처 간 순위가 </t>
    </r>
    <r>
      <rPr>
        <sz val="11"/>
        <rFont val="Arial"/>
        <family val="0"/>
        <charset val="1"/>
      </rPr>
      <t xml:space="preserve">1~5</t>
    </r>
    <r>
      <rPr>
        <sz val="11"/>
        <rFont val="Noto Sans CJK SC"/>
        <family val="2"/>
      </rPr>
      <t xml:space="preserve">계단 다를 수 있음</t>
    </r>
    <r>
      <rPr>
        <sz val="11"/>
        <rFont val="Arial"/>
        <family val="0"/>
        <charset val="1"/>
      </rPr>
      <t xml:space="preserve">. Google Play 80</t>
    </r>
    <r>
      <rPr>
        <sz val="11"/>
        <rFont val="Noto Sans CJK SC"/>
        <family val="2"/>
      </rPr>
      <t xml:space="preserve">위는 출처 페이지에서 누락되어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</t>
    </r>
    <r>
      <rPr>
        <sz val="11"/>
        <rFont val="Arial"/>
        <family val="0"/>
        <charset val="1"/>
      </rPr>
      <t xml:space="preserve">.</t>
    </r>
  </si>
  <si>
    <t xml:space="preserve">장르 분류</t>
  </si>
  <si>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스토어 카테고리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공개 게임 정보 기반의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확신이 낮은 항목은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비고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표시하고 노란색으로 강조</t>
    </r>
    <r>
      <rPr>
        <sz val="11"/>
        <rFont val="Arial"/>
        <family val="0"/>
        <charset val="1"/>
      </rPr>
      <t xml:space="preserve">.</t>
    </r>
  </si>
  <si>
    <t xml:space="preserve">수정 방법</t>
  </si>
  <si>
    <r>
      <rPr>
        <sz val="11"/>
        <rFont val="Noto Sans CJK SC"/>
        <family val="2"/>
      </rPr>
      <t xml:space="preserve">시장조사</t>
    </r>
    <r>
      <rPr>
        <sz val="11"/>
        <rFont val="Arial"/>
        <family val="0"/>
        <charset val="1"/>
      </rPr>
      <t xml:space="preserve">.xlsx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'1-1 App Store Top100' / '1-2 Google Play Top100' </t>
    </r>
    <r>
      <rPr>
        <sz val="11"/>
        <rFont val="Noto Sans CJK SC"/>
        <family val="2"/>
      </rPr>
      <t xml:space="preserve">시트의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대분류</t>
    </r>
    <r>
      <rPr>
        <sz val="11"/>
        <rFont val="Arial"/>
        <family val="0"/>
        <charset val="1"/>
      </rPr>
      <t xml:space="preserve">', '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열을 수정하면 </t>
    </r>
    <r>
      <rPr>
        <sz val="11"/>
        <rFont val="Arial"/>
        <family val="0"/>
        <charset val="1"/>
      </rPr>
      <t xml:space="preserve">'1-3 </t>
    </r>
    <r>
      <rPr>
        <sz val="11"/>
        <rFont val="Noto Sans CJK SC"/>
        <family val="2"/>
      </rPr>
      <t xml:space="preserve">장르 분포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시장조사</t>
    </r>
    <r>
      <rPr>
        <sz val="11"/>
        <rFont val="Arial"/>
        <family val="0"/>
        <charset val="1"/>
      </rPr>
      <t xml:space="preserve">.xlsx) </t>
    </r>
    <r>
      <rPr>
        <sz val="11"/>
        <rFont val="Noto Sans CJK SC"/>
        <family val="2"/>
      </rPr>
      <t xml:space="preserve">집계가 자동으로 갱신됨</t>
    </r>
    <r>
      <rPr>
        <sz val="11"/>
        <rFont val="Arial"/>
        <family val="0"/>
        <charset val="1"/>
      </rPr>
      <t xml:space="preserve">(COUNTIF </t>
    </r>
    <r>
      <rPr>
        <sz val="11"/>
        <rFont val="Noto Sans CJK SC"/>
        <family val="2"/>
      </rPr>
      <t xml:space="preserve">수식</t>
    </r>
    <r>
      <rPr>
        <sz val="11"/>
        <rFont val="Arial"/>
        <family val="0"/>
        <charset val="1"/>
      </rPr>
      <t xml:space="preserve">).</t>
    </r>
  </si>
  <si>
    <t xml:space="preserve">시트 구성</t>
  </si>
  <si>
    <r>
      <rPr>
        <sz val="11"/>
        <rFont val="Arial"/>
        <family val="0"/>
        <charset val="1"/>
      </rPr>
      <t xml:space="preserve">[0 </t>
    </r>
    <r>
      <rPr>
        <sz val="11"/>
        <rFont val="Noto Sans CJK SC"/>
        <family val="2"/>
      </rPr>
      <t xml:space="preserve">안내</t>
    </r>
    <r>
      <rPr>
        <sz val="11"/>
        <rFont val="Arial"/>
        <family val="0"/>
        <charset val="1"/>
      </rPr>
      <t xml:space="preserve">] 0-1 </t>
    </r>
    <r>
      <rPr>
        <sz val="11"/>
        <rFont val="Noto Sans CJK SC"/>
        <family val="2"/>
      </rPr>
      <t xml:space="preserve">개요 </t>
    </r>
    <r>
      <rPr>
        <sz val="11"/>
        <rFont val="Arial"/>
        <family val="0"/>
        <charset val="1"/>
      </rPr>
      <t xml:space="preserve">/ [1 </t>
    </r>
    <r>
      <rPr>
        <sz val="11"/>
        <rFont val="Noto Sans CJK SC"/>
        <family val="2"/>
      </rPr>
      <t xml:space="preserve">성공 비결</t>
    </r>
    <r>
      <rPr>
        <sz val="11"/>
        <rFont val="Arial"/>
        <family val="0"/>
        <charset val="1"/>
      </rPr>
      <t xml:space="preserve">] 1-1 </t>
    </r>
    <r>
      <rPr>
        <sz val="11"/>
        <rFont val="Noto Sans CJK SC"/>
        <family val="2"/>
      </rPr>
      <t xml:space="preserve">점수 기준 </t>
    </r>
    <r>
      <rPr>
        <sz val="11"/>
        <rFont val="Arial"/>
        <family val="0"/>
        <charset val="1"/>
      </rPr>
      <t xml:space="preserve">· 1-2 </t>
    </r>
    <r>
      <rPr>
        <sz val="11"/>
        <rFont val="Noto Sans CJK SC"/>
        <family val="2"/>
      </rPr>
      <t xml:space="preserve">성공 점수표 </t>
    </r>
    <r>
      <rPr>
        <sz val="11"/>
        <rFont val="Arial"/>
        <family val="0"/>
        <charset val="1"/>
      </rPr>
      <t xml:space="preserve">· 1-3 </t>
    </r>
    <r>
      <rPr>
        <sz val="11"/>
        <rFont val="Noto Sans CJK SC"/>
        <family val="2"/>
      </rPr>
      <t xml:space="preserve">성적표 카드 </t>
    </r>
    <r>
      <rPr>
        <sz val="11"/>
        <rFont val="Arial"/>
        <family val="0"/>
        <charset val="1"/>
      </rPr>
      <t xml:space="preserve">· 1-4 </t>
    </r>
    <r>
      <rPr>
        <sz val="11"/>
        <rFont val="Noto Sans CJK SC"/>
        <family val="2"/>
      </rPr>
      <t xml:space="preserve">성공 비결 해부 </t>
    </r>
    <r>
      <rPr>
        <sz val="11"/>
        <rFont val="Arial"/>
        <family val="0"/>
        <charset val="1"/>
      </rPr>
      <t xml:space="preserve">· 1-5 </t>
    </r>
    <r>
      <rPr>
        <sz val="11"/>
        <rFont val="Noto Sans CJK SC"/>
        <family val="2"/>
      </rPr>
      <t xml:space="preserve">성공 비결 확장 </t>
    </r>
    <r>
      <rPr>
        <sz val="11"/>
        <rFont val="Arial"/>
        <family val="0"/>
        <charset val="1"/>
      </rPr>
      <t xml:space="preserve">· 1-6 </t>
    </r>
    <r>
      <rPr>
        <sz val="11"/>
        <rFont val="Noto Sans CJK SC"/>
        <family val="2"/>
      </rPr>
      <t xml:space="preserve">공통점 분석 </t>
    </r>
    <r>
      <rPr>
        <sz val="11"/>
        <rFont val="Arial"/>
        <family val="0"/>
        <charset val="1"/>
      </rPr>
      <t xml:space="preserve">· 1-7 </t>
    </r>
    <r>
      <rPr>
        <sz val="11"/>
        <rFont val="Noto Sans CJK SC"/>
        <family val="2"/>
      </rPr>
      <t xml:space="preserve">성공 공식 </t>
    </r>
    <r>
      <rPr>
        <sz val="11"/>
        <rFont val="Arial"/>
        <family val="0"/>
        <charset val="1"/>
      </rPr>
      <t xml:space="preserve">TOP5 / [2 MVP] 2-1 MVP </t>
    </r>
    <r>
      <rPr>
        <sz val="11"/>
        <rFont val="Noto Sans CJK SC"/>
        <family val="2"/>
      </rPr>
      <t xml:space="preserve">명세 </t>
    </r>
    <r>
      <rPr>
        <sz val="11"/>
        <rFont val="Arial"/>
        <family val="0"/>
        <charset val="1"/>
      </rPr>
      <t xml:space="preserve">· 2-2 MVP </t>
    </r>
    <r>
      <rPr>
        <sz val="11"/>
        <rFont val="Noto Sans CJK SC"/>
        <family val="2"/>
      </rPr>
      <t xml:space="preserve">검증 목표 </t>
    </r>
    <r>
      <rPr>
        <sz val="11"/>
        <rFont val="Arial"/>
        <family val="0"/>
        <charset val="1"/>
      </rPr>
      <t xml:space="preserve">· 2-3 </t>
    </r>
    <r>
      <rPr>
        <sz val="11"/>
        <rFont val="Noto Sans CJK SC"/>
        <family val="2"/>
      </rPr>
      <t xml:space="preserve">장르 연결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/ [4 </t>
    </r>
    <r>
      <rPr>
        <sz val="11"/>
        <rFont val="Noto Sans CJK SC"/>
        <family val="2"/>
      </rPr>
      <t xml:space="preserve">참조용 복사본</t>
    </r>
    <r>
      <rPr>
        <sz val="11"/>
        <rFont val="Arial"/>
        <family val="0"/>
        <charset val="1"/>
      </rPr>
      <t xml:space="preserve">] 4-1 </t>
    </r>
    <r>
      <rPr>
        <sz val="11"/>
        <rFont val="Noto Sans CJK SC"/>
        <family val="2"/>
      </rPr>
      <t xml:space="preserve">지역 벤치마크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4-2 </t>
    </r>
    <r>
      <rPr>
        <sz val="11"/>
        <rFont val="Noto Sans CJK SC"/>
        <family val="2"/>
      </rPr>
      <t xml:space="preserve">장르 차트 판독값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· 4-3 </t>
    </r>
    <r>
      <rPr>
        <sz val="11"/>
        <rFont val="Noto Sans CJK SC"/>
        <family val="2"/>
      </rPr>
      <t xml:space="preserve">장르 판독 요약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  ※ </t>
    </r>
    <r>
      <rPr>
        <sz val="11"/>
        <rFont val="Noto Sans CJK SC"/>
        <family val="2"/>
      </rPr>
      <t xml:space="preserve">시장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벤치마크 숫자 자료은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는</t>
    </r>
    <r>
      <rPr>
        <sz val="11"/>
        <rFont val="Arial"/>
        <family val="0"/>
        <charset val="1"/>
      </rPr>
      <t xml:space="preserve">) '</t>
    </r>
    <r>
      <rPr>
        <sz val="11"/>
        <rFont val="Noto Sans CJK SC"/>
        <family val="2"/>
      </rPr>
      <t xml:space="preserve">시장조사</t>
    </r>
    <r>
      <rPr>
        <sz val="11"/>
        <rFont val="Arial"/>
        <family val="0"/>
        <charset val="1"/>
      </rPr>
      <t xml:space="preserve">.xlsx' </t>
    </r>
    <r>
      <rPr>
        <sz val="11"/>
        <rFont val="Noto Sans CJK SC"/>
        <family val="2"/>
      </rPr>
      <t xml:space="preserve">파일에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파일 사이 수식 연결 없음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</si>
  <si>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</si>
  <si>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GameAnalytics 2026·2025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, AppsFlyer State of App Monetization 2026·Gaming App Marketing 2024, Appodeal Mobile Casual Benchmarks 2025. </t>
    </r>
    <r>
      <rPr>
        <sz val="11"/>
        <rFont val="Noto Sans CJK SC"/>
        <family val="2"/>
      </rPr>
      <t xml:space="preserve">출처 없는 수치는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제외한 자료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기록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</si>
  <si>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</si>
  <si>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구글 플레이 매출 순위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2026-10-01.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Fire). </t>
    </r>
    <r>
      <rPr>
        <sz val="11"/>
        <rFont val="Noto Sans CJK SC"/>
        <family val="2"/>
      </rPr>
      <t xml:space="preserve">별점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게임 방식 일부는 분석자 추정</t>
    </r>
    <r>
      <rPr>
        <sz val="11"/>
        <rFont val="Arial"/>
        <family val="0"/>
        <charset val="1"/>
      </rPr>
      <t xml:space="preserve">.</t>
    </r>
  </si>
  <si>
    <t xml:space="preserve">지역 비교 출처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</si>
  <si>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Google Play Top Free Games: 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2026-09-25.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Fire), 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</si>
  <si>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t xml:space="preserve">지역 비교 한계</t>
  </si>
  <si>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아시아는 구글 플레이만 조사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미포함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국가별 장르 분류는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인도네시아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미포함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원인 설명 일부는 추정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</si>
  <si>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</si>
  <si>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Grossing / Top Free Games (</t>
    </r>
    <r>
      <rPr>
        <sz val="11"/>
        <rFont val="Noto Sans CJK SC"/>
        <family val="2"/>
      </rPr>
      <t xml:space="preserve">둘 다 </t>
    </r>
    <r>
      <rPr>
        <sz val="11"/>
        <rFont val="Arial"/>
        <family val="0"/>
        <charset val="1"/>
      </rPr>
      <t xml:space="preserve">2026-10-04).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Top Free Games (2026-10-05). OS: StatCounter Global Stats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점유율 </t>
    </r>
    <r>
      <rPr>
        <sz val="11"/>
        <rFont val="Arial"/>
        <family val="0"/>
        <charset val="1"/>
      </rPr>
      <t xml:space="preserve">(2026-09, </t>
    </r>
    <r>
      <rPr>
        <sz val="11"/>
        <rFont val="Noto Sans CJK SC"/>
        <family val="2"/>
      </rPr>
      <t xml:space="preserve">오세아니아 </t>
    </r>
    <r>
      <rPr>
        <sz val="11"/>
        <rFont val="Arial"/>
        <family val="0"/>
        <charset val="1"/>
      </rPr>
      <t xml:space="preserve">2026-08). </t>
    </r>
    <r>
      <rPr>
        <sz val="11"/>
        <rFont val="Noto Sans CJK SC"/>
        <family val="2"/>
      </rPr>
      <t xml:space="preserve">게임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다운로드 스토어 비율</t>
    </r>
    <r>
      <rPr>
        <sz val="11"/>
        <rFont val="Arial"/>
        <family val="0"/>
        <charset val="1"/>
      </rPr>
      <t xml:space="preserve">: Sensor Tower State of Gaming 2026 (9to5Mac </t>
    </r>
    <r>
      <rPr>
        <sz val="11"/>
        <rFont val="Noto Sans CJK SC"/>
        <family val="2"/>
      </rPr>
      <t xml:space="preserve">보도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동남아 벤치마크</t>
    </r>
    <r>
      <rPr>
        <sz val="11"/>
        <rFont val="Arial"/>
        <family val="0"/>
        <charset val="1"/>
      </rPr>
      <t xml:space="preserve">: GameAnalytics 2025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p.13~16, 2026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p.15~19.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</si>
  <si>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</si>
  <si>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태국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베트남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필리핀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말레이시아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은 공개 순위 출처가 없어 확인 불가</t>
    </r>
    <r>
      <rPr>
        <sz val="11"/>
        <rFont val="Arial"/>
        <family val="0"/>
        <charset val="1"/>
      </rPr>
      <t xml:space="preserve">. OS </t>
    </r>
    <r>
      <rPr>
        <sz val="11"/>
        <rFont val="Noto Sans CJK SC"/>
        <family val="2"/>
      </rPr>
      <t xml:space="preserve">값은 대륙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나라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싱가포르 참고 포함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조사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비교의 공식 설치 구간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출시일은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만 확인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지역 비교 한계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줄의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동남아 미포함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문구는 기존 칸이라 그대로 둠</t>
    </r>
    <r>
      <rPr>
        <sz val="11"/>
        <rFont val="Arial"/>
        <family val="0"/>
        <charset val="1"/>
      </rPr>
      <t xml:space="preserve">.</t>
    </r>
  </si>
  <si>
    <t xml:space="preserve">값</t>
  </si>
  <si>
    <t xml:space="preserve">설명</t>
  </si>
  <si>
    <r>
      <rPr>
        <sz val="11"/>
        <rFont val="Noto Sans CJK SC"/>
        <family val="2"/>
      </rPr>
      <t xml:space="preserve">인기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무료 순위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</si>
  <si>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구글 플레이 무료 순위</t>
    </r>
  </si>
  <si>
    <r>
      <rPr>
        <sz val="11"/>
        <rFont val="Noto Sans CJK SC"/>
        <family val="2"/>
      </rPr>
      <t xml:space="preserve">돈 버는 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매출 순위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</si>
  <si>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구글 플레이 매출 순위</t>
    </r>
  </si>
  <si>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누적 설치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</si>
  <si>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만 설치</t>
    </r>
    <r>
      <rPr>
        <sz val="11"/>
        <rFont val="Arial"/>
        <family val="0"/>
        <charset val="1"/>
      </rPr>
      <t xml:space="preserve">=0</t>
    </r>
    <r>
      <rPr>
        <sz val="11"/>
        <rFont val="Noto Sans CJK SC"/>
        <family val="2"/>
      </rPr>
      <t xml:space="preserve">점</t>
    </r>
    <r>
      <rPr>
        <sz val="11"/>
        <rFont val="Arial"/>
        <family val="0"/>
        <charset val="1"/>
      </rPr>
      <t xml:space="preserve">, 10</t>
    </r>
    <r>
      <rPr>
        <sz val="11"/>
        <rFont val="Noto Sans CJK SC"/>
        <family val="2"/>
      </rPr>
      <t xml:space="preserve">억 설치 이상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만점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로그 비례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</si>
  <si>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만족도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평점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배점</t>
    </r>
  </si>
  <si>
    <r>
      <rPr>
        <sz val="11"/>
        <rFont val="Noto Sans CJK SC"/>
        <family val="2"/>
      </rPr>
      <t xml:space="preserve">평점 </t>
    </r>
    <r>
      <rPr>
        <sz val="11"/>
        <rFont val="Arial"/>
        <family val="0"/>
        <charset val="1"/>
      </rPr>
      <t xml:space="preserve">3.5 </t>
    </r>
    <r>
      <rPr>
        <sz val="11"/>
        <rFont val="Noto Sans CJK SC"/>
        <family val="2"/>
      </rPr>
      <t xml:space="preserve">이하</t>
    </r>
    <r>
      <rPr>
        <sz val="11"/>
        <rFont val="Arial"/>
        <family val="0"/>
        <charset val="1"/>
      </rPr>
      <t xml:space="preserve">=0</t>
    </r>
    <r>
      <rPr>
        <sz val="11"/>
        <rFont val="Noto Sans CJK SC"/>
        <family val="2"/>
      </rPr>
      <t xml:space="preserve">점</t>
    </r>
    <r>
      <rPr>
        <sz val="11"/>
        <rFont val="Arial"/>
        <family val="0"/>
        <charset val="1"/>
      </rPr>
      <t xml:space="preserve">, 5.0=</t>
    </r>
    <r>
      <rPr>
        <sz val="11"/>
        <rFont val="Noto Sans CJK SC"/>
        <family val="2"/>
      </rPr>
      <t xml:space="preserve">만점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평점 미표시는 중간값</t>
    </r>
    <r>
      <rPr>
        <sz val="11"/>
        <rFont val="Arial"/>
        <family val="0"/>
        <charset val="1"/>
      </rPr>
      <t xml:space="preserve">(50%)</t>
    </r>
  </si>
  <si>
    <t xml:space="preserve">오래가는 힘 배점</t>
  </si>
  <si>
    <r>
      <rPr>
        <sz val="11"/>
        <rFont val="Noto Sans CJK SC"/>
        <family val="2"/>
      </rPr>
      <t xml:space="preserve">출시 후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년 이상 차트 유지 시 만점</t>
    </r>
    <r>
      <rPr>
        <sz val="11"/>
        <rFont val="Arial"/>
        <family val="0"/>
        <charset val="1"/>
      </rPr>
      <t xml:space="preserve">(1</t>
    </r>
    <r>
      <rPr>
        <sz val="11"/>
        <rFont val="Noto Sans CJK SC"/>
        <family val="2"/>
      </rPr>
      <t xml:space="preserve">년당 </t>
    </r>
    <r>
      <rPr>
        <sz val="11"/>
        <rFont val="Arial"/>
        <family val="0"/>
        <charset val="1"/>
      </rPr>
      <t xml:space="preserve">20%)</t>
    </r>
  </si>
  <si>
    <t xml:space="preserve">따라 만들기 쉬움 배점</t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</si>
  <si>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점수표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아래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를 따름</t>
    </r>
  </si>
  <si>
    <t xml:space="preserve">최고 시장 반영 비중</t>
  </si>
  <si>
    <r>
      <rPr>
        <sz val="11"/>
        <rFont val="Noto Sans CJK SC"/>
        <family val="2"/>
      </rPr>
      <t xml:space="preserve">순위 점수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최고 시장 점수</t>
    </r>
    <r>
      <rPr>
        <sz val="11"/>
        <rFont val="Arial"/>
        <family val="0"/>
        <charset val="1"/>
      </rPr>
      <t xml:space="preserve">×0.6 + </t>
    </r>
    <r>
      <rPr>
        <sz val="11"/>
        <rFont val="Noto Sans CJK SC"/>
        <family val="2"/>
      </rPr>
      <t xml:space="preserve">전체 평균</t>
    </r>
    <r>
      <rPr>
        <sz val="11"/>
        <rFont val="Arial"/>
        <family val="0"/>
        <charset val="1"/>
      </rPr>
      <t xml:space="preserve">×0.4 (</t>
    </r>
    <r>
      <rPr>
        <sz val="11"/>
        <rFont val="Noto Sans CJK SC"/>
        <family val="2"/>
      </rPr>
      <t xml:space="preserve">지역 챔피언이 손해 보지 않도록</t>
    </r>
    <r>
      <rPr>
        <sz val="11"/>
        <rFont val="Arial"/>
        <family val="0"/>
        <charset val="1"/>
      </rPr>
      <t xml:space="preserve">)</t>
    </r>
  </si>
  <si>
    <t xml:space="preserve">기준 연도</t>
  </si>
  <si>
    <t xml:space="preserve">오래가는 힘 계산 기준</t>
  </si>
  <si>
    <r>
      <rPr>
        <sz val="11"/>
        <rFont val="Arial"/>
        <family val="0"/>
        <charset val="1"/>
      </rPr>
      <t xml:space="preserve">A+ </t>
    </r>
    <r>
      <rPr>
        <sz val="11"/>
        <rFont val="Noto Sans CJK SC"/>
        <family val="2"/>
      </rPr>
      <t xml:space="preserve">전설 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</si>
  <si>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초기 가이드의 </t>
    </r>
    <r>
      <rPr>
        <sz val="11"/>
        <rFont val="Arial"/>
        <family val="0"/>
        <charset val="1"/>
      </rPr>
      <t xml:space="preserve">90</t>
    </r>
    <r>
      <rPr>
        <sz val="11"/>
        <rFont val="Noto Sans CJK SC"/>
        <family val="2"/>
      </rPr>
      <t xml:space="preserve">점은 모든 지역을 석권한 게임이 없어 </t>
    </r>
    <r>
      <rPr>
        <sz val="11"/>
        <rFont val="Arial"/>
        <family val="0"/>
        <charset val="1"/>
      </rPr>
      <t xml:space="preserve">80</t>
    </r>
    <r>
      <rPr>
        <sz val="11"/>
        <rFont val="Noto Sans CJK SC"/>
        <family val="2"/>
      </rPr>
      <t xml:space="preserve">점으로 조정</t>
    </r>
  </si>
  <si>
    <r>
      <rPr>
        <sz val="11"/>
        <rFont val="Arial"/>
        <family val="0"/>
        <charset val="1"/>
      </rPr>
      <t xml:space="preserve">A </t>
    </r>
    <r>
      <rPr>
        <sz val="11"/>
        <rFont val="Noto Sans CJK SC"/>
        <family val="2"/>
      </rPr>
      <t xml:space="preserve">강자 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</si>
  <si>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초기 가이드의 </t>
    </r>
    <r>
      <rPr>
        <sz val="11"/>
        <rFont val="Arial"/>
        <family val="0"/>
        <charset val="1"/>
      </rPr>
      <t xml:space="preserve">75</t>
    </r>
    <r>
      <rPr>
        <sz val="11"/>
        <rFont val="Noto Sans CJK SC"/>
        <family val="2"/>
      </rPr>
      <t xml:space="preserve">점에서 조정</t>
    </r>
  </si>
  <si>
    <r>
      <rPr>
        <sz val="11"/>
        <rFont val="Arial"/>
        <family val="0"/>
        <charset val="1"/>
      </rPr>
      <t xml:space="preserve">B </t>
    </r>
    <r>
      <rPr>
        <sz val="11"/>
        <rFont val="Noto Sans CJK SC"/>
        <family val="2"/>
      </rPr>
      <t xml:space="preserve">유망 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</si>
  <si>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그 미만은 </t>
    </r>
    <r>
      <rPr>
        <sz val="11"/>
        <rFont val="Arial"/>
        <family val="0"/>
        <charset val="1"/>
      </rPr>
      <t xml:space="preserve">C </t>
    </r>
    <r>
      <rPr>
        <sz val="11"/>
        <rFont val="Noto Sans CJK SC"/>
        <family val="2"/>
      </rPr>
      <t xml:space="preserve">도전자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</si>
  <si>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S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</si>
  <si>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소규모</t>
    </r>
    <r>
      <rPr>
        <sz val="11"/>
        <rFont val="Arial"/>
        <family val="0"/>
        <charset val="1"/>
      </rPr>
      <t xml:space="preserve">: 2~4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2~3</t>
    </r>
    <r>
      <rPr>
        <sz val="11"/>
        <rFont val="Noto Sans CJK SC"/>
        <family val="2"/>
      </rPr>
      <t xml:space="preserve">개월 내외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</si>
  <si>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M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</si>
  <si>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중규모</t>
    </r>
    <r>
      <rPr>
        <sz val="11"/>
        <rFont val="Arial"/>
        <family val="0"/>
        <charset val="1"/>
      </rPr>
      <t xml:space="preserve">: 5~10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4~8</t>
    </r>
    <r>
      <rPr>
        <sz val="11"/>
        <rFont val="Noto Sans CJK SC"/>
        <family val="2"/>
      </rPr>
      <t xml:space="preserve">개월 내외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</si>
  <si>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L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</si>
  <si>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대규모</t>
    </r>
    <r>
      <rPr>
        <sz val="11"/>
        <rFont val="Arial"/>
        <family val="0"/>
        <charset val="1"/>
      </rPr>
      <t xml:space="preserve">: 10~25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8~15</t>
    </r>
    <r>
      <rPr>
        <sz val="11"/>
        <rFont val="Noto Sans CJK SC"/>
        <family val="2"/>
      </rPr>
      <t xml:space="preserve">개월 내외 또는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필요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</si>
  <si>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0"/>
        <charset val="1"/>
      </rPr>
      <t xml:space="preserve">XL </t>
    </r>
    <r>
      <rPr>
        <sz val="11"/>
        <rFont val="Noto Sans CJK SC"/>
        <family val="2"/>
      </rPr>
      <t xml:space="preserve">점수</t>
    </r>
  </si>
  <si>
    <r>
      <rPr>
        <sz val="11"/>
        <rFont val="Noto Sans CJK SC"/>
        <family val="2"/>
      </rPr>
      <t xml:space="preserve">초대형</t>
    </r>
    <r>
      <rPr>
        <sz val="11"/>
        <rFont val="Arial"/>
        <family val="0"/>
        <charset val="1"/>
      </rPr>
      <t xml:space="preserve">: 30</t>
    </r>
    <r>
      <rPr>
        <sz val="11"/>
        <rFont val="Noto Sans CJK SC"/>
        <family val="2"/>
      </rPr>
      <t xml:space="preserve">명 이상</t>
    </r>
    <r>
      <rPr>
        <sz val="11"/>
        <rFont val="Arial"/>
        <family val="0"/>
        <charset val="1"/>
      </rPr>
      <t xml:space="preserve">, 1.5</t>
    </r>
    <r>
      <rPr>
        <sz val="11"/>
        <rFont val="Noto Sans CJK SC"/>
        <family val="2"/>
      </rPr>
      <t xml:space="preserve">년 이상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라이브 운영 필수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</si>
  <si>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파란 글씨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노란 칸은 바꿀 수 있는 가정값입니다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바꾸면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성공 점수표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가 자동으로 다시 계산됩니다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</si>
  <si>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무료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구글 플레이</t>
    </r>
    <r>
      <rPr>
        <b val="true"/>
        <sz val="11"/>
        <color rgb="FFFFFFFF"/>
        <rFont val="Arial"/>
        <family val="0"/>
        <charset val="1"/>
      </rPr>
      <t xml:space="preserve">, </t>
    </r>
    <r>
      <rPr>
        <b val="true"/>
        <sz val="11"/>
        <color rgb="FFFFFFFF"/>
        <rFont val="Noto Sans CJK SC"/>
        <family val="2"/>
      </rPr>
      <t xml:space="preserve">빈칸</t>
    </r>
    <r>
      <rPr>
        <b val="true"/>
        <sz val="11"/>
        <color rgb="FFFFFFFF"/>
        <rFont val="Arial"/>
        <family val="0"/>
        <charset val="1"/>
      </rPr>
      <t xml:space="preserve">=Top100 </t>
    </r>
    <r>
      <rPr>
        <b val="true"/>
        <sz val="11"/>
        <color rgb="FFFFFFFF"/>
        <rFont val="Noto Sans CJK SC"/>
        <family val="2"/>
      </rPr>
      <t xml:space="preserve">밖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</si>
  <si>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매출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구글 플레이</t>
    </r>
    <r>
      <rPr>
        <b val="true"/>
        <sz val="11"/>
        <color rgb="FFFFFFFF"/>
        <rFont val="Arial"/>
        <family val="0"/>
        <charset val="1"/>
      </rPr>
      <t xml:space="preserve">, </t>
    </r>
    <r>
      <rPr>
        <b val="true"/>
        <sz val="11"/>
        <color rgb="FFFFFFFF"/>
        <rFont val="Noto Sans CJK SC"/>
        <family val="2"/>
      </rPr>
      <t xml:space="preserve">빈칸</t>
    </r>
    <r>
      <rPr>
        <b val="true"/>
        <sz val="11"/>
        <color rgb="FFFFFFFF"/>
        <rFont val="Arial"/>
        <family val="0"/>
        <charset val="1"/>
      </rPr>
      <t xml:space="preserve">=Top100 </t>
    </r>
    <r>
      <rPr>
        <b val="true"/>
        <sz val="11"/>
        <color rgb="FFFFFFFF"/>
        <rFont val="Noto Sans CJK SC"/>
        <family val="2"/>
      </rPr>
      <t xml:space="preserve">밖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</si>
  <si>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기본 정보</t>
  </si>
  <si>
    <r>
      <rPr>
        <b val="true"/>
        <sz val="11"/>
        <color rgb="FFFFFFFF"/>
        <rFont val="Noto Sans CJK SC"/>
        <family val="2"/>
      </rPr>
      <t xml:space="preserve">점수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자동 계산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</si>
  <si>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게임</t>
  </si>
  <si>
    <t xml:space="preserve">퍼블리셔</t>
  </si>
  <si>
    <t xml:space="preserve">장르</t>
  </si>
  <si>
    <t xml:space="preserve">미국</t>
  </si>
  <si>
    <t xml:space="preserve">캐나다</t>
  </si>
  <si>
    <t xml:space="preserve">브라질</t>
  </si>
  <si>
    <t xml:space="preserve">멕시코</t>
  </si>
  <si>
    <t xml:space="preserve">일본</t>
  </si>
  <si>
    <t xml:space="preserve">한국</t>
  </si>
  <si>
    <r>
      <rPr>
        <b val="true"/>
        <sz val="11"/>
        <color rgb="FFFFFFFF"/>
        <rFont val="Noto Sans CJK SC"/>
        <family val="2"/>
      </rPr>
      <t xml:space="preserve">누적 설치</t>
    </r>
    <r>
      <rPr>
        <b val="true"/>
        <sz val="11"/>
        <color rgb="FFFFFFFF"/>
        <rFont val="Arial"/>
        <family val="0"/>
        <charset val="1"/>
      </rPr>
      <t xml:space="preserve">(GP)</t>
    </r>
  </si>
  <si>
    <t xml:space="preserve">평점</t>
  </si>
  <si>
    <r>
      <rPr>
        <b val="true"/>
        <sz val="11"/>
        <color rgb="FFFFFFFF"/>
        <rFont val="Noto Sans CJK SC"/>
        <family val="2"/>
      </rPr>
      <t xml:space="preserve">출시연도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</si>
  <si>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MVP </t>
    </r>
    <r>
      <rPr>
        <b val="true"/>
        <sz val="11"/>
        <color rgb="FFFFFFFF"/>
        <rFont val="Noto Sans CJK SC"/>
        <family val="2"/>
      </rPr>
      <t xml:space="preserve">규모</t>
    </r>
  </si>
  <si>
    <r>
      <rPr>
        <b val="true"/>
        <sz val="11"/>
        <color rgb="FFFFFFFF"/>
        <rFont val="Noto Sans CJK SC"/>
        <family val="2"/>
      </rPr>
      <t xml:space="preserve">인기 </t>
    </r>
    <r>
      <rPr>
        <b val="true"/>
        <sz val="11"/>
        <color rgb="FFFFFFFF"/>
        <rFont val="Arial"/>
        <family val="0"/>
        <charset val="1"/>
      </rPr>
      <t xml:space="preserve">/25</t>
    </r>
  </si>
  <si>
    <r>
      <rPr>
        <b val="true"/>
        <sz val="11"/>
        <color rgb="FFFFFFFF"/>
        <rFont val="Noto Sans CJK SC"/>
        <family val="2"/>
      </rPr>
      <t xml:space="preserve">돈 버는 힘 </t>
    </r>
    <r>
      <rPr>
        <b val="true"/>
        <sz val="11"/>
        <color rgb="FFFFFFFF"/>
        <rFont val="Arial"/>
        <family val="0"/>
        <charset val="1"/>
      </rPr>
      <t xml:space="preserve">/25</t>
    </r>
  </si>
  <si>
    <r>
      <rPr>
        <b val="true"/>
        <sz val="11"/>
        <color rgb="FFFFFFFF"/>
        <rFont val="Noto Sans CJK SC"/>
        <family val="2"/>
      </rPr>
      <t xml:space="preserve">규모 </t>
    </r>
    <r>
      <rPr>
        <b val="true"/>
        <sz val="11"/>
        <color rgb="FFFFFFFF"/>
        <rFont val="Arial"/>
        <family val="0"/>
        <charset val="1"/>
      </rPr>
      <t xml:space="preserve">/15</t>
    </r>
  </si>
  <si>
    <r>
      <rPr>
        <b val="true"/>
        <sz val="11"/>
        <color rgb="FFFFFFFF"/>
        <rFont val="Noto Sans CJK SC"/>
        <family val="2"/>
      </rPr>
      <t xml:space="preserve">만족도 </t>
    </r>
    <r>
      <rPr>
        <b val="true"/>
        <sz val="11"/>
        <color rgb="FFFFFFFF"/>
        <rFont val="Arial"/>
        <family val="0"/>
        <charset val="1"/>
      </rPr>
      <t xml:space="preserve">/15</t>
    </r>
  </si>
  <si>
    <r>
      <rPr>
        <b val="true"/>
        <sz val="11"/>
        <color rgb="FFFFFFFF"/>
        <rFont val="Noto Sans CJK SC"/>
        <family val="2"/>
      </rPr>
      <t xml:space="preserve">오래가는 힘 </t>
    </r>
    <r>
      <rPr>
        <b val="true"/>
        <sz val="11"/>
        <color rgb="FFFFFFFF"/>
        <rFont val="Arial"/>
        <family val="0"/>
        <charset val="1"/>
      </rPr>
      <t xml:space="preserve">/10</t>
    </r>
  </si>
  <si>
    <r>
      <rPr>
        <b val="true"/>
        <sz val="11"/>
        <color rgb="FFFFFFFF"/>
        <rFont val="Noto Sans CJK SC"/>
        <family val="2"/>
      </rPr>
      <t xml:space="preserve">따라 만들기 </t>
    </r>
    <r>
      <rPr>
        <b val="true"/>
        <sz val="11"/>
        <color rgb="FFFFFFFF"/>
        <rFont val="Arial"/>
        <family val="0"/>
        <charset val="1"/>
      </rPr>
      <t xml:space="preserve">/10</t>
    </r>
  </si>
  <si>
    <r>
      <rPr>
        <b val="true"/>
        <sz val="11"/>
        <color rgb="FFFFFFFF"/>
        <rFont val="Noto Sans CJK SC"/>
        <family val="2"/>
      </rPr>
      <t xml:space="preserve">총점 </t>
    </r>
    <r>
      <rPr>
        <b val="true"/>
        <sz val="11"/>
        <color rgb="FFFFFFFF"/>
        <rFont val="Arial"/>
        <family val="0"/>
        <charset val="1"/>
      </rPr>
      <t xml:space="preserve">/100</t>
    </r>
  </si>
  <si>
    <t xml:space="preserve">등급</t>
  </si>
  <si>
    <t xml:space="preserve">순위</t>
  </si>
  <si>
    <t xml:space="preserve">Meowdoku</t>
  </si>
  <si>
    <t xml:space="preserve">Oakever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</si>
  <si>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로직</t>
    </r>
  </si>
  <si>
    <t xml:space="preserve">S</t>
  </si>
  <si>
    <t xml:space="preserve">Rotate Rings</t>
  </si>
  <si>
    <t xml:space="preserve">Nebula Studio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</si>
  <si>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정렬</t>
    </r>
  </si>
  <si>
    <t xml:space="preserve">Block Blast!</t>
  </si>
  <si>
    <t xml:space="preserve">Hungry Studio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</si>
  <si>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블록</t>
    </r>
  </si>
  <si>
    <t xml:space="preserve">Magic Sort!</t>
  </si>
  <si>
    <t xml:space="preserve">Grand Games</t>
  </si>
  <si>
    <t xml:space="preserve">Bus Fever Party!</t>
  </si>
  <si>
    <t xml:space="preserve">Lumi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</si>
  <si>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버스잼</t>
    </r>
  </si>
  <si>
    <t xml:space="preserve">Royal Match</t>
  </si>
  <si>
    <t xml:space="preserve">Dream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</si>
  <si>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3+</t>
    </r>
    <r>
      <rPr>
        <sz val="11"/>
        <rFont val="Noto Sans CJK SC"/>
        <family val="2"/>
      </rPr>
      <t xml:space="preserve">꾸미기</t>
    </r>
  </si>
  <si>
    <t xml:space="preserve">M</t>
  </si>
  <si>
    <t xml:space="preserve">Gossip Harbor</t>
  </si>
  <si>
    <t xml:space="preserve">Microfun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</si>
  <si>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스토리</t>
    </r>
  </si>
  <si>
    <t xml:space="preserve">L</t>
  </si>
  <si>
    <t xml:space="preserve">MONOPOLY GO!</t>
  </si>
  <si>
    <t xml:space="preserve">Scopely</t>
  </si>
  <si>
    <r>
      <rPr>
        <sz val="11"/>
        <rFont val="Noto Sans CJK SC"/>
        <family val="2"/>
      </rPr>
      <t xml:space="preserve">보드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주사위 소셜</t>
    </r>
  </si>
  <si>
    <t xml:space="preserve">Whiteout Survival</t>
  </si>
  <si>
    <t xml:space="preserve">Century Games</t>
  </si>
  <si>
    <r>
      <rPr>
        <sz val="11"/>
        <rFont val="Noto Sans CJK SC"/>
        <family val="2"/>
      </rPr>
      <t xml:space="preserve">전략 </t>
    </r>
    <r>
      <rPr>
        <sz val="11"/>
        <rFont val="Arial"/>
        <family val="0"/>
        <charset val="1"/>
      </rPr>
      <t xml:space="preserve">· 4X</t>
    </r>
  </si>
  <si>
    <t xml:space="preserve">XL</t>
  </si>
  <si>
    <t xml:space="preserve">Free Fire</t>
  </si>
  <si>
    <t xml:space="preserve">Garena</t>
  </si>
  <si>
    <r>
      <rPr>
        <sz val="11"/>
        <rFont val="Noto Sans CJK SC"/>
        <family val="2"/>
      </rPr>
      <t xml:space="preserve">액션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배틀로얄</t>
    </r>
  </si>
  <si>
    <t xml:space="preserve">치이카와 포켓</t>
  </si>
  <si>
    <t xml:space="preserve">Applibot</t>
  </si>
  <si>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</t>
    </r>
  </si>
  <si>
    <t xml:space="preserve">후더덕 서바이벌</t>
  </si>
  <si>
    <t xml:space="preserve">Joy Nice Games</t>
  </si>
  <si>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</si>
  <si>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</t>
    </r>
    <r>
      <rPr>
        <i val="true"/>
        <sz val="11"/>
        <color rgb="FF595959"/>
        <rFont val="Noto Sans CJK SC"/>
        <family val="2"/>
      </rPr>
      <t xml:space="preserve">국가별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순위 — 무료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캐나다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 </t>
    </r>
    <r>
      <rPr>
        <i val="true"/>
        <sz val="11"/>
        <color rgb="FF595959"/>
        <rFont val="Arial"/>
        <family val="0"/>
        <charset val="1"/>
      </rPr>
      <t xml:space="preserve">2026-10-04, </t>
    </r>
    <r>
      <rPr>
        <i val="true"/>
        <sz val="11"/>
        <color rgb="FF595959"/>
        <rFont val="Noto Sans CJK SC"/>
        <family val="2"/>
      </rPr>
      <t xml:space="preserve">한국 </t>
    </r>
    <r>
      <rPr>
        <i val="true"/>
        <sz val="11"/>
        <color rgb="FF595959"/>
        <rFont val="Arial"/>
        <family val="0"/>
        <charset val="1"/>
      </rPr>
      <t xml:space="preserve">10-03, </t>
    </r>
    <r>
      <rPr>
        <i val="true"/>
        <sz val="11"/>
        <color rgb="FF595959"/>
        <rFont val="Noto Sans CJK SC"/>
        <family val="2"/>
      </rPr>
      <t xml:space="preserve">멕시코 </t>
    </r>
    <r>
      <rPr>
        <i val="true"/>
        <sz val="11"/>
        <color rgb="FF595959"/>
        <rFont val="Arial"/>
        <family val="0"/>
        <charset val="1"/>
      </rPr>
      <t xml:space="preserve">09-25 / </t>
    </r>
    <r>
      <rPr>
        <i val="true"/>
        <sz val="11"/>
        <color rgb="FF595959"/>
        <rFont val="Noto Sans CJK SC"/>
        <family val="2"/>
      </rPr>
      <t xml:space="preserve">매출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한국 </t>
    </r>
    <r>
      <rPr>
        <i val="true"/>
        <sz val="11"/>
        <color rgb="FF595959"/>
        <rFont val="Arial"/>
        <family val="0"/>
        <charset val="1"/>
      </rPr>
      <t xml:space="preserve">10-03, </t>
    </r>
    <r>
      <rPr>
        <i val="true"/>
        <sz val="11"/>
        <color rgb="FF595959"/>
        <rFont val="Noto Sans CJK SC"/>
        <family val="2"/>
      </rPr>
      <t xml:space="preserve">일본 </t>
    </r>
    <r>
      <rPr>
        <i val="true"/>
        <sz val="11"/>
        <color rgb="FF595959"/>
        <rFont val="Arial"/>
        <family val="0"/>
        <charset val="1"/>
      </rPr>
      <t xml:space="preserve">10-04, </t>
    </r>
    <r>
      <rPr>
        <i val="true"/>
        <sz val="11"/>
        <color rgb="FF595959"/>
        <rFont val="Noto Sans CJK SC"/>
        <family val="2"/>
      </rPr>
      <t xml:space="preserve">브라질 </t>
    </r>
    <r>
      <rPr>
        <i val="true"/>
        <sz val="11"/>
        <color rgb="FF595959"/>
        <rFont val="Arial"/>
        <family val="0"/>
        <charset val="1"/>
      </rPr>
      <t xml:space="preserve">10-01.</t>
    </r>
  </si>
  <si>
    <r>
      <rPr>
        <i val="true"/>
        <sz val="11"/>
        <color rgb="FF595959"/>
        <rFont val="Noto Sans CJK SC"/>
        <family val="2"/>
      </rPr>
      <t xml:space="preserve">누적 설치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평점</t>
    </r>
    <r>
      <rPr>
        <i val="true"/>
        <sz val="11"/>
        <color rgb="FF595959"/>
        <rFont val="Arial"/>
        <family val="0"/>
        <charset val="1"/>
      </rPr>
      <t xml:space="preserve">: AppBrain </t>
    </r>
    <r>
      <rPr>
        <i val="true"/>
        <sz val="11"/>
        <color rgb="FF595959"/>
        <rFont val="Noto Sans CJK SC"/>
        <family val="2"/>
      </rPr>
      <t xml:space="preserve">표기값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구글 플레이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치이카와 포켓은 일본판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평점 미표시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빈칸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는 만족도 중간값 처리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</si>
  <si>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출시연도는 공개 정보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앱 </t>
    </r>
    <r>
      <rPr>
        <i val="true"/>
        <sz val="11"/>
        <color rgb="FF595959"/>
        <rFont val="Arial"/>
        <family val="0"/>
        <charset val="1"/>
      </rPr>
      <t xml:space="preserve">ID </t>
    </r>
    <r>
      <rPr>
        <i val="true"/>
        <sz val="11"/>
        <color rgb="FF595959"/>
        <rFont val="Noto Sans CJK SC"/>
        <family val="2"/>
      </rPr>
      <t xml:space="preserve">기반 추정치이며</t>
    </r>
    <r>
      <rPr>
        <i val="true"/>
        <sz val="11"/>
        <color rgb="FF595959"/>
        <rFont val="Arial"/>
        <family val="0"/>
        <charset val="1"/>
      </rPr>
      <t xml:space="preserve">, MVP </t>
    </r>
    <r>
      <rPr>
        <i val="true"/>
        <sz val="11"/>
        <color rgb="FF595959"/>
        <rFont val="Noto Sans CJK SC"/>
        <family val="2"/>
      </rPr>
      <t xml:space="preserve">규모는 분석자 판단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파란 글씨는 입력값입니다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</si>
  <si>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이렇게 생각하면 쉬워요</t>
  </si>
  <si>
    <t xml:space="preserve">🎮 재미</t>
  </si>
  <si>
    <t xml:space="preserve">👶 쉬움</t>
  </si>
  <si>
    <t xml:space="preserve">🔁 또 오기</t>
  </si>
  <si>
    <t xml:space="preserve">👫 친구</t>
  </si>
  <si>
    <t xml:space="preserve">💰 용돈 벌기</t>
  </si>
  <si>
    <t xml:space="preserve">종합 등급</t>
  </si>
  <si>
    <t xml:space="preserve">총점</t>
  </si>
  <si>
    <t xml:space="preserve">이 게임의 비밀 한 줄</t>
  </si>
  <si>
    <r>
      <rPr>
        <b val="true"/>
        <sz val="11"/>
        <color rgb="FFFFFFFF"/>
        <rFont val="Noto Sans CJK SC"/>
        <family val="2"/>
      </rPr>
      <t xml:space="preserve">재미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</si>
  <si>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쉬움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</si>
  <si>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또오기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</si>
  <si>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친구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</si>
  <si>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용돈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</si>
  <si>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고양이 그림으로 칸을 채우는 스도쿠 같은 논리 퍼즐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장르 기반 추정</t>
    </r>
    <r>
      <rPr>
        <sz val="11"/>
        <rFont val="Arial"/>
        <family val="0"/>
        <charset val="1"/>
      </rPr>
      <t xml:space="preserve">)</t>
    </r>
  </si>
  <si>
    <t xml:space="preserve">고양이 스티커로 하는 숫자 없는 스도쿠</t>
  </si>
  <si>
    <r>
      <rPr>
        <sz val="11"/>
        <rFont val="Noto Sans CJK SC"/>
        <family val="2"/>
      </rPr>
      <t xml:space="preserve">어려운 스도쿠를 귀여운 고양이로 포장해 문턱을 낮췄어요</t>
    </r>
    <r>
      <rPr>
        <sz val="11"/>
        <rFont val="Arial"/>
        <family val="0"/>
        <charset val="1"/>
      </rPr>
      <t xml:space="preserve">. 6</t>
    </r>
    <r>
      <rPr>
        <sz val="11"/>
        <rFont val="Noto Sans CJK SC"/>
        <family val="2"/>
      </rPr>
      <t xml:space="preserve">개국 모두 상위권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</si>
  <si>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고리를 돌려 같은 색끼리 모으는 정렬 퍼즐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게임명 기반 추정</t>
    </r>
    <r>
      <rPr>
        <sz val="11"/>
        <rFont val="Arial"/>
        <family val="0"/>
        <charset val="1"/>
      </rPr>
      <t xml:space="preserve">)</t>
    </r>
  </si>
  <si>
    <t xml:space="preserve">색깔 고리를 돌리는 큐브 맞추기</t>
  </si>
  <si>
    <r>
      <rPr>
        <sz val="11"/>
        <rFont val="Noto Sans CJK SC"/>
        <family val="2"/>
      </rPr>
      <t xml:space="preserve">손가락 하나로 돌리기만 하면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착착 정리되는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쾌감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미국 구글 플레이 무료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</si>
  <si>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8×8 </t>
    </r>
    <r>
      <rPr>
        <sz val="11"/>
        <rFont val="Noto Sans CJK SC"/>
        <family val="2"/>
      </rPr>
      <t xml:space="preserve">판에 블록 조각을 놓아 줄을 지우는 퍼즐</t>
    </r>
  </si>
  <si>
    <t xml:space="preserve">끝나지 않는 테트리스 조각 맞추기</t>
  </si>
  <si>
    <r>
      <rPr>
        <sz val="11"/>
        <rFont val="Noto Sans CJK SC"/>
        <family val="2"/>
      </rPr>
      <t xml:space="preserve">레벨도 이야기도 없이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한 판 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만으로 설치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대신 매출 순위에는 없어서 광고로 돈을 버는 것으로 보여요</t>
    </r>
    <r>
      <rPr>
        <sz val="11"/>
        <rFont val="Arial"/>
        <family val="0"/>
        <charset val="1"/>
      </rPr>
      <t xml:space="preserve">.</t>
    </r>
  </si>
  <si>
    <t xml:space="preserve">병 속 색깔 물을 옮겨 같은 색끼리 모으는 퍼즐</t>
  </si>
  <si>
    <t xml:space="preserve">색깔 주스 나눠 담기</t>
  </si>
  <si>
    <r>
      <rPr>
        <sz val="11"/>
        <rFont val="Noto Sans CJK SC"/>
        <family val="2"/>
      </rPr>
      <t xml:space="preserve">검증된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물 정렬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예쁜 연출로 업그레이드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퍼즐 신작 중 미국 매출 </t>
    </r>
    <r>
      <rPr>
        <sz val="11"/>
        <rFont val="Arial"/>
        <family val="0"/>
        <charset val="1"/>
      </rPr>
      <t xml:space="preserve">Top 100(56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 들어간 유일한 게임</t>
    </r>
    <r>
      <rPr>
        <sz val="11"/>
        <rFont val="Arial"/>
        <family val="0"/>
        <charset val="1"/>
      </rPr>
      <t xml:space="preserve">.</t>
    </r>
  </si>
  <si>
    <t xml:space="preserve">승객을 같은 색 버스에 태워 보내는 버스잼 퍼즐</t>
  </si>
  <si>
    <t xml:space="preserve">색깔별로 줄 세우는 반장 놀이</t>
  </si>
  <si>
    <r>
      <rPr>
        <sz val="11"/>
        <rFont val="Noto Sans CJK SC"/>
        <family val="2"/>
      </rPr>
      <t xml:space="preserve">말이 필요 없는 규칙이라 남미에서도 </t>
    </r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국경이 없는 게임이에요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</si>
  <si>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같은 그림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개를 맞춰 별을 모으고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별로 왕의 성을 꾸미는 게임</t>
    </r>
  </si>
  <si>
    <r>
      <rPr>
        <sz val="11"/>
        <rFont val="Noto Sans CJK SC"/>
        <family val="2"/>
      </rPr>
      <t xml:space="preserve">사탕 맞추기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내 성 꾸미기</t>
    </r>
  </si>
  <si>
    <r>
      <rPr>
        <sz val="11"/>
        <rFont val="Noto Sans CJK SC"/>
        <family val="2"/>
      </rPr>
      <t xml:space="preserve">익숙한 퍼즐에 최고급 연출과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꾸미는 재미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더해 미국 매출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25.</t>
    </r>
  </si>
  <si>
    <r>
      <rPr>
        <sz val="11"/>
        <rFont val="Noto Sans CJK SC"/>
        <family val="2"/>
      </rPr>
      <t xml:space="preserve">물건을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개씩 합쳐 주문을 해결하면 드라마 같은 이야기가 이어지는 게임</t>
    </r>
  </si>
  <si>
    <r>
      <rPr>
        <sz val="11"/>
        <rFont val="Noto Sans CJK SC"/>
        <family val="2"/>
      </rPr>
      <t xml:space="preserve">레고 합체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다음 화가 궁금한 드라마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</si>
  <si>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합치는 손맛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과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다음 이야기 궁금증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의 조합</t>
    </r>
    <r>
      <rPr>
        <sz val="11"/>
        <rFont val="Arial"/>
        <family val="0"/>
        <charset val="1"/>
      </rPr>
      <t xml:space="preserve">. 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16(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).</t>
    </r>
  </si>
  <si>
    <t xml:space="preserve">주사위를 굴려 보드판을 돌며 내 도시를 짓는 게임</t>
  </si>
  <si>
    <r>
      <rPr>
        <sz val="11"/>
        <rFont val="Noto Sans CJK SC"/>
        <family val="2"/>
      </rPr>
      <t xml:space="preserve">온 가족이 아는 부루마불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스티커 앨범 모으기</t>
    </r>
  </si>
  <si>
    <r>
      <rPr>
        <sz val="11"/>
        <rFont val="Noto Sans CJK SC"/>
        <family val="2"/>
      </rPr>
      <t xml:space="preserve">누구나 아는 이름</t>
    </r>
    <r>
      <rPr>
        <sz val="11"/>
        <rFont val="Arial"/>
        <family val="0"/>
        <charset val="1"/>
      </rPr>
      <t xml:space="preserve">(IP) + </t>
    </r>
    <r>
      <rPr>
        <sz val="11"/>
        <rFont val="Noto Sans CJK SC"/>
        <family val="2"/>
      </rPr>
      <t xml:space="preserve">친구와 함께하는 이벤트로 미국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하지만 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한국에서는 순위 밖이에요</t>
    </r>
    <r>
      <rPr>
        <sz val="11"/>
        <rFont val="Arial"/>
        <family val="0"/>
        <charset val="1"/>
      </rPr>
      <t xml:space="preserve">.</t>
    </r>
  </si>
  <si>
    <t xml:space="preserve">눈보라 속 마을을 키우고 동맹과 함께 싸우는 전략 게임</t>
  </si>
  <si>
    <r>
      <rPr>
        <sz val="11"/>
        <rFont val="Noto Sans CJK SC"/>
        <family val="2"/>
      </rPr>
      <t xml:space="preserve">눈 오는 날 우리 마을 키우기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반 대항전</t>
    </r>
  </si>
  <si>
    <r>
      <rPr>
        <sz val="11"/>
        <rFont val="Noto Sans CJK SC"/>
        <family val="2"/>
      </rPr>
      <t xml:space="preserve">다운로드는 많지 않아도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25(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열심히 하는 소수가 큰돈을 써요</t>
    </r>
    <r>
      <rPr>
        <sz val="11"/>
        <rFont val="Arial"/>
        <family val="0"/>
        <charset val="1"/>
      </rPr>
      <t xml:space="preserve">.</t>
    </r>
  </si>
  <si>
    <t xml:space="preserve">여러 명이 섬에 떨어져 마지막까지 살아남는 짧은 총싸움 게임</t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</si>
  <si>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분짜리 서바이벌 술래잡기</t>
    </r>
  </si>
  <si>
    <r>
      <rPr>
        <sz val="11"/>
        <rFont val="Noto Sans CJK SC"/>
        <family val="2"/>
      </rPr>
      <t xml:space="preserve">성능 낮은 휴대폰에서도 잘 돌아가게 만들어 브라질 무료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</si>
  <si>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인기 캐릭터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치이카와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가 나오는 게임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세부 게임 방식은 확인 필요</t>
    </r>
    <r>
      <rPr>
        <sz val="11"/>
        <rFont val="Arial"/>
        <family val="0"/>
        <charset val="1"/>
      </rPr>
      <t xml:space="preserve">)</t>
    </r>
  </si>
  <si>
    <t xml:space="preserve">좋아하는 캐릭터 스티커북</t>
  </si>
  <si>
    <r>
      <rPr>
        <sz val="11"/>
        <rFont val="Noto Sans CJK SC"/>
        <family val="2"/>
      </rPr>
      <t xml:space="preserve">캐릭터 팬이 곧 홍보대사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일본 무료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81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한국에서도 </t>
    </r>
    <r>
      <rPr>
        <sz val="11"/>
        <rFont val="Arial"/>
        <family val="0"/>
        <charset val="1"/>
      </rPr>
      <t xml:space="preserve">39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</si>
  <si>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켜두기만 해도 캐릭터가 자라는 방치형 </t>
    </r>
    <r>
      <rPr>
        <sz val="11"/>
        <rFont val="Arial"/>
        <family val="0"/>
        <charset val="1"/>
      </rPr>
      <t xml:space="preserve">RPG</t>
    </r>
    <r>
      <rPr>
        <sz val="11"/>
        <rFont val="Noto Sans CJK SC"/>
        <family val="2"/>
      </rPr>
      <t xml:space="preserve">로 추정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</si>
  <si>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저절로 크는 다마고치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뽑기</t>
    </r>
  </si>
  <si>
    <r>
      <rPr>
        <sz val="11"/>
        <rFont val="Noto Sans CJK SC"/>
        <family val="2"/>
      </rPr>
      <t xml:space="preserve">게임 이름에 </t>
    </r>
    <r>
      <rPr>
        <sz val="11"/>
        <rFont val="Arial"/>
        <family val="0"/>
        <charset val="1"/>
      </rPr>
      <t xml:space="preserve">'777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넣어 이름 자체가 광고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한국 무료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</si>
  <si>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별점</t>
    </r>
    <r>
      <rPr>
        <i val="true"/>
        <sz val="11"/>
        <color rgb="FF595959"/>
        <rFont val="Arial"/>
        <family val="0"/>
        <charset val="1"/>
      </rPr>
      <t xml:space="preserve">(1~5)</t>
    </r>
    <r>
      <rPr>
        <i val="true"/>
        <sz val="11"/>
        <color rgb="FF595959"/>
        <rFont val="Noto Sans CJK SC"/>
        <family val="2"/>
      </rPr>
      <t xml:space="preserve">은 분석자 평가이며 </t>
    </r>
    <r>
      <rPr>
        <i val="true"/>
        <sz val="11"/>
        <color rgb="FF595959"/>
        <rFont val="Arial"/>
        <family val="0"/>
        <charset val="1"/>
      </rPr>
      <t xml:space="preserve">L~P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파란 글씨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바꾸면 별 표시가 자동으로 바뀝니다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종합 등급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총점은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성공 점수표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에서 가져옵니다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</si>
  <si>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① 핵심 재미 루프</t>
  </si>
  <si>
    <r>
      <rPr>
        <b val="true"/>
        <sz val="11"/>
        <color rgb="FFFFFFFF"/>
        <rFont val="Noto Sans CJK SC"/>
        <family val="2"/>
      </rPr>
      <t xml:space="preserve">② 첫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분 경험</t>
    </r>
  </si>
  <si>
    <t xml:space="preserve">③ 다시 오게 하는 장치</t>
  </si>
  <si>
    <r>
      <rPr>
        <b val="true"/>
        <sz val="11"/>
        <color rgb="FFFFFFFF"/>
        <rFont val="Noto Sans CJK SC"/>
        <family val="2"/>
      </rPr>
      <t xml:space="preserve">④ 수익 모델</t>
    </r>
    <r>
      <rPr>
        <b val="true"/>
        <sz val="11"/>
        <color rgb="FFFFFFFF"/>
        <rFont val="Arial"/>
        <family val="0"/>
        <charset val="1"/>
      </rPr>
      <t xml:space="preserve">(BM)</t>
    </r>
  </si>
  <si>
    <t xml:space="preserve">⑤ 마케팅</t>
  </si>
  <si>
    <t xml:space="preserve">⑥ 아트 컨셉</t>
  </si>
  <si>
    <t xml:space="preserve">근거 수준</t>
  </si>
  <si>
    <t xml:space="preserve">칸 고르기 → 규칙에 맞는 고양이 배치 → 판 완성</t>
  </si>
  <si>
    <r>
      <rPr>
        <sz val="11"/>
        <rFont val="Noto Sans CJK SC"/>
        <family val="2"/>
      </rPr>
      <t xml:space="preserve">작은 판으로 규칙을 자연스럽게 익히는 튜토리얼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</si>
  <si>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레벨 진행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점점 커지는 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</si>
  <si>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중심 추정 —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무료 상위권이지만 매출 </t>
    </r>
    <r>
      <rPr>
        <sz val="11"/>
        <rFont val="Arial"/>
        <family val="0"/>
        <charset val="1"/>
      </rPr>
      <t xml:space="preserve">Top 100 </t>
    </r>
    <r>
      <rPr>
        <sz val="11"/>
        <rFont val="Noto Sans CJK SC"/>
        <family val="2"/>
      </rPr>
      <t xml:space="preserve">진입 없음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</si>
  <si>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동시 무료 상위권 → 대규모 글로벌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(Oakever)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Amaze GO!·Jigsawcard </t>
    </r>
    <r>
      <rPr>
        <sz val="11"/>
        <rFont val="Noto Sans CJK SC"/>
        <family val="2"/>
      </rPr>
      <t xml:space="preserve">등 다수 동시 운영</t>
    </r>
  </si>
  <si>
    <r>
      <rPr>
        <sz val="11"/>
        <rFont val="Noto Sans CJK SC"/>
        <family val="2"/>
      </rPr>
      <t xml:space="preserve">귀여운 고양이 캐릭터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밝고 깔끔한 화면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</si>
  <si>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추정</t>
    </r>
  </si>
  <si>
    <t xml:space="preserve">고리 회전 → 같은 색 정렬 → 한 줄 정리되는 쾌감</t>
  </si>
  <si>
    <r>
      <rPr>
        <sz val="11"/>
        <rFont val="Noto Sans CJK SC"/>
        <family val="2"/>
      </rPr>
      <t xml:space="preserve">한 번 돌려보면 바로 이해되는 단순 조작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</si>
  <si>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레벨 진행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</si>
  <si>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중심 추정 — 매출 </t>
    </r>
    <r>
      <rPr>
        <sz val="11"/>
        <rFont val="Arial"/>
        <family val="0"/>
        <charset val="1"/>
      </rPr>
      <t xml:space="preserve">Top 100 </t>
    </r>
    <r>
      <rPr>
        <sz val="11"/>
        <rFont val="Noto Sans CJK SC"/>
        <family val="2"/>
      </rPr>
      <t xml:space="preserve">진입 없음</t>
    </r>
  </si>
  <si>
    <r>
      <rPr>
        <sz val="11"/>
        <rFont val="Noto Sans CJK SC"/>
        <family val="2"/>
      </rPr>
      <t xml:space="preserve">미국 무료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등 신작 집중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(Nebula)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Mahjong Blast·GOGO! Blast</t>
    </r>
    <r>
      <rPr>
        <sz val="11"/>
        <rFont val="Noto Sans CJK SC"/>
        <family val="2"/>
      </rPr>
      <t xml:space="preserve">와 포트폴리오 운영</t>
    </r>
  </si>
  <si>
    <r>
      <rPr>
        <sz val="11"/>
        <rFont val="Noto Sans CJK SC"/>
        <family val="2"/>
      </rPr>
      <t xml:space="preserve">단색 고리 위주의 미니멀 그래픽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</si>
  <si>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게임명 추정</t>
    </r>
  </si>
  <si>
    <r>
      <rPr>
        <sz val="11"/>
        <rFont val="Noto Sans CJK SC"/>
        <family val="2"/>
      </rPr>
      <t xml:space="preserve">블록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받기 → 판에 배치 → 줄 지우기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콤보</t>
    </r>
  </si>
  <si>
    <t xml:space="preserve">설명 없이 바로 시작 가능한 한 판 구조</t>
  </si>
  <si>
    <r>
      <rPr>
        <sz val="11"/>
        <rFont val="Noto Sans CJK SC"/>
        <family val="2"/>
      </rPr>
      <t xml:space="preserve">최고 점수 갱신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콤보 연출의 손맛</t>
    </r>
  </si>
  <si>
    <r>
      <rPr>
        <sz val="11"/>
        <rFont val="Noto Sans CJK SC"/>
        <family val="2"/>
      </rPr>
      <t xml:space="preserve">광고 중심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 100 </t>
    </r>
    <r>
      <rPr>
        <sz val="11"/>
        <rFont val="Noto Sans CJK SC"/>
        <family val="2"/>
      </rPr>
      <t xml:space="preserve">진입 없음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으로 추정</t>
    </r>
  </si>
  <si>
    <r>
      <rPr>
        <sz val="11"/>
        <rFont val="Noto Sans CJK SC"/>
        <family val="2"/>
      </rPr>
      <t xml:space="preserve">설치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구글 플레이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오래 쌓인 입소문과 꾸준한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</si>
  <si>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나무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보석 느낌의 블록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단순한 판</t>
    </r>
  </si>
  <si>
    <r>
      <rPr>
        <sz val="11"/>
        <rFont val="Noto Sans CJK SC"/>
        <family val="2"/>
      </rPr>
      <t xml:space="preserve">차트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설치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</si>
  <si>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t xml:space="preserve">병 고르기 → 색 옮기기 → 한 병 완성</t>
  </si>
  <si>
    <r>
      <rPr>
        <sz val="11"/>
        <rFont val="Noto Sans CJK SC"/>
        <family val="2"/>
      </rPr>
      <t xml:space="preserve">워터소트 규칙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누구나 아는 방식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으로 즉시 이해</t>
    </r>
  </si>
  <si>
    <r>
      <rPr>
        <sz val="11"/>
        <rFont val="Noto Sans CJK SC"/>
        <family val="2"/>
      </rPr>
      <t xml:space="preserve">레벨 진행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난이도 곡선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</si>
  <si>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인앱결제 혼합 추정 — 미국 매출 </t>
    </r>
    <r>
      <rPr>
        <sz val="11"/>
        <rFont val="Arial"/>
        <family val="0"/>
        <charset val="1"/>
      </rPr>
      <t xml:space="preserve">56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</si>
  <si>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(Grand Games)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Block Out!</t>
    </r>
    <r>
      <rPr>
        <sz val="11"/>
        <rFont val="Noto Sans CJK SC"/>
        <family val="2"/>
      </rPr>
      <t xml:space="preserve">과 함께 미국 상위권</t>
    </r>
  </si>
  <si>
    <r>
      <rPr>
        <sz val="11"/>
        <rFont val="Noto Sans CJK SC"/>
        <family val="2"/>
      </rPr>
      <t xml:space="preserve">반짝이는 액체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마법 연출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</si>
  <si>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</si>
  <si>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t xml:space="preserve">승객 탭 → 같은 색 버스 탑승 → 버스 출발</t>
  </si>
  <si>
    <t xml:space="preserve">첫 판에서 바로 이해되는 색 맞추기</t>
  </si>
  <si>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Top 10 — </t>
    </r>
    <r>
      <rPr>
        <sz val="11"/>
        <rFont val="Noto Sans CJK SC"/>
        <family val="2"/>
      </rPr>
      <t xml:space="preserve">언어 없이 통하는 광고 소재 추정</t>
    </r>
  </si>
  <si>
    <r>
      <rPr>
        <sz val="11"/>
        <rFont val="Noto Sans CJK SC"/>
        <family val="2"/>
      </rPr>
      <t xml:space="preserve">장난감 같은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버스와 승객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</si>
  <si>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→ 레벨 클리어로 별 획득 → 성 꾸미기</t>
    </r>
  </si>
  <si>
    <t xml:space="preserve">짧고 쉬운 초반 레벨로 바로 성공 경험</t>
  </si>
  <si>
    <r>
      <rPr>
        <sz val="11"/>
        <rFont val="Noto Sans CJK SC"/>
        <family val="2"/>
      </rPr>
      <t xml:space="preserve">성 꾸미기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메타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</si>
  <si>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목숨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코인 인앱결제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패스 계열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</si>
  <si>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왕 캐릭터를 활용한 광고 — 미국 매출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</si>
  <si>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고급스러운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카툰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밝은 왕국 테마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</si>
  <si>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</si>
  <si>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r>
      <rPr>
        <sz val="11"/>
        <rFont val="Noto Sans CJK SC"/>
        <family val="2"/>
      </rPr>
      <t xml:space="preserve">아이템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 합치기 → 주문 해결 → 이야기 진행</t>
    </r>
  </si>
  <si>
    <r>
      <rPr>
        <sz val="11"/>
        <rFont val="Noto Sans CJK SC"/>
        <family val="2"/>
      </rPr>
      <t xml:space="preserve">합치기 조작과 드라마 첫 장면을 함께 보여줌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</si>
  <si>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다음 화가 궁금한 스토리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장소 복원</t>
    </r>
  </si>
  <si>
    <r>
      <rPr>
        <sz val="11"/>
        <rFont val="Noto Sans CJK SC"/>
        <family val="2"/>
      </rPr>
      <t xml:space="preserve">에너지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아이템 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5·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4·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16·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위 매출</t>
    </r>
  </si>
  <si>
    <r>
      <rPr>
        <sz val="11"/>
        <rFont val="Noto Sans CJK SC"/>
        <family val="2"/>
      </rPr>
      <t xml:space="preserve">스토리 장면을 앞세운 광고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같은 회사의 </t>
    </r>
    <r>
      <rPr>
        <sz val="11"/>
        <rFont val="Arial"/>
        <family val="0"/>
        <charset val="1"/>
      </rPr>
      <t xml:space="preserve">Seaside Escape·Flambé</t>
    </r>
    <r>
      <rPr>
        <sz val="11"/>
        <rFont val="Noto Sans CJK SC"/>
        <family val="2"/>
      </rPr>
      <t xml:space="preserve">도 매출 </t>
    </r>
    <r>
      <rPr>
        <sz val="11"/>
        <rFont val="Arial"/>
        <family val="0"/>
        <charset val="1"/>
      </rPr>
      <t xml:space="preserve">Top 100</t>
    </r>
  </si>
  <si>
    <r>
      <rPr>
        <sz val="11"/>
        <rFont val="Noto Sans CJK SC"/>
        <family val="2"/>
      </rPr>
      <t xml:space="preserve">드라마 같은 인물 일러스트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아기자기한 아이템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</si>
  <si>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추정</t>
    </r>
  </si>
  <si>
    <r>
      <rPr>
        <sz val="11"/>
        <rFont val="Noto Sans CJK SC"/>
        <family val="2"/>
      </rPr>
      <t xml:space="preserve">주사위 굴리기 → 칸 이동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보상 → 도시 짓기</t>
    </r>
  </si>
  <si>
    <t xml:space="preserve">누구나 아는 모노폴리 규칙</t>
  </si>
  <si>
    <r>
      <rPr>
        <sz val="11"/>
        <rFont val="Noto Sans CJK SC"/>
        <family val="2"/>
      </rPr>
      <t xml:space="preserve">스티커 앨범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함께하는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</si>
  <si>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주사위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이벤트 상품 인앱결제 — 미국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</si>
  <si>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대규모 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초대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스티커 교환</t>
    </r>
  </si>
  <si>
    <r>
      <rPr>
        <sz val="11"/>
        <rFont val="Noto Sans CJK SC"/>
        <family val="2"/>
      </rPr>
      <t xml:space="preserve">밝은 보드게임 카툰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미스터 모노폴리 캐릭터</t>
    </r>
  </si>
  <si>
    <t xml:space="preserve">건물 짓기 → 자원 모으기 → 영웅 성장 → 동맹 전투</t>
  </si>
  <si>
    <r>
      <rPr>
        <sz val="11"/>
        <rFont val="Noto Sans CJK SC"/>
        <family val="2"/>
      </rPr>
      <t xml:space="preserve">광고와 다른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생존 연출로 시작하는 경우 많음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</si>
  <si>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동맹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 경쟁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매일 하는 일과</t>
    </r>
  </si>
  <si>
    <r>
      <rPr>
        <sz val="11"/>
        <rFont val="Noto Sans CJK SC"/>
        <family val="2"/>
      </rPr>
      <t xml:space="preserve">영웅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가속 아이템 인앱결제 — 미국 </t>
    </r>
    <r>
      <rPr>
        <sz val="11"/>
        <rFont val="Arial"/>
        <family val="0"/>
        <charset val="1"/>
      </rPr>
      <t xml:space="preserve">10·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23·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9·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위 매출</t>
    </r>
  </si>
  <si>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(Century Games)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Kingshot·Tasty Travels</t>
    </r>
    <r>
      <rPr>
        <sz val="11"/>
        <rFont val="Noto Sans CJK SC"/>
        <family val="2"/>
      </rPr>
      <t xml:space="preserve">와 대규모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</si>
  <si>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얼어붙은 세계의 </t>
    </r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리얼 카툰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</si>
  <si>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일반 지식</t>
    </r>
  </si>
  <si>
    <t xml:space="preserve">낙하 → 장비 줍기 → 전투 → 마지막 생존</t>
  </si>
  <si>
    <r>
      <rPr>
        <sz val="11"/>
        <rFont val="Noto Sans CJK SC"/>
        <family val="2"/>
      </rPr>
      <t xml:space="preserve">짧은 한 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빠른 매칭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 기반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</si>
  <si>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랭크 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캐릭터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스쿼드</t>
    </r>
  </si>
  <si>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스킨 인앱결제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콜라보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</t>
    </r>
    <r>
      <rPr>
        <sz val="11"/>
        <rFont val="Arial"/>
        <family val="0"/>
        <charset val="1"/>
      </rPr>
      <t xml:space="preserve">: NARUTO) — </t>
    </r>
    <r>
      <rPr>
        <sz val="11"/>
        <rFont val="Noto Sans CJK SC"/>
        <family val="2"/>
      </rPr>
      <t xml:space="preserve">브라질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</si>
  <si>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저사양 폰 최적화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태국에서 투표 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수상 이력</t>
    </r>
  </si>
  <si>
    <r>
      <rPr>
        <sz val="11"/>
        <rFont val="Noto Sans CJK SC"/>
        <family val="2"/>
      </rPr>
      <t xml:space="preserve">캐릭터 중심 </t>
    </r>
    <r>
      <rPr>
        <sz val="11"/>
        <rFont val="Arial"/>
        <family val="0"/>
        <charset val="1"/>
      </rPr>
      <t xml:space="preserve">3D, </t>
    </r>
    <r>
      <rPr>
        <sz val="11"/>
        <rFont val="Noto Sans CJK SC"/>
        <family val="2"/>
      </rPr>
      <t xml:space="preserve">화려한 콜라보 스킨</t>
    </r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</si>
  <si>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(Wikipedia)</t>
    </r>
  </si>
  <si>
    <r>
      <rPr>
        <sz val="11"/>
        <rFont val="Noto Sans CJK SC"/>
        <family val="2"/>
      </rPr>
      <t xml:space="preserve">캐릭터와 함께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</si>
  <si>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좋아하는 캐릭터를 바로 만나는 경험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</si>
  <si>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캐릭터 수집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꾸미기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</si>
  <si>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일본 매출 </t>
    </r>
    <r>
      <rPr>
        <sz val="11"/>
        <rFont val="Arial"/>
        <family val="0"/>
        <charset val="1"/>
      </rPr>
      <t xml:space="preserve">81</t>
    </r>
    <r>
      <rPr>
        <sz val="11"/>
        <rFont val="Noto Sans CJK SC"/>
        <family val="2"/>
      </rPr>
      <t xml:space="preserve">위</t>
    </r>
  </si>
  <si>
    <t xml:space="preserve">원작 캐릭터 팬덤</t>
  </si>
  <si>
    <t xml:space="preserve">원작 그림체 그대로</t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</si>
  <si>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 방식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</si>
  <si>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켜두기 → 자동 전투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→ 뽑기로 강화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</si>
  <si>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초반에 대량 뽑기 지급으로 강해지는 느낌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</si>
  <si>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방치 보상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매일 뽑기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</si>
  <si>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패키지 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한국 매출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</si>
  <si>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앱 이름에 </t>
    </r>
    <r>
      <rPr>
        <sz val="11"/>
        <rFont val="Arial"/>
        <family val="0"/>
        <charset val="1"/>
      </rPr>
      <t xml:space="preserve">'777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넣어 스토어 자체를 광고판으로 사용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</t>
    </r>
    <r>
      <rPr>
        <sz val="11"/>
        <rFont val="Arial"/>
        <family val="0"/>
        <charset val="1"/>
      </rPr>
      <t xml:space="preserve">(Joy Nice Games)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Legend of Mushroom·</t>
    </r>
    <r>
      <rPr>
        <sz val="11"/>
        <rFont val="Noto Sans CJK SC"/>
        <family val="2"/>
      </rPr>
      <t xml:space="preserve">갓깨비 키우기 운영</t>
    </r>
  </si>
  <si>
    <r>
      <rPr>
        <sz val="11"/>
        <rFont val="Noto Sans CJK SC"/>
        <family val="2"/>
      </rPr>
      <t xml:space="preserve">귀여운 </t>
    </r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</si>
  <si>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추정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</si>
  <si>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차트 데이터와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장르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일반적으로 알려진 게임 방식을 바탕으로 한 판단입니다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직접 플레이로 확인이 필요합니다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</si>
  <si>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장르 그룹</t>
  </si>
  <si>
    <r>
      <rPr>
        <b val="true"/>
        <sz val="11"/>
        <color rgb="FFFFFFFF"/>
        <rFont val="Noto Sans CJK SC"/>
        <family val="2"/>
      </rPr>
      <t xml:space="preserve">차트 근거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이번 조사에서 확인된 순위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</si>
  <si>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⑥ 아트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</si>
  <si>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글로벌 퍼즐</t>
    </r>
  </si>
  <si>
    <t xml:space="preserve">Block Out!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</si>
  <si>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무료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</si>
  <si>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블록을 같은 색 출구로 빼내는 정렬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게임명 기반 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</si>
  <si>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미확인 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매출 데이터 미수집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</si>
  <si>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같은 회사 </t>
    </r>
    <r>
      <rPr>
        <sz val="11"/>
        <rFont val="Arial"/>
        <family val="0"/>
        <charset val="1"/>
      </rPr>
      <t xml:space="preserve">Magic Sort!</t>
    </r>
    <r>
      <rPr>
        <sz val="11"/>
        <rFont val="Noto Sans CJK SC"/>
        <family val="2"/>
      </rPr>
      <t xml:space="preserve">와 함께 미국 상위권</t>
    </r>
  </si>
  <si>
    <r>
      <rPr>
        <sz val="11"/>
        <rFont val="Noto Sans CJK SC"/>
        <family val="2"/>
      </rPr>
      <t xml:space="preserve">색 블록 위주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</si>
  <si>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Vita Mahjong</t>
  </si>
  <si>
    <t xml:space="preserve">Vita Studio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</si>
  <si>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5, </t>
    </r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9,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29,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15,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34,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26</t>
    </r>
  </si>
  <si>
    <r>
      <rPr>
        <sz val="11"/>
        <rFont val="Noto Sans CJK SC"/>
        <family val="2"/>
      </rPr>
      <t xml:space="preserve">같은 타일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 짝 맞춰 없애기</t>
    </r>
  </si>
  <si>
    <t xml:space="preserve">미확인</t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</si>
  <si>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모두 </t>
    </r>
    <r>
      <rPr>
        <sz val="11"/>
        <rFont val="Arial"/>
        <family val="0"/>
        <charset val="1"/>
      </rPr>
      <t xml:space="preserve">Top 35 — </t>
    </r>
    <r>
      <rPr>
        <sz val="11"/>
        <rFont val="Noto Sans CJK SC"/>
        <family val="2"/>
      </rPr>
      <t xml:space="preserve">언어가 필요 없는 규칙</t>
    </r>
  </si>
  <si>
    <r>
      <rPr>
        <sz val="11"/>
        <rFont val="Noto Sans CJK SC"/>
        <family val="2"/>
      </rPr>
      <t xml:space="preserve">큰 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깔끔한 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시니어 친화로 알려짐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권장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</si>
  <si>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권장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</si>
  <si>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2.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메타</t>
    </r>
  </si>
  <si>
    <t xml:space="preserve">Candy Crush Saga</t>
  </si>
  <si>
    <t xml:space="preserve">King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</si>
  <si>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3,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5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GP 48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</si>
  <si>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→ 레벨 클리어 → 지도 따라 전진</t>
    </r>
  </si>
  <si>
    <r>
      <rPr>
        <sz val="11"/>
        <rFont val="Noto Sans CJK SC"/>
        <family val="2"/>
      </rPr>
      <t xml:space="preserve">긴 레벨 지도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점수 비교</t>
    </r>
  </si>
  <si>
    <r>
      <rPr>
        <sz val="11"/>
        <rFont val="Noto Sans CJK SC"/>
        <family val="2"/>
      </rPr>
      <t xml:space="preserve">목숨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이동 추가 인앱결제</t>
    </r>
  </si>
  <si>
    <t xml:space="preserve">오래된 브랜드 인지도</t>
  </si>
  <si>
    <r>
      <rPr>
        <sz val="11"/>
        <rFont val="Noto Sans CJK SC"/>
        <family val="2"/>
      </rPr>
      <t xml:space="preserve">사탕 테마의 밝은 </t>
    </r>
    <r>
      <rPr>
        <sz val="11"/>
        <rFont val="Arial"/>
        <family val="0"/>
        <charset val="1"/>
      </rPr>
      <t xml:space="preserve">2D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</si>
  <si>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공개 게임 방식</t>
    </r>
  </si>
  <si>
    <t xml:space="preserve">Royal Kingdom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</si>
  <si>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8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5,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17,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GP 47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</si>
  <si>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→ 보상 → 왕국 건설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 세부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</si>
  <si>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왕국 건설 메타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</si>
  <si>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</si>
  <si>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Royal Match </t>
    </r>
    <r>
      <rPr>
        <sz val="11"/>
        <rFont val="Noto Sans CJK SC"/>
        <family val="2"/>
      </rPr>
      <t xml:space="preserve">개발사의 후속작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</si>
  <si>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카툰 판타지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</si>
  <si>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일부 추정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</si>
  <si>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소셜 캐주얼</t>
    </r>
  </si>
  <si>
    <t xml:space="preserve">Coin Master</t>
  </si>
  <si>
    <t xml:space="preserve">Moon Active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</si>
  <si>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7,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67</t>
    </r>
  </si>
  <si>
    <r>
      <rPr>
        <sz val="11"/>
        <rFont val="Noto Sans CJK SC"/>
        <family val="2"/>
      </rPr>
      <t xml:space="preserve">슬롯 돌리기 → 코인 → 마을 건설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다른 유저 공격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습격</t>
    </r>
  </si>
  <si>
    <r>
      <rPr>
        <sz val="11"/>
        <rFont val="Noto Sans CJK SC"/>
        <family val="2"/>
      </rPr>
      <t xml:space="preserve">카드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공격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복수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</t>
    </r>
  </si>
  <si>
    <r>
      <rPr>
        <sz val="11"/>
        <rFont val="Noto Sans CJK SC"/>
        <family val="2"/>
      </rPr>
      <t xml:space="preserve">스핀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코인 인앱결제</t>
    </r>
  </si>
  <si>
    <r>
      <rPr>
        <sz val="11"/>
        <rFont val="Noto Sans CJK SC"/>
        <family val="2"/>
      </rPr>
      <t xml:space="preserve">친구 초대</t>
    </r>
    <r>
      <rPr>
        <sz val="11"/>
        <rFont val="Arial"/>
        <family val="0"/>
        <charset val="1"/>
      </rPr>
      <t xml:space="preserve">·SNS </t>
    </r>
    <r>
      <rPr>
        <sz val="11"/>
        <rFont val="Noto Sans CJK SC"/>
        <family val="2"/>
      </rPr>
      <t xml:space="preserve">연동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</si>
  <si>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t xml:space="preserve">바이킹 테마 카툰</t>
  </si>
  <si>
    <t xml:space="preserve">Dice Dreams</t>
  </si>
  <si>
    <t xml:space="preserve">SuperPlay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</si>
  <si>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73, GP 98</t>
    </r>
  </si>
  <si>
    <r>
      <rPr>
        <sz val="11"/>
        <rFont val="Noto Sans CJK SC"/>
        <family val="2"/>
      </rPr>
      <t xml:space="preserve">주사위 굴리기 → 보드 칸 보상 → 왕국 건설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다른 유저 공격</t>
    </r>
  </si>
  <si>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카드 수집 여부는 확인 필요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</si>
  <si>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매출 순위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</si>
  <si>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같은 회사가 </t>
    </r>
    <r>
      <rPr>
        <sz val="11"/>
        <rFont val="Arial"/>
        <family val="0"/>
        <charset val="1"/>
      </rPr>
      <t xml:space="preserve">Disney Solitaire</t>
    </r>
    <r>
      <rPr>
        <sz val="11"/>
        <rFont val="Noto Sans CJK SC"/>
        <family val="2"/>
      </rPr>
      <t xml:space="preserve">도 운영</t>
    </r>
  </si>
  <si>
    <t xml:space="preserve">동화풍 카툰</t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</si>
  <si>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(4X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</si>
  <si>
    <t xml:space="preserve">Kingshot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</si>
  <si>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9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40</t>
    </r>
  </si>
  <si>
    <r>
      <rPr>
        <sz val="11"/>
        <rFont val="Noto Sans CJK SC"/>
        <family val="2"/>
      </rPr>
      <t xml:space="preserve">건설 → 자원 → 영웅 성장 → 동맹 전투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 일반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</si>
  <si>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동맹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 경쟁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 일반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</si>
  <si>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</si>
  <si>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같은 회사 </t>
    </r>
    <r>
      <rPr>
        <sz val="11"/>
        <rFont val="Arial"/>
        <family val="0"/>
        <charset val="1"/>
      </rPr>
      <t xml:space="preserve">Whiteout Survival</t>
    </r>
    <r>
      <rPr>
        <sz val="11"/>
        <rFont val="Noto Sans CJK SC"/>
        <family val="2"/>
      </rPr>
      <t xml:space="preserve">과 같은 장르</t>
    </r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</si>
  <si>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카툰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</si>
  <si>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장르 일반 지식</t>
    </r>
  </si>
  <si>
    <t xml:space="preserve">Clash Royale</t>
  </si>
  <si>
    <t xml:space="preserve">Supercell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</si>
  <si>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80 (</t>
    </r>
    <r>
      <rPr>
        <sz val="11"/>
        <rFont val="Noto Sans CJK SC"/>
        <family val="2"/>
      </rPr>
      <t xml:space="preserve">매출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</si>
  <si>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카드 덱 →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분 실시간 </t>
    </r>
    <r>
      <rPr>
        <sz val="11"/>
        <rFont val="Arial"/>
        <family val="0"/>
        <charset val="1"/>
      </rPr>
      <t xml:space="preserve">1:1 </t>
    </r>
    <r>
      <rPr>
        <sz val="11"/>
        <rFont val="Noto Sans CJK SC"/>
        <family val="2"/>
      </rPr>
      <t xml:space="preserve">대전 → 트로피</t>
    </r>
  </si>
  <si>
    <r>
      <rPr>
        <sz val="11"/>
        <rFont val="Noto Sans CJK SC"/>
        <family val="2"/>
      </rPr>
      <t xml:space="preserve">아레나 승급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</t>
    </r>
  </si>
  <si>
    <r>
      <rPr>
        <sz val="11"/>
        <rFont val="Noto Sans CJK SC"/>
        <family val="2"/>
      </rPr>
      <t xml:space="preserve">패스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보석 인앱결제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</si>
  <si>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Clash of Clans </t>
    </r>
    <r>
      <rPr>
        <sz val="11"/>
        <rFont val="Noto Sans CJK SC"/>
        <family val="2"/>
      </rPr>
      <t xml:space="preserve">세계관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재사용</t>
    </r>
  </si>
  <si>
    <t xml:space="preserve">클래시 시리즈 카툰</t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</si>
  <si>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</si>
  <si>
    <t xml:space="preserve">Fortnite</t>
  </si>
  <si>
    <t xml:space="preserve">Epic Games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</si>
  <si>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18, GP 25 (</t>
    </r>
    <r>
      <rPr>
        <sz val="11"/>
        <rFont val="Noto Sans CJK SC"/>
        <family val="2"/>
      </rPr>
      <t xml:space="preserve">매출 미확인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</si>
  <si>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낙하 → 장비 줍기 → 건축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전투 → 최후 생존</t>
    </r>
  </si>
  <si>
    <r>
      <rPr>
        <sz val="11"/>
        <rFont val="Noto Sans CJK SC"/>
        <family val="2"/>
      </rPr>
      <t xml:space="preserve">배틀패스 시즌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라이브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유저 제작 모드</t>
    </r>
  </si>
  <si>
    <r>
      <rPr>
        <sz val="11"/>
        <rFont val="Noto Sans CJK SC"/>
        <family val="2"/>
      </rPr>
      <t xml:space="preserve">스킨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배틀패스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외형 아이템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</si>
  <si>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대형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콜라보</t>
    </r>
  </si>
  <si>
    <r>
      <rPr>
        <sz val="11"/>
        <rFont val="Noto Sans CJK SC"/>
        <family val="2"/>
      </rPr>
      <t xml:space="preserve">밝은 카툰 </t>
    </r>
    <r>
      <rPr>
        <sz val="11"/>
        <rFont val="Arial"/>
        <family val="0"/>
        <charset val="1"/>
      </rPr>
      <t xml:space="preserve">3D</t>
    </r>
  </si>
  <si>
    <t xml:space="preserve">Brawl Stars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</si>
  <si>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9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66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</si>
  <si>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짧은 대전 → 트로피 → 캐릭터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브롤러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해금</t>
    </r>
  </si>
  <si>
    <r>
      <rPr>
        <sz val="11"/>
        <rFont val="Noto Sans CJK SC"/>
        <family val="2"/>
      </rPr>
      <t xml:space="preserve">브롤러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클럽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패스</t>
    </r>
  </si>
  <si>
    <r>
      <rPr>
        <sz val="11"/>
        <rFont val="Noto Sans CJK SC"/>
        <family val="2"/>
      </rPr>
      <t xml:space="preserve">패스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스킨 인앱결제</t>
    </r>
  </si>
  <si>
    <r>
      <rPr>
        <sz val="11"/>
        <rFont val="Arial"/>
        <family val="0"/>
        <charset val="1"/>
      </rPr>
      <t xml:space="preserve">Supercell </t>
    </r>
    <r>
      <rPr>
        <sz val="11"/>
        <rFont val="Noto Sans CJK SC"/>
        <family val="2"/>
      </rPr>
      <t xml:space="preserve">세계관</t>
    </r>
  </si>
  <si>
    <t xml:space="preserve">캐주얼 카툰</t>
  </si>
  <si>
    <r>
      <rPr>
        <sz val="11"/>
        <rFont val="Arial"/>
        <family val="0"/>
        <charset val="1"/>
      </rPr>
      <t xml:space="preserve">6. 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</t>
    </r>
  </si>
  <si>
    <t xml:space="preserve">Pokémon GO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</si>
  <si>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3,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 76</t>
    </r>
  </si>
  <si>
    <t xml:space="preserve">걸어 다니며 포켓몬 발견 → 포획 → 수집</t>
  </si>
  <si>
    <r>
      <rPr>
        <sz val="11"/>
        <rFont val="Noto Sans CJK SC"/>
        <family val="2"/>
      </rPr>
      <t xml:space="preserve">레이드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커뮤니티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</si>
  <si>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t xml:space="preserve">아이템 인앱결제</t>
  </si>
  <si>
    <r>
      <rPr>
        <sz val="11"/>
        <rFont val="Noto Sans CJK SC"/>
        <family val="2"/>
      </rPr>
      <t xml:space="preserve">포켓몬 </t>
    </r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실외 활동</t>
    </r>
  </si>
  <si>
    <r>
      <rPr>
        <sz val="11"/>
        <rFont val="Arial"/>
        <family val="0"/>
        <charset val="1"/>
      </rPr>
      <t xml:space="preserve">AR + </t>
    </r>
    <r>
      <rPr>
        <sz val="11"/>
        <rFont val="Noto Sans CJK SC"/>
        <family val="2"/>
      </rPr>
      <t xml:space="preserve">포켓몬 원작 그림</t>
    </r>
  </si>
  <si>
    <t xml:space="preserve">Pokémon TCG Pocket</t>
  </si>
  <si>
    <t xml:space="preserve">The Pokémon Company</t>
  </si>
  <si>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30,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GP 68</t>
    </r>
  </si>
  <si>
    <t xml:space="preserve">매일 카드팩 열기 → 수집 → 대전</t>
  </si>
  <si>
    <r>
      <rPr>
        <sz val="11"/>
        <rFont val="Noto Sans CJK SC"/>
        <family val="2"/>
      </rPr>
      <t xml:space="preserve">매일 무료 카드팩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공개 정보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</si>
  <si>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카드팩 인앱결제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랜덤 보상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</si>
  <si>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포켓몬 </t>
    </r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실물 카드의 추억</t>
    </r>
  </si>
  <si>
    <t xml:space="preserve">원작 카드 일러스트</t>
  </si>
  <si>
    <r>
      <rPr>
        <sz val="11"/>
        <rFont val="Arial"/>
        <family val="0"/>
        <charset val="1"/>
      </rPr>
      <t xml:space="preserve">7. </t>
    </r>
    <r>
      <rPr>
        <sz val="11"/>
        <rFont val="Noto Sans CJK SC"/>
        <family val="2"/>
      </rPr>
      <t xml:space="preserve">한국식 </t>
    </r>
    <r>
      <rPr>
        <sz val="11"/>
        <rFont val="Arial"/>
        <family val="0"/>
        <charset val="1"/>
      </rPr>
      <t xml:space="preserve">RPG</t>
    </r>
  </si>
  <si>
    <r>
      <rPr>
        <b val="true"/>
        <sz val="11"/>
        <rFont val="Noto Sans CJK SC"/>
        <family val="2"/>
      </rPr>
      <t xml:space="preserve">메이플스토리 방치형 </t>
    </r>
    <r>
      <rPr>
        <b val="true"/>
        <sz val="11"/>
        <rFont val="Arial"/>
        <family val="0"/>
        <charset val="1"/>
      </rPr>
      <t xml:space="preserve">RPG</t>
    </r>
  </si>
  <si>
    <t xml:space="preserve">Nexon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</si>
  <si>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8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54</t>
    </r>
  </si>
  <si>
    <r>
      <rPr>
        <sz val="11"/>
        <rFont val="Noto Sans CJK SC"/>
        <family val="2"/>
      </rPr>
      <t xml:space="preserve">자동 사냥 → 장비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스탯 성장 → 보스</t>
    </r>
  </si>
  <si>
    <r>
      <rPr>
        <sz val="11"/>
        <rFont val="Noto Sans CJK SC"/>
        <family val="2"/>
      </rPr>
      <t xml:space="preserve">방치 보상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길드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 일반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</si>
  <si>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성장 패키지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뽑기 인앱결제</t>
    </r>
  </si>
  <si>
    <r>
      <rPr>
        <sz val="11"/>
        <rFont val="Noto Sans CJK SC"/>
        <family val="2"/>
      </rPr>
      <t xml:space="preserve">메이플스토리 </t>
    </r>
    <r>
      <rPr>
        <sz val="11"/>
        <rFont val="Arial"/>
        <family val="0"/>
        <charset val="1"/>
      </rPr>
      <t xml:space="preserve">IP</t>
    </r>
  </si>
  <si>
    <r>
      <rPr>
        <sz val="11"/>
        <rFont val="Noto Sans CJK SC"/>
        <family val="2"/>
      </rPr>
      <t xml:space="preserve">원작 </t>
    </r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그림체</t>
    </r>
  </si>
  <si>
    <t xml:space="preserve">트릭컬 리바이브</t>
  </si>
  <si>
    <t xml:space="preserve">Epid Games</t>
  </si>
  <si>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7 / </t>
    </r>
    <r>
      <rPr>
        <sz val="11"/>
        <rFont val="Noto Sans CJK SC"/>
        <family val="2"/>
      </rPr>
      <t xml:space="preserve">무료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44</t>
    </r>
  </si>
  <si>
    <r>
      <rPr>
        <sz val="11"/>
        <rFont val="Noto Sans CJK SC"/>
        <family val="2"/>
      </rPr>
      <t xml:space="preserve">캐릭터 뽑기 → 육성 → 전투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세부 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</si>
  <si>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캐릭터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</t>
    </r>
  </si>
  <si>
    <t xml:space="preserve">뽑기 인앱결제</t>
  </si>
  <si>
    <r>
      <rPr>
        <sz val="11"/>
        <rFont val="Noto Sans CJK SC"/>
        <family val="2"/>
      </rPr>
      <t xml:space="preserve">게임명에 </t>
    </r>
    <r>
      <rPr>
        <sz val="11"/>
        <rFont val="Arial"/>
        <family val="0"/>
        <charset val="1"/>
      </rPr>
      <t xml:space="preserve">'600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표기</t>
    </r>
  </si>
  <si>
    <r>
      <rPr>
        <sz val="11"/>
        <rFont val="Noto Sans CJK SC"/>
        <family val="2"/>
      </rPr>
      <t xml:space="preserve">귀여운 </t>
    </r>
    <r>
      <rPr>
        <sz val="11"/>
        <rFont val="Arial"/>
        <family val="0"/>
        <charset val="1"/>
      </rPr>
      <t xml:space="preserve">2D </t>
    </r>
    <r>
      <rPr>
        <sz val="11"/>
        <rFont val="Noto Sans CJK SC"/>
        <family val="2"/>
      </rPr>
      <t xml:space="preserve">캐릭터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확인 권장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</si>
  <si>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기존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개 게임은 </t>
    </r>
    <r>
      <rPr>
        <i val="true"/>
        <sz val="11"/>
        <color rgb="FF595959"/>
        <rFont val="Arial"/>
        <family val="0"/>
        <charset val="1"/>
      </rPr>
      <t xml:space="preserve">'1-4 </t>
    </r>
    <r>
      <rPr>
        <i val="true"/>
        <sz val="11"/>
        <color rgb="FF595959"/>
        <rFont val="Noto Sans CJK SC"/>
        <family val="2"/>
      </rPr>
      <t xml:space="preserve">성공 비결 해부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시트에 있습니다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확장 게임은 차트 데이터를 다시 모으지 않아 </t>
    </r>
    <r>
      <rPr>
        <i val="true"/>
        <sz val="11"/>
        <color rgb="FF595959"/>
        <rFont val="Arial"/>
        <family val="0"/>
        <charset val="1"/>
      </rPr>
      <t xml:space="preserve">'1-2 </t>
    </r>
    <r>
      <rPr>
        <i val="true"/>
        <sz val="11"/>
        <color rgb="FF595959"/>
        <rFont val="Noto Sans CJK SC"/>
        <family val="2"/>
      </rPr>
      <t xml:space="preserve">성공 점수표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에는 넣지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</si>
  <si>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진입 </t>
    </r>
    <r>
      <rPr>
        <b val="true"/>
        <sz val="11"/>
        <color rgb="FFFFFFFF"/>
        <rFont val="Arial"/>
        <family val="0"/>
        <charset val="1"/>
      </rPr>
      <t xml:space="preserve">(4</t>
    </r>
    <r>
      <rPr>
        <b val="true"/>
        <sz val="11"/>
        <color rgb="FFFFFFFF"/>
        <rFont val="Noto Sans CJK SC"/>
        <family val="2"/>
      </rPr>
      <t xml:space="preserve">개국 중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곳 이상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</si>
  <si>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 손가락 단순 조작</t>
  </si>
  <si>
    <r>
      <rPr>
        <b val="true"/>
        <sz val="11"/>
        <color rgb="FFFFFFFF"/>
        <rFont val="Noto Sans CJK SC"/>
        <family val="2"/>
      </rPr>
      <t xml:space="preserve">짧은 한 판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몇 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</si>
  <si>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메타 진행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꾸미기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건설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스토리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성장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</si>
  <si>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수집 요소</t>
  </si>
  <si>
    <r>
      <rPr>
        <b val="true"/>
        <sz val="11"/>
        <color rgb="FFFFFFFF"/>
        <rFont val="Noto Sans CJK SC"/>
        <family val="2"/>
      </rPr>
      <t xml:space="preserve">친구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동맹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대전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소셜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</si>
  <si>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유명 </t>
    </r>
    <r>
      <rPr>
        <b val="true"/>
        <sz val="11"/>
        <color rgb="FFFFFFFF"/>
        <rFont val="Arial"/>
        <family val="0"/>
        <charset val="1"/>
      </rPr>
      <t xml:space="preserve">IP·</t>
    </r>
    <r>
      <rPr>
        <b val="true"/>
        <sz val="11"/>
        <color rgb="FFFFFFFF"/>
        <rFont val="Noto Sans CJK SC"/>
        <family val="2"/>
      </rPr>
      <t xml:space="preserve">콜라보</t>
    </r>
  </si>
  <si>
    <r>
      <rPr>
        <b val="true"/>
        <sz val="11"/>
        <color rgb="FFFFFFFF"/>
        <rFont val="Noto Sans CJK SC"/>
        <family val="2"/>
      </rPr>
      <t xml:space="preserve">랜덤 보상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뽑기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슬롯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카드팩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</si>
  <si>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광고 수익 중심</t>
  </si>
  <si>
    <t xml:space="preserve">인앱결제 중심</t>
  </si>
  <si>
    <r>
      <rPr>
        <b val="true"/>
        <sz val="11"/>
        <color rgb="FFFFFFFF"/>
        <rFont val="Noto Sans CJK SC"/>
        <family val="2"/>
      </rPr>
      <t xml:space="preserve">라이브 이벤트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시즌</t>
    </r>
  </si>
  <si>
    <t xml:space="preserve">아니오</t>
  </si>
  <si>
    <t xml:space="preserve">?</t>
  </si>
  <si>
    <t xml:space="preserve">예</t>
  </si>
  <si>
    <r>
      <rPr>
        <b val="true"/>
        <sz val="12"/>
        <rFont val="Noto Sans CJK SC"/>
        <family val="2"/>
      </rPr>
      <t xml:space="preserve">공통점 요약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</si>
  <si>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t xml:space="preserve">요소</t>
  </si>
  <si>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예</t>
    </r>
    <r>
      <rPr>
        <b val="true"/>
        <sz val="11"/>
        <color rgb="FFFFFFFF"/>
        <rFont val="Arial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게임 수</t>
    </r>
  </si>
  <si>
    <t xml:space="preserve">확인된 게임 중 비율</t>
  </si>
  <si>
    <t xml:space="preserve">매출 진입 게임 중 비율</t>
  </si>
  <si>
    <t xml:space="preserve">매출 미진입 게임 중 비율</t>
  </si>
  <si>
    <r>
      <rPr>
        <b val="true"/>
        <sz val="11"/>
        <color rgb="FFFFFFFF"/>
        <rFont val="Noto Sans CJK SC"/>
        <family val="2"/>
      </rPr>
      <t xml:space="preserve">차이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매출 진입 − 미진입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</si>
  <si>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짧은 한 판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몇 분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</si>
  <si>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메타 진행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꾸미기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건설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스토리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성장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</si>
  <si>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친구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동맹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대전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소셜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</si>
  <si>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유명 </t>
    </r>
    <r>
      <rPr>
        <b val="true"/>
        <sz val="11"/>
        <rFont val="Arial"/>
        <family val="0"/>
        <charset val="1"/>
      </rPr>
      <t xml:space="preserve">IP·</t>
    </r>
    <r>
      <rPr>
        <b val="true"/>
        <sz val="11"/>
        <rFont val="Noto Sans CJK SC"/>
        <family val="2"/>
      </rPr>
      <t xml:space="preserve">콜라보</t>
    </r>
  </si>
  <si>
    <r>
      <rPr>
        <b val="true"/>
        <sz val="11"/>
        <rFont val="Noto Sans CJK SC"/>
        <family val="2"/>
      </rPr>
      <t xml:space="preserve">랜덤 보상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뽑기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슬롯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카드팩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</si>
  <si>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라이브 이벤트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시즌</t>
    </r>
  </si>
  <si>
    <r>
      <rPr>
        <b val="true"/>
        <sz val="12"/>
        <rFont val="Noto Sans CJK SC"/>
        <family val="2"/>
      </rPr>
      <t xml:space="preserve">장르 그룹별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예</t>
    </r>
    <r>
      <rPr>
        <b val="true"/>
        <sz val="12"/>
        <rFont val="Arial"/>
        <family val="0"/>
        <charset val="1"/>
      </rPr>
      <t xml:space="preserve">' </t>
    </r>
    <r>
      <rPr>
        <b val="true"/>
        <sz val="12"/>
        <rFont val="Noto Sans CJK SC"/>
        <family val="2"/>
      </rPr>
      <t xml:space="preserve">개수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</si>
  <si>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t xml:space="preserve">게임 수</t>
  </si>
  <si>
    <r>
      <rPr>
        <i val="true"/>
        <sz val="11"/>
        <color rgb="FF595959"/>
        <rFont val="Arial"/>
        <family val="0"/>
        <charset val="1"/>
      </rPr>
      <t xml:space="preserve">1=</t>
    </r>
    <r>
      <rPr>
        <i val="true"/>
        <sz val="11"/>
        <color rgb="FF595959"/>
        <rFont val="Noto Sans CJK SC"/>
        <family val="2"/>
      </rPr>
      <t xml:space="preserve">해당</t>
    </r>
    <r>
      <rPr>
        <i val="true"/>
        <sz val="11"/>
        <color rgb="FF595959"/>
        <rFont val="Arial"/>
        <family val="0"/>
        <charset val="1"/>
      </rPr>
      <t xml:space="preserve">, 0=</t>
    </r>
    <r>
      <rPr>
        <i val="true"/>
        <sz val="11"/>
        <color rgb="FF595959"/>
        <rFont val="Noto Sans CJK SC"/>
        <family val="2"/>
      </rPr>
      <t xml:space="preserve">해당 안 함</t>
    </r>
    <r>
      <rPr>
        <i val="true"/>
        <sz val="11"/>
        <color rgb="FF595959"/>
        <rFont val="Arial"/>
        <family val="0"/>
        <charset val="1"/>
      </rPr>
      <t xml:space="preserve">, ?=</t>
    </r>
    <r>
      <rPr>
        <i val="true"/>
        <sz val="11"/>
        <color rgb="FF595959"/>
        <rFont val="Noto Sans CJK SC"/>
        <family val="2"/>
      </rPr>
      <t xml:space="preserve">확인 안 됨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회색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분류는 공개된 게임 방식과 이번 차트 조사에 근거한 분석자 판단이며</t>
    </r>
    <r>
      <rPr>
        <i val="true"/>
        <sz val="11"/>
        <color rgb="FF595959"/>
        <rFont val="Arial"/>
        <family val="0"/>
        <charset val="1"/>
      </rPr>
      <t xml:space="preserve">, '?'</t>
    </r>
    <r>
      <rPr>
        <i val="true"/>
        <sz val="11"/>
        <color rgb="FF595959"/>
        <rFont val="Noto Sans CJK SC"/>
        <family val="2"/>
      </rPr>
      <t xml:space="preserve">는 계산에서 제외됩니다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</si>
  <si>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진입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이번에 조사한 구글 플레이 매출 순위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한국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에서 확인된 경우만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조사 범위 밖이면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미확인</t>
    </r>
    <r>
      <rPr>
        <i val="true"/>
        <sz val="11"/>
        <color rgb="FF595959"/>
        <rFont val="Arial"/>
        <family val="0"/>
        <charset val="1"/>
      </rPr>
      <t xml:space="preserve">'.</t>
    </r>
  </si>
  <si>
    <r>
      <rPr>
        <i val="true"/>
        <sz val="11"/>
        <color rgb="FF595959"/>
        <rFont val="Noto Sans CJK SC"/>
        <family val="2"/>
      </rPr>
      <t xml:space="preserve">게임 수가 적어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매출 진입 </t>
    </r>
    <r>
      <rPr>
        <i val="true"/>
        <sz val="11"/>
        <color rgb="FF595959"/>
        <rFont val="Arial"/>
        <family val="0"/>
        <charset val="1"/>
      </rPr>
      <t xml:space="preserve">15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미진입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미확인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비율은 경향을 보는 참고용이며 통계적 결론이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</si>
  <si>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성공 공식</t>
  </si>
  <si>
    <t xml:space="preserve">쉽게 말하면</t>
  </si>
  <si>
    <t xml:space="preserve">근거</t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</si>
  <si>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초 안에 이해되는 규칙</t>
    </r>
  </si>
  <si>
    <t xml:space="preserve">설명서 없이 보자마자 할 수 있어야 해요</t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</si>
  <si>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개국 무료 </t>
    </r>
    <r>
      <rPr>
        <sz val="11"/>
        <rFont val="Arial"/>
        <family val="0"/>
        <charset val="1"/>
      </rPr>
      <t xml:space="preserve">Top 10</t>
    </r>
    <r>
      <rPr>
        <sz val="11"/>
        <rFont val="Noto Sans CJK SC"/>
        <family val="2"/>
      </rPr>
      <t xml:space="preserve">에 공통으로 오른 </t>
    </r>
    <r>
      <rPr>
        <sz val="11"/>
        <rFont val="Arial"/>
        <family val="0"/>
        <charset val="1"/>
      </rPr>
      <t xml:space="preserve">Block Blast·Meowdoku·Bus Fever Party·Rotate Rings </t>
    </r>
    <r>
      <rPr>
        <sz val="11"/>
        <rFont val="Noto Sans CJK SC"/>
        <family val="2"/>
      </rPr>
      <t xml:space="preserve">모두 한 손가락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 규칙 게임</t>
    </r>
  </si>
  <si>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많이 받는 게임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과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돈 버는 게임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은 다르다</t>
    </r>
  </si>
  <si>
    <r>
      <rPr>
        <sz val="11"/>
        <rFont val="Noto Sans CJK SC"/>
        <family val="2"/>
      </rPr>
      <t xml:space="preserve">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등이 꼭 부자는 아니에요</t>
    </r>
  </si>
  <si>
    <r>
      <rPr>
        <sz val="11"/>
        <rFont val="Noto Sans CJK SC"/>
        <family val="2"/>
      </rPr>
      <t xml:space="preserve">무료 상위 퍼즐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개 중 매출 </t>
    </r>
    <r>
      <rPr>
        <sz val="11"/>
        <rFont val="Arial"/>
        <family val="0"/>
        <charset val="1"/>
      </rPr>
      <t xml:space="preserve">Top 100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Magic Sort(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56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 1</t>
    </r>
    <r>
      <rPr>
        <sz val="11"/>
        <rFont val="Noto Sans CJK SC"/>
        <family val="2"/>
      </rPr>
      <t xml:space="preserve">개뿐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반대로 </t>
    </r>
    <r>
      <rPr>
        <sz val="11"/>
        <rFont val="Arial"/>
        <family val="0"/>
        <charset val="1"/>
      </rPr>
      <t xml:space="preserve">Whiteout</t>
    </r>
    <r>
      <rPr>
        <sz val="11"/>
        <rFont val="Noto Sans CJK SC"/>
        <family val="2"/>
      </rPr>
      <t xml:space="preserve">은 무료 순위가 낮아도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매출 </t>
    </r>
    <r>
      <rPr>
        <sz val="11"/>
        <rFont val="Arial"/>
        <family val="0"/>
        <charset val="1"/>
      </rPr>
      <t xml:space="preserve">Top 25</t>
    </r>
  </si>
  <si>
    <r>
      <rPr>
        <b val="true"/>
        <sz val="11"/>
        <rFont val="Noto Sans CJK SC"/>
        <family val="2"/>
      </rPr>
      <t xml:space="preserve">퍼즐 </t>
    </r>
    <r>
      <rPr>
        <b val="true"/>
        <sz val="11"/>
        <rFont val="Arial"/>
        <family val="0"/>
        <charset val="1"/>
      </rPr>
      <t xml:space="preserve">+ </t>
    </r>
    <r>
      <rPr>
        <b val="true"/>
        <sz val="11"/>
        <rFont val="Noto Sans CJK SC"/>
        <family val="2"/>
      </rPr>
      <t xml:space="preserve">꾸미기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이야기 </t>
    </r>
    <r>
      <rPr>
        <b val="true"/>
        <sz val="11"/>
        <rFont val="Arial"/>
        <family val="0"/>
        <charset val="1"/>
      </rPr>
      <t xml:space="preserve">= </t>
    </r>
    <r>
      <rPr>
        <b val="true"/>
        <sz val="11"/>
        <rFont val="Noto Sans CJK SC"/>
        <family val="2"/>
      </rPr>
      <t xml:space="preserve">돈</t>
    </r>
  </si>
  <si>
    <r>
      <rPr>
        <sz val="11"/>
        <rFont val="Noto Sans CJK SC"/>
        <family val="2"/>
      </rPr>
      <t xml:space="preserve">퍼즐만 있으면 심심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내 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드라마가 있으면 계속 와요</t>
    </r>
  </si>
  <si>
    <r>
      <rPr>
        <sz val="11"/>
        <rFont val="Arial"/>
        <family val="0"/>
        <charset val="1"/>
      </rPr>
      <t xml:space="preserve">Royal Match(</t>
    </r>
    <r>
      <rPr>
        <sz val="11"/>
        <rFont val="Noto Sans CJK SC"/>
        <family val="2"/>
      </rPr>
      <t xml:space="preserve">성 꾸미기</t>
    </r>
    <r>
      <rPr>
        <sz val="11"/>
        <rFont val="Arial"/>
        <family val="0"/>
        <charset val="1"/>
      </rPr>
      <t xml:space="preserve">)·Gossip Harbor(</t>
    </r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가 퍼즐 장르로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0"/>
        <charset val="1"/>
      </rPr>
      <t xml:space="preserve">Top 25</t>
    </r>
  </si>
  <si>
    <t xml:space="preserve">같이 하면 오래 간다</t>
  </si>
  <si>
    <r>
      <rPr>
        <sz val="11"/>
        <rFont val="Noto Sans CJK SC"/>
        <family val="2"/>
      </rPr>
      <t xml:space="preserve">친구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동맹과 함께하면 그만두기 어려워요</t>
    </r>
  </si>
  <si>
    <r>
      <rPr>
        <sz val="11"/>
        <rFont val="Arial"/>
        <family val="0"/>
        <charset val="1"/>
      </rPr>
      <t xml:space="preserve">MONOPOLY GO!(</t>
    </r>
    <r>
      <rPr>
        <sz val="11"/>
        <rFont val="Noto Sans CJK SC"/>
        <family val="2"/>
      </rPr>
      <t xml:space="preserve">친구 이벤트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Whiteout(</t>
    </r>
    <r>
      <rPr>
        <sz val="11"/>
        <rFont val="Noto Sans CJK SC"/>
        <family val="2"/>
      </rPr>
      <t xml:space="preserve">동맹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한국 매출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Free Fire(</t>
    </r>
    <r>
      <rPr>
        <sz val="11"/>
        <rFont val="Noto Sans CJK SC"/>
        <family val="2"/>
      </rPr>
      <t xml:space="preserve">스쿼드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브라질 매출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</si>
  <si>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Noto Sans CJK SC"/>
        <family val="2"/>
      </rPr>
      <t xml:space="preserve">현지 사람이 아는 얼굴</t>
    </r>
    <r>
      <rPr>
        <b val="true"/>
        <sz val="11"/>
        <rFont val="Arial"/>
        <family val="0"/>
        <charset val="1"/>
      </rPr>
      <t xml:space="preserve">(IP)</t>
    </r>
    <r>
      <rPr>
        <b val="true"/>
        <sz val="11"/>
        <rFont val="Noto Sans CJK SC"/>
        <family val="2"/>
      </rPr>
      <t xml:space="preserve">을 빌린다</t>
    </r>
  </si>
  <si>
    <t xml:space="preserve">유명한 캐릭터가 나오면 처음부터 믿고 받아요</t>
  </si>
  <si>
    <r>
      <rPr>
        <sz val="11"/>
        <rFont val="Arial"/>
        <family val="0"/>
        <charset val="1"/>
      </rPr>
      <t xml:space="preserve">Free Fire x NARUTO, MONOPOLY, </t>
    </r>
    <r>
      <rPr>
        <sz val="11"/>
        <rFont val="Noto Sans CJK SC"/>
        <family val="2"/>
      </rPr>
      <t xml:space="preserve">치이카와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 무료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Disney Solitaire</t>
    </r>
  </si>
  <si>
    <r>
      <rPr>
        <b val="true"/>
        <sz val="12"/>
        <rFont val="Noto Sans CJK SC"/>
        <family val="2"/>
      </rPr>
      <t xml:space="preserve">가장 작게 시작할 수 있는 </t>
    </r>
    <r>
      <rPr>
        <b val="true"/>
        <sz val="12"/>
        <rFont val="Arial"/>
        <family val="0"/>
        <charset val="1"/>
      </rPr>
      <t xml:space="preserve">MVP </t>
    </r>
    <r>
      <rPr>
        <b val="true"/>
        <sz val="12"/>
        <rFont val="Noto Sans CJK SC"/>
        <family val="2"/>
      </rPr>
      <t xml:space="preserve">순위</t>
    </r>
  </si>
  <si>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규모</t>
    </r>
  </si>
  <si>
    <t xml:space="preserve">이유</t>
  </si>
  <si>
    <r>
      <rPr>
        <sz val="11"/>
        <rFont val="Noto Sans CJK SC"/>
        <family val="2"/>
      </rPr>
      <t xml:space="preserve">판 하나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규칙 하나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제작도 필요 없음</t>
    </r>
  </si>
  <si>
    <r>
      <rPr>
        <sz val="11"/>
        <rFont val="Noto Sans CJK SC"/>
        <family val="2"/>
      </rPr>
      <t xml:space="preserve">조작 하나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레벨 데이터</t>
    </r>
  </si>
  <si>
    <r>
      <rPr>
        <sz val="11"/>
        <rFont val="Noto Sans CJK SC"/>
        <family val="2"/>
      </rPr>
      <t xml:space="preserve">색 매칭 규칙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레벨</t>
    </r>
  </si>
  <si>
    <r>
      <rPr>
        <sz val="11"/>
        <rFont val="Noto Sans CJK SC"/>
        <family val="2"/>
      </rPr>
      <t xml:space="preserve">논리 퍼즐 엔진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레벨 생성기</t>
    </r>
  </si>
  <si>
    <r>
      <rPr>
        <sz val="11"/>
        <rFont val="Noto Sans CJK SC"/>
        <family val="2"/>
      </rPr>
      <t xml:space="preserve">검증된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연출 품질이 관건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</si>
  <si>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엔진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꾸미기 메타</t>
    </r>
  </si>
  <si>
    <r>
      <rPr>
        <sz val="11"/>
        <rFont val="Noto Sans CJK SC"/>
        <family val="2"/>
      </rPr>
      <t xml:space="preserve">방치 루프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밸런스 작업 많음</t>
    </r>
  </si>
  <si>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아트 콘텐츠 양이 많음</t>
    </r>
  </si>
  <si>
    <r>
      <rPr>
        <sz val="11"/>
        <rFont val="Arial"/>
        <family val="0"/>
        <charset val="1"/>
      </rPr>
      <t xml:space="preserve">IP + </t>
    </r>
    <r>
      <rPr>
        <sz val="11"/>
        <rFont val="Noto Sans CJK SC"/>
        <family val="2"/>
      </rPr>
      <t xml:space="preserve">실시간 이벤트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</si>
  <si>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라이선스 필수</t>
    </r>
  </si>
  <si>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라이브 운영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마케팅 비용</t>
    </r>
  </si>
  <si>
    <t xml:space="preserve">실시간 멀티플레이 서버</t>
  </si>
  <si>
    <r>
      <rPr>
        <b val="true"/>
        <sz val="11"/>
        <color rgb="FFFFFFFF"/>
        <rFont val="Noto Sans CJK SC"/>
        <family val="2"/>
      </rPr>
      <t xml:space="preserve">꼭 필요 </t>
    </r>
    <r>
      <rPr>
        <b val="true"/>
        <sz val="11"/>
        <color rgb="FFFFFFFF"/>
        <rFont val="Arial"/>
        <family val="0"/>
        <charset val="1"/>
      </rPr>
      <t xml:space="preserve">(Must)</t>
    </r>
  </si>
  <si>
    <r>
      <rPr>
        <b val="true"/>
        <sz val="11"/>
        <color rgb="FFFFFFFF"/>
        <rFont val="Noto Sans CJK SC"/>
        <family val="2"/>
      </rPr>
      <t xml:space="preserve">있으면 좋음 </t>
    </r>
    <r>
      <rPr>
        <b val="true"/>
        <sz val="11"/>
        <color rgb="FFFFFFFF"/>
        <rFont val="Arial"/>
        <family val="0"/>
        <charset val="1"/>
      </rPr>
      <t xml:space="preserve">(Should)</t>
    </r>
  </si>
  <si>
    <r>
      <rPr>
        <b val="true"/>
        <sz val="11"/>
        <color rgb="FFFFFFFF"/>
        <rFont val="Noto Sans CJK SC"/>
        <family val="2"/>
      </rPr>
      <t xml:space="preserve">나중에 </t>
    </r>
    <r>
      <rPr>
        <b val="true"/>
        <sz val="11"/>
        <color rgb="FFFFFFFF"/>
        <rFont val="Arial"/>
        <family val="0"/>
        <charset val="1"/>
      </rPr>
      <t xml:space="preserve">(Later)</t>
    </r>
  </si>
  <si>
    <r>
      <rPr>
        <b val="true"/>
        <sz val="11"/>
        <color rgb="FFFFFFFF"/>
        <rFont val="Noto Sans CJK SC"/>
        <family val="2"/>
      </rPr>
      <t xml:space="preserve">예상 인원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기간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</si>
  <si>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출시 전후 확인할 숫자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검증 지표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</si>
  <si>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만들 때 가장 어려운 점</t>
  </si>
  <si>
    <r>
      <rPr>
        <sz val="11"/>
        <rFont val="Noto Sans CJK SC"/>
        <family val="2"/>
      </rPr>
      <t xml:space="preserve">논리 퍼즐 규칙 엔진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정답 검증기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고양이 아트 세트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힌트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되돌리기</t>
    </r>
  </si>
  <si>
    <r>
      <rPr>
        <sz val="11"/>
        <rFont val="Noto Sans CJK SC"/>
        <family val="2"/>
      </rPr>
      <t xml:space="preserve">보상형 광고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전면 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일일 퍼즐</t>
    </r>
  </si>
  <si>
    <r>
      <rPr>
        <sz val="11"/>
        <rFont val="Noto Sans CJK SC"/>
        <family val="2"/>
      </rPr>
      <t xml:space="preserve">고양이 도감 수집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이벤트</t>
    </r>
  </si>
  <si>
    <r>
      <rPr>
        <sz val="11"/>
        <rFont val="Arial"/>
        <family val="0"/>
        <charset val="1"/>
      </rPr>
      <t xml:space="preserve">2~4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2~3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</si>
  <si>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D1·D7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이탈 구간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시청 수</t>
    </r>
  </si>
  <si>
    <t xml:space="preserve">풀 수 있으면서 너무 쉽지 않은 레벨 대량 생성</t>
  </si>
  <si>
    <r>
      <rPr>
        <sz val="11"/>
        <rFont val="Noto Sans CJK SC"/>
        <family val="2"/>
      </rPr>
      <t xml:space="preserve">고리 회전 조작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색 정렬 판정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손맛 연출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사운드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진동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</si>
  <si>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힌트 아이템</t>
    </r>
  </si>
  <si>
    <r>
      <rPr>
        <sz val="11"/>
        <rFont val="Noto Sans CJK SC"/>
        <family val="2"/>
      </rPr>
      <t xml:space="preserve">테마 스킨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레벨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</si>
  <si>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레벨 완료율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시청 수</t>
    </r>
  </si>
  <si>
    <r>
      <rPr>
        <sz val="11"/>
        <rFont val="Noto Sans CJK SC"/>
        <family val="2"/>
      </rPr>
      <t xml:space="preserve">조작감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회전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스냅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기분 좋은 손맛</t>
    </r>
  </si>
  <si>
    <r>
      <rPr>
        <sz val="11"/>
        <rFont val="Arial"/>
        <family val="0"/>
        <charset val="1"/>
      </rPr>
      <t xml:space="preserve">8×8 </t>
    </r>
    <r>
      <rPr>
        <sz val="11"/>
        <rFont val="Noto Sans CJK SC"/>
        <family val="2"/>
      </rPr>
      <t xml:space="preserve">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블록 생성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줄 지우기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콤보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최고 점수</t>
    </r>
  </si>
  <si>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이어하기 보상 등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</si>
  <si>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모드 추가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레벨형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테마</t>
    </r>
  </si>
  <si>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1~2</t>
    </r>
    <r>
      <rPr>
        <sz val="11"/>
        <rFont val="Noto Sans CJK SC"/>
        <family val="2"/>
      </rPr>
      <t xml:space="preserve">개월</t>
    </r>
  </si>
  <si>
    <r>
      <rPr>
        <sz val="11"/>
        <rFont val="Noto Sans CJK SC"/>
        <family val="2"/>
      </rPr>
      <t xml:space="preserve">세션당 판 수</t>
    </r>
    <r>
      <rPr>
        <sz val="11"/>
        <rFont val="Arial"/>
        <family val="0"/>
        <charset val="1"/>
      </rPr>
      <t xml:space="preserve">, D1·D30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수익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유저</t>
    </r>
  </si>
  <si>
    <r>
      <rPr>
        <sz val="11"/>
        <rFont val="Noto Sans CJK SC"/>
        <family val="2"/>
      </rPr>
      <t xml:space="preserve">블록이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공정하게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나오는 생성 규칙</t>
    </r>
  </si>
  <si>
    <r>
      <rPr>
        <sz val="11"/>
        <rFont val="Noto Sans CJK SC"/>
        <family val="2"/>
      </rPr>
      <t xml:space="preserve">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액체 정렬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150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액체 연출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</si>
  <si>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소액 인앱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힌트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빈 병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</si>
  <si>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시즌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꾸미기 메타</t>
    </r>
  </si>
  <si>
    <r>
      <rPr>
        <sz val="11"/>
        <rFont val="Arial"/>
        <family val="0"/>
        <charset val="1"/>
      </rPr>
      <t xml:space="preserve">3~4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2~3</t>
    </r>
    <r>
      <rPr>
        <sz val="11"/>
        <rFont val="Noto Sans CJK SC"/>
        <family val="2"/>
      </rPr>
      <t xml:space="preserve">개월</t>
    </r>
  </si>
  <si>
    <r>
      <rPr>
        <sz val="11"/>
        <rFont val="Noto Sans CJK SC"/>
        <family val="2"/>
      </rPr>
      <t xml:space="preserve">레벨 이탈 구간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결제 비율</t>
    </r>
  </si>
  <si>
    <t xml:space="preserve">레벨 난이도 곡선 설계</t>
  </si>
  <si>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승객 색 매칭 규칙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주차 공간 제한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</t>
    </r>
  </si>
  <si>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대기열 늘리기 등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</si>
  <si>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</si>
  <si>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레벨당 실패율</t>
    </r>
  </si>
  <si>
    <t xml:space="preserve">막히는 순간과 풀리는 순간의 균형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</si>
  <si>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엔진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장애물 </t>
    </r>
    <r>
      <rPr>
        <sz val="11"/>
        <rFont val="Arial"/>
        <family val="0"/>
        <charset val="1"/>
      </rPr>
      <t xml:space="preserve">5~8</t>
    </r>
    <r>
      <rPr>
        <sz val="11"/>
        <rFont val="Noto Sans CJK SC"/>
        <family val="2"/>
      </rPr>
      <t xml:space="preserve">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+, </t>
    </r>
    <r>
      <rPr>
        <sz val="11"/>
        <rFont val="Noto Sans CJK SC"/>
        <family val="2"/>
      </rPr>
      <t xml:space="preserve">성 꾸미기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구역</t>
    </r>
  </si>
  <si>
    <r>
      <rPr>
        <sz val="11"/>
        <rFont val="Noto Sans CJK SC"/>
        <family val="2"/>
      </rPr>
      <t xml:space="preserve">코인 상점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목숨 시스템</t>
    </r>
  </si>
  <si>
    <r>
      <rPr>
        <sz val="11"/>
        <rFont val="Noto Sans CJK SC"/>
        <family val="2"/>
      </rPr>
      <t xml:space="preserve">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길드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경쟁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패스</t>
    </r>
  </si>
  <si>
    <r>
      <rPr>
        <sz val="11"/>
        <rFont val="Arial"/>
        <family val="0"/>
        <charset val="1"/>
      </rPr>
      <t xml:space="preserve">5~10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4~8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</si>
  <si>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D1·D7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레벨당 시도 횟수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결제 전환율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</si>
  <si>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'</t>
    </r>
    <r>
      <rPr>
        <sz val="11"/>
        <rFont val="Noto Sans CJK SC"/>
        <family val="2"/>
      </rPr>
      <t xml:space="preserve">손맛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과 연출 품질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이미 강자 다수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</si>
  <si>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머지 보드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아이템 체인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주문 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스토리 </t>
    </r>
    <r>
      <rPr>
        <sz val="11"/>
        <rFont val="Arial"/>
        <family val="0"/>
        <charset val="1"/>
      </rPr>
      <t xml:space="preserve">1~2</t>
    </r>
    <r>
      <rPr>
        <sz val="11"/>
        <rFont val="Noto Sans CJK SC"/>
        <family val="2"/>
      </rPr>
      <t xml:space="preserve">장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</t>
    </r>
  </si>
  <si>
    <r>
      <rPr>
        <sz val="11"/>
        <rFont val="Noto Sans CJK SC"/>
        <family val="2"/>
      </rPr>
      <t xml:space="preserve">에너지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아이템 상점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스토리 연출 강화</t>
    </r>
  </si>
  <si>
    <r>
      <rPr>
        <sz val="11"/>
        <rFont val="Noto Sans CJK SC"/>
        <family val="2"/>
      </rPr>
      <t xml:space="preserve">시즌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새 지역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 추가</t>
    </r>
  </si>
  <si>
    <r>
      <rPr>
        <sz val="11"/>
        <rFont val="Arial"/>
        <family val="0"/>
        <charset val="1"/>
      </rPr>
      <t xml:space="preserve">10~20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8~12</t>
    </r>
    <r>
      <rPr>
        <sz val="11"/>
        <rFont val="Noto Sans CJK SC"/>
        <family val="2"/>
      </rPr>
      <t xml:space="preserve">개월</t>
    </r>
  </si>
  <si>
    <r>
      <rPr>
        <sz val="11"/>
        <rFont val="Arial"/>
        <family val="0"/>
        <charset val="1"/>
      </rPr>
      <t xml:space="preserve">D7·D30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스토리 장 완료율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결제 전환율</t>
    </r>
  </si>
  <si>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아트 콘텐츠를 계속 만들어야 하는 제작량</t>
    </r>
  </si>
  <si>
    <r>
      <rPr>
        <sz val="11"/>
        <rFont val="Noto Sans CJK SC"/>
        <family val="2"/>
      </rPr>
      <t xml:space="preserve">주사위 보드 루프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도시 짓기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연동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최소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</si>
  <si>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스티커 앨범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주사위 상점</t>
    </r>
  </si>
  <si>
    <r>
      <rPr>
        <sz val="11"/>
        <rFont val="Noto Sans CJK SC"/>
        <family val="2"/>
      </rPr>
      <t xml:space="preserve">파트너 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앨범 교환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대형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계약</t>
    </r>
  </si>
  <si>
    <r>
      <rPr>
        <sz val="11"/>
        <rFont val="Arial"/>
        <family val="0"/>
        <charset val="1"/>
      </rPr>
      <t xml:space="preserve">15~25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10~15</t>
    </r>
    <r>
      <rPr>
        <sz val="11"/>
        <rFont val="Noto Sans CJK SC"/>
        <family val="2"/>
      </rPr>
      <t xml:space="preserve">개월 </t>
    </r>
    <r>
      <rPr>
        <sz val="11"/>
        <rFont val="Arial"/>
        <family val="0"/>
        <charset val="1"/>
      </rPr>
      <t xml:space="preserve">(IP </t>
    </r>
    <r>
      <rPr>
        <sz val="11"/>
        <rFont val="Noto Sans CJK SC"/>
        <family val="2"/>
      </rPr>
      <t xml:space="preserve">제외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</si>
  <si>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D1·D30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 초대율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참여율</t>
    </r>
    <r>
      <rPr>
        <sz val="11"/>
        <rFont val="Arial"/>
        <family val="0"/>
        <charset val="1"/>
      </rPr>
      <t xml:space="preserve">, ARPDAU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</si>
  <si>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없이는 같은 효과를 내기 어려움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실시간 이벤트 운영</t>
    </r>
  </si>
  <si>
    <r>
      <rPr>
        <sz val="11"/>
        <rFont val="Noto Sans CJK SC"/>
        <family val="2"/>
      </rPr>
      <t xml:space="preserve">도시 건설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자원 루프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영웅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세트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동맹 기본 기능</t>
    </r>
  </si>
  <si>
    <r>
      <rPr>
        <sz val="11"/>
        <rFont val="Noto Sans CJK SC"/>
        <family val="2"/>
      </rPr>
      <t xml:space="preserve">영웅 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가속 상점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일일 퀘스트</t>
    </r>
  </si>
  <si>
    <r>
      <rPr>
        <sz val="11"/>
        <rFont val="Noto Sans CJK SC"/>
        <family val="2"/>
      </rPr>
      <t xml:space="preserve">동맹 전쟁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서버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대형 이벤트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</si>
  <si>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명 이상 </t>
    </r>
    <r>
      <rPr>
        <sz val="11"/>
        <rFont val="Arial"/>
        <family val="0"/>
        <charset val="1"/>
      </rPr>
      <t xml:space="preserve">/ 1.5</t>
    </r>
    <r>
      <rPr>
        <sz val="11"/>
        <rFont val="Noto Sans CJK SC"/>
        <family val="2"/>
      </rPr>
      <t xml:space="preserve">년 이상</t>
    </r>
  </si>
  <si>
    <r>
      <rPr>
        <sz val="11"/>
        <rFont val="Arial"/>
        <family val="0"/>
        <charset val="1"/>
      </rPr>
      <t xml:space="preserve">D30·D90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상위 결제자 비중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동맹 가입률</t>
    </r>
  </si>
  <si>
    <r>
      <rPr>
        <sz val="11"/>
        <rFont val="Noto Sans CJK SC"/>
        <family val="2"/>
      </rPr>
      <t xml:space="preserve">서버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밸런스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라이브 운영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매우 큰 마케팅 비용</t>
    </r>
  </si>
  <si>
    <r>
      <rPr>
        <sz val="11"/>
        <rFont val="Noto Sans CJK SC"/>
        <family val="2"/>
      </rPr>
      <t xml:space="preserve">실시간 멀티플레이 서버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매칭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맵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기본 세트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저사양 최적화</t>
    </r>
  </si>
  <si>
    <r>
      <rPr>
        <sz val="11"/>
        <rFont val="Noto Sans CJK SC"/>
        <family val="2"/>
      </rPr>
      <t xml:space="preserve">랭크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스킨 상점</t>
    </r>
  </si>
  <si>
    <r>
      <rPr>
        <sz val="11"/>
        <rFont val="Noto Sans CJK SC"/>
        <family val="2"/>
      </rPr>
      <t xml:space="preserve">콜라보</t>
    </r>
    <r>
      <rPr>
        <sz val="11"/>
        <rFont val="Arial"/>
        <family val="0"/>
        <charset val="1"/>
      </rPr>
      <t xml:space="preserve">, e</t>
    </r>
    <r>
      <rPr>
        <sz val="11"/>
        <rFont val="Noto Sans CJK SC"/>
        <family val="2"/>
      </rPr>
      <t xml:space="preserve">스포츠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신규 모드</t>
    </r>
  </si>
  <si>
    <r>
      <rPr>
        <sz val="11"/>
        <rFont val="Arial"/>
        <family val="0"/>
        <charset val="1"/>
      </rPr>
      <t xml:space="preserve">40</t>
    </r>
    <r>
      <rPr>
        <sz val="11"/>
        <rFont val="Noto Sans CJK SC"/>
        <family val="2"/>
      </rPr>
      <t xml:space="preserve">명 이상 </t>
    </r>
    <r>
      <rPr>
        <sz val="11"/>
        <rFont val="Arial"/>
        <family val="0"/>
        <charset val="1"/>
      </rPr>
      <t xml:space="preserve">/ 2</t>
    </r>
    <r>
      <rPr>
        <sz val="11"/>
        <rFont val="Noto Sans CJK SC"/>
        <family val="2"/>
      </rPr>
      <t xml:space="preserve">년 이상</t>
    </r>
  </si>
  <si>
    <r>
      <rPr>
        <sz val="11"/>
        <rFont val="Noto Sans CJK SC"/>
        <family val="2"/>
      </rPr>
      <t xml:space="preserve">동시 접속자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매칭 대기시간</t>
    </r>
    <r>
      <rPr>
        <sz val="11"/>
        <rFont val="Arial"/>
        <family val="0"/>
        <charset val="1"/>
      </rPr>
      <t xml:space="preserve">, D7 </t>
    </r>
    <r>
      <rPr>
        <sz val="11"/>
        <rFont val="Noto Sans CJK SC"/>
        <family val="2"/>
      </rPr>
      <t xml:space="preserve">리텐션</t>
    </r>
  </si>
  <si>
    <r>
      <rPr>
        <sz val="11"/>
        <rFont val="Noto Sans CJK SC"/>
        <family val="2"/>
      </rPr>
      <t xml:space="preserve">실시간 서버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부정행위 대응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저사양 최적화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</si>
  <si>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라이선스 확보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원작 그림체 캐릭터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 루프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</si>
  <si>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꾸미기 아이템 상점</t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</si>
  <si>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이벤트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굿즈 연동</t>
    </r>
  </si>
  <si>
    <r>
      <rPr>
        <sz val="11"/>
        <rFont val="Arial"/>
        <family val="0"/>
        <charset val="1"/>
      </rPr>
      <t xml:space="preserve">10~20</t>
    </r>
    <r>
      <rPr>
        <sz val="11"/>
        <rFont val="Noto Sans CJK SC"/>
        <family val="2"/>
      </rPr>
      <t xml:space="preserve">명 </t>
    </r>
    <r>
      <rPr>
        <sz val="11"/>
        <rFont val="Arial"/>
        <family val="0"/>
        <charset val="1"/>
      </rPr>
      <t xml:space="preserve">/ 8~12</t>
    </r>
    <r>
      <rPr>
        <sz val="11"/>
        <rFont val="Noto Sans CJK SC"/>
        <family val="2"/>
      </rPr>
      <t xml:space="preserve">개월 </t>
    </r>
    <r>
      <rPr>
        <sz val="11"/>
        <rFont val="Arial"/>
        <family val="0"/>
        <charset val="1"/>
      </rPr>
      <t xml:space="preserve">+ IP </t>
    </r>
    <r>
      <rPr>
        <sz val="11"/>
        <rFont val="Noto Sans CJK SC"/>
        <family val="2"/>
      </rPr>
      <t xml:space="preserve">계약</t>
    </r>
  </si>
  <si>
    <r>
      <rPr>
        <sz val="11"/>
        <rFont val="Noto Sans CJK SC"/>
        <family val="2"/>
      </rPr>
      <t xml:space="preserve">팬 유입 대비 </t>
    </r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결제 전환율</t>
    </r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</si>
  <si>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확보 비용과 원작사 승인 절차</t>
    </r>
  </si>
  <si>
    <r>
      <rPr>
        <sz val="11"/>
        <rFont val="Noto Sans CJK SC"/>
        <family val="2"/>
      </rPr>
      <t xml:space="preserve">방치 성장 루프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자동 전투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장비 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초반 대량 뽑기 지급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</si>
  <si>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성장 패키지 상점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출석 보상</t>
    </r>
  </si>
  <si>
    <r>
      <rPr>
        <sz val="11"/>
        <rFont val="Noto Sans CJK SC"/>
        <family val="2"/>
      </rPr>
      <t xml:space="preserve">길드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랭킹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시즌 콘텐츠</t>
    </r>
  </si>
  <si>
    <r>
      <rPr>
        <sz val="11"/>
        <rFont val="Arial"/>
        <family val="0"/>
        <charset val="1"/>
      </rPr>
      <t xml:space="preserve">D1·D7 </t>
    </r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결제 전환율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결제자당 매출</t>
    </r>
  </si>
  <si>
    <r>
      <rPr>
        <sz val="11"/>
        <rFont val="Noto Sans CJK SC"/>
        <family val="2"/>
      </rPr>
      <t xml:space="preserve">뽑기 확률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성장 밸런스와 확률 공시 등 규제 대응</t>
    </r>
  </si>
  <si>
    <r>
      <rPr>
        <i val="true"/>
        <sz val="11"/>
        <color rgb="FF595959"/>
        <rFont val="Noto Sans CJK SC"/>
        <family val="2"/>
      </rPr>
      <t xml:space="preserve">인원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기간은 분석자 추정입니다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검증 지표의 목표 수치는 출처가 확인된 값만 </t>
    </r>
    <r>
      <rPr>
        <i val="true"/>
        <sz val="11"/>
        <color rgb="FF595959"/>
        <rFont val="Arial"/>
        <family val="0"/>
        <charset val="1"/>
      </rPr>
      <t xml:space="preserve">'2-2 MVP </t>
    </r>
    <r>
      <rPr>
        <i val="true"/>
        <sz val="11"/>
        <color rgb="FF595959"/>
        <rFont val="Noto Sans CJK SC"/>
        <family val="2"/>
      </rPr>
      <t xml:space="preserve">검증 목표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시트에 정리했습니다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장르별 리텐션은 공식 숫자 자료가 없어</t>
    </r>
    <r>
      <rPr>
        <i val="true"/>
        <sz val="11"/>
        <color rgb="FF595959"/>
        <rFont val="Arial"/>
        <family val="0"/>
        <charset val="1"/>
      </rPr>
      <t xml:space="preserve">, 2025 </t>
    </r>
    <r>
      <rPr>
        <i val="true"/>
        <sz val="11"/>
        <color rgb="FF595959"/>
        <rFont val="Noto Sans CJK SC"/>
        <family val="2"/>
      </rPr>
      <t xml:space="preserve">보고서 이미지 차트를 읽은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판독값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'4-3 </t>
    </r>
    <r>
      <rPr>
        <i val="true"/>
        <sz val="11"/>
        <color rgb="FF595959"/>
        <rFont val="Noto Sans CJK SC"/>
        <family val="2"/>
      </rPr>
      <t xml:space="preserve">장르 판독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시트에 따로 정리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</si>
  <si>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1"/>
        <color rgb="FFFFFFFF"/>
        <rFont val="Arial"/>
        <family val="0"/>
        <charset val="1"/>
      </rPr>
      <t xml:space="preserve">D1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</si>
  <si>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D7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</si>
  <si>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D30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</si>
  <si>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수익 참고 </t>
    </r>
    <r>
      <rPr>
        <b val="true"/>
        <sz val="11"/>
        <color rgb="FFFFFFFF"/>
        <rFont val="Arial"/>
        <family val="0"/>
        <charset val="1"/>
      </rPr>
      <t xml:space="preserve">(AppsFlyer, D90, </t>
    </r>
    <r>
      <rPr>
        <b val="true"/>
        <sz val="11"/>
        <color rgb="FFFFFFFF"/>
        <rFont val="Noto Sans CJK SC"/>
        <family val="2"/>
      </rPr>
      <t xml:space="preserve">글로벌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</si>
  <si>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주 타깃 지역</t>
  </si>
  <si>
    <t xml:space="preserve">수익 장르 분류</t>
  </si>
  <si>
    <r>
      <rPr>
        <b val="true"/>
        <sz val="11"/>
        <color rgb="FFFFFFFF"/>
        <rFont val="Noto Sans CJK SC"/>
        <family val="2"/>
      </rPr>
      <t xml:space="preserve">합격선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Noto Sans CJK SC"/>
        <family val="2"/>
      </rPr>
      <t xml:space="preserve">전체 상위 </t>
    </r>
    <r>
      <rPr>
        <b val="true"/>
        <sz val="11"/>
        <color rgb="FFFFFFFF"/>
        <rFont val="Arial"/>
        <family val="0"/>
        <charset val="1"/>
      </rPr>
      <t xml:space="preserve">25%</t>
    </r>
  </si>
  <si>
    <r>
      <rPr>
        <b val="true"/>
        <sz val="11"/>
        <color rgb="FFFFFFFF"/>
        <rFont val="Noto Sans CJK SC"/>
        <family val="2"/>
      </rPr>
      <t xml:space="preserve">목표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Noto Sans CJK SC"/>
        <family val="2"/>
      </rPr>
      <t xml:space="preserve">타깃 지역 상위 </t>
    </r>
    <r>
      <rPr>
        <b val="true"/>
        <sz val="11"/>
        <color rgb="FFFFFFFF"/>
        <rFont val="Arial"/>
        <family val="0"/>
        <charset val="1"/>
      </rPr>
      <t xml:space="preserve">10%</t>
    </r>
  </si>
  <si>
    <t xml:space="preserve">지역 중앙값</t>
  </si>
  <si>
    <t xml:space="preserve">IAP ARPU</t>
  </si>
  <si>
    <r>
      <rPr>
        <b val="true"/>
        <sz val="11"/>
        <color rgb="FFFFFFFF"/>
        <rFont val="Noto Sans CJK SC"/>
        <family val="2"/>
      </rPr>
      <t xml:space="preserve">광고 </t>
    </r>
    <r>
      <rPr>
        <b val="true"/>
        <sz val="11"/>
        <color rgb="FFFFFFFF"/>
        <rFont val="Arial"/>
        <family val="0"/>
        <charset val="1"/>
      </rPr>
      <t xml:space="preserve">ARPU</t>
    </r>
  </si>
  <si>
    <t xml:space="preserve">IAP ARPPU</t>
  </si>
  <si>
    <t xml:space="preserve">장르별 리텐션</t>
  </si>
  <si>
    <t xml:space="preserve">북미</t>
  </si>
  <si>
    <t xml:space="preserve">캐주얼</t>
  </si>
  <si>
    <r>
      <rPr>
        <sz val="11"/>
        <rFont val="Arial"/>
        <family val="0"/>
        <charset val="1"/>
      </rPr>
      <t xml:space="preserve">30% </t>
    </r>
    <r>
      <rPr>
        <sz val="11"/>
        <rFont val="Noto Sans CJK SC"/>
        <family val="2"/>
      </rPr>
      <t xml:space="preserve">약간 상회</t>
    </r>
  </si>
  <si>
    <t xml:space="preserve">6~7%</t>
  </si>
  <si>
    <t xml:space="preserve">1.6~1.8%</t>
  </si>
  <si>
    <t xml:space="preserve">미공개</t>
  </si>
  <si>
    <t xml:space="preserve">미드코어</t>
  </si>
  <si>
    <t xml:space="preserve">남미</t>
  </si>
  <si>
    <t xml:space="preserve">아시아</t>
  </si>
  <si>
    <r>
      <rPr>
        <sz val="11"/>
        <color rgb="FF0000FF"/>
        <rFont val="Noto Sans CJK SC"/>
        <family val="2"/>
      </rPr>
      <t xml:space="preserve">미정 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게임 방식 미확인</t>
    </r>
    <r>
      <rPr>
        <sz val="11"/>
        <color rgb="FF0000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</si>
  <si>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모든 숫자는 시장조사</t>
    </r>
    <r>
      <rPr>
        <i val="true"/>
        <sz val="11"/>
        <color rgb="FF595959"/>
        <rFont val="Arial"/>
        <family val="0"/>
        <charset val="1"/>
      </rPr>
      <t xml:space="preserve">.xlsx › '4-1 </t>
    </r>
    <r>
      <rPr>
        <i val="true"/>
        <sz val="11"/>
        <color rgb="FF595959"/>
        <rFont val="Noto Sans CJK SC"/>
        <family val="2"/>
      </rPr>
      <t xml:space="preserve">벤치마크 근거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시트와 이 파일의 </t>
    </r>
    <r>
      <rPr>
        <i val="true"/>
        <sz val="11"/>
        <color rgb="FF595959"/>
        <rFont val="Arial"/>
        <family val="0"/>
        <charset val="1"/>
      </rPr>
      <t xml:space="preserve">'4-1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시트의 출처값을 그대로 가져온 것이며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새로 만든 수치는 없습니다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</si>
  <si>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합격선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과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목표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를 어느 구간</t>
    </r>
    <r>
      <rPr>
        <i val="true"/>
        <sz val="11"/>
        <color rgb="FF595959"/>
        <rFont val="Arial"/>
        <family val="0"/>
        <charset val="1"/>
      </rPr>
      <t xml:space="preserve">(P75·P90)</t>
    </r>
    <r>
      <rPr>
        <i val="true"/>
        <sz val="11"/>
        <color rgb="FF595959"/>
        <rFont val="Noto Sans CJK SC"/>
        <family val="2"/>
      </rPr>
      <t xml:space="preserve">으로 둘지는 분석자 제안입니다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기준을 바꾸려면 </t>
    </r>
    <r>
      <rPr>
        <i val="true"/>
        <sz val="11"/>
        <color rgb="FF595959"/>
        <rFont val="Arial"/>
        <family val="0"/>
        <charset val="1"/>
      </rPr>
      <t xml:space="preserve">D·G·J</t>
    </r>
    <r>
      <rPr>
        <i val="true"/>
        <sz val="11"/>
        <color rgb="FF595959"/>
        <rFont val="Noto Sans CJK SC"/>
        <family val="2"/>
      </rPr>
      <t xml:space="preserve">열 또는 </t>
    </r>
    <r>
      <rPr>
        <i val="true"/>
        <sz val="11"/>
        <color rgb="FF595959"/>
        <rFont val="Arial"/>
        <family val="0"/>
        <charset val="1"/>
      </rPr>
      <t xml:space="preserve">'4-1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조회 열을 바꾸면 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</si>
  <si>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주 타깃 지역과 수익 장르 분류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는 분석자 판단입니다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파란 글씨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지역을 바꾸면 지역 수치가 자동으로 바뀝니다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</si>
  <si>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리텐션 수치는 전 장르 합산값입니다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장르별 수치는 </t>
    </r>
    <r>
      <rPr>
        <i val="true"/>
        <sz val="11"/>
        <color rgb="FF595959"/>
        <rFont val="Arial"/>
        <family val="0"/>
        <charset val="1"/>
      </rPr>
      <t xml:space="preserve">GameAnalytics 2026 </t>
    </r>
    <r>
      <rPr>
        <i val="true"/>
        <sz val="11"/>
        <color rgb="FF595959"/>
        <rFont val="Noto Sans CJK SC"/>
        <family val="2"/>
      </rPr>
      <t xml:space="preserve">보고서에 없고</t>
    </r>
    <r>
      <rPr>
        <i val="true"/>
        <sz val="11"/>
        <color rgb="FF595959"/>
        <rFont val="Arial"/>
        <family val="0"/>
        <charset val="1"/>
      </rPr>
      <t xml:space="preserve">, 2025 </t>
    </r>
    <r>
      <rPr>
        <i val="true"/>
        <sz val="11"/>
        <color rgb="FF595959"/>
        <rFont val="Noto Sans CJK SC"/>
        <family val="2"/>
      </rPr>
      <t xml:space="preserve">보고서 이미지 차트에서 읽은 판독값은 </t>
    </r>
    <r>
      <rPr>
        <i val="true"/>
        <sz val="11"/>
        <color rgb="FF595959"/>
        <rFont val="Arial"/>
        <family val="0"/>
        <charset val="1"/>
      </rPr>
      <t xml:space="preserve">'4-3 </t>
    </r>
    <r>
      <rPr>
        <i val="true"/>
        <sz val="11"/>
        <color rgb="FF595959"/>
        <rFont val="Noto Sans CJK SC"/>
        <family val="2"/>
      </rPr>
      <t xml:space="preserve">장르 판독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참조</t>
    </r>
    <r>
      <rPr>
        <i val="true"/>
        <sz val="11"/>
        <color rgb="FF595959"/>
        <rFont val="Arial"/>
        <family val="0"/>
        <charset val="1"/>
      </rPr>
      <t xml:space="preserve">)'·'2-3 </t>
    </r>
    <r>
      <rPr>
        <i val="true"/>
        <sz val="11"/>
        <color rgb="FF595959"/>
        <rFont val="Noto Sans CJK SC"/>
        <family val="2"/>
      </rPr>
      <t xml:space="preserve">장르 연결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시트에 따로 두었습니다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이 표에는 섞지 않음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</si>
  <si>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D30 </t>
    </r>
    <r>
      <rPr>
        <i val="true"/>
        <sz val="11"/>
        <color rgb="FF595959"/>
        <rFont val="Noto Sans CJK SC"/>
        <family val="2"/>
      </rPr>
      <t xml:space="preserve">리텐션은 </t>
    </r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 기준이며</t>
    </r>
    <r>
      <rPr>
        <i val="true"/>
        <sz val="11"/>
        <color rgb="FF595959"/>
        <rFont val="Arial"/>
        <family val="0"/>
        <charset val="1"/>
      </rPr>
      <t xml:space="preserve">, 2025 </t>
    </r>
    <r>
      <rPr>
        <i val="true"/>
        <sz val="11"/>
        <color rgb="FF595959"/>
        <rFont val="Noto Sans CJK SC"/>
        <family val="2"/>
      </rPr>
      <t xml:space="preserve">보고서는 </t>
    </r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을 사용해 직접 비교에 주의가 필요합니다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</si>
  <si>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수익 수치</t>
    </r>
    <r>
      <rPr>
        <i val="true"/>
        <sz val="11"/>
        <color rgb="FF595959"/>
        <rFont val="Arial"/>
        <family val="0"/>
        <charset val="1"/>
      </rPr>
      <t xml:space="preserve">(AppsFlyer)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D90 </t>
    </r>
    <r>
      <rPr>
        <i val="true"/>
        <sz val="11"/>
        <color rgb="FF595959"/>
        <rFont val="Noto Sans CJK SC"/>
        <family val="2"/>
      </rPr>
      <t xml:space="preserve">기준 글로벌 평균이며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지역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플랫폼에 따라 다릅니다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유럽은 더 높다고 보고됨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</si>
  <si>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3"/>
        <rFont val="Noto Sans CJK SC"/>
        <family val="2"/>
      </rPr>
      <t xml:space="preserve">우리 프로젝트 장르 그룹 ↔ </t>
    </r>
    <r>
      <rPr>
        <b val="true"/>
        <sz val="13"/>
        <rFont val="Arial"/>
        <family val="0"/>
        <charset val="1"/>
      </rPr>
      <t xml:space="preserve">GameAnalytics </t>
    </r>
    <r>
      <rPr>
        <b val="true"/>
        <sz val="13"/>
        <rFont val="Noto Sans CJK SC"/>
        <family val="2"/>
      </rPr>
      <t xml:space="preserve">장르 연결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분석자 추정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</si>
  <si>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연결</t>
    </r>
    <r>
      <rPr>
        <b val="true"/>
        <sz val="11"/>
        <color rgb="FFC00000"/>
        <rFont val="Arial"/>
        <family val="0"/>
        <charset val="1"/>
      </rPr>
      <t xml:space="preserve">(C</t>
    </r>
    <r>
      <rPr>
        <b val="true"/>
        <sz val="11"/>
        <color rgb="FFC00000"/>
        <rFont val="Noto Sans CJK SC"/>
        <family val="2"/>
      </rPr>
      <t xml:space="preserve">열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은 분석자 추정입니다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각 게임이 스토어에 어떤 장르로 등록됐는지는 이번에 확인하지 않았습니다</t>
    </r>
    <r>
      <rPr>
        <b val="true"/>
        <sz val="11"/>
        <color rgb="FFC00000"/>
        <rFont val="Arial"/>
        <family val="0"/>
        <charset val="1"/>
      </rPr>
      <t xml:space="preserve">. C</t>
    </r>
    <r>
      <rPr>
        <b val="true"/>
        <sz val="11"/>
        <color rgb="FFC00000"/>
        <rFont val="Noto Sans CJK SC"/>
        <family val="2"/>
      </rPr>
      <t xml:space="preserve">열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노란 칸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을 목록에서 바꾸면 오른쪽 숫자가 자동으로 바뀝니다</t>
    </r>
    <r>
      <rPr>
        <b val="true"/>
        <sz val="11"/>
        <color rgb="FFC00000"/>
        <rFont val="Arial"/>
        <family val="0"/>
        <charset val="1"/>
      </rPr>
      <t xml:space="preserve">.</t>
    </r>
  </si>
  <si>
    <t xml:space="preserve">우리 장르 그룹</t>
  </si>
  <si>
    <t xml:space="preserve">대표 게임</t>
  </si>
  <si>
    <r>
      <rPr>
        <b val="true"/>
        <sz val="11"/>
        <color rgb="FFFFFFFF"/>
        <rFont val="Noto Sans CJK SC"/>
        <family val="2"/>
      </rPr>
      <t xml:space="preserve">연결한 </t>
    </r>
    <r>
      <rPr>
        <b val="true"/>
        <sz val="11"/>
        <color rgb="FFFFFFFF"/>
        <rFont val="Arial"/>
        <family val="0"/>
        <charset val="1"/>
      </rPr>
      <t xml:space="preserve">GA </t>
    </r>
    <r>
      <rPr>
        <b val="true"/>
        <sz val="11"/>
        <color rgb="FFFFFFFF"/>
        <rFont val="Noto Sans CJK SC"/>
        <family val="2"/>
      </rPr>
      <t xml:space="preserve">장르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바꿀 수 있음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</si>
  <si>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연결 근거</t>
  </si>
  <si>
    <t xml:space="preserve">신뢰도</t>
  </si>
  <si>
    <t xml:space="preserve">다른 후보 장르</t>
  </si>
  <si>
    <t xml:space="preserve">D1</t>
  </si>
  <si>
    <t xml:space="preserve">D7</t>
  </si>
  <si>
    <t xml:space="preserve">D28</t>
  </si>
  <si>
    <r>
      <rPr>
        <b val="true"/>
        <sz val="11"/>
        <color rgb="FFFFFFFF"/>
        <rFont val="Noto Sans CJK SC"/>
        <family val="2"/>
      </rPr>
      <t xml:space="preserve">하루 플레이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</si>
  <si>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세션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</si>
  <si>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하루 세션 수</t>
  </si>
  <si>
    <r>
      <rPr>
        <b val="true"/>
        <sz val="11"/>
        <color rgb="FFFFFFFF"/>
        <rFont val="Noto Sans CJK SC"/>
        <family val="2"/>
      </rPr>
      <t xml:space="preserve">쉬운 해설 </t>
    </r>
    <r>
      <rPr>
        <b val="true"/>
        <sz val="11"/>
        <color rgb="FFFFFFFF"/>
        <rFont val="Arial"/>
        <family val="0"/>
        <charset val="1"/>
      </rPr>
      <t xml:space="preserve">(100</t>
    </r>
    <r>
      <rPr>
        <b val="true"/>
        <sz val="11"/>
        <color rgb="FFFFFFFF"/>
        <rFont val="Noto Sans CJK SC"/>
        <family val="2"/>
      </rPr>
      <t xml:space="preserve">명 설치 기준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</si>
  <si>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글로벌 퍼즐</t>
    </r>
  </si>
  <si>
    <r>
      <rPr>
        <sz val="11"/>
        <rFont val="Arial"/>
        <family val="0"/>
        <charset val="1"/>
      </rPr>
      <t xml:space="preserve">Block Blast!, Magic Sort!, Meowdoku </t>
    </r>
    <r>
      <rPr>
        <sz val="11"/>
        <rFont val="Noto Sans CJK SC"/>
        <family val="2"/>
      </rPr>
      <t xml:space="preserve">등</t>
    </r>
  </si>
  <si>
    <t xml:space="preserve">Puzzle</t>
  </si>
  <si>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스도쿠류 퍼즐이라 이름이 가장 가까움</t>
    </r>
  </si>
  <si>
    <t xml:space="preserve">중간</t>
  </si>
  <si>
    <r>
      <rPr>
        <sz val="11"/>
        <rFont val="Arial"/>
        <family val="0"/>
        <charset val="1"/>
      </rPr>
      <t xml:space="preserve">Board (Vita Mahjong </t>
    </r>
    <r>
      <rPr>
        <sz val="11"/>
        <rFont val="Noto Sans CJK SC"/>
        <family val="2"/>
      </rPr>
      <t xml:space="preserve">같은 마작류</t>
    </r>
    <r>
      <rPr>
        <sz val="11"/>
        <rFont val="Arial"/>
        <family val="0"/>
        <charset val="1"/>
      </rPr>
      <t xml:space="preserve">), Casual</t>
    </r>
  </si>
  <si>
    <r>
      <rPr>
        <b val="true"/>
        <sz val="11"/>
        <rFont val="Arial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퍼즐 </t>
    </r>
    <r>
      <rPr>
        <b val="true"/>
        <sz val="11"/>
        <rFont val="Arial"/>
        <family val="0"/>
        <charset val="1"/>
      </rPr>
      <t xml:space="preserve">+ </t>
    </r>
    <r>
      <rPr>
        <b val="true"/>
        <sz val="11"/>
        <rFont val="Noto Sans CJK SC"/>
        <family val="2"/>
      </rPr>
      <t xml:space="preserve">메타</t>
    </r>
  </si>
  <si>
    <r>
      <rPr>
        <sz val="11"/>
        <rFont val="Arial"/>
        <family val="0"/>
        <charset val="1"/>
      </rPr>
      <t xml:space="preserve">Royal Match, Candy Crush Saga 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</si>
  <si>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맞추기 퍼즐이 핵심 놀이</t>
    </r>
  </si>
  <si>
    <t xml:space="preserve">Casual</t>
  </si>
  <si>
    <r>
      <rPr>
        <b val="true"/>
        <sz val="11"/>
        <rFont val="Arial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소셜 캐주얼</t>
    </r>
  </si>
  <si>
    <t xml:space="preserve">MONOPOLY GO!, Coin Master, Dice Dreams</t>
  </si>
  <si>
    <t xml:space="preserve">Board</t>
  </si>
  <si>
    <r>
      <rPr>
        <sz val="11"/>
        <rFont val="Noto Sans CJK SC"/>
        <family val="2"/>
      </rPr>
      <t xml:space="preserve">주사위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보드판 칸 이동이 핵심인 게임이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</t>
    </r>
  </si>
  <si>
    <t xml:space="preserve">낮음</t>
  </si>
  <si>
    <r>
      <rPr>
        <sz val="11"/>
        <rFont val="Arial"/>
        <family val="0"/>
        <charset val="1"/>
      </rPr>
      <t xml:space="preserve">Casual, Casino (Coin Master</t>
    </r>
    <r>
      <rPr>
        <sz val="11"/>
        <rFont val="Noto Sans CJK SC"/>
        <family val="2"/>
      </rPr>
      <t xml:space="preserve">의 슬롯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</si>
  <si>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전략</t>
    </r>
    <r>
      <rPr>
        <b val="true"/>
        <sz val="11"/>
        <rFont val="Arial"/>
        <family val="0"/>
        <charset val="1"/>
      </rPr>
      <t xml:space="preserve">(4X </t>
    </r>
    <r>
      <rPr>
        <b val="true"/>
        <sz val="11"/>
        <rFont val="Noto Sans CJK SC"/>
        <family val="2"/>
      </rPr>
      <t xml:space="preserve">등</t>
    </r>
    <r>
      <rPr>
        <b val="true"/>
        <sz val="11"/>
        <rFont val="Arial"/>
        <family val="0"/>
        <charset val="1"/>
      </rPr>
      <t xml:space="preserve">)</t>
    </r>
  </si>
  <si>
    <t xml:space="preserve">Whiteout Survival, Kingshot, Clash Royale</t>
  </si>
  <si>
    <t xml:space="preserve">Strategy</t>
  </si>
  <si>
    <t xml:space="preserve">장르 이름이 같음</t>
  </si>
  <si>
    <r>
      <rPr>
        <sz val="11"/>
        <rFont val="Arial"/>
        <family val="0"/>
        <charset val="1"/>
      </rPr>
      <t xml:space="preserve">Multiplayer (Clash Royale </t>
    </r>
    <r>
      <rPr>
        <sz val="11"/>
        <rFont val="Noto Sans CJK SC"/>
        <family val="2"/>
      </rPr>
      <t xml:space="preserve">실시간 대전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</si>
  <si>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액션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슈팅</t>
    </r>
  </si>
  <si>
    <t xml:space="preserve">Free Fire, Fortnite, Brawl Stars</t>
  </si>
  <si>
    <t xml:space="preserve">Action</t>
  </si>
  <si>
    <r>
      <rPr>
        <sz val="11"/>
        <rFont val="Arial"/>
        <family val="0"/>
        <charset val="1"/>
      </rPr>
      <t xml:space="preserve">Multiplayer (</t>
    </r>
    <r>
      <rPr>
        <sz val="11"/>
        <rFont val="Noto Sans CJK SC"/>
        <family val="2"/>
      </rPr>
      <t xml:space="preserve">실시간 대전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</si>
  <si>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캐릭터 </t>
    </r>
    <r>
      <rPr>
        <b val="true"/>
        <sz val="11"/>
        <rFont val="Arial"/>
        <family val="0"/>
        <charset val="1"/>
      </rPr>
      <t xml:space="preserve">IP (</t>
    </r>
    <r>
      <rPr>
        <b val="true"/>
        <sz val="11"/>
        <rFont val="Noto Sans CJK SC"/>
        <family val="2"/>
      </rPr>
      <t xml:space="preserve">걷기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포획</t>
    </r>
    <r>
      <rPr>
        <b val="true"/>
        <sz val="11"/>
        <rFont val="Arial"/>
        <family val="0"/>
        <charset val="1"/>
      </rPr>
      <t xml:space="preserve">)</t>
    </r>
  </si>
  <si>
    <t xml:space="preserve">Adventure</t>
  </si>
  <si>
    <r>
      <rPr>
        <sz val="11"/>
        <rFont val="Noto Sans CJK SC"/>
        <family val="2"/>
      </rPr>
      <t xml:space="preserve">밖을 돌아다니며 탐험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</t>
    </r>
  </si>
  <si>
    <t xml:space="preserve">Simulation</t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</si>
  <si>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캐릭터 </t>
    </r>
    <r>
      <rPr>
        <b val="true"/>
        <sz val="11"/>
        <rFont val="Arial"/>
        <family val="0"/>
        <charset val="1"/>
      </rPr>
      <t xml:space="preserve">IP (</t>
    </r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)</t>
    </r>
  </si>
  <si>
    <t xml:space="preserve">Card</t>
  </si>
  <si>
    <r>
      <rPr>
        <sz val="11"/>
        <rFont val="Noto Sans CJK SC"/>
        <family val="2"/>
      </rPr>
      <t xml:space="preserve">카드 수집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대전</t>
    </r>
  </si>
  <si>
    <t xml:space="preserve">—</t>
  </si>
  <si>
    <r>
      <rPr>
        <b val="true"/>
        <sz val="11"/>
        <rFont val="Arial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한국식 </t>
    </r>
    <r>
      <rPr>
        <b val="true"/>
        <sz val="11"/>
        <rFont val="Arial"/>
        <family val="0"/>
        <charset val="1"/>
      </rPr>
      <t xml:space="preserve">RPG</t>
    </r>
  </si>
  <si>
    <r>
      <rPr>
        <sz val="11"/>
        <rFont val="Noto Sans CJK SC"/>
        <family val="2"/>
      </rPr>
      <t xml:space="preserve">메이플스토리 방치형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후더덕 서바이벌</t>
    </r>
  </si>
  <si>
    <t xml:space="preserve">Role Playing</t>
  </si>
  <si>
    <r>
      <rPr>
        <sz val="11"/>
        <rFont val="Noto Sans CJK SC"/>
        <family val="2"/>
      </rPr>
      <t xml:space="preserve">캐릭터 성장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전투가 핵심</t>
    </r>
  </si>
  <si>
    <r>
      <rPr>
        <sz val="11"/>
        <rFont val="Arial"/>
        <family val="0"/>
        <charset val="1"/>
      </rPr>
      <t xml:space="preserve">Simulation (</t>
    </r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), Action (</t>
    </r>
    <r>
      <rPr>
        <sz val="11"/>
        <rFont val="Noto Sans CJK SC"/>
        <family val="2"/>
      </rPr>
      <t xml:space="preserve">서바이벌류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</si>
  <si>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치이카와 포켓은 게임 방식을 확인하지 못해 연결하지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</si>
  <si>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GameAnalytics </t>
    </r>
    <r>
      <rPr>
        <i val="true"/>
        <sz val="11"/>
        <color rgb="FF595959"/>
        <rFont val="Noto Sans CJK SC"/>
        <family val="2"/>
      </rPr>
      <t xml:space="preserve">숫자는 이 회사 분석 도구를 쓰는 게임 </t>
    </r>
    <r>
      <rPr>
        <i val="true"/>
        <sz val="11"/>
        <color rgb="FF595959"/>
        <rFont val="Arial"/>
        <family val="0"/>
        <charset val="1"/>
      </rPr>
      <t xml:space="preserve">11,600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작은 개발사 게임 포함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장르 가운데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값입니다</t>
    </r>
    <r>
      <rPr>
        <i val="true"/>
        <sz val="11"/>
        <color rgb="FF595959"/>
        <rFont val="Arial"/>
        <family val="0"/>
        <charset val="1"/>
      </rPr>
      <t xml:space="preserve">. Top </t>
    </r>
    <r>
      <rPr>
        <i val="true"/>
        <sz val="11"/>
        <color rgb="FF595959"/>
        <rFont val="Noto Sans CJK SC"/>
        <family val="2"/>
      </rPr>
      <t xml:space="preserve">차트 게임의 실제 리텐션이 아니므로 </t>
    </r>
    <r>
      <rPr>
        <i val="true"/>
        <sz val="11"/>
        <color rgb="FF595959"/>
        <rFont val="Arial"/>
        <family val="0"/>
        <charset val="1"/>
      </rPr>
      <t xml:space="preserve">'MVP</t>
    </r>
    <r>
      <rPr>
        <i val="true"/>
        <sz val="11"/>
        <color rgb="FF595959"/>
        <rFont val="Noto Sans CJK SC"/>
        <family val="2"/>
      </rPr>
      <t xml:space="preserve">가 최소한 넘어야 할 장르 보통선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으로만 쓰세요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</si>
  <si>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MVP </t>
    </r>
    <r>
      <rPr>
        <i val="true"/>
        <sz val="11"/>
        <color rgb="FF595959"/>
        <rFont val="Noto Sans CJK SC"/>
        <family val="2"/>
      </rPr>
      <t xml:space="preserve">합격선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전 장르 합산 상위 </t>
    </r>
    <r>
      <rPr>
        <i val="true"/>
        <sz val="11"/>
        <color rgb="FF595959"/>
        <rFont val="Arial"/>
        <family val="0"/>
        <charset val="1"/>
      </rPr>
      <t xml:space="preserve">25%)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'2-2 MVP </t>
    </r>
    <r>
      <rPr>
        <i val="true"/>
        <sz val="11"/>
        <color rgb="FF595959"/>
        <rFont val="Noto Sans CJK SC"/>
        <family val="2"/>
      </rPr>
      <t xml:space="preserve">검증 목표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시트에 있고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이 시트는 그와 별개인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같은 장르 보통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참고값입니다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</si>
  <si>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신뢰도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중간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놀이 방식이 장르 이름과 맞음 </t>
    </r>
    <r>
      <rPr>
        <i val="true"/>
        <sz val="11"/>
        <color rgb="FF595959"/>
        <rFont val="Arial"/>
        <family val="0"/>
        <charset val="1"/>
      </rPr>
      <t xml:space="preserve">/ </t>
    </r>
    <r>
      <rPr>
        <i val="true"/>
        <sz val="11"/>
        <color rgb="FF595959"/>
        <rFont val="Noto Sans CJK SC"/>
        <family val="2"/>
      </rPr>
      <t xml:space="preserve">낮음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그룹 안 게임들이 서로 다른 장르에 걸쳐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</si>
  <si>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지역</t>
  </si>
  <si>
    <t xml:space="preserve">지표</t>
  </si>
  <si>
    <r>
      <rPr>
        <b val="true"/>
        <sz val="11"/>
        <color rgb="FFFFFFFF"/>
        <rFont val="Arial"/>
        <family val="0"/>
        <charset val="1"/>
      </rPr>
      <t xml:space="preserve">P50 (</t>
    </r>
    <r>
      <rPr>
        <b val="true"/>
        <sz val="11"/>
        <color rgb="FFFFFFFF"/>
        <rFont val="Noto Sans CJK SC"/>
        <family val="2"/>
      </rPr>
      <t xml:space="preserve">중앙값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</si>
  <si>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P90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10%)</t>
    </r>
  </si>
  <si>
    <r>
      <rPr>
        <b val="true"/>
        <sz val="11"/>
        <color rgb="FFFFFFFF"/>
        <rFont val="Arial"/>
        <family val="0"/>
        <charset val="1"/>
      </rPr>
      <t xml:space="preserve">P99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1%)</t>
    </r>
  </si>
  <si>
    <t xml:space="preserve">단위</t>
  </si>
  <si>
    <t xml:space="preserve">출처</t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</si>
  <si>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4-2 </t>
    </r>
    <r>
      <rPr>
        <b val="true"/>
        <sz val="11"/>
        <color rgb="FF7F7F7F"/>
        <rFont val="Noto Sans CJK SC"/>
        <family val="2"/>
      </rPr>
      <t xml:space="preserve">지역 벤치마크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</si>
  <si>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</si>
  <si>
    <t xml:space="preserve">%</t>
  </si>
  <si>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보고서 지역별 표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 주간 데이터의 연평균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</si>
  <si>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</si>
  <si>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D30 </t>
    </r>
    <r>
      <rPr>
        <sz val="11"/>
        <rFont val="Noto Sans CJK SC"/>
        <family val="2"/>
      </rPr>
      <t xml:space="preserve">리텐션</t>
    </r>
  </si>
  <si>
    <t xml:space="preserve">하루 플레이 시간</t>
  </si>
  <si>
    <t xml:space="preserve">분</t>
  </si>
  <si>
    <t xml:space="preserve">세션 길이</t>
  </si>
  <si>
    <t xml:space="preserve">회</t>
  </si>
  <si>
    <t xml:space="preserve">중미</t>
  </si>
  <si>
    <r>
      <rPr>
        <i val="true"/>
        <sz val="11"/>
        <color rgb="FF595959"/>
        <rFont val="Noto Sans CJK SC"/>
        <family val="2"/>
      </rPr>
      <t xml:space="preserve">참고 </t>
    </r>
    <r>
      <rPr>
        <i val="true"/>
        <sz val="11"/>
        <color rgb="FF595959"/>
        <rFont val="Arial"/>
        <family val="0"/>
        <charset val="1"/>
      </rPr>
      <t xml:space="preserve">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중앙값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북미 </t>
    </r>
    <r>
      <rPr>
        <i val="true"/>
        <sz val="11"/>
        <color rgb="FF595959"/>
        <rFont val="Arial"/>
        <family val="0"/>
        <charset val="1"/>
      </rPr>
      <t xml:space="preserve">D1 20.48% / D7 4.64% / D28 1.46%, </t>
    </r>
    <r>
      <rPr>
        <i val="true"/>
        <sz val="11"/>
        <color rgb="FF595959"/>
        <rFont val="Noto Sans CJK SC"/>
        <family val="2"/>
      </rPr>
      <t xml:space="preserve">남미 </t>
    </r>
    <r>
      <rPr>
        <i val="true"/>
        <sz val="11"/>
        <color rgb="FF595959"/>
        <rFont val="Arial"/>
        <family val="0"/>
        <charset val="1"/>
      </rPr>
      <t xml:space="preserve">18.32% / 3.31% / 0.82%, </t>
    </r>
    <r>
      <rPr>
        <i val="true"/>
        <sz val="11"/>
        <color rgb="FF595959"/>
        <rFont val="Noto Sans CJK SC"/>
        <family val="2"/>
      </rPr>
      <t xml:space="preserve">중미 </t>
    </r>
    <r>
      <rPr>
        <i val="true"/>
        <sz val="11"/>
        <color rgb="FF595959"/>
        <rFont val="Arial"/>
        <family val="0"/>
        <charset val="1"/>
      </rPr>
      <t xml:space="preserve">18.95% / 3.68% / 0.98%, </t>
    </r>
    <r>
      <rPr>
        <i val="true"/>
        <sz val="11"/>
        <color rgb="FF595959"/>
        <rFont val="Noto Sans CJK SC"/>
        <family val="2"/>
      </rPr>
      <t xml:space="preserve">아시아 </t>
    </r>
    <r>
      <rPr>
        <i val="true"/>
        <sz val="11"/>
        <color rgb="FF595959"/>
        <rFont val="Arial"/>
        <family val="0"/>
        <charset val="1"/>
      </rPr>
      <t xml:space="preserve">17.57% / 3.14% / 0.75%, </t>
    </r>
    <r>
      <rPr>
        <i val="true"/>
        <sz val="11"/>
        <color rgb="FF595959"/>
        <rFont val="Noto Sans CJK SC"/>
        <family val="2"/>
      </rPr>
      <t xml:space="preserve">동남아 </t>
    </r>
    <r>
      <rPr>
        <i val="true"/>
        <sz val="11"/>
        <color rgb="FF595959"/>
        <rFont val="Arial"/>
        <family val="0"/>
        <charset val="1"/>
      </rPr>
      <t xml:space="preserve">18.28% / 3.33% / 0.82% — GameAnalytics 2025 </t>
    </r>
    <r>
      <rPr>
        <i val="true"/>
        <sz val="11"/>
        <color rgb="FF595959"/>
        <rFont val="Noto Sans CJK SC"/>
        <family val="2"/>
      </rPr>
      <t xml:space="preserve">보고서</t>
    </r>
  </si>
  <si>
    <r>
      <rPr>
        <i val="true"/>
        <sz val="11"/>
        <color rgb="FF595959"/>
        <rFont val="Noto Sans CJK SC"/>
        <family val="2"/>
      </rPr>
      <t xml:space="preserve">멕시코가 </t>
    </r>
    <r>
      <rPr>
        <i val="true"/>
        <sz val="11"/>
        <color rgb="FF595959"/>
        <rFont val="Arial"/>
        <family val="0"/>
        <charset val="1"/>
      </rPr>
      <t xml:space="preserve">GameAnalytics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중 어디에 속하는지는 보고서에서 확인되지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</si>
  <si>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GameAnalytics 2025 </t>
    </r>
    <r>
      <rPr>
        <b val="true"/>
        <sz val="13"/>
        <rFont val="Noto Sans CJK SC"/>
        <family val="2"/>
      </rPr>
      <t xml:space="preserve">보고서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장르별 차트 판독값 </t>
    </r>
    <r>
      <rPr>
        <b val="true"/>
        <sz val="13"/>
        <rFont val="Arial"/>
        <family val="0"/>
        <charset val="1"/>
      </rPr>
      <t xml:space="preserve">(2024</t>
    </r>
    <r>
      <rPr>
        <b val="true"/>
        <sz val="13"/>
        <rFont val="Noto Sans CJK SC"/>
        <family val="2"/>
      </rPr>
      <t xml:space="preserve">년 데이터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장르별 중앙값 게임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월별 코호트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</si>
  <si>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4-3 </t>
    </r>
    <r>
      <rPr>
        <b val="true"/>
        <sz val="11"/>
        <color rgb="FF7F7F7F"/>
        <rFont val="Noto Sans CJK SC"/>
        <family val="2"/>
      </rPr>
      <t xml:space="preserve">장르 차트 판독값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</si>
  <si>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b val="true"/>
        <sz val="11"/>
        <color rgb="FFC00000"/>
        <rFont val="Noto Sans CJK SC"/>
        <family val="2"/>
      </rPr>
      <t xml:space="preserve">⚠ 차트 판독값</t>
    </r>
    <r>
      <rPr>
        <b val="true"/>
        <sz val="11"/>
        <color rgb="FFC00000"/>
        <rFont val="Arial"/>
        <family val="0"/>
        <charset val="1"/>
      </rPr>
      <t xml:space="preserve">: PDF 17~20</t>
    </r>
    <r>
      <rPr>
        <b val="true"/>
        <sz val="11"/>
        <color rgb="FFC00000"/>
        <rFont val="Noto Sans CJK SC"/>
        <family val="2"/>
      </rPr>
      <t xml:space="preserve">쪽은 글자가 없는 그림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히트맵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이라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그림을 확대해 칸 안에 적힌 숫자를 눈으로 옮겨 적었습니다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공식 표</t>
    </r>
    <r>
      <rPr>
        <b val="true"/>
        <sz val="11"/>
        <color rgb="FFC00000"/>
        <rFont val="Arial"/>
        <family val="0"/>
        <charset val="1"/>
      </rPr>
      <t xml:space="preserve">·API </t>
    </r>
    <r>
      <rPr>
        <b val="true"/>
        <sz val="11"/>
        <color rgb="FFC00000"/>
        <rFont val="Noto Sans CJK SC"/>
        <family val="2"/>
      </rPr>
      <t xml:space="preserve">값이 아닙니다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파란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검은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판독값으로 계산한 값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</si>
  <si>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GameAnalytics, 2025 Mobile Gaming Benchmarks 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11,600</t>
    </r>
    <r>
      <rPr>
        <i val="true"/>
        <sz val="11"/>
        <color rgb="FF595959"/>
        <rFont val="Noto Sans CJK SC"/>
        <family val="2"/>
      </rPr>
      <t xml:space="preserve">개 게임</t>
    </r>
    <r>
      <rPr>
        <i val="true"/>
        <sz val="11"/>
        <color rgb="FF595959"/>
        <rFont val="Arial"/>
        <family val="0"/>
        <charset val="1"/>
      </rPr>
      <t xml:space="preserve">) https://files.gameindustrylibrary.com/documents/mobile-gaming-benchmarks-2025.pdf — </t>
    </r>
    <r>
      <rPr>
        <i val="true"/>
        <sz val="11"/>
        <color rgb="FF595959"/>
        <rFont val="Noto Sans CJK SC"/>
        <family val="2"/>
      </rPr>
      <t xml:space="preserve">각 표 제목 옆에 </t>
    </r>
    <r>
      <rPr>
        <i val="true"/>
        <sz val="11"/>
        <color rgb="FF595959"/>
        <rFont val="Arial"/>
        <family val="0"/>
        <charset val="1"/>
      </rPr>
      <t xml:space="preserve">PDF </t>
    </r>
    <r>
      <rPr>
        <i val="true"/>
        <sz val="11"/>
        <color rgb="FF595959"/>
        <rFont val="Noto Sans CJK SC"/>
        <family val="2"/>
      </rPr>
      <t xml:space="preserve">쪽수 표시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판독 방법</t>
    </r>
    <r>
      <rPr>
        <i val="true"/>
        <sz val="11"/>
        <color rgb="FF595959"/>
        <rFont val="Arial"/>
        <family val="0"/>
        <charset val="1"/>
      </rPr>
      <t xml:space="preserve">: PDF </t>
    </r>
    <r>
      <rPr>
        <i val="true"/>
        <sz val="11"/>
        <color rgb="FF595959"/>
        <rFont val="Noto Sans CJK SC"/>
        <family val="2"/>
      </rPr>
      <t xml:space="preserve">안 원본 그림</t>
    </r>
    <r>
      <rPr>
        <i val="true"/>
        <sz val="11"/>
        <color rgb="FF595959"/>
        <rFont val="Arial"/>
        <family val="0"/>
        <charset val="1"/>
      </rPr>
      <t xml:space="preserve">(1056×547</t>
    </r>
    <r>
      <rPr>
        <i val="true"/>
        <sz val="11"/>
        <color rgb="FF595959"/>
        <rFont val="Noto Sans CJK SC"/>
        <family val="2"/>
      </rPr>
      <t xml:space="preserve">픽셀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배 확대해 전부 두 번 읽고 대조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</si>
  <si>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D1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설치 다음날 다시 온 비율</t>
    </r>
    <r>
      <rPr>
        <b val="true"/>
        <sz val="12"/>
        <color rgb="FF1F3864"/>
        <rFont val="Arial"/>
        <family val="0"/>
        <charset val="1"/>
      </rPr>
      <t xml:space="preserve">)  —  PDF 17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</si>
  <si>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보고서 표기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</si>
  <si>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한글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</si>
  <si>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</si>
  <si>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</si>
  <si>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</si>
  <si>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</si>
  <si>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</si>
  <si>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</si>
  <si>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</si>
  <si>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</si>
  <si>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</si>
  <si>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</si>
  <si>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</si>
  <si>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</si>
  <si>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Noto Sans CJK SC"/>
        <family val="2"/>
      </rPr>
      <t xml:space="preserve">연평균</t>
    </r>
    <r>
      <rPr>
        <b val="true"/>
        <sz val="11"/>
        <color rgb="FFFFFFFF"/>
        <rFont val="Arial"/>
        <family val="0"/>
        <charset val="1"/>
      </rPr>
      <t xml:space="preserve">*</t>
    </r>
  </si>
  <si>
    <t xml:space="preserve">최저 달</t>
  </si>
  <si>
    <t xml:space="preserve">최고 달</t>
  </si>
  <si>
    <r>
      <rPr>
        <b val="true"/>
        <sz val="11"/>
        <color rgb="FFFFFFFF"/>
        <rFont val="Noto Sans CJK SC"/>
        <family val="2"/>
      </rPr>
      <t xml:space="preserve">변동폭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최고−최저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</si>
  <si>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16</t>
    </r>
    <r>
      <rPr>
        <b val="true"/>
        <sz val="11"/>
        <color rgb="FFFFFFFF"/>
        <rFont val="Noto Sans CJK SC"/>
        <family val="2"/>
      </rPr>
      <t xml:space="preserve">개 장르 중 순위 </t>
    </r>
    <r>
      <rPr>
        <b val="true"/>
        <sz val="11"/>
        <color rgb="FFFFFFFF"/>
        <rFont val="Arial"/>
        <family val="0"/>
        <charset val="1"/>
      </rPr>
      <t xml:space="preserve">(1=</t>
    </r>
    <r>
      <rPr>
        <b val="true"/>
        <sz val="11"/>
        <color rgb="FFFFFFFF"/>
        <rFont val="Noto Sans CJK SC"/>
        <family val="2"/>
      </rPr>
      <t xml:space="preserve">가장 높음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</si>
  <si>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액션</t>
  </si>
  <si>
    <t xml:space="preserve">어드벤처</t>
  </si>
  <si>
    <t xml:space="preserve">Arcade</t>
  </si>
  <si>
    <t xml:space="preserve">아케이드</t>
  </si>
  <si>
    <t xml:space="preserve">보드</t>
  </si>
  <si>
    <t xml:space="preserve">카드</t>
  </si>
  <si>
    <t xml:space="preserve">Casino</t>
  </si>
  <si>
    <t xml:space="preserve">카지노</t>
  </si>
  <si>
    <t xml:space="preserve">Multiplayer</t>
  </si>
  <si>
    <t xml:space="preserve">멀티플레이</t>
  </si>
  <si>
    <t xml:space="preserve">퍼즐</t>
  </si>
  <si>
    <t xml:space="preserve">Racing</t>
  </si>
  <si>
    <t xml:space="preserve">레이싱</t>
  </si>
  <si>
    <r>
      <rPr>
        <sz val="11"/>
        <rFont val="Noto Sans CJK SC"/>
        <family val="2"/>
      </rPr>
      <t xml:space="preserve">롤플레잉</t>
    </r>
    <r>
      <rPr>
        <sz val="11"/>
        <rFont val="Arial"/>
        <family val="0"/>
        <charset val="1"/>
      </rPr>
      <t xml:space="preserve">(RPG)</t>
    </r>
  </si>
  <si>
    <t xml:space="preserve">시뮬레이션</t>
  </si>
  <si>
    <t xml:space="preserve">Sports</t>
  </si>
  <si>
    <t xml:space="preserve">스포츠</t>
  </si>
  <si>
    <t xml:space="preserve">전략</t>
  </si>
  <si>
    <t xml:space="preserve">Trivia</t>
  </si>
  <si>
    <r>
      <rPr>
        <sz val="11"/>
        <rFont val="Noto Sans CJK SC"/>
        <family val="2"/>
      </rPr>
      <t xml:space="preserve">퀴즈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트리비아</t>
    </r>
    <r>
      <rPr>
        <sz val="11"/>
        <rFont val="Arial"/>
        <family val="0"/>
        <charset val="1"/>
      </rPr>
      <t xml:space="preserve">)</t>
    </r>
  </si>
  <si>
    <t xml:space="preserve">Word</t>
  </si>
  <si>
    <t xml:space="preserve">단어</t>
  </si>
  <si>
    <r>
      <rPr>
        <b val="true"/>
        <sz val="12"/>
        <color rgb="FF1F3864"/>
        <rFont val="Arial"/>
        <family val="0"/>
        <charset val="1"/>
      </rPr>
      <t xml:space="preserve">D7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(7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</si>
  <si>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Arial"/>
        <family val="0"/>
        <charset val="1"/>
      </rPr>
      <t xml:space="preserve">D28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(28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</si>
  <si>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플레이 시간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</si>
  <si>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Noto Sans CJK SC"/>
        <family val="2"/>
      </rPr>
      <t xml:space="preserve">세션 길이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한 번 켰을 때 노는 시간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</si>
  <si>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세션 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하루에 켜는 횟수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회</t>
    </r>
    <r>
      <rPr>
        <b val="true"/>
        <sz val="12"/>
        <color rgb="FF1F3864"/>
        <rFont val="Arial"/>
        <family val="0"/>
        <charset val="1"/>
      </rPr>
      <t xml:space="preserve">)  —  PDF 20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</si>
  <si>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i val="true"/>
        <sz val="11"/>
        <color rgb="FF595959"/>
        <rFont val="Arial"/>
        <family val="0"/>
        <charset val="1"/>
      </rPr>
      <t xml:space="preserve">* </t>
    </r>
    <r>
      <rPr>
        <i val="true"/>
        <sz val="11"/>
        <color rgb="FF595959"/>
        <rFont val="Noto Sans CJK SC"/>
        <family val="2"/>
      </rPr>
      <t xml:space="preserve">연평균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변동폭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순위는 보고서에 있는 값이 아니라</t>
    </r>
    <r>
      <rPr>
        <i val="true"/>
        <sz val="11"/>
        <color rgb="FF595959"/>
        <rFont val="Arial"/>
        <family val="0"/>
        <charset val="1"/>
      </rPr>
      <t xml:space="preserve">, 12</t>
    </r>
    <r>
      <rPr>
        <i val="true"/>
        <sz val="11"/>
        <color rgb="FF595959"/>
        <rFont val="Noto Sans CJK SC"/>
        <family val="2"/>
      </rPr>
      <t xml:space="preserve">개월 판독값으로 이 시트가 계산한 값입니다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단순 평균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</si>
  <si>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각 칸은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그 달에 처음 설치한 사람들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중 장르의 중앙값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가운데 순서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게임의 수치입니다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보고서 방법론</t>
    </r>
    <r>
      <rPr>
        <i val="true"/>
        <sz val="11"/>
        <color rgb="FF595959"/>
        <rFont val="Arial"/>
        <family val="0"/>
        <charset val="1"/>
      </rPr>
      <t xml:space="preserve">(5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장르 장은 중앙값 </t>
    </r>
    <r>
      <rPr>
        <i val="true"/>
        <sz val="11"/>
        <color rgb="FF595959"/>
        <rFont val="Arial"/>
        <family val="0"/>
        <charset val="1"/>
      </rPr>
      <t xml:space="preserve">50% </t>
    </r>
    <r>
      <rPr>
        <i val="true"/>
        <sz val="11"/>
        <color rgb="FF595959"/>
        <rFont val="Noto Sans CJK SC"/>
        <family val="2"/>
      </rPr>
      <t xml:space="preserve">구간만 사용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</si>
  <si>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차트 숫자는 반올림되어 표시됩니다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리텐션 소수 둘째 자리 </t>
    </r>
    <r>
      <rPr>
        <i val="true"/>
        <sz val="11"/>
        <color rgb="FF595959"/>
        <rFont val="Arial"/>
        <family val="0"/>
        <charset val="1"/>
      </rPr>
      <t xml:space="preserve">%, </t>
    </r>
    <r>
      <rPr>
        <i val="true"/>
        <sz val="11"/>
        <color rgb="FF595959"/>
        <rFont val="Noto Sans CJK SC"/>
        <family val="2"/>
      </rPr>
      <t xml:space="preserve">시간 소수 첫째 자리 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판독값의 정밀도도 그 이상은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</si>
  <si>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28</t>
    </r>
    <r>
      <rPr>
        <i val="true"/>
        <sz val="11"/>
        <color rgb="FF595959"/>
        <rFont val="Noto Sans CJK SC"/>
        <family val="2"/>
      </rPr>
      <t xml:space="preserve">일째 기준입니다</t>
    </r>
    <r>
      <rPr>
        <i val="true"/>
        <sz val="11"/>
        <color rgb="FF595959"/>
        <rFont val="Arial"/>
        <family val="0"/>
        <charset val="1"/>
      </rPr>
      <t xml:space="preserve">. 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다른 시트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D30</t>
    </r>
    <r>
      <rPr>
        <i val="true"/>
        <sz val="11"/>
        <color rgb="FF595959"/>
        <rFont val="Noto Sans CJK SC"/>
        <family val="2"/>
      </rPr>
      <t xml:space="preserve">과 하루 차이가 있어 직접 비교에 주의하세요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</si>
  <si>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판독을 두 번 하면서 처음 읽은 값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칸을 고쳤습니다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액션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퀴즈 </t>
    </r>
    <r>
      <rPr>
        <i val="true"/>
        <sz val="11"/>
        <color rgb="FF595959"/>
        <rFont val="Arial"/>
        <family val="0"/>
        <charset val="1"/>
      </rPr>
      <t xml:space="preserve">D7 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D28 3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카지노 플레이 시간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그 밖의 칸은 두 번 모두 같은 값으로 읽혔습니다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</si>
  <si>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장르별 한눈에 보기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차트 판독값의 </t>
    </r>
    <r>
      <rPr>
        <b val="true"/>
        <sz val="13"/>
        <rFont val="Arial"/>
        <family val="0"/>
        <charset val="1"/>
      </rPr>
      <t xml:space="preserve">12</t>
    </r>
    <r>
      <rPr>
        <b val="true"/>
        <sz val="13"/>
        <rFont val="Noto Sans CJK SC"/>
        <family val="2"/>
      </rPr>
      <t xml:space="preserve">개월 평균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</si>
  <si>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7F7F7F"/>
        <rFont val="Noto Sans CJK SC"/>
        <family val="2"/>
      </rPr>
      <t xml:space="preserve">참조용 복사본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</t>
    </r>
    <r>
      <rPr>
        <b val="true"/>
        <sz val="11"/>
        <color rgb="FF7F7F7F"/>
        <rFont val="Arial"/>
        <family val="0"/>
        <charset val="1"/>
      </rPr>
      <t xml:space="preserve">: </t>
    </r>
    <r>
      <rPr>
        <b val="true"/>
        <sz val="11"/>
        <color rgb="FF7F7F7F"/>
        <rFont val="Noto Sans CJK SC"/>
        <family val="2"/>
      </rPr>
      <t xml:space="preserve">시장조사</t>
    </r>
    <r>
      <rPr>
        <b val="true"/>
        <sz val="11"/>
        <color rgb="FF7F7F7F"/>
        <rFont val="Arial"/>
        <family val="0"/>
        <charset val="1"/>
      </rPr>
      <t xml:space="preserve">.xlsx › 4-4 </t>
    </r>
    <r>
      <rPr>
        <b val="true"/>
        <sz val="11"/>
        <color rgb="FF7F7F7F"/>
        <rFont val="Noto Sans CJK SC"/>
        <family val="2"/>
      </rPr>
      <t xml:space="preserve">장르 판독 요약 </t>
    </r>
    <r>
      <rPr>
        <b val="true"/>
        <sz val="11"/>
        <color rgb="FF7F7F7F"/>
        <rFont val="Arial"/>
        <family val="0"/>
        <charset val="1"/>
      </rPr>
      <t xml:space="preserve">· </t>
    </r>
    <r>
      <rPr>
        <b val="true"/>
        <sz val="11"/>
        <color rgb="FF7F7F7F"/>
        <rFont val="Noto Sans CJK SC"/>
        <family val="2"/>
      </rPr>
      <t xml:space="preserve">원본을 고치면 코드를 다시 실행해 두 파일을 함께 갱신</t>
    </r>
  </si>
  <si>
    <r>
      <rPr>
        <b val="true"/>
        <sz val="11"/>
        <color rgb="FFC00000"/>
        <rFont val="Noto Sans CJK SC"/>
        <family val="2"/>
      </rPr>
      <t xml:space="preserve">⚠ 모든 숫자는 </t>
    </r>
    <r>
      <rPr>
        <b val="true"/>
        <sz val="11"/>
        <color rgb="FFC00000"/>
        <rFont val="Arial"/>
        <family val="0"/>
        <charset val="1"/>
      </rPr>
      <t xml:space="preserve">'4-2 </t>
    </r>
    <r>
      <rPr>
        <b val="true"/>
        <sz val="11"/>
        <color rgb="FFC00000"/>
        <rFont val="Noto Sans CJK SC"/>
        <family val="2"/>
      </rPr>
      <t xml:space="preserve">장르 차트 판독값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참조</t>
    </r>
    <r>
      <rPr>
        <b val="true"/>
        <sz val="11"/>
        <color rgb="FFC00000"/>
        <rFont val="Arial"/>
        <family val="0"/>
        <charset val="1"/>
      </rPr>
      <t xml:space="preserve">)' </t>
    </r>
    <r>
      <rPr>
        <b val="true"/>
        <sz val="11"/>
        <color rgb="FFC00000"/>
        <rFont val="Noto Sans CJK SC"/>
        <family val="2"/>
      </rPr>
      <t xml:space="preserve">시트에서 자동으로 가져온 판독값 기반 계산입니다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순위</t>
    </r>
    <r>
      <rPr>
        <b val="true"/>
        <sz val="11"/>
        <color rgb="FFC00000"/>
        <rFont val="Arial"/>
        <family val="0"/>
        <charset val="1"/>
      </rPr>
      <t xml:space="preserve">: 1</t>
    </r>
    <r>
      <rPr>
        <b val="true"/>
        <sz val="11"/>
        <color rgb="FFC00000"/>
        <rFont val="Noto Sans CJK SC"/>
        <family val="2"/>
      </rPr>
      <t xml:space="preserve">위</t>
    </r>
    <r>
      <rPr>
        <b val="true"/>
        <sz val="11"/>
        <color rgb="FFC00000"/>
        <rFont val="Arial"/>
        <family val="0"/>
        <charset val="1"/>
      </rPr>
      <t xml:space="preserve">=16</t>
    </r>
    <r>
      <rPr>
        <b val="true"/>
        <sz val="11"/>
        <color rgb="FFC00000"/>
        <rFont val="Noto Sans CJK SC"/>
        <family val="2"/>
      </rPr>
      <t xml:space="preserve">개 장르 중 가장 높음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</si>
  <si>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FFFFFF"/>
        <rFont val="Arial"/>
        <family val="0"/>
        <charset val="1"/>
      </rPr>
      <t xml:space="preserve">D28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</si>
  <si>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쉬운 해설 ①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명이 설치하면</t>
    </r>
  </si>
  <si>
    <t xml:space="preserve">쉬운 해설 ② 하루 노는 모습</t>
  </si>
  <si>
    <r>
      <rPr>
        <b val="true"/>
        <sz val="12"/>
        <rFont val="Noto Sans CJK SC"/>
        <family val="2"/>
      </rPr>
      <t xml:space="preserve">보고서 글</t>
    </r>
    <r>
      <rPr>
        <b val="true"/>
        <sz val="12"/>
        <rFont val="Arial"/>
        <family val="0"/>
        <charset val="1"/>
      </rPr>
      <t xml:space="preserve">(17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·4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·12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과 판독값이 맞는지 확인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</si>
  <si>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보고서가 글로 쓴 내용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요약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</si>
  <si>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판독값으로 확인한 결과</t>
  </si>
  <si>
    <t xml:space="preserve">판정</t>
  </si>
  <si>
    <r>
      <rPr>
        <sz val="11"/>
        <rFont val="Noto Sans CJK SC"/>
        <family val="2"/>
      </rPr>
      <t xml:space="preserve">아케이드는 </t>
    </r>
    <r>
      <rPr>
        <sz val="11"/>
        <rFont val="Arial"/>
        <family val="0"/>
        <charset val="1"/>
      </rPr>
      <t xml:space="preserve">D1(</t>
    </r>
    <r>
      <rPr>
        <sz val="11"/>
        <rFont val="Noto Sans CJK SC"/>
        <family val="2"/>
      </rPr>
      <t xml:space="preserve">다음날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리텐션이 뛰어나다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</si>
  <si>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아케이드는 오래 붙잡는 힘이 약하다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</si>
  <si>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</t>
    </r>
    <r>
      <rPr>
        <sz val="11"/>
        <rFont val="Arial"/>
        <family val="0"/>
        <charset val="1"/>
      </rPr>
      <t xml:space="preserve">D1·D7·D28 </t>
    </r>
    <r>
      <rPr>
        <sz val="11"/>
        <rFont val="Noto Sans CJK SC"/>
        <family val="2"/>
      </rPr>
      <t xml:space="preserve">모두 강하다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 — D7·D28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</si>
  <si>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같은 문장 — </t>
    </r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</si>
  <si>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멀티플레이는 리텐션이 가장 낮다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</si>
  <si>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멀티플레이는 세션 길이가 가장 길다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</si>
  <si>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플레이 시간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세션 수도 높다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</si>
  <si>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미드코어 게임은 하루 세션 수 중앙값이 </t>
    </r>
    <r>
      <rPr>
        <sz val="11"/>
        <rFont val="Arial"/>
        <family val="0"/>
        <charset val="1"/>
      </rPr>
      <t xml:space="preserve">6~7</t>
    </r>
    <r>
      <rPr>
        <sz val="11"/>
        <rFont val="Noto Sans CJK SC"/>
        <family val="2"/>
      </rPr>
      <t xml:space="preserve">회 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</si>
  <si>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보고서 본문</t>
    </r>
    <r>
      <rPr>
        <i val="true"/>
        <sz val="11"/>
        <color rgb="FF595959"/>
        <rFont val="Arial"/>
        <family val="0"/>
        <charset val="1"/>
      </rPr>
      <t xml:space="preserve">(4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·11~12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전체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기준값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플레이 시간 중앙값 약 </t>
    </r>
    <r>
      <rPr>
        <i val="true"/>
        <sz val="11"/>
        <color rgb="FF595959"/>
        <rFont val="Arial"/>
        <family val="0"/>
        <charset val="1"/>
      </rPr>
      <t xml:space="preserve">22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세션 길이 중앙값 </t>
    </r>
    <r>
      <rPr>
        <i val="true"/>
        <sz val="11"/>
        <color rgb="FF595959"/>
        <rFont val="Arial"/>
        <family val="0"/>
        <charset val="1"/>
      </rPr>
      <t xml:space="preserve">5~6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하루 세션 수 중앙값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, D7 </t>
    </r>
    <r>
      <rPr>
        <i val="true"/>
        <sz val="11"/>
        <color rgb="FF595959"/>
        <rFont val="Noto Sans CJK SC"/>
        <family val="2"/>
      </rPr>
      <t xml:space="preserve">중앙값 </t>
    </r>
    <r>
      <rPr>
        <i val="true"/>
        <sz val="11"/>
        <color rgb="FF595959"/>
        <rFont val="Arial"/>
        <family val="0"/>
        <charset val="1"/>
      </rPr>
      <t xml:space="preserve">3.42~3.94%. </t>
    </r>
    <r>
      <rPr>
        <i val="true"/>
        <sz val="11"/>
        <color rgb="FF595959"/>
        <rFont val="Noto Sans CJK SC"/>
        <family val="2"/>
      </rPr>
      <t xml:space="preserve">장르 표는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라 계산 방식이 달라 위 장르 값과 바로 비교하지 마세요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</si>
  <si>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미드코어 </t>
    </r>
    <r>
      <rPr>
        <i val="true"/>
        <sz val="11"/>
        <color rgb="FF595959"/>
        <rFont val="Arial"/>
        <family val="0"/>
        <charset val="1"/>
      </rPr>
      <t xml:space="preserve">6~7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보고서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쪽 문장입니다</t>
    </r>
    <r>
      <rPr>
        <i val="true"/>
        <sz val="11"/>
        <color rgb="FF595959"/>
        <rFont val="Arial"/>
        <family val="0"/>
        <charset val="1"/>
      </rPr>
      <t xml:space="preserve">. 21</t>
    </r>
    <r>
      <rPr>
        <i val="true"/>
        <sz val="11"/>
        <color rgb="FF595959"/>
        <rFont val="Noto Sans CJK SC"/>
        <family val="2"/>
      </rPr>
      <t xml:space="preserve">쪽 화면에는 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클래식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미드코어라는 별도 장르 묶음이 보이므로</t>
    </r>
    <r>
      <rPr>
        <i val="true"/>
        <sz val="11"/>
        <color rgb="FF595959"/>
        <rFont val="Arial"/>
        <family val="0"/>
        <charset val="1"/>
      </rPr>
      <t xml:space="preserve">, 16</t>
    </r>
    <r>
      <rPr>
        <i val="true"/>
        <sz val="11"/>
        <color rgb="FF595959"/>
        <rFont val="Noto Sans CJK SC"/>
        <family val="2"/>
      </rPr>
      <t xml:space="preserve">개 장르 표와 분류 기준이 다를 수 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</si>
  <si>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쉬운 해설의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판독값 </t>
    </r>
    <r>
      <rPr>
        <i val="true"/>
        <sz val="11"/>
        <color rgb="FF595959"/>
        <rFont val="Arial"/>
        <family val="0"/>
        <charset val="1"/>
      </rPr>
      <t xml:space="preserve">%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명 기준으로 바꾼 것입니다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6.72% → 100</t>
    </r>
    <r>
      <rPr>
        <i val="true"/>
        <sz val="11"/>
        <color rgb="FF595959"/>
        <rFont val="Noto Sans CJK SC"/>
        <family val="2"/>
      </rPr>
      <t xml:space="preserve">명 중 </t>
    </r>
    <r>
      <rPr>
        <i val="true"/>
        <sz val="11"/>
        <color rgb="FF595959"/>
        <rFont val="Arial"/>
        <family val="0"/>
        <charset val="1"/>
      </rPr>
      <t xml:space="preserve">6.7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소수점 사람은 </t>
    </r>
    <r>
      <rPr>
        <i val="true"/>
        <sz val="11"/>
        <color rgb="FF595959"/>
        <rFont val="Arial"/>
        <family val="0"/>
        <charset val="1"/>
      </rPr>
      <t xml:space="preserve">'1,000</t>
    </r>
    <r>
      <rPr>
        <i val="true"/>
        <sz val="11"/>
        <color rgb="FF595959"/>
        <rFont val="Noto Sans CJK SC"/>
        <family val="2"/>
      </rPr>
      <t xml:space="preserve">명이면 </t>
    </r>
    <r>
      <rPr>
        <i val="true"/>
        <sz val="11"/>
        <color rgb="FF595959"/>
        <rFont val="Arial"/>
        <family val="0"/>
        <charset val="1"/>
      </rPr>
      <t xml:space="preserve">67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처럼 이해하면 됩니다</t>
    </r>
    <r>
      <rPr>
        <i val="true"/>
        <sz val="11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</si>
</sst>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0.0"/>
    <numFmt numFmtId="168" formatCode="General"/>
    <numFmt numFmtId="169" formatCode="0.00%"/>
    <numFmt numFmtId="170" formatCode="\$0.00"/>
    <numFmt numFmtId="171" formatCode="0.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595959"/>
      <name val="Noto Sans CJK SC"/>
      <family val="2"/>
    </font>
    <font>
      <sz val="11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</font>
    <font>
      <u val="single"/>
      <sz val="11"/>
      <color rgb="FF0563C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color rgb="FF808080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Noto Sans CJK SC"/>
      <family val="2"/>
    </font>
    <font>
      <i val="true"/>
      <sz val="11"/>
      <color rgb="FF595959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color rgb="FF0000FF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Arial"/>
      <family val="0"/>
      <charset val="1"/>
    </font>
    <font>
      <b val="true"/>
      <sz val="11"/>
      <color rgb="FF7F7F7F"/>
      <name val="Noto Sans CJK SC"/>
      <family val="2"/>
    </font>
    <font>
      <b val="true"/>
      <sz val="11"/>
      <color rgb="FF7F7F7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A7A"/>
        <bgColor rgb="FF008080"/>
      </patternFill>
    </fill>
    <fill>
      <patternFill patternType="solid">
        <fgColor rgb="FFBF9000"/>
        <bgColor rgb="FFFF6600"/>
      </patternFill>
    </fill>
    <fill>
      <patternFill patternType="solid">
        <fgColor rgb="FFA6A6A6"/>
        <bgColor rgb="FFBFBFBF"/>
      </patternFill>
    </fill>
    <fill>
      <patternFill patternType="solid">
        <fgColor rgb="FFFFF2CC"/>
        <bgColor rgb="FFEDEDED"/>
      </patternFill>
    </fill>
    <fill>
      <patternFill patternType="solid">
        <fgColor rgb="FFC6EFCE"/>
        <bgColor rgb="FFD9D9D9"/>
      </patternFill>
    </fill>
    <fill>
      <patternFill patternType="solid">
        <fgColor rgb="FFEDEDED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1F7A7A"/>
      <rgbColor rgb="FFBFBFBF"/>
      <rgbColor rgb="FF808080"/>
      <rgbColor rgb="FFA6A6A6"/>
      <rgbColor rgb="FF993366"/>
      <rgbColor rgb="FFFFF2CC"/>
      <rgbColor rgb="FFEDEDED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6EFCE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BF90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게임별 성공 점수 (100점 만점)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'1-2 성공 점수표'!X2</c:f>
              <c:strCache>
                <c:ptCount val="1"/>
                <c:pt idx="0">
                  <c:v>총점 /100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'1-2 성공 점수표'!$A$3:$A$14</c:f>
              <c:strCache>
                <c:ptCount val="12"/>
                <c:pt idx="0">
                  <c:v>Meowdoku</c:v>
                </c:pt>
                <c:pt idx="1">
                  <c:v>Rotate Rings</c:v>
                </c:pt>
                <c:pt idx="2">
                  <c:v>Block Blast!</c:v>
                </c:pt>
                <c:pt idx="3">
                  <c:v>Magic Sort!</c:v>
                </c:pt>
                <c:pt idx="4">
                  <c:v>Bus Fever Party!</c:v>
                </c:pt>
                <c:pt idx="5">
                  <c:v>Royal Match</c:v>
                </c:pt>
                <c:pt idx="6">
                  <c:v>Gossip Harbor</c:v>
                </c:pt>
                <c:pt idx="7">
                  <c:v>MONOPOLY GO!</c:v>
                </c:pt>
                <c:pt idx="8">
                  <c:v>Whiteout Survival</c:v>
                </c:pt>
                <c:pt idx="9">
                  <c:v>Free Fire</c:v>
                </c:pt>
                <c:pt idx="10">
                  <c:v>치이카와 포켓</c:v>
                </c:pt>
                <c:pt idx="11">
                  <c:v>후더덕 서바이벌</c:v>
                </c:pt>
              </c:strCache>
            </c:strRef>
          </c:cat>
          <c:val>
            <c:numRef>
              <c:f>'1-2 성공 점수표'!$X$3:$X$14</c:f>
              <c:numCache>
                <c:formatCode>0.0</c:formatCode>
                <c:ptCount val="12"/>
                <c:pt idx="0">
                  <c:v>54.7249890219189</c:v>
                </c:pt>
                <c:pt idx="1">
                  <c:v>50.9119926702398</c:v>
                </c:pt>
                <c:pt idx="2">
                  <c:v>70.1666666666667</c:v>
                </c:pt>
                <c:pt idx="3">
                  <c:v>63.9327249674799</c:v>
                </c:pt>
                <c:pt idx="4">
                  <c:v>51.4885559026767</c:v>
                </c:pt>
                <c:pt idx="5">
                  <c:v>82.5807564652512</c:v>
                </c:pt>
                <c:pt idx="6">
                  <c:v>75.8047385545374</c:v>
                </c:pt>
                <c:pt idx="7">
                  <c:v>65.460620904484</c:v>
                </c:pt>
                <c:pt idx="8">
                  <c:v>61.0833333333333</c:v>
                </c:pt>
                <c:pt idx="9">
                  <c:v>71.675</c:v>
                </c:pt>
                <c:pt idx="10">
                  <c:v>35.4385559026767</c:v>
                </c:pt>
                <c:pt idx="11">
                  <c:v>46.2203260035731</c:v>
                </c:pt>
              </c:numCache>
            </c:numRef>
          </c:val>
        </c:ser>
        <c:gapWidth val="150"/>
        <c:overlap val="0"/>
        <c:axId val="9727573"/>
        <c:axId val="56145019"/>
      </c:barChart>
      <c:catAx>
        <c:axId val="9727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45019"/>
        <c:crosses val="autoZero"/>
        <c:auto val="1"/>
        <c:lblAlgn val="ctr"/>
        <c:lblOffset val="100"/>
        <c:noMultiLvlLbl val="0"/>
      </c:catAx>
      <c:valAx>
        <c:axId val="561450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75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27720</xdr:rowOff>
    </xdr:from>
    <xdr:to>
      <xdr:col>7</xdr:col>
      <xdr:colOff>136080</xdr:colOff>
      <xdr:row>36</xdr:row>
      <xdr:rowOff>122760</xdr:rowOff>
    </xdr:to>
    <xdr:graphicFrame>
      <xdr:nvGraphicFramePr>
        <xdr:cNvPr id="0" name="Chart 1"/>
        <xdr:cNvGraphicFramePr/>
      </xdr:nvGraphicFramePr>
      <xdr:xfrm>
        <a:off x="0" y="382896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44"/>
  </cols>
  <sheetData>
    <row r="1" customFormat="false" ht="21.6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7.15" hidden="false" customHeight="false" outlineLevel="0" collapsed="false">
      <c r="A5" s="4" t="s">
        <v>7</v>
      </c>
      <c r="B5" s="5" t="s">
        <v>8</v>
      </c>
      <c r="C5" s="6" t="s">
        <v>9</v>
      </c>
      <c r="D5" s="6" t="s">
        <v>10</v>
      </c>
      <c r="E5" s="5"/>
    </row>
    <row r="6" customFormat="false" ht="17.15" hidden="false" customHeight="false" outlineLevel="0" collapsed="false">
      <c r="A6" s="4" t="s">
        <v>7</v>
      </c>
      <c r="B6" s="7" t="s">
        <v>11</v>
      </c>
      <c r="C6" s="6" t="s">
        <v>12</v>
      </c>
      <c r="D6" s="6" t="s">
        <v>10</v>
      </c>
      <c r="E6" s="5"/>
    </row>
    <row r="7" customFormat="false" ht="17.15" hidden="false" customHeight="false" outlineLevel="0" collapsed="false">
      <c r="A7" s="8" t="s">
        <v>13</v>
      </c>
      <c r="B7" s="7" t="s">
        <v>14</v>
      </c>
      <c r="C7" s="6" t="s">
        <v>15</v>
      </c>
      <c r="D7" s="6" t="s">
        <v>10</v>
      </c>
      <c r="E7" s="5"/>
    </row>
    <row r="8" customFormat="false" ht="17.15" hidden="false" customHeight="false" outlineLevel="0" collapsed="false">
      <c r="A8" s="8" t="s">
        <v>13</v>
      </c>
      <c r="B8" s="7" t="s">
        <v>16</v>
      </c>
      <c r="C8" s="5" t="s">
        <v>17</v>
      </c>
      <c r="D8" s="6" t="s">
        <v>10</v>
      </c>
      <c r="E8" s="5"/>
    </row>
    <row r="9" customFormat="false" ht="17.15" hidden="false" customHeight="false" outlineLevel="0" collapsed="false">
      <c r="A9" s="8" t="s">
        <v>13</v>
      </c>
      <c r="B9" s="7" t="s">
        <v>18</v>
      </c>
      <c r="C9" s="6" t="s">
        <v>19</v>
      </c>
      <c r="D9" s="6" t="s">
        <v>10</v>
      </c>
      <c r="E9" s="5"/>
    </row>
    <row r="10" customFormat="false" ht="17.15" hidden="false" customHeight="false" outlineLevel="0" collapsed="false">
      <c r="A10" s="8" t="s">
        <v>13</v>
      </c>
      <c r="B10" s="7" t="s">
        <v>20</v>
      </c>
      <c r="C10" s="5" t="s">
        <v>21</v>
      </c>
      <c r="D10" s="6" t="s">
        <v>10</v>
      </c>
      <c r="E10" s="5"/>
    </row>
    <row r="11" customFormat="false" ht="17.15" hidden="false" customHeight="false" outlineLevel="0" collapsed="false">
      <c r="A11" s="8" t="s">
        <v>13</v>
      </c>
      <c r="B11" s="7" t="s">
        <v>22</v>
      </c>
      <c r="C11" s="6" t="s">
        <v>23</v>
      </c>
      <c r="D11" s="6" t="s">
        <v>10</v>
      </c>
      <c r="E11" s="5"/>
    </row>
    <row r="12" customFormat="false" ht="17.15" hidden="false" customHeight="false" outlineLevel="0" collapsed="false">
      <c r="A12" s="8" t="s">
        <v>13</v>
      </c>
      <c r="B12" s="7" t="s">
        <v>24</v>
      </c>
      <c r="C12" s="5" t="s">
        <v>25</v>
      </c>
      <c r="D12" s="6" t="s">
        <v>10</v>
      </c>
      <c r="E12" s="5"/>
    </row>
    <row r="13" customFormat="false" ht="17.15" hidden="false" customHeight="false" outlineLevel="0" collapsed="false">
      <c r="A13" s="8" t="s">
        <v>13</v>
      </c>
      <c r="B13" s="7" t="s">
        <v>26</v>
      </c>
      <c r="C13" s="6" t="s">
        <v>27</v>
      </c>
      <c r="D13" s="6" t="s">
        <v>10</v>
      </c>
      <c r="E13" s="5"/>
    </row>
    <row r="14" customFormat="false" ht="17.15" hidden="false" customHeight="false" outlineLevel="0" collapsed="false">
      <c r="A14" s="9" t="s">
        <v>28</v>
      </c>
      <c r="B14" s="7" t="s">
        <v>29</v>
      </c>
      <c r="C14" s="6" t="s">
        <v>30</v>
      </c>
      <c r="D14" s="6" t="s">
        <v>10</v>
      </c>
      <c r="E14" s="5"/>
    </row>
    <row r="15" customFormat="false" ht="17.15" hidden="false" customHeight="false" outlineLevel="0" collapsed="false">
      <c r="A15" s="9" t="s">
        <v>28</v>
      </c>
      <c r="B15" s="7" t="s">
        <v>31</v>
      </c>
      <c r="C15" s="6" t="s">
        <v>32</v>
      </c>
      <c r="D15" s="6" t="s">
        <v>10</v>
      </c>
      <c r="E15" s="5"/>
    </row>
    <row r="16" customFormat="false" ht="17.15" hidden="false" customHeight="false" outlineLevel="0" collapsed="false">
      <c r="A16" s="9" t="s">
        <v>28</v>
      </c>
      <c r="B16" s="7" t="s">
        <v>33</v>
      </c>
      <c r="C16" s="6" t="s">
        <v>34</v>
      </c>
      <c r="D16" s="6" t="s">
        <v>10</v>
      </c>
      <c r="E16" s="5"/>
    </row>
    <row r="17" customFormat="false" ht="17.15" hidden="false" customHeight="false" outlineLevel="0" collapsed="false">
      <c r="A17" s="9" t="s">
        <v>28</v>
      </c>
      <c r="B17" s="10" t="s">
        <v>35</v>
      </c>
      <c r="C17" s="11" t="s">
        <v>36</v>
      </c>
      <c r="D17" s="11" t="s">
        <v>37</v>
      </c>
      <c r="E17" s="11" t="s">
        <v>38</v>
      </c>
    </row>
    <row r="18" customFormat="false" ht="17.15" hidden="false" customHeight="false" outlineLevel="0" collapsed="false">
      <c r="A18" s="12" t="s">
        <v>39</v>
      </c>
      <c r="B18" s="10" t="s">
        <v>40</v>
      </c>
      <c r="C18" s="11" t="s">
        <v>41</v>
      </c>
      <c r="D18" s="11" t="s">
        <v>37</v>
      </c>
      <c r="E18" s="11" t="s">
        <v>38</v>
      </c>
    </row>
    <row r="19" customFormat="false" ht="17.15" hidden="false" customHeight="false" outlineLevel="0" collapsed="false">
      <c r="A19" s="12" t="s">
        <v>39</v>
      </c>
      <c r="B19" s="10" t="s">
        <v>42</v>
      </c>
      <c r="C19" s="11" t="s">
        <v>43</v>
      </c>
      <c r="D19" s="11" t="s">
        <v>37</v>
      </c>
      <c r="E19" s="11" t="s">
        <v>38</v>
      </c>
    </row>
    <row r="20" customFormat="false" ht="17.15" hidden="false" customHeight="false" outlineLevel="0" collapsed="false">
      <c r="A20" s="12" t="s">
        <v>39</v>
      </c>
      <c r="B20" s="10" t="s">
        <v>44</v>
      </c>
      <c r="C20" s="11" t="s">
        <v>45</v>
      </c>
      <c r="D20" s="11" t="s">
        <v>37</v>
      </c>
      <c r="E20" s="11" t="s">
        <v>38</v>
      </c>
    </row>
    <row r="21" customFormat="false" ht="17.15" hidden="false" customHeight="false" outlineLevel="0" collapsed="false">
      <c r="A21" s="12" t="s">
        <v>39</v>
      </c>
      <c r="B21" s="10" t="s">
        <v>46</v>
      </c>
      <c r="C21" s="11" t="s">
        <v>47</v>
      </c>
      <c r="D21" s="11" t="s">
        <v>37</v>
      </c>
      <c r="E21" s="11" t="s">
        <v>38</v>
      </c>
    </row>
    <row r="22" customFormat="false" ht="17.15" hidden="false" customHeight="false" outlineLevel="0" collapsed="false">
      <c r="A22" s="13" t="s">
        <v>48</v>
      </c>
      <c r="B22" s="7" t="s">
        <v>49</v>
      </c>
      <c r="C22" s="5" t="s">
        <v>50</v>
      </c>
      <c r="D22" s="6" t="s">
        <v>10</v>
      </c>
      <c r="E22" s="6" t="s">
        <v>51</v>
      </c>
    </row>
    <row r="23" customFormat="false" ht="17.15" hidden="false" customHeight="false" outlineLevel="0" collapsed="false">
      <c r="A23" s="13" t="s">
        <v>48</v>
      </c>
      <c r="B23" s="7" t="s">
        <v>52</v>
      </c>
      <c r="C23" s="5" t="s">
        <v>53</v>
      </c>
      <c r="D23" s="6" t="s">
        <v>10</v>
      </c>
      <c r="E23" s="6" t="s">
        <v>54</v>
      </c>
    </row>
    <row r="24" customFormat="false" ht="17.15" hidden="false" customHeight="false" outlineLevel="0" collapsed="false">
      <c r="A24" s="13" t="s">
        <v>48</v>
      </c>
      <c r="B24" s="7" t="s">
        <v>55</v>
      </c>
      <c r="C24" s="5" t="s">
        <v>56</v>
      </c>
      <c r="D24" s="6" t="s">
        <v>10</v>
      </c>
      <c r="E24" s="6" t="s">
        <v>57</v>
      </c>
    </row>
  </sheetData>
  <hyperlinks>
    <hyperlink ref="B6" location="'0-1 개요'!A1" display="0-1 개요"/>
    <hyperlink ref="B7" location="'1-1 점수 기준'!A1" display="1-1 점수 기준"/>
    <hyperlink ref="B8" location="'1-2 성공 점수표'!A1" display="1-2 성공 점수표"/>
    <hyperlink ref="B9" location="'1-3 성적표 카드'!A1" display="1-3 성적표 카드"/>
    <hyperlink ref="B10" location="'1-4 성공 비결 해부'!A1" display="1-4 성공 비결 해부"/>
    <hyperlink ref="B11" location="'1-5 성공 비결 확장'!A1" display="1-5 성공 비결 확장"/>
    <hyperlink ref="B12" location="'1-6 공통점 분석'!A1" display="1-6 공통점 분석"/>
    <hyperlink ref="B13" location="'1-7 성공 공식 TOP5'!A1" display="1-7 성공 공식 TOP5"/>
    <hyperlink ref="B14" location="'2-1 MVP 명세'!A1" display="2-1 MVP 명세"/>
    <hyperlink ref="B15" location="'2-2 MVP 검증 목표'!A1" display="2-2 MVP 검증 목표"/>
    <hyperlink ref="B16" location="'2-3 장르 연결(추정)'!A1" display="2-3 장르 연결(추정)"/>
    <hyperlink ref="B22" location="'4-1 지역 벤치마크(참조)'!A1" display="4-1 지역 벤치마크(참조)"/>
    <hyperlink ref="B23" location="'4-2 장르 차트 판독값(참조)'!A1" display="4-2 장르 차트 판독값(참조)"/>
    <hyperlink ref="B24" location="'4-3 장르 판독 요약(참조)'!A1" display="4-3 장르 판독 요약(참조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58</v>
      </c>
    </row>
    <row r="3" customFormat="false" ht="15" hidden="false" customHeight="false" outlineLevel="0" collapsed="false">
      <c r="A3" s="3" t="s">
        <v>59</v>
      </c>
      <c r="B3" s="3" t="s">
        <v>60</v>
      </c>
    </row>
    <row r="4" customFormat="false" ht="17.15" hidden="false" customHeight="false" outlineLevel="0" collapsed="false">
      <c r="A4" s="14" t="s">
        <v>61</v>
      </c>
      <c r="B4" s="15" t="s">
        <v>62</v>
      </c>
    </row>
    <row r="5" customFormat="false" ht="17.15" hidden="false" customHeight="false" outlineLevel="0" collapsed="false">
      <c r="A5" s="16" t="s">
        <v>63</v>
      </c>
      <c r="B5" s="17" t="s">
        <v>64</v>
      </c>
    </row>
    <row r="6" customFormat="false" ht="29.85" hidden="false" customHeight="false" outlineLevel="0" collapsed="false">
      <c r="A6" s="16" t="s">
        <v>65</v>
      </c>
      <c r="B6" s="17" t="s">
        <v>66</v>
      </c>
    </row>
    <row r="7" customFormat="false" ht="17.15" hidden="false" customHeight="false" outlineLevel="0" collapsed="false">
      <c r="A7" s="16" t="s">
        <v>67</v>
      </c>
      <c r="B7" s="17" t="s">
        <v>68</v>
      </c>
    </row>
    <row r="8" customFormat="false" ht="29.85" hidden="false" customHeight="false" outlineLevel="0" collapsed="false">
      <c r="A8" s="16" t="s">
        <v>69</v>
      </c>
      <c r="B8" s="17" t="s">
        <v>70</v>
      </c>
    </row>
    <row r="9" customFormat="false" ht="17.15" hidden="false" customHeight="false" outlineLevel="0" collapsed="false">
      <c r="A9" s="14" t="s">
        <v>71</v>
      </c>
      <c r="B9" s="15" t="s">
        <v>72</v>
      </c>
    </row>
    <row r="10" customFormat="false" ht="17.15" hidden="false" customHeight="false" outlineLevel="0" collapsed="false">
      <c r="A10" s="14" t="s">
        <v>73</v>
      </c>
      <c r="B10" s="15" t="s">
        <v>74</v>
      </c>
    </row>
    <row r="11" customFormat="false" ht="32.8" hidden="false" customHeight="false" outlineLevel="0" collapsed="false">
      <c r="A11" s="14" t="s">
        <v>75</v>
      </c>
      <c r="B11" s="15" t="s">
        <v>76</v>
      </c>
    </row>
    <row r="12" customFormat="false" ht="64.15" hidden="false" customHeight="false" outlineLevel="0" collapsed="false">
      <c r="A12" s="14" t="s">
        <v>77</v>
      </c>
      <c r="B12" s="17" t="s">
        <v>78</v>
      </c>
    </row>
    <row r="13" customFormat="false" ht="32.8" hidden="false" customHeight="false" outlineLevel="0" collapsed="false">
      <c r="A13" s="16" t="s">
        <v>79</v>
      </c>
      <c r="B13" s="17" t="s">
        <v>80</v>
      </c>
    </row>
    <row r="14" customFormat="false" ht="32.8" hidden="false" customHeight="false" outlineLevel="0" collapsed="false">
      <c r="A14" s="16" t="s">
        <v>81</v>
      </c>
      <c r="B14" s="17" t="s">
        <v>82</v>
      </c>
    </row>
    <row r="15" customFormat="false" ht="32.8" hidden="false" customHeight="false" outlineLevel="0" collapsed="false">
      <c r="A15" s="14" t="s">
        <v>83</v>
      </c>
      <c r="B15" s="17" t="s">
        <v>84</v>
      </c>
    </row>
    <row r="16" customFormat="false" ht="32.8" hidden="false" customHeight="false" outlineLevel="0" collapsed="false">
      <c r="A16" s="14" t="s">
        <v>85</v>
      </c>
      <c r="B16" s="15" t="s">
        <v>86</v>
      </c>
    </row>
    <row r="17" customFormat="false" ht="64.15" hidden="false" customHeight="false" outlineLevel="0" collapsed="false">
      <c r="A17" s="18" t="s">
        <v>87</v>
      </c>
      <c r="B17" s="19" t="s">
        <v>88</v>
      </c>
    </row>
    <row r="18" customFormat="false" ht="48.5" hidden="false" customHeight="false" outlineLevel="0" collapsed="false">
      <c r="A18" s="18" t="s">
        <v>89</v>
      </c>
      <c r="B18" s="19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20" t="s">
        <v>59</v>
      </c>
      <c r="B1" s="20" t="s">
        <v>91</v>
      </c>
      <c r="C1" s="20" t="s">
        <v>92</v>
      </c>
    </row>
    <row r="2" customFormat="false" ht="17.15" hidden="false" customHeight="false" outlineLevel="0" collapsed="false">
      <c r="A2" s="19" t="s">
        <v>93</v>
      </c>
      <c r="B2" s="21" t="n">
        <v>25</v>
      </c>
      <c r="C2" s="22" t="s">
        <v>94</v>
      </c>
    </row>
    <row r="3" customFormat="false" ht="17.15" hidden="false" customHeight="false" outlineLevel="0" collapsed="false">
      <c r="A3" s="19" t="s">
        <v>95</v>
      </c>
      <c r="B3" s="21" t="n">
        <v>25</v>
      </c>
      <c r="C3" s="22" t="s">
        <v>96</v>
      </c>
    </row>
    <row r="4" customFormat="false" ht="17.15" hidden="false" customHeight="false" outlineLevel="0" collapsed="false">
      <c r="A4" s="19" t="s">
        <v>97</v>
      </c>
      <c r="B4" s="21" t="n">
        <v>15</v>
      </c>
      <c r="C4" s="22" t="s">
        <v>98</v>
      </c>
    </row>
    <row r="5" customFormat="false" ht="17.15" hidden="false" customHeight="false" outlineLevel="0" collapsed="false">
      <c r="A5" s="19" t="s">
        <v>99</v>
      </c>
      <c r="B5" s="21" t="n">
        <v>15</v>
      </c>
      <c r="C5" s="19" t="s">
        <v>100</v>
      </c>
    </row>
    <row r="6" customFormat="false" ht="17.15" hidden="false" customHeight="false" outlineLevel="0" collapsed="false">
      <c r="A6" s="19" t="s">
        <v>101</v>
      </c>
      <c r="B6" s="21" t="n">
        <v>10</v>
      </c>
      <c r="C6" s="19" t="s">
        <v>102</v>
      </c>
    </row>
    <row r="7" customFormat="false" ht="17.15" hidden="false" customHeight="false" outlineLevel="0" collapsed="false">
      <c r="A7" s="19" t="s">
        <v>103</v>
      </c>
      <c r="B7" s="21" t="n">
        <v>10</v>
      </c>
      <c r="C7" s="22" t="s">
        <v>104</v>
      </c>
    </row>
    <row r="8" customFormat="false" ht="17.15" hidden="false" customHeight="false" outlineLevel="0" collapsed="false">
      <c r="A8" s="19" t="s">
        <v>105</v>
      </c>
      <c r="B8" s="23" t="n">
        <v>0.6</v>
      </c>
      <c r="C8" s="19" t="s">
        <v>106</v>
      </c>
    </row>
    <row r="9" customFormat="false" ht="17.15" hidden="false" customHeight="false" outlineLevel="0" collapsed="false">
      <c r="A9" s="19" t="s">
        <v>107</v>
      </c>
      <c r="B9" s="21" t="n">
        <v>2026</v>
      </c>
      <c r="C9" s="19" t="s">
        <v>108</v>
      </c>
    </row>
    <row r="10" customFormat="false" ht="17.15" hidden="false" customHeight="false" outlineLevel="0" collapsed="false">
      <c r="A10" s="22" t="s">
        <v>109</v>
      </c>
      <c r="B10" s="21" t="n">
        <v>80</v>
      </c>
      <c r="C10" s="19" t="s">
        <v>110</v>
      </c>
    </row>
    <row r="11" customFormat="false" ht="17.15" hidden="false" customHeight="false" outlineLevel="0" collapsed="false">
      <c r="A11" s="22" t="s">
        <v>111</v>
      </c>
      <c r="B11" s="21" t="n">
        <v>70</v>
      </c>
      <c r="C11" s="19" t="s">
        <v>112</v>
      </c>
    </row>
    <row r="12" customFormat="false" ht="17.15" hidden="false" customHeight="false" outlineLevel="0" collapsed="false">
      <c r="A12" s="22" t="s">
        <v>113</v>
      </c>
      <c r="B12" s="21" t="n">
        <v>60</v>
      </c>
      <c r="C12" s="19" t="s">
        <v>114</v>
      </c>
    </row>
    <row r="13" customFormat="false" ht="17.15" hidden="false" customHeight="false" outlineLevel="0" collapsed="false">
      <c r="A13" s="22" t="s">
        <v>115</v>
      </c>
      <c r="B13" s="21" t="n">
        <v>10</v>
      </c>
      <c r="C13" s="19" t="s">
        <v>116</v>
      </c>
    </row>
    <row r="14" customFormat="false" ht="17.15" hidden="false" customHeight="false" outlineLevel="0" collapsed="false">
      <c r="A14" s="22" t="s">
        <v>117</v>
      </c>
      <c r="B14" s="21" t="n">
        <v>7</v>
      </c>
      <c r="C14" s="19" t="s">
        <v>118</v>
      </c>
    </row>
    <row r="15" customFormat="false" ht="17.15" hidden="false" customHeight="false" outlineLevel="0" collapsed="false">
      <c r="A15" s="22" t="s">
        <v>119</v>
      </c>
      <c r="B15" s="21" t="n">
        <v>4</v>
      </c>
      <c r="C15" s="19" t="s">
        <v>120</v>
      </c>
    </row>
    <row r="16" customFormat="false" ht="17.15" hidden="false" customHeight="false" outlineLevel="0" collapsed="false">
      <c r="A16" s="22" t="s">
        <v>121</v>
      </c>
      <c r="B16" s="21" t="n">
        <v>1</v>
      </c>
      <c r="C16" s="19" t="s">
        <v>122</v>
      </c>
    </row>
    <row r="18" customFormat="false" ht="17.15" hidden="false" customHeight="false" outlineLevel="0" collapsed="false">
      <c r="A18" s="24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Z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13" min="4" style="0" width="9"/>
    <col collapsed="false" customWidth="true" hidden="false" outlineLevel="0" max="14" min="14" style="0" width="14"/>
    <col collapsed="false" customWidth="true" hidden="false" outlineLevel="0" max="23" min="15" style="0" width="9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9"/>
  </cols>
  <sheetData>
    <row r="1" customFormat="false" ht="29.85" hidden="false" customHeight="true" outlineLevel="0" collapsed="false">
      <c r="A1" s="20"/>
      <c r="B1" s="20"/>
      <c r="C1" s="20"/>
      <c r="D1" s="25" t="s">
        <v>124</v>
      </c>
      <c r="E1" s="25"/>
      <c r="F1" s="25"/>
      <c r="G1" s="25"/>
      <c r="H1" s="25"/>
      <c r="I1" s="25"/>
      <c r="J1" s="25" t="s">
        <v>125</v>
      </c>
      <c r="K1" s="25"/>
      <c r="L1" s="25"/>
      <c r="M1" s="25"/>
      <c r="N1" s="25" t="s">
        <v>126</v>
      </c>
      <c r="O1" s="25"/>
      <c r="P1" s="25"/>
      <c r="Q1" s="25"/>
      <c r="R1" s="25" t="s">
        <v>127</v>
      </c>
      <c r="S1" s="25"/>
      <c r="T1" s="25"/>
      <c r="U1" s="25"/>
      <c r="V1" s="25"/>
      <c r="W1" s="25"/>
      <c r="X1" s="25"/>
      <c r="Y1" s="25"/>
      <c r="Z1" s="25"/>
    </row>
    <row r="2" customFormat="false" ht="31.5" hidden="false" customHeight="true" outlineLevel="0" collapsed="false">
      <c r="A2" s="20" t="s">
        <v>128</v>
      </c>
      <c r="B2" s="20" t="s">
        <v>129</v>
      </c>
      <c r="C2" s="20" t="s">
        <v>130</v>
      </c>
      <c r="D2" s="20" t="s">
        <v>131</v>
      </c>
      <c r="E2" s="20" t="s">
        <v>132</v>
      </c>
      <c r="F2" s="20" t="s">
        <v>133</v>
      </c>
      <c r="G2" s="20" t="s">
        <v>134</v>
      </c>
      <c r="H2" s="20" t="s">
        <v>135</v>
      </c>
      <c r="I2" s="20" t="s">
        <v>136</v>
      </c>
      <c r="J2" s="20" t="s">
        <v>131</v>
      </c>
      <c r="K2" s="20" t="s">
        <v>133</v>
      </c>
      <c r="L2" s="20" t="s">
        <v>135</v>
      </c>
      <c r="M2" s="20" t="s">
        <v>136</v>
      </c>
      <c r="N2" s="20" t="s">
        <v>137</v>
      </c>
      <c r="O2" s="20" t="s">
        <v>138</v>
      </c>
      <c r="P2" s="20" t="s">
        <v>139</v>
      </c>
      <c r="Q2" s="26" t="s">
        <v>140</v>
      </c>
      <c r="R2" s="20" t="s">
        <v>141</v>
      </c>
      <c r="S2" s="20" t="s">
        <v>142</v>
      </c>
      <c r="T2" s="20" t="s">
        <v>143</v>
      </c>
      <c r="U2" s="20" t="s">
        <v>144</v>
      </c>
      <c r="V2" s="20" t="s">
        <v>145</v>
      </c>
      <c r="W2" s="20" t="s">
        <v>146</v>
      </c>
      <c r="X2" s="20" t="s">
        <v>147</v>
      </c>
      <c r="Y2" s="20" t="s">
        <v>148</v>
      </c>
      <c r="Z2" s="20" t="s">
        <v>149</v>
      </c>
    </row>
    <row r="3" customFormat="false" ht="17.15" hidden="false" customHeight="false" outlineLevel="0" collapsed="false">
      <c r="A3" s="27" t="s">
        <v>150</v>
      </c>
      <c r="B3" s="28" t="s">
        <v>151</v>
      </c>
      <c r="C3" s="29" t="s">
        <v>152</v>
      </c>
      <c r="D3" s="30" t="n">
        <v>2</v>
      </c>
      <c r="E3" s="30" t="n">
        <v>1</v>
      </c>
      <c r="F3" s="30" t="n">
        <v>4</v>
      </c>
      <c r="G3" s="30" t="n">
        <v>39</v>
      </c>
      <c r="H3" s="30" t="n">
        <v>1</v>
      </c>
      <c r="I3" s="30" t="n">
        <v>18</v>
      </c>
      <c r="J3" s="30"/>
      <c r="K3" s="30"/>
      <c r="L3" s="30"/>
      <c r="M3" s="30"/>
      <c r="N3" s="31" t="n">
        <v>21000000</v>
      </c>
      <c r="O3" s="30" t="n">
        <v>4.7</v>
      </c>
      <c r="P3" s="30" t="n">
        <v>2026</v>
      </c>
      <c r="Q3" s="30" t="s">
        <v>153</v>
      </c>
      <c r="R3" s="32" t="n">
        <f aca="false">'1-1 점수 기준'!$B$2*('1-1 점수 기준'!$B$8*IF(COUNT(D3:I3)=0,0,(101-MIN(D3:I3))/100)+(1-'1-1 점수 기준'!$B$8)*(COUNT(D3:I3)*101-SUM(D3:I3))/100/6)</f>
        <v>24.0166666666667</v>
      </c>
      <c r="S3" s="32" t="n">
        <f aca="false">'1-1 점수 기준'!$B$3*('1-1 점수 기준'!$B$8*IF(COUNT(J3:M3)=0,0,(101-MIN(J3:M3))/100)+(1-'1-1 점수 기준'!$B$8)*(COUNT(J3:M3)*101-SUM(J3:M3))/100/4)</f>
        <v>0</v>
      </c>
      <c r="T3" s="32" t="n">
        <f aca="false">'1-1 점수 기준'!$B$4*MAX(0,MIN(1,LOG10(N3/100000)/4))</f>
        <v>8.7083223552522</v>
      </c>
      <c r="U3" s="32" t="n">
        <f aca="false">'1-1 점수 기준'!$B$5*IF(O3="",0.5,MAX(0,MIN(1,(O3-3.5)/1.5)))</f>
        <v>12</v>
      </c>
      <c r="V3" s="32" t="n">
        <f aca="false">'1-1 점수 기준'!$B$6*MAX(0,MIN(1,('1-1 점수 기준'!$B$9-P3)/5))</f>
        <v>0</v>
      </c>
      <c r="W3" s="32" t="n">
        <f aca="false">'1-1 점수 기준'!$B$7*INDEX('1-1 점수 기준'!$B$13:$B$16,MATCH("MVP 규모 "&amp;Q3&amp;" 점수",'1-1 점수 기준'!$A$13:$A$16,0))/10</f>
        <v>10</v>
      </c>
      <c r="X3" s="33" t="n">
        <f aca="false">SUM(R3:W3)</f>
        <v>54.7249890219189</v>
      </c>
      <c r="Y3" s="29" t="str">
        <f aca="false">IF(X3&gt;='1-1 점수 기준'!$B$10,"A+ 전설",IF(X3&gt;='1-1 점수 기준'!$B$11,"A 강자",IF(X3&gt;='1-1 점수 기준'!$B$12,"B 유망","C 도전자")))</f>
        <v>C 도전자</v>
      </c>
      <c r="Z3" s="29" t="n">
        <f aca="false">RANK(X3,$X$3:$X$14)</f>
        <v>8</v>
      </c>
    </row>
    <row r="4" customFormat="false" ht="17.15" hidden="false" customHeight="false" outlineLevel="0" collapsed="false">
      <c r="A4" s="27" t="s">
        <v>154</v>
      </c>
      <c r="B4" s="28" t="s">
        <v>155</v>
      </c>
      <c r="C4" s="29" t="s">
        <v>156</v>
      </c>
      <c r="D4" s="30" t="n">
        <v>1</v>
      </c>
      <c r="E4" s="30" t="n">
        <v>2</v>
      </c>
      <c r="F4" s="30" t="n">
        <v>8</v>
      </c>
      <c r="G4" s="30"/>
      <c r="H4" s="30" t="n">
        <v>2</v>
      </c>
      <c r="I4" s="30" t="n">
        <v>5</v>
      </c>
      <c r="J4" s="30"/>
      <c r="K4" s="30"/>
      <c r="L4" s="30"/>
      <c r="M4" s="30"/>
      <c r="N4" s="31" t="n">
        <v>1900000</v>
      </c>
      <c r="O4" s="30" t="n">
        <v>4.8</v>
      </c>
      <c r="P4" s="30" t="n">
        <v>2026</v>
      </c>
      <c r="Q4" s="30" t="s">
        <v>153</v>
      </c>
      <c r="R4" s="32" t="n">
        <f aca="false">'1-1 점수 기준'!$B$2*('1-1 점수 기준'!$B$8*IF(COUNT(D4:I4)=0,0,(101-MIN(D4:I4))/100)+(1-'1-1 점수 기준'!$B$8)*(COUNT(D4:I4)*101-SUM(D4:I4))/100/6)</f>
        <v>23.1166666666667</v>
      </c>
      <c r="S4" s="32" t="n">
        <f aca="false">'1-1 점수 기준'!$B$3*('1-1 점수 기준'!$B$8*IF(COUNT(J4:M4)=0,0,(101-MIN(J4:M4))/100)+(1-'1-1 점수 기준'!$B$8)*(COUNT(J4:M4)*101-SUM(J4:M4))/100/4)</f>
        <v>0</v>
      </c>
      <c r="T4" s="32" t="n">
        <f aca="false">'1-1 점수 기준'!$B$4*MAX(0,MIN(1,LOG10(N4/100000)/4))</f>
        <v>4.79532600357311</v>
      </c>
      <c r="U4" s="32" t="n">
        <f aca="false">'1-1 점수 기준'!$B$5*IF(O4="",0.5,MAX(0,MIN(1,(O4-3.5)/1.5)))</f>
        <v>13</v>
      </c>
      <c r="V4" s="32" t="n">
        <f aca="false">'1-1 점수 기준'!$B$6*MAX(0,MIN(1,('1-1 점수 기준'!$B$9-P4)/5))</f>
        <v>0</v>
      </c>
      <c r="W4" s="32" t="n">
        <f aca="false">'1-1 점수 기준'!$B$7*INDEX('1-1 점수 기준'!$B$13:$B$16,MATCH("MVP 규모 "&amp;Q4&amp;" 점수",'1-1 점수 기준'!$A$13:$A$16,0))/10</f>
        <v>10</v>
      </c>
      <c r="X4" s="33" t="n">
        <f aca="false">SUM(R4:W4)</f>
        <v>50.9119926702398</v>
      </c>
      <c r="Y4" s="29" t="str">
        <f aca="false">IF(X4&gt;='1-1 점수 기준'!$B$10,"A+ 전설",IF(X4&gt;='1-1 점수 기준'!$B$11,"A 강자",IF(X4&gt;='1-1 점수 기준'!$B$12,"B 유망","C 도전자")))</f>
        <v>C 도전자</v>
      </c>
      <c r="Z4" s="29" t="n">
        <f aca="false">RANK(X4,$X$3:$X$14)</f>
        <v>10</v>
      </c>
    </row>
    <row r="5" customFormat="false" ht="17.15" hidden="false" customHeight="false" outlineLevel="0" collapsed="false">
      <c r="A5" s="27" t="s">
        <v>157</v>
      </c>
      <c r="B5" s="28" t="s">
        <v>158</v>
      </c>
      <c r="C5" s="29" t="s">
        <v>159</v>
      </c>
      <c r="D5" s="30" t="n">
        <v>7</v>
      </c>
      <c r="E5" s="30" t="n">
        <v>7</v>
      </c>
      <c r="F5" s="30" t="n">
        <v>9</v>
      </c>
      <c r="G5" s="30" t="n">
        <v>4</v>
      </c>
      <c r="H5" s="30" t="n">
        <v>3</v>
      </c>
      <c r="I5" s="30" t="n">
        <v>8</v>
      </c>
      <c r="J5" s="30"/>
      <c r="K5" s="30"/>
      <c r="L5" s="30"/>
      <c r="M5" s="30"/>
      <c r="N5" s="31" t="n">
        <v>1100000000</v>
      </c>
      <c r="O5" s="30" t="n">
        <v>4.8</v>
      </c>
      <c r="P5" s="30" t="n">
        <v>2022</v>
      </c>
      <c r="Q5" s="30" t="s">
        <v>153</v>
      </c>
      <c r="R5" s="32" t="n">
        <f aca="false">'1-1 점수 기준'!$B$2*('1-1 점수 기준'!$B$8*IF(COUNT(D5:I5)=0,0,(101-MIN(D5:I5))/100)+(1-'1-1 점수 기준'!$B$8)*(COUNT(D5:I5)*101-SUM(D5:I5))/100/6)</f>
        <v>24.1666666666667</v>
      </c>
      <c r="S5" s="32" t="n">
        <f aca="false">'1-1 점수 기준'!$B$3*('1-1 점수 기준'!$B$8*IF(COUNT(J5:M5)=0,0,(101-MIN(J5:M5))/100)+(1-'1-1 점수 기준'!$B$8)*(COUNT(J5:M5)*101-SUM(J5:M5))/100/4)</f>
        <v>0</v>
      </c>
      <c r="T5" s="32" t="n">
        <f aca="false">'1-1 점수 기준'!$B$4*MAX(0,MIN(1,LOG10(N5/100000)/4))</f>
        <v>15</v>
      </c>
      <c r="U5" s="32" t="n">
        <f aca="false">'1-1 점수 기준'!$B$5*IF(O5="",0.5,MAX(0,MIN(1,(O5-3.5)/1.5)))</f>
        <v>13</v>
      </c>
      <c r="V5" s="32" t="n">
        <f aca="false">'1-1 점수 기준'!$B$6*MAX(0,MIN(1,('1-1 점수 기준'!$B$9-P5)/5))</f>
        <v>8</v>
      </c>
      <c r="W5" s="32" t="n">
        <f aca="false">'1-1 점수 기준'!$B$7*INDEX('1-1 점수 기준'!$B$13:$B$16,MATCH("MVP 규모 "&amp;Q5&amp;" 점수",'1-1 점수 기준'!$A$13:$A$16,0))/10</f>
        <v>10</v>
      </c>
      <c r="X5" s="33" t="n">
        <f aca="false">SUM(R5:W5)</f>
        <v>70.1666666666667</v>
      </c>
      <c r="Y5" s="29" t="str">
        <f aca="false">IF(X5&gt;='1-1 점수 기준'!$B$10,"A+ 전설",IF(X5&gt;='1-1 점수 기준'!$B$11,"A 강자",IF(X5&gt;='1-1 점수 기준'!$B$12,"B 유망","C 도전자")))</f>
        <v>A 강자</v>
      </c>
      <c r="Z5" s="29" t="n">
        <f aca="false">RANK(X5,$X$3:$X$14)</f>
        <v>4</v>
      </c>
    </row>
    <row r="6" customFormat="false" ht="17.15" hidden="false" customHeight="false" outlineLevel="0" collapsed="false">
      <c r="A6" s="27" t="s">
        <v>160</v>
      </c>
      <c r="B6" s="28" t="s">
        <v>161</v>
      </c>
      <c r="C6" s="29" t="s">
        <v>156</v>
      </c>
      <c r="D6" s="30" t="n">
        <v>11</v>
      </c>
      <c r="E6" s="30" t="n">
        <v>4</v>
      </c>
      <c r="F6" s="30" t="n">
        <v>50</v>
      </c>
      <c r="G6" s="30" t="n">
        <v>33</v>
      </c>
      <c r="H6" s="30" t="n">
        <v>36</v>
      </c>
      <c r="I6" s="30" t="n">
        <v>7</v>
      </c>
      <c r="J6" s="30" t="n">
        <v>56</v>
      </c>
      <c r="K6" s="30"/>
      <c r="L6" s="30"/>
      <c r="M6" s="30"/>
      <c r="N6" s="31" t="n">
        <v>40000000</v>
      </c>
      <c r="O6" s="30" t="n">
        <v>4.5</v>
      </c>
      <c r="P6" s="30" t="n">
        <v>2024</v>
      </c>
      <c r="Q6" s="30" t="s">
        <v>153</v>
      </c>
      <c r="R6" s="32" t="n">
        <f aca="false">'1-1 점수 기준'!$B$2*('1-1 점수 기준'!$B$8*IF(COUNT(D6:I6)=0,0,(101-MIN(D6:I6))/100)+(1-'1-1 점수 기준'!$B$8)*(COUNT(D6:I6)*101-SUM(D6:I6))/100/6)</f>
        <v>22.3</v>
      </c>
      <c r="S6" s="32" t="n">
        <f aca="false">'1-1 점수 기준'!$B$3*('1-1 점수 기준'!$B$8*IF(COUNT(J6:M6)=0,0,(101-MIN(J6:M6))/100)+(1-'1-1 점수 기준'!$B$8)*(COUNT(J6:M6)*101-SUM(J6:M6))/100/4)</f>
        <v>7.875</v>
      </c>
      <c r="T6" s="32" t="n">
        <f aca="false">'1-1 점수 기준'!$B$4*MAX(0,MIN(1,LOG10(N6/100000)/4))</f>
        <v>9.75772496747986</v>
      </c>
      <c r="U6" s="32" t="n">
        <f aca="false">'1-1 점수 기준'!$B$5*IF(O6="",0.5,MAX(0,MIN(1,(O6-3.5)/1.5)))</f>
        <v>10</v>
      </c>
      <c r="V6" s="32" t="n">
        <f aca="false">'1-1 점수 기준'!$B$6*MAX(0,MIN(1,('1-1 점수 기준'!$B$9-P6)/5))</f>
        <v>4</v>
      </c>
      <c r="W6" s="32" t="n">
        <f aca="false">'1-1 점수 기준'!$B$7*INDEX('1-1 점수 기준'!$B$13:$B$16,MATCH("MVP 규모 "&amp;Q6&amp;" 점수",'1-1 점수 기준'!$A$13:$A$16,0))/10</f>
        <v>10</v>
      </c>
      <c r="X6" s="33" t="n">
        <f aca="false">SUM(R6:W6)</f>
        <v>63.9327249674799</v>
      </c>
      <c r="Y6" s="29" t="str">
        <f aca="false">IF(X6&gt;='1-1 점수 기준'!$B$10,"A+ 전설",IF(X6&gt;='1-1 점수 기준'!$B$11,"A 강자",IF(X6&gt;='1-1 점수 기준'!$B$12,"B 유망","C 도전자")))</f>
        <v>B 유망</v>
      </c>
      <c r="Z6" s="29" t="n">
        <f aca="false">RANK(X6,$X$3:$X$14)</f>
        <v>6</v>
      </c>
    </row>
    <row r="7" customFormat="false" ht="17.15" hidden="false" customHeight="false" outlineLevel="0" collapsed="false">
      <c r="A7" s="27" t="s">
        <v>162</v>
      </c>
      <c r="B7" s="28" t="s">
        <v>163</v>
      </c>
      <c r="C7" s="29" t="s">
        <v>164</v>
      </c>
      <c r="D7" s="30" t="n">
        <v>8</v>
      </c>
      <c r="E7" s="30" t="n">
        <v>6</v>
      </c>
      <c r="F7" s="30" t="n">
        <v>3</v>
      </c>
      <c r="G7" s="30" t="n">
        <v>2</v>
      </c>
      <c r="H7" s="30" t="n">
        <v>10</v>
      </c>
      <c r="I7" s="30" t="n">
        <v>38</v>
      </c>
      <c r="J7" s="30"/>
      <c r="K7" s="30"/>
      <c r="L7" s="30"/>
      <c r="M7" s="30"/>
      <c r="N7" s="31" t="n">
        <v>11000000</v>
      </c>
      <c r="O7" s="30" t="n">
        <v>4.3</v>
      </c>
      <c r="P7" s="30" t="n">
        <v>2025</v>
      </c>
      <c r="Q7" s="30" t="s">
        <v>153</v>
      </c>
      <c r="R7" s="32" t="n">
        <f aca="false">'1-1 점수 기준'!$B$2*('1-1 점수 기준'!$B$8*IF(COUNT(D7:I7)=0,0,(101-MIN(D7:I7))/100)+(1-'1-1 점수 기준'!$B$8)*(COUNT(D7:I7)*101-SUM(D7:I7))/100/6)</f>
        <v>23.8333333333333</v>
      </c>
      <c r="S7" s="32" t="n">
        <f aca="false">'1-1 점수 기준'!$B$3*('1-1 점수 기준'!$B$8*IF(COUNT(J7:M7)=0,0,(101-MIN(J7:M7))/100)+(1-'1-1 점수 기준'!$B$8)*(COUNT(J7:M7)*101-SUM(J7:M7))/100/4)</f>
        <v>0</v>
      </c>
      <c r="T7" s="32" t="n">
        <f aca="false">'1-1 점수 기준'!$B$4*MAX(0,MIN(1,LOG10(N7/100000)/4))</f>
        <v>7.65522256934334</v>
      </c>
      <c r="U7" s="32" t="n">
        <f aca="false">'1-1 점수 기준'!$B$5*IF(O7="",0.5,MAX(0,MIN(1,(O7-3.5)/1.5)))</f>
        <v>8</v>
      </c>
      <c r="V7" s="32" t="n">
        <f aca="false">'1-1 점수 기준'!$B$6*MAX(0,MIN(1,('1-1 점수 기준'!$B$9-P7)/5))</f>
        <v>2</v>
      </c>
      <c r="W7" s="32" t="n">
        <f aca="false">'1-1 점수 기준'!$B$7*INDEX('1-1 점수 기준'!$B$13:$B$16,MATCH("MVP 규모 "&amp;Q7&amp;" 점수",'1-1 점수 기준'!$A$13:$A$16,0))/10</f>
        <v>10</v>
      </c>
      <c r="X7" s="33" t="n">
        <f aca="false">SUM(R7:W7)</f>
        <v>51.4885559026767</v>
      </c>
      <c r="Y7" s="29" t="str">
        <f aca="false">IF(X7&gt;='1-1 점수 기준'!$B$10,"A+ 전설",IF(X7&gt;='1-1 점수 기준'!$B$11,"A 강자",IF(X7&gt;='1-1 점수 기준'!$B$12,"B 유망","C 도전자")))</f>
        <v>C 도전자</v>
      </c>
      <c r="Z7" s="29" t="n">
        <f aca="false">RANK(X7,$X$3:$X$14)</f>
        <v>9</v>
      </c>
    </row>
    <row r="8" customFormat="false" ht="17.15" hidden="false" customHeight="false" outlineLevel="0" collapsed="false">
      <c r="A8" s="27" t="s">
        <v>165</v>
      </c>
      <c r="B8" s="28" t="s">
        <v>166</v>
      </c>
      <c r="C8" s="29" t="s">
        <v>167</v>
      </c>
      <c r="D8" s="30" t="n">
        <v>42</v>
      </c>
      <c r="E8" s="30" t="n">
        <v>25</v>
      </c>
      <c r="F8" s="30"/>
      <c r="G8" s="30"/>
      <c r="H8" s="30" t="n">
        <v>16</v>
      </c>
      <c r="I8" s="30" t="n">
        <v>21</v>
      </c>
      <c r="J8" s="30" t="n">
        <v>4</v>
      </c>
      <c r="K8" s="30" t="n">
        <v>7</v>
      </c>
      <c r="L8" s="30" t="n">
        <v>23</v>
      </c>
      <c r="M8" s="30" t="n">
        <v>14</v>
      </c>
      <c r="N8" s="31" t="n">
        <v>370000000</v>
      </c>
      <c r="O8" s="30" t="n">
        <v>4.6</v>
      </c>
      <c r="P8" s="30" t="n">
        <v>2021</v>
      </c>
      <c r="Q8" s="30" t="s">
        <v>168</v>
      </c>
      <c r="R8" s="32" t="n">
        <f aca="false">'1-1 점수 기준'!$B$2*('1-1 점수 기준'!$B$8*IF(COUNT(D8:I8)=0,0,(101-MIN(D8:I8))/100)+(1-'1-1 점수 기준'!$B$8)*(COUNT(D8:I8)*101-SUM(D8:I8))/100/6)</f>
        <v>17.75</v>
      </c>
      <c r="S8" s="32" t="n">
        <f aca="false">'1-1 점수 기준'!$B$3*('1-1 점수 기준'!$B$8*IF(COUNT(J8:M8)=0,0,(101-MIN(J8:M8))/100)+(1-'1-1 점수 기준'!$B$8)*(COUNT(J8:M8)*101-SUM(J8:M8))/100/4)</f>
        <v>23.45</v>
      </c>
      <c r="T8" s="32" t="n">
        <f aca="false">'1-1 점수 기준'!$B$4*MAX(0,MIN(1,LOG10(N8/100000)/4))</f>
        <v>13.3807564652512</v>
      </c>
      <c r="U8" s="32" t="n">
        <f aca="false">'1-1 점수 기준'!$B$5*IF(O8="",0.5,MAX(0,MIN(1,(O8-3.5)/1.5)))</f>
        <v>11</v>
      </c>
      <c r="V8" s="32" t="n">
        <f aca="false">'1-1 점수 기준'!$B$6*MAX(0,MIN(1,('1-1 점수 기준'!$B$9-P8)/5))</f>
        <v>10</v>
      </c>
      <c r="W8" s="32" t="n">
        <f aca="false">'1-1 점수 기준'!$B$7*INDEX('1-1 점수 기준'!$B$13:$B$16,MATCH("MVP 규모 "&amp;Q8&amp;" 점수",'1-1 점수 기준'!$A$13:$A$16,0))/10</f>
        <v>7</v>
      </c>
      <c r="X8" s="33" t="n">
        <f aca="false">SUM(R8:W8)</f>
        <v>82.5807564652512</v>
      </c>
      <c r="Y8" s="29" t="str">
        <f aca="false">IF(X8&gt;='1-1 점수 기준'!$B$10,"A+ 전설",IF(X8&gt;='1-1 점수 기준'!$B$11,"A 강자",IF(X8&gt;='1-1 점수 기준'!$B$12,"B 유망","C 도전자")))</f>
        <v>A+ 전설</v>
      </c>
      <c r="Z8" s="29" t="n">
        <f aca="false">RANK(X8,$X$3:$X$14)</f>
        <v>1</v>
      </c>
    </row>
    <row r="9" customFormat="false" ht="17.15" hidden="false" customHeight="false" outlineLevel="0" collapsed="false">
      <c r="A9" s="27" t="s">
        <v>169</v>
      </c>
      <c r="B9" s="28" t="s">
        <v>170</v>
      </c>
      <c r="C9" s="29" t="s">
        <v>171</v>
      </c>
      <c r="D9" s="30" t="n">
        <v>17</v>
      </c>
      <c r="E9" s="30" t="n">
        <v>13</v>
      </c>
      <c r="F9" s="30"/>
      <c r="G9" s="30" t="n">
        <v>25</v>
      </c>
      <c r="H9" s="30" t="n">
        <v>8</v>
      </c>
      <c r="I9" s="30" t="n">
        <v>20</v>
      </c>
      <c r="J9" s="30" t="n">
        <v>5</v>
      </c>
      <c r="K9" s="30" t="n">
        <v>4</v>
      </c>
      <c r="L9" s="30" t="n">
        <v>16</v>
      </c>
      <c r="M9" s="30" t="n">
        <v>12</v>
      </c>
      <c r="N9" s="31" t="n">
        <v>91000000</v>
      </c>
      <c r="O9" s="30" t="n">
        <v>4.3</v>
      </c>
      <c r="P9" s="30" t="n">
        <v>2022</v>
      </c>
      <c r="Q9" s="30" t="s">
        <v>172</v>
      </c>
      <c r="R9" s="32" t="n">
        <f aca="false">'1-1 점수 기준'!$B$2*('1-1 점수 기준'!$B$8*IF(COUNT(D9:I9)=0,0,(101-MIN(D9:I9))/100)+(1-'1-1 점수 기준'!$B$8)*(COUNT(D9:I9)*101-SUM(D9:I9))/100/6)</f>
        <v>20.9833333333333</v>
      </c>
      <c r="S9" s="32" t="n">
        <f aca="false">'1-1 점수 기준'!$B$3*('1-1 점수 기준'!$B$8*IF(COUNT(J9:M9)=0,0,(101-MIN(J9:M9))/100)+(1-'1-1 점수 기준'!$B$8)*(COUNT(J9:M9)*101-SUM(J9:M9))/100/4)</f>
        <v>23.725</v>
      </c>
      <c r="T9" s="32" t="n">
        <f aca="false">'1-1 점수 기준'!$B$4*MAX(0,MIN(1,LOG10(N9/100000)/4))</f>
        <v>11.0964052212041</v>
      </c>
      <c r="U9" s="32" t="n">
        <f aca="false">'1-1 점수 기준'!$B$5*IF(O9="",0.5,MAX(0,MIN(1,(O9-3.5)/1.5)))</f>
        <v>8</v>
      </c>
      <c r="V9" s="32" t="n">
        <f aca="false">'1-1 점수 기준'!$B$6*MAX(0,MIN(1,('1-1 점수 기준'!$B$9-P9)/5))</f>
        <v>8</v>
      </c>
      <c r="W9" s="32" t="n">
        <f aca="false">'1-1 점수 기준'!$B$7*INDEX('1-1 점수 기준'!$B$13:$B$16,MATCH("MVP 규모 "&amp;Q9&amp;" 점수",'1-1 점수 기준'!$A$13:$A$16,0))/10</f>
        <v>4</v>
      </c>
      <c r="X9" s="33" t="n">
        <f aca="false">SUM(R9:W9)</f>
        <v>75.8047385545374</v>
      </c>
      <c r="Y9" s="29" t="str">
        <f aca="false">IF(X9&gt;='1-1 점수 기준'!$B$10,"A+ 전설",IF(X9&gt;='1-1 점수 기준'!$B$11,"A 강자",IF(X9&gt;='1-1 점수 기준'!$B$12,"B 유망","C 도전자")))</f>
        <v>A 강자</v>
      </c>
      <c r="Z9" s="29" t="n">
        <f aca="false">RANK(X9,$X$3:$X$14)</f>
        <v>2</v>
      </c>
    </row>
    <row r="10" customFormat="false" ht="17.15" hidden="false" customHeight="false" outlineLevel="0" collapsed="false">
      <c r="A10" s="27" t="s">
        <v>173</v>
      </c>
      <c r="B10" s="28" t="s">
        <v>174</v>
      </c>
      <c r="C10" s="29" t="s">
        <v>175</v>
      </c>
      <c r="D10" s="30" t="n">
        <v>26</v>
      </c>
      <c r="E10" s="30" t="n">
        <v>21</v>
      </c>
      <c r="F10" s="30"/>
      <c r="G10" s="30"/>
      <c r="H10" s="30"/>
      <c r="I10" s="30"/>
      <c r="J10" s="30" t="n">
        <v>1</v>
      </c>
      <c r="K10" s="30" t="n">
        <v>73</v>
      </c>
      <c r="L10" s="30"/>
      <c r="M10" s="30"/>
      <c r="N10" s="31" t="n">
        <v>130000000</v>
      </c>
      <c r="O10" s="30" t="n">
        <v>4.6</v>
      </c>
      <c r="P10" s="30" t="n">
        <v>2023</v>
      </c>
      <c r="Q10" s="30" t="s">
        <v>172</v>
      </c>
      <c r="R10" s="32" t="n">
        <f aca="false">'1-1 점수 기준'!$B$2*('1-1 점수 기준'!$B$8*IF(COUNT(D10:I10)=0,0,(101-MIN(D10:I10))/100)+(1-'1-1 점수 기준'!$B$8)*(COUNT(D10:I10)*101-SUM(D10:I10))/100/6)</f>
        <v>14.5833333333333</v>
      </c>
      <c r="S10" s="32" t="n">
        <f aca="false">'1-1 점수 기준'!$B$3*('1-1 점수 기준'!$B$8*IF(COUNT(J10:M10)=0,0,(101-MIN(J10:M10))/100)+(1-'1-1 점수 기준'!$B$8)*(COUNT(J10:M10)*101-SUM(J10:M10))/100/4)</f>
        <v>18.2</v>
      </c>
      <c r="T10" s="32" t="n">
        <f aca="false">'1-1 점수 기준'!$B$4*MAX(0,MIN(1,LOG10(N10/100000)/4))</f>
        <v>11.6772875711506</v>
      </c>
      <c r="U10" s="32" t="n">
        <f aca="false">'1-1 점수 기준'!$B$5*IF(O10="",0.5,MAX(0,MIN(1,(O10-3.5)/1.5)))</f>
        <v>11</v>
      </c>
      <c r="V10" s="32" t="n">
        <f aca="false">'1-1 점수 기준'!$B$6*MAX(0,MIN(1,('1-1 점수 기준'!$B$9-P10)/5))</f>
        <v>6</v>
      </c>
      <c r="W10" s="32" t="n">
        <f aca="false">'1-1 점수 기준'!$B$7*INDEX('1-1 점수 기준'!$B$13:$B$16,MATCH("MVP 규모 "&amp;Q10&amp;" 점수",'1-1 점수 기준'!$A$13:$A$16,0))/10</f>
        <v>4</v>
      </c>
      <c r="X10" s="33" t="n">
        <f aca="false">SUM(R10:W10)</f>
        <v>65.460620904484</v>
      </c>
      <c r="Y10" s="29" t="str">
        <f aca="false">IF(X10&gt;='1-1 점수 기준'!$B$10,"A+ 전설",IF(X10&gt;='1-1 점수 기준'!$B$11,"A 강자",IF(X10&gt;='1-1 점수 기준'!$B$12,"B 유망","C 도전자")))</f>
        <v>B 유망</v>
      </c>
      <c r="Z10" s="29" t="n">
        <f aca="false">RANK(X10,$X$3:$X$14)</f>
        <v>5</v>
      </c>
    </row>
    <row r="11" customFormat="false" ht="17.15" hidden="false" customHeight="false" outlineLevel="0" collapsed="false">
      <c r="A11" s="27" t="s">
        <v>176</v>
      </c>
      <c r="B11" s="28" t="s">
        <v>177</v>
      </c>
      <c r="C11" s="29" t="s">
        <v>178</v>
      </c>
      <c r="D11" s="30" t="n">
        <v>63</v>
      </c>
      <c r="E11" s="30"/>
      <c r="F11" s="30"/>
      <c r="G11" s="30"/>
      <c r="H11" s="30" t="n">
        <v>28</v>
      </c>
      <c r="I11" s="30" t="n">
        <v>48</v>
      </c>
      <c r="J11" s="30" t="n">
        <v>10</v>
      </c>
      <c r="K11" s="30" t="n">
        <v>23</v>
      </c>
      <c r="L11" s="30" t="n">
        <v>9</v>
      </c>
      <c r="M11" s="30" t="n">
        <v>6</v>
      </c>
      <c r="N11" s="31" t="n">
        <v>100000000</v>
      </c>
      <c r="O11" s="30" t="n">
        <v>4.1</v>
      </c>
      <c r="P11" s="30" t="n">
        <v>2023</v>
      </c>
      <c r="Q11" s="30" t="s">
        <v>179</v>
      </c>
      <c r="R11" s="32" t="n">
        <f aca="false">'1-1 점수 기준'!$B$2*('1-1 점수 기준'!$B$8*IF(COUNT(D11:I11)=0,0,(101-MIN(D11:I11))/100)+(1-'1-1 점수 기준'!$B$8)*(COUNT(D11:I11)*101-SUM(D11:I11))/100/6)</f>
        <v>13.6833333333333</v>
      </c>
      <c r="S11" s="32" t="n">
        <f aca="false">'1-1 점수 기준'!$B$3*('1-1 점수 기준'!$B$8*IF(COUNT(J11:M11)=0,0,(101-MIN(J11:M11))/100)+(1-'1-1 점수 기준'!$B$8)*(COUNT(J11:M11)*101-SUM(J11:M11))/100/4)</f>
        <v>23.15</v>
      </c>
      <c r="T11" s="32" t="n">
        <f aca="false">'1-1 점수 기준'!$B$4*MAX(0,MIN(1,LOG10(N11/100000)/4))</f>
        <v>11.25</v>
      </c>
      <c r="U11" s="32" t="n">
        <f aca="false">'1-1 점수 기준'!$B$5*IF(O11="",0.5,MAX(0,MIN(1,(O11-3.5)/1.5)))</f>
        <v>6</v>
      </c>
      <c r="V11" s="32" t="n">
        <f aca="false">'1-1 점수 기준'!$B$6*MAX(0,MIN(1,('1-1 점수 기준'!$B$9-P11)/5))</f>
        <v>6</v>
      </c>
      <c r="W11" s="32" t="n">
        <f aca="false">'1-1 점수 기준'!$B$7*INDEX('1-1 점수 기준'!$B$13:$B$16,MATCH("MVP 규모 "&amp;Q11&amp;" 점수",'1-1 점수 기준'!$A$13:$A$16,0))/10</f>
        <v>1</v>
      </c>
      <c r="X11" s="33" t="n">
        <f aca="false">SUM(R11:W11)</f>
        <v>61.0833333333333</v>
      </c>
      <c r="Y11" s="29" t="str">
        <f aca="false">IF(X11&gt;='1-1 점수 기준'!$B$10,"A+ 전설",IF(X11&gt;='1-1 점수 기준'!$B$11,"A 강자",IF(X11&gt;='1-1 점수 기준'!$B$12,"B 유망","C 도전자")))</f>
        <v>B 유망</v>
      </c>
      <c r="Z11" s="29" t="n">
        <f aca="false">RANK(X11,$X$3:$X$14)</f>
        <v>7</v>
      </c>
    </row>
    <row r="12" customFormat="false" ht="17.15" hidden="false" customHeight="false" outlineLevel="0" collapsed="false">
      <c r="A12" s="27" t="s">
        <v>180</v>
      </c>
      <c r="B12" s="28" t="s">
        <v>181</v>
      </c>
      <c r="C12" s="29" t="s">
        <v>182</v>
      </c>
      <c r="D12" s="30" t="n">
        <v>97</v>
      </c>
      <c r="E12" s="30"/>
      <c r="F12" s="30" t="n">
        <v>2</v>
      </c>
      <c r="G12" s="30" t="n">
        <v>3</v>
      </c>
      <c r="H12" s="30"/>
      <c r="I12" s="30"/>
      <c r="J12" s="30" t="n">
        <v>22</v>
      </c>
      <c r="K12" s="30" t="n">
        <v>1</v>
      </c>
      <c r="L12" s="30"/>
      <c r="M12" s="30"/>
      <c r="N12" s="31" t="n">
        <v>2200000000</v>
      </c>
      <c r="O12" s="30" t="n">
        <v>4.3</v>
      </c>
      <c r="P12" s="30" t="n">
        <v>2017</v>
      </c>
      <c r="Q12" s="30" t="s">
        <v>179</v>
      </c>
      <c r="R12" s="32" t="n">
        <f aca="false">'1-1 점수 기준'!$B$2*('1-1 점수 기준'!$B$8*IF(COUNT(D12:I12)=0,0,(101-MIN(D12:I12))/100)+(1-'1-1 점수 기준'!$B$8)*(COUNT(D12:I12)*101-SUM(D12:I12))/100/6)</f>
        <v>18.2</v>
      </c>
      <c r="S12" s="32" t="n">
        <f aca="false">'1-1 점수 기준'!$B$3*('1-1 점수 기준'!$B$8*IF(COUNT(J12:M12)=0,0,(101-MIN(J12:M12))/100)+(1-'1-1 점수 기준'!$B$8)*(COUNT(J12:M12)*101-SUM(J12:M12))/100/4)</f>
        <v>19.475</v>
      </c>
      <c r="T12" s="32" t="n">
        <f aca="false">'1-1 점수 기준'!$B$4*MAX(0,MIN(1,LOG10(N12/100000)/4))</f>
        <v>15</v>
      </c>
      <c r="U12" s="32" t="n">
        <f aca="false">'1-1 점수 기준'!$B$5*IF(O12="",0.5,MAX(0,MIN(1,(O12-3.5)/1.5)))</f>
        <v>8</v>
      </c>
      <c r="V12" s="32" t="n">
        <f aca="false">'1-1 점수 기준'!$B$6*MAX(0,MIN(1,('1-1 점수 기준'!$B$9-P12)/5))</f>
        <v>10</v>
      </c>
      <c r="W12" s="32" t="n">
        <f aca="false">'1-1 점수 기준'!$B$7*INDEX('1-1 점수 기준'!$B$13:$B$16,MATCH("MVP 규모 "&amp;Q12&amp;" 점수",'1-1 점수 기준'!$A$13:$A$16,0))/10</f>
        <v>1</v>
      </c>
      <c r="X12" s="33" t="n">
        <f aca="false">SUM(R12:W12)</f>
        <v>71.675</v>
      </c>
      <c r="Y12" s="29" t="str">
        <f aca="false">IF(X12&gt;='1-1 점수 기준'!$B$10,"A+ 전설",IF(X12&gt;='1-1 점수 기준'!$B$11,"A 강자",IF(X12&gt;='1-1 점수 기준'!$B$12,"B 유망","C 도전자")))</f>
        <v>A 강자</v>
      </c>
      <c r="Z12" s="29" t="n">
        <f aca="false">RANK(X12,$X$3:$X$14)</f>
        <v>3</v>
      </c>
    </row>
    <row r="13" customFormat="false" ht="17.15" hidden="false" customHeight="false" outlineLevel="0" collapsed="false">
      <c r="A13" s="34" t="s">
        <v>183</v>
      </c>
      <c r="B13" s="28" t="s">
        <v>184</v>
      </c>
      <c r="C13" s="29" t="s">
        <v>185</v>
      </c>
      <c r="D13" s="30"/>
      <c r="E13" s="30"/>
      <c r="F13" s="30"/>
      <c r="G13" s="30"/>
      <c r="H13" s="30" t="n">
        <v>20</v>
      </c>
      <c r="I13" s="30" t="n">
        <v>39</v>
      </c>
      <c r="J13" s="30"/>
      <c r="K13" s="30"/>
      <c r="L13" s="30" t="n">
        <v>81</v>
      </c>
      <c r="M13" s="30"/>
      <c r="N13" s="31" t="n">
        <v>1100000</v>
      </c>
      <c r="O13" s="30"/>
      <c r="P13" s="30" t="n">
        <v>2025</v>
      </c>
      <c r="Q13" s="30" t="s">
        <v>172</v>
      </c>
      <c r="R13" s="32" t="n">
        <f aca="false">'1-1 점수 기준'!$B$2*('1-1 점수 기준'!$B$8*IF(COUNT(D13:I13)=0,0,(101-MIN(D13:I13))/100)+(1-'1-1 점수 기준'!$B$8)*(COUNT(D13:I13)*101-SUM(D13:I13))/100/6)</f>
        <v>14.5333333333333</v>
      </c>
      <c r="S13" s="32" t="n">
        <f aca="false">'1-1 점수 기준'!$B$3*('1-1 점수 기준'!$B$8*IF(COUNT(J13:M13)=0,0,(101-MIN(J13:M13))/100)+(1-'1-1 점수 기준'!$B$8)*(COUNT(J13:M13)*101-SUM(J13:M13))/100/4)</f>
        <v>3.5</v>
      </c>
      <c r="T13" s="32" t="n">
        <f aca="false">'1-1 점수 기준'!$B$4*MAX(0,MIN(1,LOG10(N13/100000)/4))</f>
        <v>3.90522256934334</v>
      </c>
      <c r="U13" s="32" t="n">
        <f aca="false">'1-1 점수 기준'!$B$5*IF(O13="",0.5,MAX(0,MIN(1,(O13-3.5)/1.5)))</f>
        <v>7.5</v>
      </c>
      <c r="V13" s="32" t="n">
        <f aca="false">'1-1 점수 기준'!$B$6*MAX(0,MIN(1,('1-1 점수 기준'!$B$9-P13)/5))</f>
        <v>2</v>
      </c>
      <c r="W13" s="32" t="n">
        <f aca="false">'1-1 점수 기준'!$B$7*INDEX('1-1 점수 기준'!$B$13:$B$16,MATCH("MVP 규모 "&amp;Q13&amp;" 점수",'1-1 점수 기준'!$A$13:$A$16,0))/10</f>
        <v>4</v>
      </c>
      <c r="X13" s="33" t="n">
        <f aca="false">SUM(R13:W13)</f>
        <v>35.4385559026767</v>
      </c>
      <c r="Y13" s="29" t="str">
        <f aca="false">IF(X13&gt;='1-1 점수 기준'!$B$10,"A+ 전설",IF(X13&gt;='1-1 점수 기준'!$B$11,"A 강자",IF(X13&gt;='1-1 점수 기준'!$B$12,"B 유망","C 도전자")))</f>
        <v>C 도전자</v>
      </c>
      <c r="Z13" s="29" t="n">
        <f aca="false">RANK(X13,$X$3:$X$14)</f>
        <v>12</v>
      </c>
    </row>
    <row r="14" customFormat="false" ht="17.15" hidden="false" customHeight="false" outlineLevel="0" collapsed="false">
      <c r="A14" s="34" t="s">
        <v>186</v>
      </c>
      <c r="B14" s="28" t="s">
        <v>187</v>
      </c>
      <c r="C14" s="29" t="s">
        <v>188</v>
      </c>
      <c r="D14" s="30"/>
      <c r="E14" s="30"/>
      <c r="F14" s="30"/>
      <c r="G14" s="30"/>
      <c r="H14" s="30"/>
      <c r="I14" s="30" t="n">
        <v>2</v>
      </c>
      <c r="J14" s="30"/>
      <c r="K14" s="30"/>
      <c r="L14" s="30"/>
      <c r="M14" s="30" t="n">
        <v>20</v>
      </c>
      <c r="N14" s="31" t="n">
        <v>190000</v>
      </c>
      <c r="O14" s="30"/>
      <c r="P14" s="30" t="n">
        <v>2026</v>
      </c>
      <c r="Q14" s="30" t="s">
        <v>168</v>
      </c>
      <c r="R14" s="32" t="n">
        <f aca="false">'1-1 점수 기준'!$B$2*('1-1 점수 기준'!$B$8*IF(COUNT(D14:I14)=0,0,(101-MIN(D14:I14))/100)+(1-'1-1 점수 기준'!$B$8)*(COUNT(D14:I14)*101-SUM(D14:I14))/100/6)</f>
        <v>16.5</v>
      </c>
      <c r="S14" s="32" t="n">
        <f aca="false">'1-1 점수 기준'!$B$3*('1-1 점수 기준'!$B$8*IF(COUNT(J14:M14)=0,0,(101-MIN(J14:M14))/100)+(1-'1-1 점수 기준'!$B$8)*(COUNT(J14:M14)*101-SUM(J14:M14))/100/4)</f>
        <v>14.175</v>
      </c>
      <c r="T14" s="32" t="n">
        <f aca="false">'1-1 점수 기준'!$B$4*MAX(0,MIN(1,LOG10(N14/100000)/4))</f>
        <v>1.04532600357311</v>
      </c>
      <c r="U14" s="32" t="n">
        <f aca="false">'1-1 점수 기준'!$B$5*IF(O14="",0.5,MAX(0,MIN(1,(O14-3.5)/1.5)))</f>
        <v>7.5</v>
      </c>
      <c r="V14" s="32" t="n">
        <f aca="false">'1-1 점수 기준'!$B$6*MAX(0,MIN(1,('1-1 점수 기준'!$B$9-P14)/5))</f>
        <v>0</v>
      </c>
      <c r="W14" s="32" t="n">
        <f aca="false">'1-1 점수 기준'!$B$7*INDEX('1-1 점수 기준'!$B$13:$B$16,MATCH("MVP 규모 "&amp;Q14&amp;" 점수",'1-1 점수 기준'!$A$13:$A$16,0))/10</f>
        <v>7</v>
      </c>
      <c r="X14" s="33" t="n">
        <f aca="false">SUM(R14:W14)</f>
        <v>46.2203260035731</v>
      </c>
      <c r="Y14" s="29" t="str">
        <f aca="false">IF(X14&gt;='1-1 점수 기준'!$B$10,"A+ 전설",IF(X14&gt;='1-1 점수 기준'!$B$11,"A 강자",IF(X14&gt;='1-1 점수 기준'!$B$12,"B 유망","C 도전자")))</f>
        <v>C 도전자</v>
      </c>
      <c r="Z14" s="29" t="n">
        <f aca="false">RANK(X14,$X$3:$X$14)</f>
        <v>11</v>
      </c>
    </row>
    <row r="16" customFormat="false" ht="17.15" hidden="false" customHeight="false" outlineLevel="0" collapsed="false">
      <c r="A16" s="24" t="s">
        <v>189</v>
      </c>
    </row>
    <row r="17" customFormat="false" ht="17.15" hidden="false" customHeight="false" outlineLevel="0" collapsed="false">
      <c r="A17" s="24" t="s">
        <v>190</v>
      </c>
    </row>
    <row r="18" customFormat="false" ht="17.15" hidden="false" customHeight="false" outlineLevel="0" collapsed="false">
      <c r="A18" s="24" t="s">
        <v>191</v>
      </c>
    </row>
  </sheetData>
  <mergeCells count="4">
    <mergeCell ref="D1:I1"/>
    <mergeCell ref="J1:M1"/>
    <mergeCell ref="N1:Q1"/>
    <mergeCell ref="R1:Z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8"/>
    <col collapsed="false" customWidth="true" hidden="false" outlineLevel="0" max="11" min="11" style="0" width="60"/>
    <col collapsed="false" customWidth="true" hidden="false" outlineLevel="0" max="16" min="12" style="0" width="6"/>
  </cols>
  <sheetData>
    <row r="1" customFormat="false" ht="48.5" hidden="false" customHeight="false" outlineLevel="0" collapsed="false">
      <c r="A1" s="20" t="s">
        <v>128</v>
      </c>
      <c r="B1" s="20" t="s">
        <v>4</v>
      </c>
      <c r="C1" s="20" t="s">
        <v>192</v>
      </c>
      <c r="D1" s="20" t="s">
        <v>193</v>
      </c>
      <c r="E1" s="20" t="s">
        <v>194</v>
      </c>
      <c r="F1" s="20" t="s">
        <v>195</v>
      </c>
      <c r="G1" s="20" t="s">
        <v>196</v>
      </c>
      <c r="H1" s="20" t="s">
        <v>197</v>
      </c>
      <c r="I1" s="20" t="s">
        <v>198</v>
      </c>
      <c r="J1" s="20" t="s">
        <v>199</v>
      </c>
      <c r="K1" s="20" t="s">
        <v>200</v>
      </c>
      <c r="L1" s="20" t="s">
        <v>201</v>
      </c>
      <c r="M1" s="20" t="s">
        <v>202</v>
      </c>
      <c r="N1" s="20" t="s">
        <v>203</v>
      </c>
      <c r="O1" s="20" t="s">
        <v>204</v>
      </c>
      <c r="P1" s="20" t="s">
        <v>205</v>
      </c>
    </row>
    <row r="2" customFormat="false" ht="32.8" hidden="false" customHeight="false" outlineLevel="0" collapsed="false">
      <c r="A2" s="35" t="s">
        <v>150</v>
      </c>
      <c r="B2" s="19" t="s">
        <v>206</v>
      </c>
      <c r="C2" s="19" t="s">
        <v>207</v>
      </c>
      <c r="D2" s="36" t="str">
        <f aca="false">REPT("★",L2)&amp;REPT("☆",5-L2)</f>
        <v>★★★★☆</v>
      </c>
      <c r="E2" s="36" t="str">
        <f aca="false">REPT("★",M2)&amp;REPT("☆",5-M2)</f>
        <v>★★★★☆</v>
      </c>
      <c r="F2" s="36" t="str">
        <f aca="false">REPT("★",N2)&amp;REPT("☆",5-N2)</f>
        <v>★★★★☆</v>
      </c>
      <c r="G2" s="36" t="str">
        <f aca="false">REPT("★",O2)&amp;REPT("☆",5-O2)</f>
        <v>★☆☆☆☆</v>
      </c>
      <c r="H2" s="36" t="str">
        <f aca="false">REPT("★",P2)&amp;REPT("☆",5-P2)</f>
        <v>★★☆☆☆</v>
      </c>
      <c r="I2" s="29" t="str">
        <f aca="false">INDEX('1-2 성공 점수표'!$Y$3:$Y$14,MATCH(A2,'1-2 성공 점수표'!$A$3:$A$14,0))</f>
        <v>C 도전자</v>
      </c>
      <c r="J2" s="32" t="n">
        <f aca="false">INDEX('1-2 성공 점수표'!$X$3:$X$14,MATCH(A2,'1-2 성공 점수표'!$A$3:$A$14,0))</f>
        <v>54.7249890219189</v>
      </c>
      <c r="K2" s="19" t="s">
        <v>208</v>
      </c>
      <c r="L2" s="37" t="n">
        <v>4</v>
      </c>
      <c r="M2" s="37" t="n">
        <v>4</v>
      </c>
      <c r="N2" s="37" t="n">
        <v>4</v>
      </c>
      <c r="O2" s="37" t="n">
        <v>1</v>
      </c>
      <c r="P2" s="37" t="n">
        <v>2</v>
      </c>
    </row>
    <row r="3" customFormat="false" ht="32.8" hidden="false" customHeight="false" outlineLevel="0" collapsed="false">
      <c r="A3" s="35" t="s">
        <v>154</v>
      </c>
      <c r="B3" s="19" t="s">
        <v>209</v>
      </c>
      <c r="C3" s="19" t="s">
        <v>210</v>
      </c>
      <c r="D3" s="36" t="str">
        <f aca="false">REPT("★",L3)&amp;REPT("☆",5-L3)</f>
        <v>★★★★☆</v>
      </c>
      <c r="E3" s="36" t="str">
        <f aca="false">REPT("★",M3)&amp;REPT("☆",5-M3)</f>
        <v>★★★★★</v>
      </c>
      <c r="F3" s="36" t="str">
        <f aca="false">REPT("★",N3)&amp;REPT("☆",5-N3)</f>
        <v>★★★☆☆</v>
      </c>
      <c r="G3" s="36" t="str">
        <f aca="false">REPT("★",O3)&amp;REPT("☆",5-O3)</f>
        <v>★☆☆☆☆</v>
      </c>
      <c r="H3" s="36" t="str">
        <f aca="false">REPT("★",P3)&amp;REPT("☆",5-P3)</f>
        <v>★★☆☆☆</v>
      </c>
      <c r="I3" s="29" t="str">
        <f aca="false">INDEX('1-2 성공 점수표'!$Y$3:$Y$14,MATCH(A3,'1-2 성공 점수표'!$A$3:$A$14,0))</f>
        <v>C 도전자</v>
      </c>
      <c r="J3" s="32" t="n">
        <f aca="false">INDEX('1-2 성공 점수표'!$X$3:$X$14,MATCH(A3,'1-2 성공 점수표'!$A$3:$A$14,0))</f>
        <v>50.9119926702398</v>
      </c>
      <c r="K3" s="19" t="s">
        <v>211</v>
      </c>
      <c r="L3" s="37" t="n">
        <v>4</v>
      </c>
      <c r="M3" s="37" t="n">
        <v>5</v>
      </c>
      <c r="N3" s="37" t="n">
        <v>3</v>
      </c>
      <c r="O3" s="37" t="n">
        <v>1</v>
      </c>
      <c r="P3" s="37" t="n">
        <v>2</v>
      </c>
    </row>
    <row r="4" customFormat="false" ht="32.8" hidden="false" customHeight="false" outlineLevel="0" collapsed="false">
      <c r="A4" s="35" t="s">
        <v>157</v>
      </c>
      <c r="B4" s="22" t="s">
        <v>212</v>
      </c>
      <c r="C4" s="19" t="s">
        <v>213</v>
      </c>
      <c r="D4" s="36" t="str">
        <f aca="false">REPT("★",L4)&amp;REPT("☆",5-L4)</f>
        <v>★★★★★</v>
      </c>
      <c r="E4" s="36" t="str">
        <f aca="false">REPT("★",M4)&amp;REPT("☆",5-M4)</f>
        <v>★★★★★</v>
      </c>
      <c r="F4" s="36" t="str">
        <f aca="false">REPT("★",N4)&amp;REPT("☆",5-N4)</f>
        <v>★★★★☆</v>
      </c>
      <c r="G4" s="36" t="str">
        <f aca="false">REPT("★",O4)&amp;REPT("☆",5-O4)</f>
        <v>★☆☆☆☆</v>
      </c>
      <c r="H4" s="36" t="str">
        <f aca="false">REPT("★",P4)&amp;REPT("☆",5-P4)</f>
        <v>★★★☆☆</v>
      </c>
      <c r="I4" s="29" t="str">
        <f aca="false">INDEX('1-2 성공 점수표'!$Y$3:$Y$14,MATCH(A4,'1-2 성공 점수표'!$A$3:$A$14,0))</f>
        <v>A 강자</v>
      </c>
      <c r="J4" s="32" t="n">
        <f aca="false">INDEX('1-2 성공 점수표'!$X$3:$X$14,MATCH(A4,'1-2 성공 점수표'!$A$3:$A$14,0))</f>
        <v>70.1666666666667</v>
      </c>
      <c r="K4" s="19" t="s">
        <v>214</v>
      </c>
      <c r="L4" s="37" t="n">
        <v>5</v>
      </c>
      <c r="M4" s="37" t="n">
        <v>5</v>
      </c>
      <c r="N4" s="37" t="n">
        <v>4</v>
      </c>
      <c r="O4" s="37" t="n">
        <v>1</v>
      </c>
      <c r="P4" s="37" t="n">
        <v>3</v>
      </c>
    </row>
    <row r="5" customFormat="false" ht="32.8" hidden="false" customHeight="false" outlineLevel="0" collapsed="false">
      <c r="A5" s="35" t="s">
        <v>160</v>
      </c>
      <c r="B5" s="19" t="s">
        <v>215</v>
      </c>
      <c r="C5" s="19" t="s">
        <v>216</v>
      </c>
      <c r="D5" s="36" t="str">
        <f aca="false">REPT("★",L5)&amp;REPT("☆",5-L5)</f>
        <v>★★★★☆</v>
      </c>
      <c r="E5" s="36" t="str">
        <f aca="false">REPT("★",M5)&amp;REPT("☆",5-M5)</f>
        <v>★★★★★</v>
      </c>
      <c r="F5" s="36" t="str">
        <f aca="false">REPT("★",N5)&amp;REPT("☆",5-N5)</f>
        <v>★★★☆☆</v>
      </c>
      <c r="G5" s="36" t="str">
        <f aca="false">REPT("★",O5)&amp;REPT("☆",5-O5)</f>
        <v>★☆☆☆☆</v>
      </c>
      <c r="H5" s="36" t="str">
        <f aca="false">REPT("★",P5)&amp;REPT("☆",5-P5)</f>
        <v>★★★☆☆</v>
      </c>
      <c r="I5" s="29" t="str">
        <f aca="false">INDEX('1-2 성공 점수표'!$Y$3:$Y$14,MATCH(A5,'1-2 성공 점수표'!$A$3:$A$14,0))</f>
        <v>B 유망</v>
      </c>
      <c r="J5" s="32" t="n">
        <f aca="false">INDEX('1-2 성공 점수표'!$X$3:$X$14,MATCH(A5,'1-2 성공 점수표'!$A$3:$A$14,0))</f>
        <v>63.9327249674799</v>
      </c>
      <c r="K5" s="19" t="s">
        <v>217</v>
      </c>
      <c r="L5" s="37" t="n">
        <v>4</v>
      </c>
      <c r="M5" s="37" t="n">
        <v>5</v>
      </c>
      <c r="N5" s="37" t="n">
        <v>3</v>
      </c>
      <c r="O5" s="37" t="n">
        <v>1</v>
      </c>
      <c r="P5" s="37" t="n">
        <v>3</v>
      </c>
    </row>
    <row r="6" customFormat="false" ht="17.15" hidden="false" customHeight="false" outlineLevel="0" collapsed="false">
      <c r="A6" s="35" t="s">
        <v>162</v>
      </c>
      <c r="B6" s="19" t="s">
        <v>218</v>
      </c>
      <c r="C6" s="19" t="s">
        <v>219</v>
      </c>
      <c r="D6" s="36" t="str">
        <f aca="false">REPT("★",L6)&amp;REPT("☆",5-L6)</f>
        <v>★★★★☆</v>
      </c>
      <c r="E6" s="36" t="str">
        <f aca="false">REPT("★",M6)&amp;REPT("☆",5-M6)</f>
        <v>★★★★★</v>
      </c>
      <c r="F6" s="36" t="str">
        <f aca="false">REPT("★",N6)&amp;REPT("☆",5-N6)</f>
        <v>★★★☆☆</v>
      </c>
      <c r="G6" s="36" t="str">
        <f aca="false">REPT("★",O6)&amp;REPT("☆",5-O6)</f>
        <v>★☆☆☆☆</v>
      </c>
      <c r="H6" s="36" t="str">
        <f aca="false">REPT("★",P6)&amp;REPT("☆",5-P6)</f>
        <v>★★☆☆☆</v>
      </c>
      <c r="I6" s="29" t="str">
        <f aca="false">INDEX('1-2 성공 점수표'!$Y$3:$Y$14,MATCH(A6,'1-2 성공 점수표'!$A$3:$A$14,0))</f>
        <v>C 도전자</v>
      </c>
      <c r="J6" s="32" t="n">
        <f aca="false">INDEX('1-2 성공 점수표'!$X$3:$X$14,MATCH(A6,'1-2 성공 점수표'!$A$3:$A$14,0))</f>
        <v>51.4885559026767</v>
      </c>
      <c r="K6" s="19" t="s">
        <v>220</v>
      </c>
      <c r="L6" s="37" t="n">
        <v>4</v>
      </c>
      <c r="M6" s="37" t="n">
        <v>5</v>
      </c>
      <c r="N6" s="37" t="n">
        <v>3</v>
      </c>
      <c r="O6" s="37" t="n">
        <v>1</v>
      </c>
      <c r="P6" s="37" t="n">
        <v>2</v>
      </c>
    </row>
    <row r="7" customFormat="false" ht="32.8" hidden="false" customHeight="false" outlineLevel="0" collapsed="false">
      <c r="A7" s="35" t="s">
        <v>165</v>
      </c>
      <c r="B7" s="19" t="s">
        <v>221</v>
      </c>
      <c r="C7" s="19" t="s">
        <v>222</v>
      </c>
      <c r="D7" s="36" t="str">
        <f aca="false">REPT("★",L7)&amp;REPT("☆",5-L7)</f>
        <v>★★★★★</v>
      </c>
      <c r="E7" s="36" t="str">
        <f aca="false">REPT("★",M7)&amp;REPT("☆",5-M7)</f>
        <v>★★★★☆</v>
      </c>
      <c r="F7" s="36" t="str">
        <f aca="false">REPT("★",N7)&amp;REPT("☆",5-N7)</f>
        <v>★★★★★</v>
      </c>
      <c r="G7" s="36" t="str">
        <f aca="false">REPT("★",O7)&amp;REPT("☆",5-O7)</f>
        <v>★★★☆☆</v>
      </c>
      <c r="H7" s="36" t="str">
        <f aca="false">REPT("★",P7)&amp;REPT("☆",5-P7)</f>
        <v>★★★★★</v>
      </c>
      <c r="I7" s="29" t="str">
        <f aca="false">INDEX('1-2 성공 점수표'!$Y$3:$Y$14,MATCH(A7,'1-2 성공 점수표'!$A$3:$A$14,0))</f>
        <v>A+ 전설</v>
      </c>
      <c r="J7" s="32" t="n">
        <f aca="false">INDEX('1-2 성공 점수표'!$X$3:$X$14,MATCH(A7,'1-2 성공 점수표'!$A$3:$A$14,0))</f>
        <v>82.5807564652512</v>
      </c>
      <c r="K7" s="19" t="s">
        <v>223</v>
      </c>
      <c r="L7" s="37" t="n">
        <v>5</v>
      </c>
      <c r="M7" s="37" t="n">
        <v>4</v>
      </c>
      <c r="N7" s="37" t="n">
        <v>5</v>
      </c>
      <c r="O7" s="37" t="n">
        <v>3</v>
      </c>
      <c r="P7" s="37" t="n">
        <v>5</v>
      </c>
    </row>
    <row r="8" customFormat="false" ht="32.8" hidden="false" customHeight="false" outlineLevel="0" collapsed="false">
      <c r="A8" s="35" t="s">
        <v>169</v>
      </c>
      <c r="B8" s="19" t="s">
        <v>224</v>
      </c>
      <c r="C8" s="19" t="s">
        <v>225</v>
      </c>
      <c r="D8" s="36" t="str">
        <f aca="false">REPT("★",L8)&amp;REPT("☆",5-L8)</f>
        <v>★★★★★</v>
      </c>
      <c r="E8" s="36" t="str">
        <f aca="false">REPT("★",M8)&amp;REPT("☆",5-M8)</f>
        <v>★★★★☆</v>
      </c>
      <c r="F8" s="36" t="str">
        <f aca="false">REPT("★",N8)&amp;REPT("☆",5-N8)</f>
        <v>★★★★★</v>
      </c>
      <c r="G8" s="36" t="str">
        <f aca="false">REPT("★",O8)&amp;REPT("☆",5-O8)</f>
        <v>★★☆☆☆</v>
      </c>
      <c r="H8" s="36" t="str">
        <f aca="false">REPT("★",P8)&amp;REPT("☆",5-P8)</f>
        <v>★★★★★</v>
      </c>
      <c r="I8" s="29" t="str">
        <f aca="false">INDEX('1-2 성공 점수표'!$Y$3:$Y$14,MATCH(A8,'1-2 성공 점수표'!$A$3:$A$14,0))</f>
        <v>A 강자</v>
      </c>
      <c r="J8" s="32" t="n">
        <f aca="false">INDEX('1-2 성공 점수표'!$X$3:$X$14,MATCH(A8,'1-2 성공 점수표'!$A$3:$A$14,0))</f>
        <v>75.8047385545374</v>
      </c>
      <c r="K8" s="22" t="s">
        <v>226</v>
      </c>
      <c r="L8" s="37" t="n">
        <v>5</v>
      </c>
      <c r="M8" s="37" t="n">
        <v>4</v>
      </c>
      <c r="N8" s="37" t="n">
        <v>5</v>
      </c>
      <c r="O8" s="37" t="n">
        <v>2</v>
      </c>
      <c r="P8" s="37" t="n">
        <v>5</v>
      </c>
    </row>
    <row r="9" customFormat="false" ht="32.8" hidden="false" customHeight="false" outlineLevel="0" collapsed="false">
      <c r="A9" s="35" t="s">
        <v>173</v>
      </c>
      <c r="B9" s="19" t="s">
        <v>227</v>
      </c>
      <c r="C9" s="19" t="s">
        <v>228</v>
      </c>
      <c r="D9" s="36" t="str">
        <f aca="false">REPT("★",L9)&amp;REPT("☆",5-L9)</f>
        <v>★★★★★</v>
      </c>
      <c r="E9" s="36" t="str">
        <f aca="false">REPT("★",M9)&amp;REPT("☆",5-M9)</f>
        <v>★★★★★</v>
      </c>
      <c r="F9" s="36" t="str">
        <f aca="false">REPT("★",N9)&amp;REPT("☆",5-N9)</f>
        <v>★★★★★</v>
      </c>
      <c r="G9" s="36" t="str">
        <f aca="false">REPT("★",O9)&amp;REPT("☆",5-O9)</f>
        <v>★★★★★</v>
      </c>
      <c r="H9" s="36" t="str">
        <f aca="false">REPT("★",P9)&amp;REPT("☆",5-P9)</f>
        <v>★★★★★</v>
      </c>
      <c r="I9" s="29" t="str">
        <f aca="false">INDEX('1-2 성공 점수표'!$Y$3:$Y$14,MATCH(A9,'1-2 성공 점수표'!$A$3:$A$14,0))</f>
        <v>B 유망</v>
      </c>
      <c r="J9" s="32" t="n">
        <f aca="false">INDEX('1-2 성공 점수표'!$X$3:$X$14,MATCH(A9,'1-2 성공 점수표'!$A$3:$A$14,0))</f>
        <v>65.460620904484</v>
      </c>
      <c r="K9" s="19" t="s">
        <v>229</v>
      </c>
      <c r="L9" s="37" t="n">
        <v>5</v>
      </c>
      <c r="M9" s="37" t="n">
        <v>5</v>
      </c>
      <c r="N9" s="37" t="n">
        <v>5</v>
      </c>
      <c r="O9" s="37" t="n">
        <v>5</v>
      </c>
      <c r="P9" s="37" t="n">
        <v>5</v>
      </c>
    </row>
    <row r="10" customFormat="false" ht="32.8" hidden="false" customHeight="false" outlineLevel="0" collapsed="false">
      <c r="A10" s="35" t="s">
        <v>176</v>
      </c>
      <c r="B10" s="19" t="s">
        <v>230</v>
      </c>
      <c r="C10" s="19" t="s">
        <v>231</v>
      </c>
      <c r="D10" s="36" t="str">
        <f aca="false">REPT("★",L10)&amp;REPT("☆",5-L10)</f>
        <v>★★★★☆</v>
      </c>
      <c r="E10" s="36" t="str">
        <f aca="false">REPT("★",M10)&amp;REPT("☆",5-M10)</f>
        <v>★★★☆☆</v>
      </c>
      <c r="F10" s="36" t="str">
        <f aca="false">REPT("★",N10)&amp;REPT("☆",5-N10)</f>
        <v>★★★★★</v>
      </c>
      <c r="G10" s="36" t="str">
        <f aca="false">REPT("★",O10)&amp;REPT("☆",5-O10)</f>
        <v>★★★★★</v>
      </c>
      <c r="H10" s="36" t="str">
        <f aca="false">REPT("★",P10)&amp;REPT("☆",5-P10)</f>
        <v>★★★★★</v>
      </c>
      <c r="I10" s="29" t="str">
        <f aca="false">INDEX('1-2 성공 점수표'!$Y$3:$Y$14,MATCH(A10,'1-2 성공 점수표'!$A$3:$A$14,0))</f>
        <v>B 유망</v>
      </c>
      <c r="J10" s="32" t="n">
        <f aca="false">INDEX('1-2 성공 점수표'!$X$3:$X$14,MATCH(A10,'1-2 성공 점수표'!$A$3:$A$14,0))</f>
        <v>61.0833333333333</v>
      </c>
      <c r="K10" s="19" t="s">
        <v>232</v>
      </c>
      <c r="L10" s="37" t="n">
        <v>4</v>
      </c>
      <c r="M10" s="37" t="n">
        <v>3</v>
      </c>
      <c r="N10" s="37" t="n">
        <v>5</v>
      </c>
      <c r="O10" s="37" t="n">
        <v>5</v>
      </c>
      <c r="P10" s="37" t="n">
        <v>5</v>
      </c>
    </row>
    <row r="11" customFormat="false" ht="32.8" hidden="false" customHeight="false" outlineLevel="0" collapsed="false">
      <c r="A11" s="35" t="s">
        <v>180</v>
      </c>
      <c r="B11" s="19" t="s">
        <v>233</v>
      </c>
      <c r="C11" s="22" t="s">
        <v>234</v>
      </c>
      <c r="D11" s="36" t="str">
        <f aca="false">REPT("★",L11)&amp;REPT("☆",5-L11)</f>
        <v>★★★★★</v>
      </c>
      <c r="E11" s="36" t="str">
        <f aca="false">REPT("★",M11)&amp;REPT("☆",5-M11)</f>
        <v>★★★★☆</v>
      </c>
      <c r="F11" s="36" t="str">
        <f aca="false">REPT("★",N11)&amp;REPT("☆",5-N11)</f>
        <v>★★★★★</v>
      </c>
      <c r="G11" s="36" t="str">
        <f aca="false">REPT("★",O11)&amp;REPT("☆",5-O11)</f>
        <v>★★★★★</v>
      </c>
      <c r="H11" s="36" t="str">
        <f aca="false">REPT("★",P11)&amp;REPT("☆",5-P11)</f>
        <v>★★★★☆</v>
      </c>
      <c r="I11" s="29" t="str">
        <f aca="false">INDEX('1-2 성공 점수표'!$Y$3:$Y$14,MATCH(A11,'1-2 성공 점수표'!$A$3:$A$14,0))</f>
        <v>A 강자</v>
      </c>
      <c r="J11" s="32" t="n">
        <f aca="false">INDEX('1-2 성공 점수표'!$X$3:$X$14,MATCH(A11,'1-2 성공 점수표'!$A$3:$A$14,0))</f>
        <v>71.675</v>
      </c>
      <c r="K11" s="19" t="s">
        <v>235</v>
      </c>
      <c r="L11" s="37" t="n">
        <v>5</v>
      </c>
      <c r="M11" s="37" t="n">
        <v>4</v>
      </c>
      <c r="N11" s="37" t="n">
        <v>5</v>
      </c>
      <c r="O11" s="37" t="n">
        <v>5</v>
      </c>
      <c r="P11" s="37" t="n">
        <v>4</v>
      </c>
    </row>
    <row r="12" customFormat="false" ht="32.8" hidden="false" customHeight="false" outlineLevel="0" collapsed="false">
      <c r="A12" s="38" t="s">
        <v>183</v>
      </c>
      <c r="B12" s="19" t="s">
        <v>236</v>
      </c>
      <c r="C12" s="19" t="s">
        <v>237</v>
      </c>
      <c r="D12" s="36" t="str">
        <f aca="false">REPT("★",L12)&amp;REPT("☆",5-L12)</f>
        <v>★★★☆☆</v>
      </c>
      <c r="E12" s="36" t="str">
        <f aca="false">REPT("★",M12)&amp;REPT("☆",5-M12)</f>
        <v>★★★★★</v>
      </c>
      <c r="F12" s="36" t="str">
        <f aca="false">REPT("★",N12)&amp;REPT("☆",5-N12)</f>
        <v>★★★★☆</v>
      </c>
      <c r="G12" s="36" t="str">
        <f aca="false">REPT("★",O12)&amp;REPT("☆",5-O12)</f>
        <v>★★★☆☆</v>
      </c>
      <c r="H12" s="36" t="str">
        <f aca="false">REPT("★",P12)&amp;REPT("☆",5-P12)</f>
        <v>★★★★☆</v>
      </c>
      <c r="I12" s="29" t="str">
        <f aca="false">INDEX('1-2 성공 점수표'!$Y$3:$Y$14,MATCH(A12,'1-2 성공 점수표'!$A$3:$A$14,0))</f>
        <v>C 도전자</v>
      </c>
      <c r="J12" s="32" t="n">
        <f aca="false">INDEX('1-2 성공 점수표'!$X$3:$X$14,MATCH(A12,'1-2 성공 점수표'!$A$3:$A$14,0))</f>
        <v>35.4385559026767</v>
      </c>
      <c r="K12" s="19" t="s">
        <v>238</v>
      </c>
      <c r="L12" s="37" t="n">
        <v>3</v>
      </c>
      <c r="M12" s="37" t="n">
        <v>5</v>
      </c>
      <c r="N12" s="37" t="n">
        <v>4</v>
      </c>
      <c r="O12" s="37" t="n">
        <v>3</v>
      </c>
      <c r="P12" s="37" t="n">
        <v>4</v>
      </c>
    </row>
    <row r="13" customFormat="false" ht="32.8" hidden="false" customHeight="false" outlineLevel="0" collapsed="false">
      <c r="A13" s="38" t="s">
        <v>186</v>
      </c>
      <c r="B13" s="19" t="s">
        <v>239</v>
      </c>
      <c r="C13" s="19" t="s">
        <v>240</v>
      </c>
      <c r="D13" s="36" t="str">
        <f aca="false">REPT("★",L13)&amp;REPT("☆",5-L13)</f>
        <v>★★★☆☆</v>
      </c>
      <c r="E13" s="36" t="str">
        <f aca="false">REPT("★",M13)&amp;REPT("☆",5-M13)</f>
        <v>★★★★★</v>
      </c>
      <c r="F13" s="36" t="str">
        <f aca="false">REPT("★",N13)&amp;REPT("☆",5-N13)</f>
        <v>★★★★☆</v>
      </c>
      <c r="G13" s="36" t="str">
        <f aca="false">REPT("★",O13)&amp;REPT("☆",5-O13)</f>
        <v>★★☆☆☆</v>
      </c>
      <c r="H13" s="36" t="str">
        <f aca="false">REPT("★",P13)&amp;REPT("☆",5-P13)</f>
        <v>★★★★★</v>
      </c>
      <c r="I13" s="29" t="str">
        <f aca="false">INDEX('1-2 성공 점수표'!$Y$3:$Y$14,MATCH(A13,'1-2 성공 점수표'!$A$3:$A$14,0))</f>
        <v>C 도전자</v>
      </c>
      <c r="J13" s="32" t="n">
        <f aca="false">INDEX('1-2 성공 점수표'!$X$3:$X$14,MATCH(A13,'1-2 성공 점수표'!$A$3:$A$14,0))</f>
        <v>46.2203260035731</v>
      </c>
      <c r="K13" s="19" t="s">
        <v>241</v>
      </c>
      <c r="L13" s="37" t="n">
        <v>3</v>
      </c>
      <c r="M13" s="37" t="n">
        <v>5</v>
      </c>
      <c r="N13" s="37" t="n">
        <v>4</v>
      </c>
      <c r="O13" s="37" t="n">
        <v>2</v>
      </c>
      <c r="P13" s="37" t="n">
        <v>5</v>
      </c>
    </row>
    <row r="15" customFormat="false" ht="17.15" hidden="false" customHeight="false" outlineLevel="0" collapsed="false">
      <c r="A15" s="24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4" min="3" style="0" width="30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20" t="s">
        <v>128</v>
      </c>
      <c r="B1" s="20" t="s">
        <v>243</v>
      </c>
      <c r="C1" s="20" t="s">
        <v>244</v>
      </c>
      <c r="D1" s="20" t="s">
        <v>245</v>
      </c>
      <c r="E1" s="20" t="s">
        <v>246</v>
      </c>
      <c r="F1" s="20" t="s">
        <v>247</v>
      </c>
      <c r="G1" s="20" t="s">
        <v>248</v>
      </c>
      <c r="H1" s="20" t="s">
        <v>249</v>
      </c>
    </row>
    <row r="2" customFormat="false" ht="48.5" hidden="false" customHeight="false" outlineLevel="0" collapsed="false">
      <c r="A2" s="35" t="s">
        <v>150</v>
      </c>
      <c r="B2" s="19" t="s">
        <v>250</v>
      </c>
      <c r="C2" s="19" t="s">
        <v>251</v>
      </c>
      <c r="D2" s="19" t="s">
        <v>252</v>
      </c>
      <c r="E2" s="19" t="s">
        <v>253</v>
      </c>
      <c r="F2" s="22" t="s">
        <v>254</v>
      </c>
      <c r="G2" s="19" t="s">
        <v>255</v>
      </c>
      <c r="H2" s="39" t="s">
        <v>256</v>
      </c>
    </row>
    <row r="3" customFormat="false" ht="48.5" hidden="false" customHeight="false" outlineLevel="0" collapsed="false">
      <c r="A3" s="35" t="s">
        <v>154</v>
      </c>
      <c r="B3" s="19" t="s">
        <v>257</v>
      </c>
      <c r="C3" s="19" t="s">
        <v>258</v>
      </c>
      <c r="D3" s="19" t="s">
        <v>259</v>
      </c>
      <c r="E3" s="19" t="s">
        <v>260</v>
      </c>
      <c r="F3" s="19" t="s">
        <v>261</v>
      </c>
      <c r="G3" s="19" t="s">
        <v>262</v>
      </c>
      <c r="H3" s="39" t="s">
        <v>263</v>
      </c>
    </row>
    <row r="4" customFormat="false" ht="32.8" hidden="false" customHeight="false" outlineLevel="0" collapsed="false">
      <c r="A4" s="35" t="s">
        <v>157</v>
      </c>
      <c r="B4" s="19" t="s">
        <v>264</v>
      </c>
      <c r="C4" s="19" t="s">
        <v>265</v>
      </c>
      <c r="D4" s="19" t="s">
        <v>266</v>
      </c>
      <c r="E4" s="19" t="s">
        <v>267</v>
      </c>
      <c r="F4" s="19" t="s">
        <v>268</v>
      </c>
      <c r="G4" s="19" t="s">
        <v>269</v>
      </c>
      <c r="H4" s="19" t="s">
        <v>270</v>
      </c>
    </row>
    <row r="5" customFormat="false" ht="32.8" hidden="false" customHeight="false" outlineLevel="0" collapsed="false">
      <c r="A5" s="35" t="s">
        <v>160</v>
      </c>
      <c r="B5" s="19" t="s">
        <v>271</v>
      </c>
      <c r="C5" s="19" t="s">
        <v>272</v>
      </c>
      <c r="D5" s="19" t="s">
        <v>273</v>
      </c>
      <c r="E5" s="19" t="s">
        <v>274</v>
      </c>
      <c r="F5" s="19" t="s">
        <v>275</v>
      </c>
      <c r="G5" s="19" t="s">
        <v>276</v>
      </c>
      <c r="H5" s="19" t="s">
        <v>277</v>
      </c>
    </row>
    <row r="6" customFormat="false" ht="32.8" hidden="false" customHeight="false" outlineLevel="0" collapsed="false">
      <c r="A6" s="35" t="s">
        <v>162</v>
      </c>
      <c r="B6" s="19" t="s">
        <v>278</v>
      </c>
      <c r="C6" s="19" t="s">
        <v>279</v>
      </c>
      <c r="D6" s="19" t="s">
        <v>259</v>
      </c>
      <c r="E6" s="19" t="s">
        <v>260</v>
      </c>
      <c r="F6" s="19" t="s">
        <v>280</v>
      </c>
      <c r="G6" s="19" t="s">
        <v>281</v>
      </c>
      <c r="H6" s="39" t="s">
        <v>256</v>
      </c>
    </row>
    <row r="7" customFormat="false" ht="32.8" hidden="false" customHeight="false" outlineLevel="0" collapsed="false">
      <c r="A7" s="35" t="s">
        <v>165</v>
      </c>
      <c r="B7" s="22" t="s">
        <v>282</v>
      </c>
      <c r="C7" s="19" t="s">
        <v>283</v>
      </c>
      <c r="D7" s="19" t="s">
        <v>284</v>
      </c>
      <c r="E7" s="19" t="s">
        <v>285</v>
      </c>
      <c r="F7" s="19" t="s">
        <v>286</v>
      </c>
      <c r="G7" s="19" t="s">
        <v>287</v>
      </c>
      <c r="H7" s="19" t="s">
        <v>288</v>
      </c>
    </row>
    <row r="8" customFormat="false" ht="32.8" hidden="false" customHeight="false" outlineLevel="0" collapsed="false">
      <c r="A8" s="35" t="s">
        <v>169</v>
      </c>
      <c r="B8" s="19" t="s">
        <v>289</v>
      </c>
      <c r="C8" s="19" t="s">
        <v>290</v>
      </c>
      <c r="D8" s="19" t="s">
        <v>291</v>
      </c>
      <c r="E8" s="19" t="s">
        <v>292</v>
      </c>
      <c r="F8" s="19" t="s">
        <v>293</v>
      </c>
      <c r="G8" s="19" t="s">
        <v>294</v>
      </c>
      <c r="H8" s="39" t="s">
        <v>295</v>
      </c>
    </row>
    <row r="9" customFormat="false" ht="32.8" hidden="false" customHeight="false" outlineLevel="0" collapsed="false">
      <c r="A9" s="35" t="s">
        <v>173</v>
      </c>
      <c r="B9" s="19" t="s">
        <v>296</v>
      </c>
      <c r="C9" s="19" t="s">
        <v>297</v>
      </c>
      <c r="D9" s="19" t="s">
        <v>298</v>
      </c>
      <c r="E9" s="19" t="s">
        <v>299</v>
      </c>
      <c r="F9" s="19" t="s">
        <v>300</v>
      </c>
      <c r="G9" s="19" t="s">
        <v>301</v>
      </c>
      <c r="H9" s="19" t="s">
        <v>288</v>
      </c>
    </row>
    <row r="10" customFormat="false" ht="32.8" hidden="false" customHeight="false" outlineLevel="0" collapsed="false">
      <c r="A10" s="35" t="s">
        <v>176</v>
      </c>
      <c r="B10" s="19" t="s">
        <v>302</v>
      </c>
      <c r="C10" s="19" t="s">
        <v>303</v>
      </c>
      <c r="D10" s="19" t="s">
        <v>304</v>
      </c>
      <c r="E10" s="19" t="s">
        <v>305</v>
      </c>
      <c r="F10" s="19" t="s">
        <v>306</v>
      </c>
      <c r="G10" s="19" t="s">
        <v>307</v>
      </c>
      <c r="H10" s="19" t="s">
        <v>308</v>
      </c>
    </row>
    <row r="11" customFormat="false" ht="32.8" hidden="false" customHeight="false" outlineLevel="0" collapsed="false">
      <c r="A11" s="35" t="s">
        <v>180</v>
      </c>
      <c r="B11" s="19" t="s">
        <v>309</v>
      </c>
      <c r="C11" s="19" t="s">
        <v>310</v>
      </c>
      <c r="D11" s="19" t="s">
        <v>311</v>
      </c>
      <c r="E11" s="19" t="s">
        <v>312</v>
      </c>
      <c r="F11" s="19" t="s">
        <v>313</v>
      </c>
      <c r="G11" s="19" t="s">
        <v>314</v>
      </c>
      <c r="H11" s="19" t="s">
        <v>315</v>
      </c>
    </row>
    <row r="12" customFormat="false" ht="32.8" hidden="false" customHeight="false" outlineLevel="0" collapsed="false">
      <c r="A12" s="38" t="s">
        <v>183</v>
      </c>
      <c r="B12" s="19" t="s">
        <v>316</v>
      </c>
      <c r="C12" s="19" t="s">
        <v>317</v>
      </c>
      <c r="D12" s="19" t="s">
        <v>318</v>
      </c>
      <c r="E12" s="19" t="s">
        <v>319</v>
      </c>
      <c r="F12" s="19" t="s">
        <v>320</v>
      </c>
      <c r="G12" s="19" t="s">
        <v>321</v>
      </c>
      <c r="H12" s="39" t="s">
        <v>322</v>
      </c>
    </row>
    <row r="13" customFormat="false" ht="64.15" hidden="false" customHeight="false" outlineLevel="0" collapsed="false">
      <c r="A13" s="38" t="s">
        <v>186</v>
      </c>
      <c r="B13" s="19" t="s">
        <v>323</v>
      </c>
      <c r="C13" s="19" t="s">
        <v>324</v>
      </c>
      <c r="D13" s="19" t="s">
        <v>325</v>
      </c>
      <c r="E13" s="19" t="s">
        <v>326</v>
      </c>
      <c r="F13" s="19" t="s">
        <v>327</v>
      </c>
      <c r="G13" s="19" t="s">
        <v>328</v>
      </c>
      <c r="H13" s="39" t="s">
        <v>329</v>
      </c>
    </row>
    <row r="15" customFormat="false" ht="17.15" hidden="false" customHeight="false" outlineLevel="0" collapsed="false">
      <c r="A15" s="40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36"/>
    <col collapsed="false" customWidth="true" hidden="false" outlineLevel="0" max="8" min="6" style="0" width="30"/>
    <col collapsed="false" customWidth="true" hidden="false" outlineLevel="0" max="10" min="9" style="0" width="24"/>
  </cols>
  <sheetData>
    <row r="1" customFormat="false" ht="32.8" hidden="false" customHeight="false" outlineLevel="0" collapsed="false">
      <c r="A1" s="20" t="s">
        <v>331</v>
      </c>
      <c r="B1" s="20" t="s">
        <v>128</v>
      </c>
      <c r="C1" s="20" t="s">
        <v>129</v>
      </c>
      <c r="D1" s="20" t="s">
        <v>332</v>
      </c>
      <c r="E1" s="20" t="s">
        <v>243</v>
      </c>
      <c r="F1" s="20" t="s">
        <v>245</v>
      </c>
      <c r="G1" s="20" t="s">
        <v>246</v>
      </c>
      <c r="H1" s="20" t="s">
        <v>247</v>
      </c>
      <c r="I1" s="20" t="s">
        <v>333</v>
      </c>
      <c r="J1" s="20" t="s">
        <v>249</v>
      </c>
    </row>
    <row r="2" customFormat="false" ht="32.8" hidden="false" customHeight="false" outlineLevel="0" collapsed="false">
      <c r="A2" s="22" t="s">
        <v>334</v>
      </c>
      <c r="B2" s="35" t="s">
        <v>335</v>
      </c>
      <c r="C2" s="22" t="s">
        <v>161</v>
      </c>
      <c r="D2" s="19" t="s">
        <v>336</v>
      </c>
      <c r="E2" s="19" t="s">
        <v>337</v>
      </c>
      <c r="F2" s="19" t="s">
        <v>259</v>
      </c>
      <c r="G2" s="19" t="s">
        <v>338</v>
      </c>
      <c r="H2" s="19" t="s">
        <v>339</v>
      </c>
      <c r="I2" s="19" t="s">
        <v>340</v>
      </c>
      <c r="J2" s="39" t="s">
        <v>263</v>
      </c>
    </row>
    <row r="3" customFormat="false" ht="32.8" hidden="false" customHeight="false" outlineLevel="0" collapsed="false">
      <c r="A3" s="22" t="s">
        <v>334</v>
      </c>
      <c r="B3" s="35" t="s">
        <v>341</v>
      </c>
      <c r="C3" s="22" t="s">
        <v>342</v>
      </c>
      <c r="D3" s="19" t="s">
        <v>343</v>
      </c>
      <c r="E3" s="19" t="s">
        <v>344</v>
      </c>
      <c r="F3" s="19" t="s">
        <v>259</v>
      </c>
      <c r="G3" s="19" t="s">
        <v>345</v>
      </c>
      <c r="H3" s="22" t="s">
        <v>346</v>
      </c>
      <c r="I3" s="19" t="s">
        <v>347</v>
      </c>
      <c r="J3" s="39" t="s">
        <v>348</v>
      </c>
    </row>
    <row r="4" customFormat="false" ht="32.8" hidden="false" customHeight="false" outlineLevel="0" collapsed="false">
      <c r="A4" s="22" t="s">
        <v>349</v>
      </c>
      <c r="B4" s="35" t="s">
        <v>350</v>
      </c>
      <c r="C4" s="22" t="s">
        <v>351</v>
      </c>
      <c r="D4" s="19" t="s">
        <v>352</v>
      </c>
      <c r="E4" s="22" t="s">
        <v>353</v>
      </c>
      <c r="F4" s="19" t="s">
        <v>354</v>
      </c>
      <c r="G4" s="19" t="s">
        <v>355</v>
      </c>
      <c r="H4" s="19" t="s">
        <v>356</v>
      </c>
      <c r="I4" s="19" t="s">
        <v>357</v>
      </c>
      <c r="J4" s="19" t="s">
        <v>358</v>
      </c>
    </row>
    <row r="5" customFormat="false" ht="32.8" hidden="false" customHeight="false" outlineLevel="0" collapsed="false">
      <c r="A5" s="22" t="s">
        <v>349</v>
      </c>
      <c r="B5" s="35" t="s">
        <v>359</v>
      </c>
      <c r="C5" s="22" t="s">
        <v>166</v>
      </c>
      <c r="D5" s="19" t="s">
        <v>360</v>
      </c>
      <c r="E5" s="22" t="s">
        <v>361</v>
      </c>
      <c r="F5" s="19" t="s">
        <v>362</v>
      </c>
      <c r="G5" s="19" t="s">
        <v>363</v>
      </c>
      <c r="H5" s="22" t="s">
        <v>364</v>
      </c>
      <c r="I5" s="22" t="s">
        <v>365</v>
      </c>
      <c r="J5" s="39" t="s">
        <v>366</v>
      </c>
    </row>
    <row r="6" customFormat="false" ht="32.8" hidden="false" customHeight="false" outlineLevel="0" collapsed="false">
      <c r="A6" s="22" t="s">
        <v>367</v>
      </c>
      <c r="B6" s="35" t="s">
        <v>368</v>
      </c>
      <c r="C6" s="22" t="s">
        <v>369</v>
      </c>
      <c r="D6" s="19" t="s">
        <v>370</v>
      </c>
      <c r="E6" s="19" t="s">
        <v>371</v>
      </c>
      <c r="F6" s="19" t="s">
        <v>372</v>
      </c>
      <c r="G6" s="19" t="s">
        <v>373</v>
      </c>
      <c r="H6" s="19" t="s">
        <v>374</v>
      </c>
      <c r="I6" s="19" t="s">
        <v>375</v>
      </c>
      <c r="J6" s="19" t="s">
        <v>358</v>
      </c>
    </row>
    <row r="7" customFormat="false" ht="32.8" hidden="false" customHeight="false" outlineLevel="0" collapsed="false">
      <c r="A7" s="22" t="s">
        <v>367</v>
      </c>
      <c r="B7" s="35" t="s">
        <v>376</v>
      </c>
      <c r="C7" s="22" t="s">
        <v>377</v>
      </c>
      <c r="D7" s="19" t="s">
        <v>378</v>
      </c>
      <c r="E7" s="19" t="s">
        <v>379</v>
      </c>
      <c r="F7" s="19" t="s">
        <v>380</v>
      </c>
      <c r="G7" s="19" t="s">
        <v>381</v>
      </c>
      <c r="H7" s="19" t="s">
        <v>382</v>
      </c>
      <c r="I7" s="19" t="s">
        <v>383</v>
      </c>
      <c r="J7" s="19" t="s">
        <v>277</v>
      </c>
    </row>
    <row r="8" customFormat="false" ht="32.8" hidden="false" customHeight="false" outlineLevel="0" collapsed="false">
      <c r="A8" s="22" t="s">
        <v>384</v>
      </c>
      <c r="B8" s="35" t="s">
        <v>385</v>
      </c>
      <c r="C8" s="22" t="s">
        <v>177</v>
      </c>
      <c r="D8" s="19" t="s">
        <v>386</v>
      </c>
      <c r="E8" s="19" t="s">
        <v>387</v>
      </c>
      <c r="F8" s="19" t="s">
        <v>388</v>
      </c>
      <c r="G8" s="19" t="s">
        <v>389</v>
      </c>
      <c r="H8" s="19" t="s">
        <v>390</v>
      </c>
      <c r="I8" s="22" t="s">
        <v>391</v>
      </c>
      <c r="J8" s="19" t="s">
        <v>392</v>
      </c>
    </row>
    <row r="9" customFormat="false" ht="32.8" hidden="false" customHeight="false" outlineLevel="0" collapsed="false">
      <c r="A9" s="22" t="s">
        <v>384</v>
      </c>
      <c r="B9" s="35" t="s">
        <v>393</v>
      </c>
      <c r="C9" s="22" t="s">
        <v>394</v>
      </c>
      <c r="D9" s="19" t="s">
        <v>395</v>
      </c>
      <c r="E9" s="19" t="s">
        <v>396</v>
      </c>
      <c r="F9" s="19" t="s">
        <v>397</v>
      </c>
      <c r="G9" s="19" t="s">
        <v>398</v>
      </c>
      <c r="H9" s="22" t="s">
        <v>399</v>
      </c>
      <c r="I9" s="19" t="s">
        <v>400</v>
      </c>
      <c r="J9" s="19" t="s">
        <v>277</v>
      </c>
    </row>
    <row r="10" customFormat="false" ht="32.8" hidden="false" customHeight="false" outlineLevel="0" collapsed="false">
      <c r="A10" s="22" t="s">
        <v>401</v>
      </c>
      <c r="B10" s="35" t="s">
        <v>402</v>
      </c>
      <c r="C10" s="22" t="s">
        <v>403</v>
      </c>
      <c r="D10" s="19" t="s">
        <v>404</v>
      </c>
      <c r="E10" s="19" t="s">
        <v>405</v>
      </c>
      <c r="F10" s="19" t="s">
        <v>406</v>
      </c>
      <c r="G10" s="19" t="s">
        <v>407</v>
      </c>
      <c r="H10" s="19" t="s">
        <v>408</v>
      </c>
      <c r="I10" s="19" t="s">
        <v>409</v>
      </c>
      <c r="J10" s="19" t="s">
        <v>277</v>
      </c>
    </row>
    <row r="11" customFormat="false" ht="32.8" hidden="false" customHeight="false" outlineLevel="0" collapsed="false">
      <c r="A11" s="22" t="s">
        <v>401</v>
      </c>
      <c r="B11" s="35" t="s">
        <v>410</v>
      </c>
      <c r="C11" s="22" t="s">
        <v>394</v>
      </c>
      <c r="D11" s="19" t="s">
        <v>411</v>
      </c>
      <c r="E11" s="22" t="s">
        <v>412</v>
      </c>
      <c r="F11" s="19" t="s">
        <v>413</v>
      </c>
      <c r="G11" s="19" t="s">
        <v>414</v>
      </c>
      <c r="H11" s="22" t="s">
        <v>415</v>
      </c>
      <c r="I11" s="19" t="s">
        <v>416</v>
      </c>
      <c r="J11" s="19" t="s">
        <v>358</v>
      </c>
    </row>
    <row r="12" customFormat="false" ht="32.8" hidden="false" customHeight="false" outlineLevel="0" collapsed="false">
      <c r="A12" s="22" t="s">
        <v>417</v>
      </c>
      <c r="B12" s="35" t="s">
        <v>418</v>
      </c>
      <c r="C12" s="22" t="s">
        <v>174</v>
      </c>
      <c r="D12" s="19" t="s">
        <v>419</v>
      </c>
      <c r="E12" s="19" t="s">
        <v>420</v>
      </c>
      <c r="F12" s="19" t="s">
        <v>421</v>
      </c>
      <c r="G12" s="19" t="s">
        <v>422</v>
      </c>
      <c r="H12" s="19" t="s">
        <v>423</v>
      </c>
      <c r="I12" s="22" t="s">
        <v>424</v>
      </c>
      <c r="J12" s="19" t="s">
        <v>277</v>
      </c>
    </row>
    <row r="13" customFormat="false" ht="32.8" hidden="false" customHeight="false" outlineLevel="0" collapsed="false">
      <c r="A13" s="22" t="s">
        <v>417</v>
      </c>
      <c r="B13" s="35" t="s">
        <v>425</v>
      </c>
      <c r="C13" s="22" t="s">
        <v>426</v>
      </c>
      <c r="D13" s="19" t="s">
        <v>427</v>
      </c>
      <c r="E13" s="19" t="s">
        <v>428</v>
      </c>
      <c r="F13" s="19" t="s">
        <v>429</v>
      </c>
      <c r="G13" s="19" t="s">
        <v>430</v>
      </c>
      <c r="H13" s="19" t="s">
        <v>431</v>
      </c>
      <c r="I13" s="19" t="s">
        <v>432</v>
      </c>
      <c r="J13" s="19" t="s">
        <v>277</v>
      </c>
    </row>
    <row r="14" customFormat="false" ht="32.8" hidden="false" customHeight="false" outlineLevel="0" collapsed="false">
      <c r="A14" s="22" t="s">
        <v>433</v>
      </c>
      <c r="B14" s="38" t="s">
        <v>434</v>
      </c>
      <c r="C14" s="22" t="s">
        <v>435</v>
      </c>
      <c r="D14" s="19" t="s">
        <v>436</v>
      </c>
      <c r="E14" s="19" t="s">
        <v>437</v>
      </c>
      <c r="F14" s="19" t="s">
        <v>438</v>
      </c>
      <c r="G14" s="19" t="s">
        <v>439</v>
      </c>
      <c r="H14" s="19" t="s">
        <v>440</v>
      </c>
      <c r="I14" s="19" t="s">
        <v>441</v>
      </c>
      <c r="J14" s="19" t="s">
        <v>392</v>
      </c>
    </row>
    <row r="15" customFormat="false" ht="32.8" hidden="false" customHeight="false" outlineLevel="0" collapsed="false">
      <c r="A15" s="22" t="s">
        <v>433</v>
      </c>
      <c r="B15" s="38" t="s">
        <v>442</v>
      </c>
      <c r="C15" s="22" t="s">
        <v>443</v>
      </c>
      <c r="D15" s="19" t="s">
        <v>444</v>
      </c>
      <c r="E15" s="19" t="s">
        <v>445</v>
      </c>
      <c r="F15" s="19" t="s">
        <v>446</v>
      </c>
      <c r="G15" s="19" t="s">
        <v>447</v>
      </c>
      <c r="H15" s="19" t="s">
        <v>448</v>
      </c>
      <c r="I15" s="19" t="s">
        <v>449</v>
      </c>
      <c r="J15" s="39" t="s">
        <v>366</v>
      </c>
    </row>
    <row r="17" customFormat="false" ht="17.15" hidden="false" customHeight="false" outlineLevel="0" collapsed="false">
      <c r="A17" s="24" t="s">
        <v>450</v>
      </c>
    </row>
  </sheetData>
  <autoFilter ref="A1:J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13" min="4" style="0" width="13"/>
  </cols>
  <sheetData>
    <row r="1" customFormat="false" ht="60" hidden="false" customHeight="true" outlineLevel="0" collapsed="false">
      <c r="A1" s="20" t="s">
        <v>331</v>
      </c>
      <c r="B1" s="20" t="s">
        <v>128</v>
      </c>
      <c r="C1" s="20" t="s">
        <v>451</v>
      </c>
      <c r="D1" s="20" t="s">
        <v>452</v>
      </c>
      <c r="E1" s="20" t="s">
        <v>453</v>
      </c>
      <c r="F1" s="20" t="s">
        <v>454</v>
      </c>
      <c r="G1" s="20" t="s">
        <v>455</v>
      </c>
      <c r="H1" s="20" t="s">
        <v>456</v>
      </c>
      <c r="I1" s="20" t="s">
        <v>457</v>
      </c>
      <c r="J1" s="20" t="s">
        <v>458</v>
      </c>
      <c r="K1" s="20" t="s">
        <v>459</v>
      </c>
      <c r="L1" s="20" t="s">
        <v>460</v>
      </c>
      <c r="M1" s="20" t="s">
        <v>461</v>
      </c>
    </row>
    <row r="2" customFormat="false" ht="17.15" hidden="false" customHeight="false" outlineLevel="0" collapsed="false">
      <c r="A2" s="41" t="s">
        <v>334</v>
      </c>
      <c r="B2" s="27" t="s">
        <v>150</v>
      </c>
      <c r="C2" s="29" t="s">
        <v>462</v>
      </c>
      <c r="D2" s="42" t="n">
        <v>1</v>
      </c>
      <c r="E2" s="42" t="n">
        <v>1</v>
      </c>
      <c r="F2" s="43" t="s">
        <v>463</v>
      </c>
      <c r="G2" s="43" t="s">
        <v>463</v>
      </c>
      <c r="H2" s="43" t="s">
        <v>463</v>
      </c>
      <c r="I2" s="30" t="n">
        <v>0</v>
      </c>
      <c r="J2" s="30" t="n">
        <v>0</v>
      </c>
      <c r="K2" s="42" t="n">
        <v>1</v>
      </c>
      <c r="L2" s="30" t="n">
        <v>0</v>
      </c>
      <c r="M2" s="43" t="s">
        <v>463</v>
      </c>
    </row>
    <row r="3" customFormat="false" ht="17.15" hidden="false" customHeight="false" outlineLevel="0" collapsed="false">
      <c r="A3" s="41" t="s">
        <v>334</v>
      </c>
      <c r="B3" s="27" t="s">
        <v>154</v>
      </c>
      <c r="C3" s="29" t="s">
        <v>462</v>
      </c>
      <c r="D3" s="42" t="n">
        <v>1</v>
      </c>
      <c r="E3" s="42" t="n">
        <v>1</v>
      </c>
      <c r="F3" s="43" t="s">
        <v>463</v>
      </c>
      <c r="G3" s="43" t="s">
        <v>463</v>
      </c>
      <c r="H3" s="43" t="s">
        <v>463</v>
      </c>
      <c r="I3" s="30" t="n">
        <v>0</v>
      </c>
      <c r="J3" s="30" t="n">
        <v>0</v>
      </c>
      <c r="K3" s="42" t="n">
        <v>1</v>
      </c>
      <c r="L3" s="30" t="n">
        <v>0</v>
      </c>
      <c r="M3" s="43" t="s">
        <v>463</v>
      </c>
    </row>
    <row r="4" customFormat="false" ht="17.15" hidden="false" customHeight="false" outlineLevel="0" collapsed="false">
      <c r="A4" s="41" t="s">
        <v>334</v>
      </c>
      <c r="B4" s="27" t="s">
        <v>157</v>
      </c>
      <c r="C4" s="29" t="s">
        <v>462</v>
      </c>
      <c r="D4" s="42" t="n">
        <v>1</v>
      </c>
      <c r="E4" s="42" t="n">
        <v>1</v>
      </c>
      <c r="F4" s="43" t="s">
        <v>463</v>
      </c>
      <c r="G4" s="30" t="n">
        <v>0</v>
      </c>
      <c r="H4" s="30" t="n">
        <v>0</v>
      </c>
      <c r="I4" s="30" t="n">
        <v>0</v>
      </c>
      <c r="J4" s="30" t="n">
        <v>0</v>
      </c>
      <c r="K4" s="42" t="n">
        <v>1</v>
      </c>
      <c r="L4" s="30" t="n">
        <v>0</v>
      </c>
      <c r="M4" s="43" t="s">
        <v>463</v>
      </c>
    </row>
    <row r="5" customFormat="false" ht="17.15" hidden="false" customHeight="false" outlineLevel="0" collapsed="false">
      <c r="A5" s="41" t="s">
        <v>334</v>
      </c>
      <c r="B5" s="27" t="s">
        <v>160</v>
      </c>
      <c r="C5" s="29" t="s">
        <v>464</v>
      </c>
      <c r="D5" s="42" t="n">
        <v>1</v>
      </c>
      <c r="E5" s="42" t="n">
        <v>1</v>
      </c>
      <c r="F5" s="43" t="s">
        <v>463</v>
      </c>
      <c r="G5" s="43" t="s">
        <v>463</v>
      </c>
      <c r="H5" s="43" t="s">
        <v>463</v>
      </c>
      <c r="I5" s="30" t="n">
        <v>0</v>
      </c>
      <c r="J5" s="30" t="n">
        <v>0</v>
      </c>
      <c r="K5" s="42" t="n">
        <v>1</v>
      </c>
      <c r="L5" s="42" t="n">
        <v>1</v>
      </c>
      <c r="M5" s="43" t="s">
        <v>463</v>
      </c>
    </row>
    <row r="6" customFormat="false" ht="17.15" hidden="false" customHeight="false" outlineLevel="0" collapsed="false">
      <c r="A6" s="41" t="s">
        <v>334</v>
      </c>
      <c r="B6" s="27" t="s">
        <v>162</v>
      </c>
      <c r="C6" s="29" t="s">
        <v>462</v>
      </c>
      <c r="D6" s="42" t="n">
        <v>1</v>
      </c>
      <c r="E6" s="42" t="n">
        <v>1</v>
      </c>
      <c r="F6" s="43" t="s">
        <v>463</v>
      </c>
      <c r="G6" s="43" t="s">
        <v>463</v>
      </c>
      <c r="H6" s="43" t="s">
        <v>463</v>
      </c>
      <c r="I6" s="30" t="n">
        <v>0</v>
      </c>
      <c r="J6" s="30" t="n">
        <v>0</v>
      </c>
      <c r="K6" s="42" t="n">
        <v>1</v>
      </c>
      <c r="L6" s="30" t="n">
        <v>0</v>
      </c>
      <c r="M6" s="43" t="s">
        <v>463</v>
      </c>
    </row>
    <row r="7" customFormat="false" ht="17.15" hidden="false" customHeight="false" outlineLevel="0" collapsed="false">
      <c r="A7" s="41" t="s">
        <v>334</v>
      </c>
      <c r="B7" s="27" t="s">
        <v>335</v>
      </c>
      <c r="C7" s="44" t="s">
        <v>345</v>
      </c>
      <c r="D7" s="42" t="n">
        <v>1</v>
      </c>
      <c r="E7" s="42" t="n">
        <v>1</v>
      </c>
      <c r="F7" s="43" t="s">
        <v>463</v>
      </c>
      <c r="G7" s="43" t="s">
        <v>463</v>
      </c>
      <c r="H7" s="43" t="s">
        <v>463</v>
      </c>
      <c r="I7" s="30" t="n">
        <v>0</v>
      </c>
      <c r="J7" s="30" t="n">
        <v>0</v>
      </c>
      <c r="K7" s="43" t="s">
        <v>463</v>
      </c>
      <c r="L7" s="43" t="s">
        <v>463</v>
      </c>
      <c r="M7" s="43" t="s">
        <v>463</v>
      </c>
    </row>
    <row r="8" customFormat="false" ht="17.15" hidden="false" customHeight="false" outlineLevel="0" collapsed="false">
      <c r="A8" s="41" t="s">
        <v>334</v>
      </c>
      <c r="B8" s="27" t="s">
        <v>341</v>
      </c>
      <c r="C8" s="44" t="s">
        <v>345</v>
      </c>
      <c r="D8" s="42" t="n">
        <v>1</v>
      </c>
      <c r="E8" s="42" t="n">
        <v>1</v>
      </c>
      <c r="F8" s="43" t="s">
        <v>463</v>
      </c>
      <c r="G8" s="43" t="s">
        <v>463</v>
      </c>
      <c r="H8" s="43" t="s">
        <v>463</v>
      </c>
      <c r="I8" s="30" t="n">
        <v>0</v>
      </c>
      <c r="J8" s="30" t="n">
        <v>0</v>
      </c>
      <c r="K8" s="43" t="s">
        <v>463</v>
      </c>
      <c r="L8" s="43" t="s">
        <v>463</v>
      </c>
      <c r="M8" s="43" t="s">
        <v>463</v>
      </c>
    </row>
    <row r="9" customFormat="false" ht="17.15" hidden="false" customHeight="false" outlineLevel="0" collapsed="false">
      <c r="A9" s="41" t="s">
        <v>349</v>
      </c>
      <c r="B9" s="27" t="s">
        <v>165</v>
      </c>
      <c r="C9" s="29" t="s">
        <v>464</v>
      </c>
      <c r="D9" s="42" t="n">
        <v>1</v>
      </c>
      <c r="E9" s="42" t="n">
        <v>1</v>
      </c>
      <c r="F9" s="42" t="n">
        <v>1</v>
      </c>
      <c r="G9" s="43" t="s">
        <v>463</v>
      </c>
      <c r="H9" s="42" t="n">
        <v>1</v>
      </c>
      <c r="I9" s="30" t="n">
        <v>0</v>
      </c>
      <c r="J9" s="30" t="n">
        <v>0</v>
      </c>
      <c r="K9" s="30" t="n">
        <v>0</v>
      </c>
      <c r="L9" s="42" t="n">
        <v>1</v>
      </c>
      <c r="M9" s="42" t="n">
        <v>1</v>
      </c>
    </row>
    <row r="10" customFormat="false" ht="17.15" hidden="false" customHeight="false" outlineLevel="0" collapsed="false">
      <c r="A10" s="41" t="s">
        <v>349</v>
      </c>
      <c r="B10" s="27" t="s">
        <v>169</v>
      </c>
      <c r="C10" s="29" t="s">
        <v>464</v>
      </c>
      <c r="D10" s="42" t="n">
        <v>1</v>
      </c>
      <c r="E10" s="42" t="n">
        <v>1</v>
      </c>
      <c r="F10" s="42" t="n">
        <v>1</v>
      </c>
      <c r="G10" s="43" t="s">
        <v>463</v>
      </c>
      <c r="H10" s="43" t="s">
        <v>463</v>
      </c>
      <c r="I10" s="30" t="n">
        <v>0</v>
      </c>
      <c r="J10" s="30" t="n">
        <v>0</v>
      </c>
      <c r="K10" s="30" t="n">
        <v>0</v>
      </c>
      <c r="L10" s="42" t="n">
        <v>1</v>
      </c>
      <c r="M10" s="43" t="s">
        <v>463</v>
      </c>
    </row>
    <row r="11" customFormat="false" ht="17.15" hidden="false" customHeight="false" outlineLevel="0" collapsed="false">
      <c r="A11" s="41" t="s">
        <v>349</v>
      </c>
      <c r="B11" s="27" t="s">
        <v>350</v>
      </c>
      <c r="C11" s="29" t="s">
        <v>464</v>
      </c>
      <c r="D11" s="42" t="n">
        <v>1</v>
      </c>
      <c r="E11" s="42" t="n">
        <v>1</v>
      </c>
      <c r="F11" s="42" t="n">
        <v>1</v>
      </c>
      <c r="G11" s="30" t="n">
        <v>0</v>
      </c>
      <c r="H11" s="42" t="n">
        <v>1</v>
      </c>
      <c r="I11" s="30" t="n">
        <v>0</v>
      </c>
      <c r="J11" s="30" t="n">
        <v>0</v>
      </c>
      <c r="K11" s="30" t="n">
        <v>0</v>
      </c>
      <c r="L11" s="42" t="n">
        <v>1</v>
      </c>
      <c r="M11" s="42" t="n">
        <v>1</v>
      </c>
    </row>
    <row r="12" customFormat="false" ht="17.15" hidden="false" customHeight="false" outlineLevel="0" collapsed="false">
      <c r="A12" s="41" t="s">
        <v>349</v>
      </c>
      <c r="B12" s="27" t="s">
        <v>359</v>
      </c>
      <c r="C12" s="29" t="s">
        <v>464</v>
      </c>
      <c r="D12" s="42" t="n">
        <v>1</v>
      </c>
      <c r="E12" s="42" t="n">
        <v>1</v>
      </c>
      <c r="F12" s="42" t="n">
        <v>1</v>
      </c>
      <c r="G12" s="43" t="s">
        <v>463</v>
      </c>
      <c r="H12" s="43" t="s">
        <v>463</v>
      </c>
      <c r="I12" s="30" t="n">
        <v>0</v>
      </c>
      <c r="J12" s="30" t="n">
        <v>0</v>
      </c>
      <c r="K12" s="30" t="n">
        <v>0</v>
      </c>
      <c r="L12" s="42" t="n">
        <v>1</v>
      </c>
      <c r="M12" s="43" t="s">
        <v>463</v>
      </c>
    </row>
    <row r="13" customFormat="false" ht="17.15" hidden="false" customHeight="false" outlineLevel="0" collapsed="false">
      <c r="A13" s="41" t="s">
        <v>367</v>
      </c>
      <c r="B13" s="27" t="s">
        <v>173</v>
      </c>
      <c r="C13" s="29" t="s">
        <v>464</v>
      </c>
      <c r="D13" s="42" t="n">
        <v>1</v>
      </c>
      <c r="E13" s="42" t="n">
        <v>1</v>
      </c>
      <c r="F13" s="42" t="n">
        <v>1</v>
      </c>
      <c r="G13" s="42" t="n">
        <v>1</v>
      </c>
      <c r="H13" s="42" t="n">
        <v>1</v>
      </c>
      <c r="I13" s="42" t="n">
        <v>1</v>
      </c>
      <c r="J13" s="42" t="n">
        <v>1</v>
      </c>
      <c r="K13" s="30" t="n">
        <v>0</v>
      </c>
      <c r="L13" s="42" t="n">
        <v>1</v>
      </c>
      <c r="M13" s="42" t="n">
        <v>1</v>
      </c>
    </row>
    <row r="14" customFormat="false" ht="17.15" hidden="false" customHeight="false" outlineLevel="0" collapsed="false">
      <c r="A14" s="41" t="s">
        <v>367</v>
      </c>
      <c r="B14" s="27" t="s">
        <v>368</v>
      </c>
      <c r="C14" s="29" t="s">
        <v>464</v>
      </c>
      <c r="D14" s="42" t="n">
        <v>1</v>
      </c>
      <c r="E14" s="42" t="n">
        <v>1</v>
      </c>
      <c r="F14" s="42" t="n">
        <v>1</v>
      </c>
      <c r="G14" s="42" t="n">
        <v>1</v>
      </c>
      <c r="H14" s="42" t="n">
        <v>1</v>
      </c>
      <c r="I14" s="43" t="s">
        <v>463</v>
      </c>
      <c r="J14" s="42" t="n">
        <v>1</v>
      </c>
      <c r="K14" s="30" t="n">
        <v>0</v>
      </c>
      <c r="L14" s="42" t="n">
        <v>1</v>
      </c>
      <c r="M14" s="42" t="n">
        <v>1</v>
      </c>
    </row>
    <row r="15" customFormat="false" ht="17.15" hidden="false" customHeight="false" outlineLevel="0" collapsed="false">
      <c r="A15" s="41" t="s">
        <v>367</v>
      </c>
      <c r="B15" s="27" t="s">
        <v>376</v>
      </c>
      <c r="C15" s="44" t="s">
        <v>345</v>
      </c>
      <c r="D15" s="42" t="n">
        <v>1</v>
      </c>
      <c r="E15" s="42" t="n">
        <v>1</v>
      </c>
      <c r="F15" s="42" t="n">
        <v>1</v>
      </c>
      <c r="G15" s="43" t="s">
        <v>463</v>
      </c>
      <c r="H15" s="42" t="n">
        <v>1</v>
      </c>
      <c r="I15" s="30" t="n">
        <v>0</v>
      </c>
      <c r="J15" s="42" t="n">
        <v>1</v>
      </c>
      <c r="K15" s="30" t="n">
        <v>0</v>
      </c>
      <c r="L15" s="42" t="n">
        <v>1</v>
      </c>
      <c r="M15" s="42" t="n">
        <v>1</v>
      </c>
    </row>
    <row r="16" customFormat="false" ht="17.15" hidden="false" customHeight="false" outlineLevel="0" collapsed="false">
      <c r="A16" s="41" t="s">
        <v>384</v>
      </c>
      <c r="B16" s="27" t="s">
        <v>176</v>
      </c>
      <c r="C16" s="29" t="s">
        <v>464</v>
      </c>
      <c r="D16" s="30" t="n">
        <v>0</v>
      </c>
      <c r="E16" s="30" t="n">
        <v>0</v>
      </c>
      <c r="F16" s="42" t="n">
        <v>1</v>
      </c>
      <c r="G16" s="42" t="n">
        <v>1</v>
      </c>
      <c r="H16" s="42" t="n">
        <v>1</v>
      </c>
      <c r="I16" s="30" t="n">
        <v>0</v>
      </c>
      <c r="J16" s="42" t="n">
        <v>1</v>
      </c>
      <c r="K16" s="30" t="n">
        <v>0</v>
      </c>
      <c r="L16" s="42" t="n">
        <v>1</v>
      </c>
      <c r="M16" s="42" t="n">
        <v>1</v>
      </c>
    </row>
    <row r="17" customFormat="false" ht="17.15" hidden="false" customHeight="false" outlineLevel="0" collapsed="false">
      <c r="A17" s="41" t="s">
        <v>384</v>
      </c>
      <c r="B17" s="27" t="s">
        <v>385</v>
      </c>
      <c r="C17" s="29" t="s">
        <v>464</v>
      </c>
      <c r="D17" s="30" t="n">
        <v>0</v>
      </c>
      <c r="E17" s="30" t="n">
        <v>0</v>
      </c>
      <c r="F17" s="42" t="n">
        <v>1</v>
      </c>
      <c r="G17" s="42" t="n">
        <v>1</v>
      </c>
      <c r="H17" s="42" t="n">
        <v>1</v>
      </c>
      <c r="I17" s="30" t="n">
        <v>0</v>
      </c>
      <c r="J17" s="43" t="s">
        <v>463</v>
      </c>
      <c r="K17" s="30" t="n">
        <v>0</v>
      </c>
      <c r="L17" s="42" t="n">
        <v>1</v>
      </c>
      <c r="M17" s="43" t="s">
        <v>463</v>
      </c>
    </row>
    <row r="18" customFormat="false" ht="17.15" hidden="false" customHeight="false" outlineLevel="0" collapsed="false">
      <c r="A18" s="41" t="s">
        <v>384</v>
      </c>
      <c r="B18" s="27" t="s">
        <v>393</v>
      </c>
      <c r="C18" s="44" t="s">
        <v>345</v>
      </c>
      <c r="D18" s="30" t="n">
        <v>0</v>
      </c>
      <c r="E18" s="42" t="n">
        <v>1</v>
      </c>
      <c r="F18" s="42" t="n">
        <v>1</v>
      </c>
      <c r="G18" s="42" t="n">
        <v>1</v>
      </c>
      <c r="H18" s="42" t="n">
        <v>1</v>
      </c>
      <c r="I18" s="30" t="n">
        <v>0</v>
      </c>
      <c r="J18" s="42" t="n">
        <v>1</v>
      </c>
      <c r="K18" s="30" t="n">
        <v>0</v>
      </c>
      <c r="L18" s="42" t="n">
        <v>1</v>
      </c>
      <c r="M18" s="42" t="n">
        <v>1</v>
      </c>
    </row>
    <row r="19" customFormat="false" ht="17.15" hidden="false" customHeight="false" outlineLevel="0" collapsed="false">
      <c r="A19" s="41" t="s">
        <v>401</v>
      </c>
      <c r="B19" s="27" t="s">
        <v>180</v>
      </c>
      <c r="C19" s="29" t="s">
        <v>464</v>
      </c>
      <c r="D19" s="30" t="n">
        <v>0</v>
      </c>
      <c r="E19" s="42" t="n">
        <v>1</v>
      </c>
      <c r="F19" s="42" t="n">
        <v>1</v>
      </c>
      <c r="G19" s="42" t="n">
        <v>1</v>
      </c>
      <c r="H19" s="42" t="n">
        <v>1</v>
      </c>
      <c r="I19" s="42" t="n">
        <v>1</v>
      </c>
      <c r="J19" s="43" t="s">
        <v>463</v>
      </c>
      <c r="K19" s="30" t="n">
        <v>0</v>
      </c>
      <c r="L19" s="42" t="n">
        <v>1</v>
      </c>
      <c r="M19" s="42" t="n">
        <v>1</v>
      </c>
    </row>
    <row r="20" customFormat="false" ht="17.15" hidden="false" customHeight="false" outlineLevel="0" collapsed="false">
      <c r="A20" s="41" t="s">
        <v>401</v>
      </c>
      <c r="B20" s="27" t="s">
        <v>402</v>
      </c>
      <c r="C20" s="44" t="s">
        <v>345</v>
      </c>
      <c r="D20" s="30" t="n">
        <v>0</v>
      </c>
      <c r="E20" s="30" t="n">
        <v>0</v>
      </c>
      <c r="F20" s="42" t="n">
        <v>1</v>
      </c>
      <c r="G20" s="42" t="n">
        <v>1</v>
      </c>
      <c r="H20" s="42" t="n">
        <v>1</v>
      </c>
      <c r="I20" s="42" t="n">
        <v>1</v>
      </c>
      <c r="J20" s="30" t="n">
        <v>0</v>
      </c>
      <c r="K20" s="30" t="n">
        <v>0</v>
      </c>
      <c r="L20" s="42" t="n">
        <v>1</v>
      </c>
      <c r="M20" s="42" t="n">
        <v>1</v>
      </c>
    </row>
    <row r="21" customFormat="false" ht="17.15" hidden="false" customHeight="false" outlineLevel="0" collapsed="false">
      <c r="A21" s="41" t="s">
        <v>401</v>
      </c>
      <c r="B21" s="27" t="s">
        <v>410</v>
      </c>
      <c r="C21" s="29" t="s">
        <v>464</v>
      </c>
      <c r="D21" s="30" t="n">
        <v>0</v>
      </c>
      <c r="E21" s="42" t="n">
        <v>1</v>
      </c>
      <c r="F21" s="42" t="n">
        <v>1</v>
      </c>
      <c r="G21" s="42" t="n">
        <v>1</v>
      </c>
      <c r="H21" s="42" t="n">
        <v>1</v>
      </c>
      <c r="I21" s="43" t="s">
        <v>463</v>
      </c>
      <c r="J21" s="43" t="s">
        <v>463</v>
      </c>
      <c r="K21" s="30" t="n">
        <v>0</v>
      </c>
      <c r="L21" s="42" t="n">
        <v>1</v>
      </c>
      <c r="M21" s="42" t="n">
        <v>1</v>
      </c>
    </row>
    <row r="22" customFormat="false" ht="17.15" hidden="false" customHeight="false" outlineLevel="0" collapsed="false">
      <c r="A22" s="41" t="s">
        <v>417</v>
      </c>
      <c r="B22" s="34" t="s">
        <v>183</v>
      </c>
      <c r="C22" s="29" t="s">
        <v>464</v>
      </c>
      <c r="D22" s="43" t="s">
        <v>463</v>
      </c>
      <c r="E22" s="43" t="s">
        <v>463</v>
      </c>
      <c r="F22" s="43" t="s">
        <v>463</v>
      </c>
      <c r="G22" s="43" t="s">
        <v>463</v>
      </c>
      <c r="H22" s="43" t="s">
        <v>463</v>
      </c>
      <c r="I22" s="42" t="n">
        <v>1</v>
      </c>
      <c r="J22" s="43" t="s">
        <v>463</v>
      </c>
      <c r="K22" s="30" t="n">
        <v>0</v>
      </c>
      <c r="L22" s="43" t="s">
        <v>463</v>
      </c>
      <c r="M22" s="43" t="s">
        <v>463</v>
      </c>
    </row>
    <row r="23" customFormat="false" ht="17.15" hidden="false" customHeight="false" outlineLevel="0" collapsed="false">
      <c r="A23" s="41" t="s">
        <v>417</v>
      </c>
      <c r="B23" s="27" t="s">
        <v>418</v>
      </c>
      <c r="C23" s="44" t="s">
        <v>345</v>
      </c>
      <c r="D23" s="42" t="n">
        <v>1</v>
      </c>
      <c r="E23" s="42" t="n">
        <v>1</v>
      </c>
      <c r="F23" s="42" t="n">
        <v>1</v>
      </c>
      <c r="G23" s="42" t="n">
        <v>1</v>
      </c>
      <c r="H23" s="42" t="n">
        <v>1</v>
      </c>
      <c r="I23" s="42" t="n">
        <v>1</v>
      </c>
      <c r="J23" s="30" t="n">
        <v>0</v>
      </c>
      <c r="K23" s="30" t="n">
        <v>0</v>
      </c>
      <c r="L23" s="42" t="n">
        <v>1</v>
      </c>
      <c r="M23" s="42" t="n">
        <v>1</v>
      </c>
    </row>
    <row r="24" customFormat="false" ht="17.15" hidden="false" customHeight="false" outlineLevel="0" collapsed="false">
      <c r="A24" s="41" t="s">
        <v>417</v>
      </c>
      <c r="B24" s="27" t="s">
        <v>425</v>
      </c>
      <c r="C24" s="44" t="s">
        <v>345</v>
      </c>
      <c r="D24" s="42" t="n">
        <v>1</v>
      </c>
      <c r="E24" s="42" t="n">
        <v>1</v>
      </c>
      <c r="F24" s="43" t="s">
        <v>463</v>
      </c>
      <c r="G24" s="42" t="n">
        <v>1</v>
      </c>
      <c r="H24" s="42" t="n">
        <v>1</v>
      </c>
      <c r="I24" s="42" t="n">
        <v>1</v>
      </c>
      <c r="J24" s="42" t="n">
        <v>1</v>
      </c>
      <c r="K24" s="30" t="n">
        <v>0</v>
      </c>
      <c r="L24" s="42" t="n">
        <v>1</v>
      </c>
      <c r="M24" s="43" t="s">
        <v>463</v>
      </c>
    </row>
    <row r="25" customFormat="false" ht="17.15" hidden="false" customHeight="false" outlineLevel="0" collapsed="false">
      <c r="A25" s="41" t="s">
        <v>433</v>
      </c>
      <c r="B25" s="34" t="s">
        <v>186</v>
      </c>
      <c r="C25" s="29" t="s">
        <v>464</v>
      </c>
      <c r="D25" s="43" t="s">
        <v>463</v>
      </c>
      <c r="E25" s="43" t="s">
        <v>463</v>
      </c>
      <c r="F25" s="42" t="n">
        <v>1</v>
      </c>
      <c r="G25" s="43" t="s">
        <v>463</v>
      </c>
      <c r="H25" s="43" t="s">
        <v>463</v>
      </c>
      <c r="I25" s="30" t="n">
        <v>0</v>
      </c>
      <c r="J25" s="42" t="n">
        <v>1</v>
      </c>
      <c r="K25" s="30" t="n">
        <v>0</v>
      </c>
      <c r="L25" s="42" t="n">
        <v>1</v>
      </c>
      <c r="M25" s="43" t="s">
        <v>463</v>
      </c>
    </row>
    <row r="26" customFormat="false" ht="17.15" hidden="false" customHeight="false" outlineLevel="0" collapsed="false">
      <c r="A26" s="41" t="s">
        <v>433</v>
      </c>
      <c r="B26" s="34" t="s">
        <v>434</v>
      </c>
      <c r="C26" s="29" t="s">
        <v>464</v>
      </c>
      <c r="D26" s="42" t="n">
        <v>1</v>
      </c>
      <c r="E26" s="43" t="s">
        <v>463</v>
      </c>
      <c r="F26" s="42" t="n">
        <v>1</v>
      </c>
      <c r="G26" s="43" t="s">
        <v>463</v>
      </c>
      <c r="H26" s="42" t="n">
        <v>1</v>
      </c>
      <c r="I26" s="42" t="n">
        <v>1</v>
      </c>
      <c r="J26" s="42" t="n">
        <v>1</v>
      </c>
      <c r="K26" s="30" t="n">
        <v>0</v>
      </c>
      <c r="L26" s="42" t="n">
        <v>1</v>
      </c>
      <c r="M26" s="43" t="s">
        <v>463</v>
      </c>
    </row>
    <row r="27" customFormat="false" ht="17.15" hidden="false" customHeight="false" outlineLevel="0" collapsed="false">
      <c r="A27" s="41" t="s">
        <v>433</v>
      </c>
      <c r="B27" s="34" t="s">
        <v>442</v>
      </c>
      <c r="C27" s="29" t="s">
        <v>464</v>
      </c>
      <c r="D27" s="43" t="s">
        <v>463</v>
      </c>
      <c r="E27" s="43" t="s">
        <v>463</v>
      </c>
      <c r="F27" s="42" t="n">
        <v>1</v>
      </c>
      <c r="G27" s="42" t="n">
        <v>1</v>
      </c>
      <c r="H27" s="43" t="s">
        <v>463</v>
      </c>
      <c r="I27" s="30" t="n">
        <v>0</v>
      </c>
      <c r="J27" s="42" t="n">
        <v>1</v>
      </c>
      <c r="K27" s="30" t="n">
        <v>0</v>
      </c>
      <c r="L27" s="42" t="n">
        <v>1</v>
      </c>
      <c r="M27" s="42" t="n">
        <v>1</v>
      </c>
    </row>
    <row r="29" customFormat="false" ht="19.4" hidden="false" customHeight="false" outlineLevel="0" collapsed="false">
      <c r="A29" s="45" t="s">
        <v>465</v>
      </c>
    </row>
    <row r="30" customFormat="false" ht="31.5" hidden="false" customHeight="true" outlineLevel="0" collapsed="false">
      <c r="A30" s="46" t="s">
        <v>466</v>
      </c>
      <c r="B30" s="47" t="s">
        <v>467</v>
      </c>
      <c r="C30" s="46" t="s">
        <v>468</v>
      </c>
      <c r="D30" s="46" t="s">
        <v>469</v>
      </c>
      <c r="E30" s="46" t="s">
        <v>470</v>
      </c>
      <c r="F30" s="46" t="s">
        <v>471</v>
      </c>
    </row>
    <row r="31" customFormat="false" ht="15" hidden="false" customHeight="false" outlineLevel="0" collapsed="false">
      <c r="A31" s="48" t="s">
        <v>452</v>
      </c>
      <c r="B31" s="49" t="n">
        <f aca="false">COUNTIF($D$2:$D$27,1)</f>
        <v>17</v>
      </c>
      <c r="C31" s="50" t="n">
        <f aca="false">IFERROR(COUNTIF($D$2:$D$27,1)/(COUNTIF($D$2:$D$27,1)+COUNTIF($D$2:$D$27,0)),"-")</f>
        <v>0.739130434782609</v>
      </c>
      <c r="D31" s="50" t="n">
        <f aca="false">IFERROR(COUNTIFS($D$2:$D$27,1,$C$2:$C$27,"예")/(COUNTIFS($D$2:$D$27,1,$C$2:$C$27,"예")+COUNTIFS($D$2:$D$27,0,$C$2:$C$27,"예")),"-")</f>
        <v>0.666666666666667</v>
      </c>
      <c r="E31" s="50" t="n">
        <f aca="false">IFERROR(COUNTIFS($D$2:$D$27,1,$C$2:$C$27,"아니오")/(COUNTIFS($D$2:$D$27,1,$C$2:$C$27,"아니오")+COUNTIFS($D$2:$D$27,0,$C$2:$C$27,"아니오")),"-")</f>
        <v>1</v>
      </c>
      <c r="F31" s="50" t="n">
        <f aca="false">IFERROR(D31-E31,"-")</f>
        <v>-0.333333333333333</v>
      </c>
    </row>
    <row r="32" customFormat="false" ht="17.15" hidden="false" customHeight="false" outlineLevel="0" collapsed="false">
      <c r="A32" s="48" t="s">
        <v>472</v>
      </c>
      <c r="B32" s="49" t="n">
        <f aca="false">COUNTIF($E$2:$E$27,1)</f>
        <v>19</v>
      </c>
      <c r="C32" s="50" t="n">
        <f aca="false">IFERROR(COUNTIF($E$2:$E$27,1)/(COUNTIF($E$2:$E$27,1)+COUNTIF($E$2:$E$27,0)),"-")</f>
        <v>0.863636363636364</v>
      </c>
      <c r="D32" s="50" t="n">
        <f aca="false">IFERROR(COUNTIFS($E$2:$E$27,1,$C$2:$C$27,"예")/(COUNTIFS($E$2:$E$27,1,$C$2:$C$27,"예")+COUNTIFS($E$2:$E$27,0,$C$2:$C$27,"예")),"-")</f>
        <v>0.818181818181818</v>
      </c>
      <c r="E32" s="50" t="n">
        <f aca="false">IFERROR(COUNTIFS($E$2:$E$27,1,$C$2:$C$27,"아니오")/(COUNTIFS($E$2:$E$27,1,$C$2:$C$27,"아니오")+COUNTIFS($E$2:$E$27,0,$C$2:$C$27,"아니오")),"-")</f>
        <v>1</v>
      </c>
      <c r="F32" s="50" t="n">
        <f aca="false">IFERROR(D32-E32,"-")</f>
        <v>-0.181818181818182</v>
      </c>
    </row>
    <row r="33" customFormat="false" ht="17.15" hidden="false" customHeight="false" outlineLevel="0" collapsed="false">
      <c r="A33" s="48" t="s">
        <v>473</v>
      </c>
      <c r="B33" s="49" t="n">
        <f aca="false">COUNTIF($F$2:$F$27,1)</f>
        <v>17</v>
      </c>
      <c r="C33" s="50" t="n">
        <f aca="false">IFERROR(COUNTIF($F$2:$F$27,1)/(COUNTIF($F$2:$F$27,1)+COUNTIF($F$2:$F$27,0)),"-")</f>
        <v>1</v>
      </c>
      <c r="D33" s="50" t="n">
        <f aca="false">IFERROR(COUNTIFS($F$2:$F$27,1,$C$2:$C$27,"예")/(COUNTIFS($F$2:$F$27,1,$C$2:$C$27,"예")+COUNTIFS($F$2:$F$27,0,$C$2:$C$27,"예")),"-")</f>
        <v>1</v>
      </c>
      <c r="E33" s="50" t="str">
        <f aca="false">IFERROR(COUNTIFS($F$2:$F$27,1,$C$2:$C$27,"아니오")/(COUNTIFS($F$2:$F$27,1,$C$2:$C$27,"아니오")+COUNTIFS($F$2:$F$27,0,$C$2:$C$27,"아니오")),"-")</f>
        <v>-</v>
      </c>
      <c r="F33" s="50" t="str">
        <f aca="false">IFERROR(D33-E33,"-")</f>
        <v>-</v>
      </c>
    </row>
    <row r="34" customFormat="false" ht="15" hidden="false" customHeight="false" outlineLevel="0" collapsed="false">
      <c r="A34" s="48" t="s">
        <v>455</v>
      </c>
      <c r="B34" s="49" t="n">
        <f aca="false">COUNTIF($G$2:$G$27,1)</f>
        <v>11</v>
      </c>
      <c r="C34" s="50" t="n">
        <f aca="false">IFERROR(COUNTIF($G$2:$G$27,1)/(COUNTIF($G$2:$G$27,1)+COUNTIF($G$2:$G$27,0)),"-")</f>
        <v>0.846153846153846</v>
      </c>
      <c r="D34" s="50" t="n">
        <f aca="false">IFERROR(COUNTIFS($G$2:$G$27,1,$C$2:$C$27,"예")/(COUNTIFS($G$2:$G$27,1,$C$2:$C$27,"예")+COUNTIFS($G$2:$G$27,0,$C$2:$C$27,"예")),"-")</f>
        <v>0.875</v>
      </c>
      <c r="E34" s="50" t="n">
        <f aca="false">IFERROR(COUNTIFS($G$2:$G$27,1,$C$2:$C$27,"아니오")/(COUNTIFS($G$2:$G$27,1,$C$2:$C$27,"아니오")+COUNTIFS($G$2:$G$27,0,$C$2:$C$27,"아니오")),"-")</f>
        <v>0</v>
      </c>
      <c r="F34" s="50" t="n">
        <f aca="false">IFERROR(D34-E34,"-")</f>
        <v>0.875</v>
      </c>
    </row>
    <row r="35" customFormat="false" ht="17.15" hidden="false" customHeight="false" outlineLevel="0" collapsed="false">
      <c r="A35" s="48" t="s">
        <v>474</v>
      </c>
      <c r="B35" s="49" t="n">
        <f aca="false">COUNTIF($H$2:$H$27,1)</f>
        <v>14</v>
      </c>
      <c r="C35" s="50" t="n">
        <f aca="false">IFERROR(COUNTIF($H$2:$H$27,1)/(COUNTIF($H$2:$H$27,1)+COUNTIF($H$2:$H$27,0)),"-")</f>
        <v>0.933333333333333</v>
      </c>
      <c r="D35" s="50" t="n">
        <f aca="false">IFERROR(COUNTIFS($H$2:$H$27,1,$C$2:$C$27,"예")/(COUNTIFS($H$2:$H$27,1,$C$2:$C$27,"예")+COUNTIFS($H$2:$H$27,0,$C$2:$C$27,"예")),"-")</f>
        <v>1</v>
      </c>
      <c r="E35" s="50" t="n">
        <f aca="false">IFERROR(COUNTIFS($H$2:$H$27,1,$C$2:$C$27,"아니오")/(COUNTIFS($H$2:$H$27,1,$C$2:$C$27,"아니오")+COUNTIFS($H$2:$H$27,0,$C$2:$C$27,"아니오")),"-")</f>
        <v>0</v>
      </c>
      <c r="F35" s="50" t="n">
        <f aca="false">IFERROR(D35-E35,"-")</f>
        <v>1</v>
      </c>
    </row>
    <row r="36" customFormat="false" ht="17.15" hidden="false" customHeight="false" outlineLevel="0" collapsed="false">
      <c r="A36" s="48" t="s">
        <v>475</v>
      </c>
      <c r="B36" s="49" t="n">
        <f aca="false">COUNTIF($I$2:$I$27,1)</f>
        <v>7</v>
      </c>
      <c r="C36" s="50" t="n">
        <f aca="false">IFERROR(COUNTIF($I$2:$I$27,1)/(COUNTIF($I$2:$I$27,1)+COUNTIF($I$2:$I$27,0)),"-")</f>
        <v>0.291666666666667</v>
      </c>
      <c r="D36" s="50" t="n">
        <f aca="false">IFERROR(COUNTIFS($I$2:$I$27,1,$C$2:$C$27,"예")/(COUNTIFS($I$2:$I$27,1,$C$2:$C$27,"예")+COUNTIFS($I$2:$I$27,0,$C$2:$C$27,"예")),"-")</f>
        <v>0.307692307692308</v>
      </c>
      <c r="E36" s="50" t="n">
        <f aca="false">IFERROR(COUNTIFS($I$2:$I$27,1,$C$2:$C$27,"아니오")/(COUNTIFS($I$2:$I$27,1,$C$2:$C$27,"아니오")+COUNTIFS($I$2:$I$27,0,$C$2:$C$27,"아니오")),"-")</f>
        <v>0</v>
      </c>
      <c r="F36" s="50" t="n">
        <f aca="false">IFERROR(D36-E36,"-")</f>
        <v>0.307692307692308</v>
      </c>
    </row>
    <row r="37" customFormat="false" ht="17.15" hidden="false" customHeight="false" outlineLevel="0" collapsed="false">
      <c r="A37" s="48" t="s">
        <v>476</v>
      </c>
      <c r="B37" s="49" t="n">
        <f aca="false">COUNTIF($J$2:$J$27,1)</f>
        <v>9</v>
      </c>
      <c r="C37" s="50" t="n">
        <f aca="false">IFERROR(COUNTIF($J$2:$J$27,1)/(COUNTIF($J$2:$J$27,1)+COUNTIF($J$2:$J$27,0)),"-")</f>
        <v>0.409090909090909</v>
      </c>
      <c r="D37" s="50" t="n">
        <f aca="false">IFERROR(COUNTIFS($J$2:$J$27,1,$C$2:$C$27,"예")/(COUNTIFS($J$2:$J$27,1,$C$2:$C$27,"예")+COUNTIFS($J$2:$J$27,0,$C$2:$C$27,"예")),"-")</f>
        <v>0.545454545454545</v>
      </c>
      <c r="E37" s="50" t="n">
        <f aca="false">IFERROR(COUNTIFS($J$2:$J$27,1,$C$2:$C$27,"아니오")/(COUNTIFS($J$2:$J$27,1,$C$2:$C$27,"아니오")+COUNTIFS($J$2:$J$27,0,$C$2:$C$27,"아니오")),"-")</f>
        <v>0</v>
      </c>
      <c r="F37" s="50" t="n">
        <f aca="false">IFERROR(D37-E37,"-")</f>
        <v>0.545454545454545</v>
      </c>
    </row>
    <row r="38" customFormat="false" ht="15" hidden="false" customHeight="false" outlineLevel="0" collapsed="false">
      <c r="A38" s="48" t="s">
        <v>459</v>
      </c>
      <c r="B38" s="49" t="n">
        <f aca="false">COUNTIF($K$2:$K$27,1)</f>
        <v>5</v>
      </c>
      <c r="C38" s="50" t="n">
        <f aca="false">IFERROR(COUNTIF($K$2:$K$27,1)/(COUNTIF($K$2:$K$27,1)+COUNTIF($K$2:$K$27,0)),"-")</f>
        <v>0.208333333333333</v>
      </c>
      <c r="D38" s="50" t="n">
        <f aca="false">IFERROR(COUNTIFS($K$2:$K$27,1,$C$2:$C$27,"예")/(COUNTIFS($K$2:$K$27,1,$C$2:$C$27,"예")+COUNTIFS($K$2:$K$27,0,$C$2:$C$27,"예")),"-")</f>
        <v>0.0666666666666667</v>
      </c>
      <c r="E38" s="50" t="n">
        <f aca="false">IFERROR(COUNTIFS($K$2:$K$27,1,$C$2:$C$27,"아니오")/(COUNTIFS($K$2:$K$27,1,$C$2:$C$27,"아니오")+COUNTIFS($K$2:$K$27,0,$C$2:$C$27,"아니오")),"-")</f>
        <v>1</v>
      </c>
      <c r="F38" s="50" t="n">
        <f aca="false">IFERROR(D38-E38,"-")</f>
        <v>-0.933333333333333</v>
      </c>
    </row>
    <row r="39" customFormat="false" ht="15" hidden="false" customHeight="false" outlineLevel="0" collapsed="false">
      <c r="A39" s="48" t="s">
        <v>460</v>
      </c>
      <c r="B39" s="49" t="n">
        <f aca="false">COUNTIF($L$2:$L$27,1)</f>
        <v>19</v>
      </c>
      <c r="C39" s="50" t="n">
        <f aca="false">IFERROR(COUNTIF($L$2:$L$27,1)/(COUNTIF($L$2:$L$27,1)+COUNTIF($L$2:$L$27,0)),"-")</f>
        <v>0.826086956521739</v>
      </c>
      <c r="D39" s="50" t="n">
        <f aca="false">IFERROR(COUNTIFS($L$2:$L$27,1,$C$2:$C$27,"예")/(COUNTIFS($L$2:$L$27,1,$C$2:$C$27,"예")+COUNTIFS($L$2:$L$27,0,$C$2:$C$27,"예")),"-")</f>
        <v>1</v>
      </c>
      <c r="E39" s="50" t="n">
        <f aca="false">IFERROR(COUNTIFS($L$2:$L$27,1,$C$2:$C$27,"아니오")/(COUNTIFS($L$2:$L$27,1,$C$2:$C$27,"아니오")+COUNTIFS($L$2:$L$27,0,$C$2:$C$27,"아니오")),"-")</f>
        <v>0</v>
      </c>
      <c r="F39" s="50" t="n">
        <f aca="false">IFERROR(D39-E39,"-")</f>
        <v>1</v>
      </c>
    </row>
    <row r="40" customFormat="false" ht="17.15" hidden="false" customHeight="false" outlineLevel="0" collapsed="false">
      <c r="A40" s="48" t="s">
        <v>477</v>
      </c>
      <c r="B40" s="49" t="n">
        <f aca="false">COUNTIF($M$2:$M$27,1)</f>
        <v>12</v>
      </c>
      <c r="C40" s="50" t="n">
        <f aca="false">IFERROR(COUNTIF($M$2:$M$27,1)/(COUNTIF($M$2:$M$27,1)+COUNTIF($M$2:$M$27,0)),"-")</f>
        <v>1</v>
      </c>
      <c r="D40" s="50" t="n">
        <f aca="false">IFERROR(COUNTIFS($M$2:$M$27,1,$C$2:$C$27,"예")/(COUNTIFS($M$2:$M$27,1,$C$2:$C$27,"예")+COUNTIFS($M$2:$M$27,0,$C$2:$C$27,"예")),"-")</f>
        <v>1</v>
      </c>
      <c r="E40" s="50" t="str">
        <f aca="false">IFERROR(COUNTIFS($M$2:$M$27,1,$C$2:$C$27,"아니오")/(COUNTIFS($M$2:$M$27,1,$C$2:$C$27,"아니오")+COUNTIFS($M$2:$M$27,0,$C$2:$C$27,"아니오")),"-")</f>
        <v>-</v>
      </c>
      <c r="F40" s="50" t="str">
        <f aca="false">IFERROR(D40-E40,"-")</f>
        <v>-</v>
      </c>
    </row>
    <row r="42" customFormat="false" ht="19.4" hidden="false" customHeight="false" outlineLevel="0" collapsed="false">
      <c r="A42" s="45" t="s">
        <v>478</v>
      </c>
    </row>
    <row r="43" customFormat="false" ht="60" hidden="false" customHeight="true" outlineLevel="0" collapsed="false">
      <c r="A43" s="46" t="s">
        <v>331</v>
      </c>
      <c r="B43" s="46" t="s">
        <v>479</v>
      </c>
      <c r="C43" s="46" t="s">
        <v>452</v>
      </c>
      <c r="D43" s="46" t="s">
        <v>453</v>
      </c>
      <c r="E43" s="46" t="s">
        <v>454</v>
      </c>
      <c r="F43" s="46" t="s">
        <v>455</v>
      </c>
      <c r="G43" s="46" t="s">
        <v>456</v>
      </c>
      <c r="H43" s="46" t="s">
        <v>457</v>
      </c>
      <c r="I43" s="46" t="s">
        <v>458</v>
      </c>
      <c r="J43" s="46" t="s">
        <v>459</v>
      </c>
      <c r="K43" s="46" t="s">
        <v>460</v>
      </c>
      <c r="L43" s="46" t="s">
        <v>461</v>
      </c>
    </row>
    <row r="44" customFormat="false" ht="17.15" hidden="false" customHeight="false" outlineLevel="0" collapsed="false">
      <c r="A44" s="49" t="s">
        <v>334</v>
      </c>
      <c r="B44" s="51" t="n">
        <f aca="false">COUNTIF($A$2:$A$27,A44)</f>
        <v>7</v>
      </c>
      <c r="C44" s="51" t="n">
        <f aca="false">COUNTIFS($A$2:$A$27,$A44,$D$2:$D$27,1)</f>
        <v>7</v>
      </c>
      <c r="D44" s="51" t="n">
        <f aca="false">COUNTIFS($A$2:$A$27,$A44,$E$2:$E$27,1)</f>
        <v>7</v>
      </c>
      <c r="E44" s="51" t="n">
        <f aca="false">COUNTIFS($A$2:$A$27,$A44,$F$2:$F$27,1)</f>
        <v>0</v>
      </c>
      <c r="F44" s="51" t="n">
        <f aca="false">COUNTIFS($A$2:$A$27,$A44,$G$2:$G$27,1)</f>
        <v>0</v>
      </c>
      <c r="G44" s="51" t="n">
        <f aca="false">COUNTIFS($A$2:$A$27,$A44,$H$2:$H$27,1)</f>
        <v>0</v>
      </c>
      <c r="H44" s="51" t="n">
        <f aca="false">COUNTIFS($A$2:$A$27,$A44,$I$2:$I$27,1)</f>
        <v>0</v>
      </c>
      <c r="I44" s="51" t="n">
        <f aca="false">COUNTIFS($A$2:$A$27,$A44,$J$2:$J$27,1)</f>
        <v>0</v>
      </c>
      <c r="J44" s="51" t="n">
        <f aca="false">COUNTIFS($A$2:$A$27,$A44,$K$2:$K$27,1)</f>
        <v>5</v>
      </c>
      <c r="K44" s="51" t="n">
        <f aca="false">COUNTIFS($A$2:$A$27,$A44,$L$2:$L$27,1)</f>
        <v>1</v>
      </c>
      <c r="L44" s="51" t="n">
        <f aca="false">COUNTIFS($A$2:$A$27,$A44,$M$2:$M$27,1)</f>
        <v>0</v>
      </c>
    </row>
    <row r="45" customFormat="false" ht="17.15" hidden="false" customHeight="false" outlineLevel="0" collapsed="false">
      <c r="A45" s="49" t="s">
        <v>349</v>
      </c>
      <c r="B45" s="51" t="n">
        <f aca="false">COUNTIF($A$2:$A$27,A45)</f>
        <v>4</v>
      </c>
      <c r="C45" s="51" t="n">
        <f aca="false">COUNTIFS($A$2:$A$27,$A45,$D$2:$D$27,1)</f>
        <v>4</v>
      </c>
      <c r="D45" s="51" t="n">
        <f aca="false">COUNTIFS($A$2:$A$27,$A45,$E$2:$E$27,1)</f>
        <v>4</v>
      </c>
      <c r="E45" s="51" t="n">
        <f aca="false">COUNTIFS($A$2:$A$27,$A45,$F$2:$F$27,1)</f>
        <v>4</v>
      </c>
      <c r="F45" s="51" t="n">
        <f aca="false">COUNTIFS($A$2:$A$27,$A45,$G$2:$G$27,1)</f>
        <v>0</v>
      </c>
      <c r="G45" s="51" t="n">
        <f aca="false">COUNTIFS($A$2:$A$27,$A45,$H$2:$H$27,1)</f>
        <v>2</v>
      </c>
      <c r="H45" s="51" t="n">
        <f aca="false">COUNTIFS($A$2:$A$27,$A45,$I$2:$I$27,1)</f>
        <v>0</v>
      </c>
      <c r="I45" s="51" t="n">
        <f aca="false">COUNTIFS($A$2:$A$27,$A45,$J$2:$J$27,1)</f>
        <v>0</v>
      </c>
      <c r="J45" s="51" t="n">
        <f aca="false">COUNTIFS($A$2:$A$27,$A45,$K$2:$K$27,1)</f>
        <v>0</v>
      </c>
      <c r="K45" s="51" t="n">
        <f aca="false">COUNTIFS($A$2:$A$27,$A45,$L$2:$L$27,1)</f>
        <v>4</v>
      </c>
      <c r="L45" s="51" t="n">
        <f aca="false">COUNTIFS($A$2:$A$27,$A45,$M$2:$M$27,1)</f>
        <v>2</v>
      </c>
    </row>
    <row r="46" customFormat="false" ht="17.15" hidden="false" customHeight="false" outlineLevel="0" collapsed="false">
      <c r="A46" s="49" t="s">
        <v>367</v>
      </c>
      <c r="B46" s="51" t="n">
        <f aca="false">COUNTIF($A$2:$A$27,A46)</f>
        <v>3</v>
      </c>
      <c r="C46" s="51" t="n">
        <f aca="false">COUNTIFS($A$2:$A$27,$A46,$D$2:$D$27,1)</f>
        <v>3</v>
      </c>
      <c r="D46" s="51" t="n">
        <f aca="false">COUNTIFS($A$2:$A$27,$A46,$E$2:$E$27,1)</f>
        <v>3</v>
      </c>
      <c r="E46" s="51" t="n">
        <f aca="false">COUNTIFS($A$2:$A$27,$A46,$F$2:$F$27,1)</f>
        <v>3</v>
      </c>
      <c r="F46" s="51" t="n">
        <f aca="false">COUNTIFS($A$2:$A$27,$A46,$G$2:$G$27,1)</f>
        <v>2</v>
      </c>
      <c r="G46" s="51" t="n">
        <f aca="false">COUNTIFS($A$2:$A$27,$A46,$H$2:$H$27,1)</f>
        <v>3</v>
      </c>
      <c r="H46" s="51" t="n">
        <f aca="false">COUNTIFS($A$2:$A$27,$A46,$I$2:$I$27,1)</f>
        <v>1</v>
      </c>
      <c r="I46" s="51" t="n">
        <f aca="false">COUNTIFS($A$2:$A$27,$A46,$J$2:$J$27,1)</f>
        <v>3</v>
      </c>
      <c r="J46" s="51" t="n">
        <f aca="false">COUNTIFS($A$2:$A$27,$A46,$K$2:$K$27,1)</f>
        <v>0</v>
      </c>
      <c r="K46" s="51" t="n">
        <f aca="false">COUNTIFS($A$2:$A$27,$A46,$L$2:$L$27,1)</f>
        <v>3</v>
      </c>
      <c r="L46" s="51" t="n">
        <f aca="false">COUNTIFS($A$2:$A$27,$A46,$M$2:$M$27,1)</f>
        <v>3</v>
      </c>
    </row>
    <row r="47" customFormat="false" ht="17.15" hidden="false" customHeight="false" outlineLevel="0" collapsed="false">
      <c r="A47" s="49" t="s">
        <v>384</v>
      </c>
      <c r="B47" s="51" t="n">
        <f aca="false">COUNTIF($A$2:$A$27,A47)</f>
        <v>3</v>
      </c>
      <c r="C47" s="51" t="n">
        <f aca="false">COUNTIFS($A$2:$A$27,$A47,$D$2:$D$27,1)</f>
        <v>0</v>
      </c>
      <c r="D47" s="51" t="n">
        <f aca="false">COUNTIFS($A$2:$A$27,$A47,$E$2:$E$27,1)</f>
        <v>1</v>
      </c>
      <c r="E47" s="51" t="n">
        <f aca="false">COUNTIFS($A$2:$A$27,$A47,$F$2:$F$27,1)</f>
        <v>3</v>
      </c>
      <c r="F47" s="51" t="n">
        <f aca="false">COUNTIFS($A$2:$A$27,$A47,$G$2:$G$27,1)</f>
        <v>3</v>
      </c>
      <c r="G47" s="51" t="n">
        <f aca="false">COUNTIFS($A$2:$A$27,$A47,$H$2:$H$27,1)</f>
        <v>3</v>
      </c>
      <c r="H47" s="51" t="n">
        <f aca="false">COUNTIFS($A$2:$A$27,$A47,$I$2:$I$27,1)</f>
        <v>0</v>
      </c>
      <c r="I47" s="51" t="n">
        <f aca="false">COUNTIFS($A$2:$A$27,$A47,$J$2:$J$27,1)</f>
        <v>2</v>
      </c>
      <c r="J47" s="51" t="n">
        <f aca="false">COUNTIFS($A$2:$A$27,$A47,$K$2:$K$27,1)</f>
        <v>0</v>
      </c>
      <c r="K47" s="51" t="n">
        <f aca="false">COUNTIFS($A$2:$A$27,$A47,$L$2:$L$27,1)</f>
        <v>3</v>
      </c>
      <c r="L47" s="51" t="n">
        <f aca="false">COUNTIFS($A$2:$A$27,$A47,$M$2:$M$27,1)</f>
        <v>2</v>
      </c>
    </row>
    <row r="48" customFormat="false" ht="17.15" hidden="false" customHeight="false" outlineLevel="0" collapsed="false">
      <c r="A48" s="49" t="s">
        <v>401</v>
      </c>
      <c r="B48" s="51" t="n">
        <f aca="false">COUNTIF($A$2:$A$27,A48)</f>
        <v>3</v>
      </c>
      <c r="C48" s="51" t="n">
        <f aca="false">COUNTIFS($A$2:$A$27,$A48,$D$2:$D$27,1)</f>
        <v>0</v>
      </c>
      <c r="D48" s="51" t="n">
        <f aca="false">COUNTIFS($A$2:$A$27,$A48,$E$2:$E$27,1)</f>
        <v>2</v>
      </c>
      <c r="E48" s="51" t="n">
        <f aca="false">COUNTIFS($A$2:$A$27,$A48,$F$2:$F$27,1)</f>
        <v>3</v>
      </c>
      <c r="F48" s="51" t="n">
        <f aca="false">COUNTIFS($A$2:$A$27,$A48,$G$2:$G$27,1)</f>
        <v>3</v>
      </c>
      <c r="G48" s="51" t="n">
        <f aca="false">COUNTIFS($A$2:$A$27,$A48,$H$2:$H$27,1)</f>
        <v>3</v>
      </c>
      <c r="H48" s="51" t="n">
        <f aca="false">COUNTIFS($A$2:$A$27,$A48,$I$2:$I$27,1)</f>
        <v>2</v>
      </c>
      <c r="I48" s="51" t="n">
        <f aca="false">COUNTIFS($A$2:$A$27,$A48,$J$2:$J$27,1)</f>
        <v>0</v>
      </c>
      <c r="J48" s="51" t="n">
        <f aca="false">COUNTIFS($A$2:$A$27,$A48,$K$2:$K$27,1)</f>
        <v>0</v>
      </c>
      <c r="K48" s="51" t="n">
        <f aca="false">COUNTIFS($A$2:$A$27,$A48,$L$2:$L$27,1)</f>
        <v>3</v>
      </c>
      <c r="L48" s="51" t="n">
        <f aca="false">COUNTIFS($A$2:$A$27,$A48,$M$2:$M$27,1)</f>
        <v>3</v>
      </c>
    </row>
    <row r="49" customFormat="false" ht="17.15" hidden="false" customHeight="false" outlineLevel="0" collapsed="false">
      <c r="A49" s="49" t="s">
        <v>417</v>
      </c>
      <c r="B49" s="51" t="n">
        <f aca="false">COUNTIF($A$2:$A$27,A49)</f>
        <v>3</v>
      </c>
      <c r="C49" s="51" t="n">
        <f aca="false">COUNTIFS($A$2:$A$27,$A49,$D$2:$D$27,1)</f>
        <v>2</v>
      </c>
      <c r="D49" s="51" t="n">
        <f aca="false">COUNTIFS($A$2:$A$27,$A49,$E$2:$E$27,1)</f>
        <v>2</v>
      </c>
      <c r="E49" s="51" t="n">
        <f aca="false">COUNTIFS($A$2:$A$27,$A49,$F$2:$F$27,1)</f>
        <v>1</v>
      </c>
      <c r="F49" s="51" t="n">
        <f aca="false">COUNTIFS($A$2:$A$27,$A49,$G$2:$G$27,1)</f>
        <v>2</v>
      </c>
      <c r="G49" s="51" t="n">
        <f aca="false">COUNTIFS($A$2:$A$27,$A49,$H$2:$H$27,1)</f>
        <v>2</v>
      </c>
      <c r="H49" s="51" t="n">
        <f aca="false">COUNTIFS($A$2:$A$27,$A49,$I$2:$I$27,1)</f>
        <v>3</v>
      </c>
      <c r="I49" s="51" t="n">
        <f aca="false">COUNTIFS($A$2:$A$27,$A49,$J$2:$J$27,1)</f>
        <v>1</v>
      </c>
      <c r="J49" s="51" t="n">
        <f aca="false">COUNTIFS($A$2:$A$27,$A49,$K$2:$K$27,1)</f>
        <v>0</v>
      </c>
      <c r="K49" s="51" t="n">
        <f aca="false">COUNTIFS($A$2:$A$27,$A49,$L$2:$L$27,1)</f>
        <v>2</v>
      </c>
      <c r="L49" s="51" t="n">
        <f aca="false">COUNTIFS($A$2:$A$27,$A49,$M$2:$M$27,1)</f>
        <v>1</v>
      </c>
    </row>
    <row r="50" customFormat="false" ht="17.15" hidden="false" customHeight="false" outlineLevel="0" collapsed="false">
      <c r="A50" s="49" t="s">
        <v>433</v>
      </c>
      <c r="B50" s="51" t="n">
        <f aca="false">COUNTIF($A$2:$A$27,A50)</f>
        <v>3</v>
      </c>
      <c r="C50" s="51" t="n">
        <f aca="false">COUNTIFS($A$2:$A$27,$A50,$D$2:$D$27,1)</f>
        <v>1</v>
      </c>
      <c r="D50" s="51" t="n">
        <f aca="false">COUNTIFS($A$2:$A$27,$A50,$E$2:$E$27,1)</f>
        <v>0</v>
      </c>
      <c r="E50" s="51" t="n">
        <f aca="false">COUNTIFS($A$2:$A$27,$A50,$F$2:$F$27,1)</f>
        <v>3</v>
      </c>
      <c r="F50" s="51" t="n">
        <f aca="false">COUNTIFS($A$2:$A$27,$A50,$G$2:$G$27,1)</f>
        <v>1</v>
      </c>
      <c r="G50" s="51" t="n">
        <f aca="false">COUNTIFS($A$2:$A$27,$A50,$H$2:$H$27,1)</f>
        <v>1</v>
      </c>
      <c r="H50" s="51" t="n">
        <f aca="false">COUNTIFS($A$2:$A$27,$A50,$I$2:$I$27,1)</f>
        <v>1</v>
      </c>
      <c r="I50" s="51" t="n">
        <f aca="false">COUNTIFS($A$2:$A$27,$A50,$J$2:$J$27,1)</f>
        <v>3</v>
      </c>
      <c r="J50" s="51" t="n">
        <f aca="false">COUNTIFS($A$2:$A$27,$A50,$K$2:$K$27,1)</f>
        <v>0</v>
      </c>
      <c r="K50" s="51" t="n">
        <f aca="false">COUNTIFS($A$2:$A$27,$A50,$L$2:$L$27,1)</f>
        <v>3</v>
      </c>
      <c r="L50" s="51" t="n">
        <f aca="false">COUNTIFS($A$2:$A$27,$A50,$M$2:$M$27,1)</f>
        <v>1</v>
      </c>
    </row>
    <row r="52" customFormat="false" ht="17.15" hidden="false" customHeight="false" outlineLevel="0" collapsed="false">
      <c r="A52" s="40" t="s">
        <v>480</v>
      </c>
    </row>
    <row r="53" customFormat="false" ht="17.15" hidden="false" customHeight="false" outlineLevel="0" collapsed="false">
      <c r="A53" s="40" t="s">
        <v>481</v>
      </c>
    </row>
    <row r="54" customFormat="false" ht="17.15" hidden="false" customHeight="false" outlineLevel="0" collapsed="false">
      <c r="A54" s="24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80"/>
  </cols>
  <sheetData>
    <row r="1" customFormat="false" ht="17.15" hidden="false" customHeight="false" outlineLevel="0" collapsed="false">
      <c r="A1" s="20" t="s">
        <v>149</v>
      </c>
      <c r="B1" s="20" t="s">
        <v>483</v>
      </c>
      <c r="C1" s="20" t="s">
        <v>484</v>
      </c>
      <c r="D1" s="20" t="s">
        <v>485</v>
      </c>
    </row>
    <row r="2" customFormat="false" ht="32.8" hidden="false" customHeight="false" outlineLevel="0" collapsed="false">
      <c r="A2" s="52" t="n">
        <v>1</v>
      </c>
      <c r="B2" s="35" t="s">
        <v>486</v>
      </c>
      <c r="C2" s="19" t="s">
        <v>487</v>
      </c>
      <c r="D2" s="22" t="s">
        <v>488</v>
      </c>
    </row>
    <row r="3" customFormat="false" ht="32.8" hidden="false" customHeight="false" outlineLevel="0" collapsed="false">
      <c r="A3" s="52" t="n">
        <v>2</v>
      </c>
      <c r="B3" s="35" t="s">
        <v>489</v>
      </c>
      <c r="C3" s="19" t="s">
        <v>490</v>
      </c>
      <c r="D3" s="19" t="s">
        <v>491</v>
      </c>
    </row>
    <row r="4" customFormat="false" ht="17.15" hidden="false" customHeight="false" outlineLevel="0" collapsed="false">
      <c r="A4" s="52" t="n">
        <v>3</v>
      </c>
      <c r="B4" s="38" t="s">
        <v>492</v>
      </c>
      <c r="C4" s="19" t="s">
        <v>493</v>
      </c>
      <c r="D4" s="22" t="s">
        <v>494</v>
      </c>
    </row>
    <row r="5" customFormat="false" ht="32.8" hidden="false" customHeight="false" outlineLevel="0" collapsed="false">
      <c r="A5" s="52" t="n">
        <v>4</v>
      </c>
      <c r="B5" s="38" t="s">
        <v>495</v>
      </c>
      <c r="C5" s="19" t="s">
        <v>496</v>
      </c>
      <c r="D5" s="22" t="s">
        <v>497</v>
      </c>
    </row>
    <row r="6" customFormat="false" ht="17.15" hidden="false" customHeight="false" outlineLevel="0" collapsed="false">
      <c r="A6" s="52" t="n">
        <v>5</v>
      </c>
      <c r="B6" s="38" t="s">
        <v>498</v>
      </c>
      <c r="C6" s="19" t="s">
        <v>499</v>
      </c>
      <c r="D6" s="22" t="s">
        <v>500</v>
      </c>
    </row>
    <row r="8" customFormat="false" ht="19.4" hidden="false" customHeight="false" outlineLevel="0" collapsed="false">
      <c r="A8" s="45" t="s">
        <v>501</v>
      </c>
    </row>
    <row r="10" customFormat="false" ht="17.15" hidden="false" customHeight="false" outlineLevel="0" collapsed="false">
      <c r="A10" s="53" t="s">
        <v>149</v>
      </c>
      <c r="B10" s="53" t="s">
        <v>128</v>
      </c>
      <c r="C10" s="54" t="s">
        <v>502</v>
      </c>
      <c r="D10" s="53" t="s">
        <v>503</v>
      </c>
    </row>
    <row r="11" customFormat="false" ht="17.15" hidden="false" customHeight="false" outlineLevel="0" collapsed="false">
      <c r="A11" s="52" t="n">
        <v>1</v>
      </c>
      <c r="B11" s="22" t="s">
        <v>157</v>
      </c>
      <c r="C11" s="22" t="s">
        <v>153</v>
      </c>
      <c r="D11" s="19" t="s">
        <v>504</v>
      </c>
    </row>
    <row r="12" customFormat="false" ht="17.15" hidden="false" customHeight="false" outlineLevel="0" collapsed="false">
      <c r="A12" s="52" t="n">
        <v>2</v>
      </c>
      <c r="B12" s="22" t="s">
        <v>154</v>
      </c>
      <c r="C12" s="22" t="s">
        <v>153</v>
      </c>
      <c r="D12" s="19" t="s">
        <v>505</v>
      </c>
    </row>
    <row r="13" customFormat="false" ht="17.15" hidden="false" customHeight="false" outlineLevel="0" collapsed="false">
      <c r="A13" s="52" t="n">
        <v>3</v>
      </c>
      <c r="B13" s="22" t="s">
        <v>162</v>
      </c>
      <c r="C13" s="22" t="s">
        <v>153</v>
      </c>
      <c r="D13" s="19" t="s">
        <v>506</v>
      </c>
    </row>
    <row r="14" customFormat="false" ht="17.15" hidden="false" customHeight="false" outlineLevel="0" collapsed="false">
      <c r="A14" s="52" t="n">
        <v>4</v>
      </c>
      <c r="B14" s="22" t="s">
        <v>150</v>
      </c>
      <c r="C14" s="22" t="s">
        <v>153</v>
      </c>
      <c r="D14" s="19" t="s">
        <v>507</v>
      </c>
    </row>
    <row r="15" customFormat="false" ht="17.15" hidden="false" customHeight="false" outlineLevel="0" collapsed="false">
      <c r="A15" s="52" t="n">
        <v>5</v>
      </c>
      <c r="B15" s="22" t="s">
        <v>160</v>
      </c>
      <c r="C15" s="22" t="s">
        <v>153</v>
      </c>
      <c r="D15" s="19" t="s">
        <v>508</v>
      </c>
    </row>
    <row r="16" customFormat="false" ht="17.15" hidden="false" customHeight="false" outlineLevel="0" collapsed="false">
      <c r="A16" s="52" t="n">
        <v>6</v>
      </c>
      <c r="B16" s="22" t="s">
        <v>165</v>
      </c>
      <c r="C16" s="22" t="s">
        <v>168</v>
      </c>
      <c r="D16" s="19" t="s">
        <v>509</v>
      </c>
    </row>
    <row r="17" customFormat="false" ht="17.15" hidden="false" customHeight="false" outlineLevel="0" collapsed="false">
      <c r="A17" s="52" t="n">
        <v>7</v>
      </c>
      <c r="B17" s="19" t="s">
        <v>186</v>
      </c>
      <c r="C17" s="22" t="s">
        <v>168</v>
      </c>
      <c r="D17" s="19" t="s">
        <v>510</v>
      </c>
    </row>
    <row r="18" customFormat="false" ht="17.15" hidden="false" customHeight="false" outlineLevel="0" collapsed="false">
      <c r="A18" s="52" t="n">
        <v>8</v>
      </c>
      <c r="B18" s="22" t="s">
        <v>169</v>
      </c>
      <c r="C18" s="22" t="s">
        <v>172</v>
      </c>
      <c r="D18" s="19" t="s">
        <v>511</v>
      </c>
    </row>
    <row r="19" customFormat="false" ht="17.15" hidden="false" customHeight="false" outlineLevel="0" collapsed="false">
      <c r="A19" s="52" t="n">
        <v>9</v>
      </c>
      <c r="B19" s="22" t="s">
        <v>173</v>
      </c>
      <c r="C19" s="22" t="s">
        <v>172</v>
      </c>
      <c r="D19" s="22" t="s">
        <v>512</v>
      </c>
    </row>
    <row r="20" customFormat="false" ht="17.15" hidden="false" customHeight="false" outlineLevel="0" collapsed="false">
      <c r="A20" s="52" t="n">
        <v>10</v>
      </c>
      <c r="B20" s="19" t="s">
        <v>183</v>
      </c>
      <c r="C20" s="22" t="s">
        <v>172</v>
      </c>
      <c r="D20" s="22" t="s">
        <v>513</v>
      </c>
    </row>
    <row r="21" customFormat="false" ht="17.15" hidden="false" customHeight="false" outlineLevel="0" collapsed="false">
      <c r="A21" s="52" t="n">
        <v>11</v>
      </c>
      <c r="B21" s="22" t="s">
        <v>176</v>
      </c>
      <c r="C21" s="22" t="s">
        <v>179</v>
      </c>
      <c r="D21" s="19" t="s">
        <v>514</v>
      </c>
    </row>
    <row r="22" customFormat="false" ht="17.15" hidden="false" customHeight="false" outlineLevel="0" collapsed="false">
      <c r="A22" s="52" t="n">
        <v>12</v>
      </c>
      <c r="B22" s="22" t="s">
        <v>180</v>
      </c>
      <c r="C22" s="22" t="s">
        <v>179</v>
      </c>
      <c r="D22" s="19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36"/>
  </cols>
  <sheetData>
    <row r="1" customFormat="false" ht="29.85" hidden="false" customHeight="false" outlineLevel="0" collapsed="false">
      <c r="A1" s="20" t="s">
        <v>128</v>
      </c>
      <c r="B1" s="20" t="s">
        <v>516</v>
      </c>
      <c r="C1" s="20" t="s">
        <v>517</v>
      </c>
      <c r="D1" s="20" t="s">
        <v>518</v>
      </c>
      <c r="E1" s="26" t="s">
        <v>140</v>
      </c>
      <c r="F1" s="20" t="s">
        <v>519</v>
      </c>
      <c r="G1" s="20" t="s">
        <v>520</v>
      </c>
      <c r="H1" s="20" t="s">
        <v>521</v>
      </c>
    </row>
    <row r="2" customFormat="false" ht="32.8" hidden="false" customHeight="false" outlineLevel="0" collapsed="false">
      <c r="A2" s="35" t="s">
        <v>150</v>
      </c>
      <c r="B2" s="19" t="s">
        <v>522</v>
      </c>
      <c r="C2" s="19" t="s">
        <v>523</v>
      </c>
      <c r="D2" s="19" t="s">
        <v>524</v>
      </c>
      <c r="E2" s="55" t="s">
        <v>153</v>
      </c>
      <c r="F2" s="22" t="s">
        <v>525</v>
      </c>
      <c r="G2" s="22" t="s">
        <v>526</v>
      </c>
      <c r="H2" s="19" t="s">
        <v>527</v>
      </c>
    </row>
    <row r="3" customFormat="false" ht="32.8" hidden="false" customHeight="false" outlineLevel="0" collapsed="false">
      <c r="A3" s="35" t="s">
        <v>154</v>
      </c>
      <c r="B3" s="19" t="s">
        <v>528</v>
      </c>
      <c r="C3" s="19" t="s">
        <v>529</v>
      </c>
      <c r="D3" s="19" t="s">
        <v>530</v>
      </c>
      <c r="E3" s="55" t="s">
        <v>153</v>
      </c>
      <c r="F3" s="22" t="s">
        <v>525</v>
      </c>
      <c r="G3" s="22" t="s">
        <v>531</v>
      </c>
      <c r="H3" s="19" t="s">
        <v>532</v>
      </c>
    </row>
    <row r="4" customFormat="false" ht="32.8" hidden="false" customHeight="false" outlineLevel="0" collapsed="false">
      <c r="A4" s="35" t="s">
        <v>157</v>
      </c>
      <c r="B4" s="22" t="s">
        <v>533</v>
      </c>
      <c r="C4" s="19" t="s">
        <v>534</v>
      </c>
      <c r="D4" s="19" t="s">
        <v>535</v>
      </c>
      <c r="E4" s="55" t="s">
        <v>153</v>
      </c>
      <c r="F4" s="22" t="s">
        <v>536</v>
      </c>
      <c r="G4" s="19" t="s">
        <v>537</v>
      </c>
      <c r="H4" s="19" t="s">
        <v>538</v>
      </c>
    </row>
    <row r="5" customFormat="false" ht="17.15" hidden="false" customHeight="false" outlineLevel="0" collapsed="false">
      <c r="A5" s="35" t="s">
        <v>160</v>
      </c>
      <c r="B5" s="19" t="s">
        <v>539</v>
      </c>
      <c r="C5" s="19" t="s">
        <v>540</v>
      </c>
      <c r="D5" s="19" t="s">
        <v>541</v>
      </c>
      <c r="E5" s="55" t="s">
        <v>153</v>
      </c>
      <c r="F5" s="22" t="s">
        <v>542</v>
      </c>
      <c r="G5" s="19" t="s">
        <v>543</v>
      </c>
      <c r="H5" s="19" t="s">
        <v>544</v>
      </c>
    </row>
    <row r="6" customFormat="false" ht="29.85" hidden="false" customHeight="false" outlineLevel="0" collapsed="false">
      <c r="A6" s="35" t="s">
        <v>162</v>
      </c>
      <c r="B6" s="19" t="s">
        <v>545</v>
      </c>
      <c r="C6" s="19" t="s">
        <v>546</v>
      </c>
      <c r="D6" s="19" t="s">
        <v>547</v>
      </c>
      <c r="E6" s="55" t="s">
        <v>153</v>
      </c>
      <c r="F6" s="22" t="s">
        <v>525</v>
      </c>
      <c r="G6" s="22" t="s">
        <v>548</v>
      </c>
      <c r="H6" s="19" t="s">
        <v>549</v>
      </c>
    </row>
    <row r="7" customFormat="false" ht="32.8" hidden="false" customHeight="false" outlineLevel="0" collapsed="false">
      <c r="A7" s="35" t="s">
        <v>165</v>
      </c>
      <c r="B7" s="19" t="s">
        <v>550</v>
      </c>
      <c r="C7" s="19" t="s">
        <v>551</v>
      </c>
      <c r="D7" s="19" t="s">
        <v>552</v>
      </c>
      <c r="E7" s="55" t="s">
        <v>168</v>
      </c>
      <c r="F7" s="22" t="s">
        <v>553</v>
      </c>
      <c r="G7" s="22" t="s">
        <v>554</v>
      </c>
      <c r="H7" s="19" t="s">
        <v>555</v>
      </c>
    </row>
    <row r="8" customFormat="false" ht="32.8" hidden="false" customHeight="false" outlineLevel="0" collapsed="false">
      <c r="A8" s="35" t="s">
        <v>169</v>
      </c>
      <c r="B8" s="19" t="s">
        <v>556</v>
      </c>
      <c r="C8" s="19" t="s">
        <v>557</v>
      </c>
      <c r="D8" s="19" t="s">
        <v>558</v>
      </c>
      <c r="E8" s="55" t="s">
        <v>172</v>
      </c>
      <c r="F8" s="22" t="s">
        <v>559</v>
      </c>
      <c r="G8" s="22" t="s">
        <v>560</v>
      </c>
      <c r="H8" s="19" t="s">
        <v>561</v>
      </c>
    </row>
    <row r="9" customFormat="false" ht="32.8" hidden="false" customHeight="false" outlineLevel="0" collapsed="false">
      <c r="A9" s="35" t="s">
        <v>173</v>
      </c>
      <c r="B9" s="19" t="s">
        <v>562</v>
      </c>
      <c r="C9" s="19" t="s">
        <v>563</v>
      </c>
      <c r="D9" s="19" t="s">
        <v>564</v>
      </c>
      <c r="E9" s="55" t="s">
        <v>172</v>
      </c>
      <c r="F9" s="22" t="s">
        <v>565</v>
      </c>
      <c r="G9" s="22" t="s">
        <v>566</v>
      </c>
      <c r="H9" s="22" t="s">
        <v>567</v>
      </c>
    </row>
    <row r="10" customFormat="false" ht="32.8" hidden="false" customHeight="false" outlineLevel="0" collapsed="false">
      <c r="A10" s="35" t="s">
        <v>176</v>
      </c>
      <c r="B10" s="19" t="s">
        <v>568</v>
      </c>
      <c r="C10" s="19" t="s">
        <v>569</v>
      </c>
      <c r="D10" s="19" t="s">
        <v>570</v>
      </c>
      <c r="E10" s="55" t="s">
        <v>179</v>
      </c>
      <c r="F10" s="22" t="s">
        <v>571</v>
      </c>
      <c r="G10" s="22" t="s">
        <v>572</v>
      </c>
      <c r="H10" s="19" t="s">
        <v>573</v>
      </c>
    </row>
    <row r="11" customFormat="false" ht="32.8" hidden="false" customHeight="false" outlineLevel="0" collapsed="false">
      <c r="A11" s="35" t="s">
        <v>180</v>
      </c>
      <c r="B11" s="19" t="s">
        <v>574</v>
      </c>
      <c r="C11" s="19" t="s">
        <v>575</v>
      </c>
      <c r="D11" s="19" t="s">
        <v>576</v>
      </c>
      <c r="E11" s="55" t="s">
        <v>179</v>
      </c>
      <c r="F11" s="22" t="s">
        <v>577</v>
      </c>
      <c r="G11" s="19" t="s">
        <v>578</v>
      </c>
      <c r="H11" s="19" t="s">
        <v>579</v>
      </c>
    </row>
    <row r="12" customFormat="false" ht="32.8" hidden="false" customHeight="false" outlineLevel="0" collapsed="false">
      <c r="A12" s="38" t="s">
        <v>183</v>
      </c>
      <c r="B12" s="22" t="s">
        <v>580</v>
      </c>
      <c r="C12" s="19" t="s">
        <v>581</v>
      </c>
      <c r="D12" s="22" t="s">
        <v>582</v>
      </c>
      <c r="E12" s="55" t="s">
        <v>172</v>
      </c>
      <c r="F12" s="22" t="s">
        <v>583</v>
      </c>
      <c r="G12" s="19" t="s">
        <v>584</v>
      </c>
      <c r="H12" s="22" t="s">
        <v>585</v>
      </c>
    </row>
    <row r="13" customFormat="false" ht="32.8" hidden="false" customHeight="false" outlineLevel="0" collapsed="false">
      <c r="A13" s="38" t="s">
        <v>186</v>
      </c>
      <c r="B13" s="19" t="s">
        <v>586</v>
      </c>
      <c r="C13" s="19" t="s">
        <v>587</v>
      </c>
      <c r="D13" s="19" t="s">
        <v>588</v>
      </c>
      <c r="E13" s="55" t="s">
        <v>168</v>
      </c>
      <c r="F13" s="22" t="s">
        <v>553</v>
      </c>
      <c r="G13" s="22" t="s">
        <v>589</v>
      </c>
      <c r="H13" s="19" t="s">
        <v>590</v>
      </c>
    </row>
    <row r="15" customFormat="false" ht="17.15" hidden="false" customHeight="false" outlineLevel="0" collapsed="false">
      <c r="A15" s="24" t="s">
        <v>591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16" min="4" style="0" width="13"/>
  </cols>
  <sheetData>
    <row r="1" customFormat="false" ht="17.15" hidden="false" customHeight="true" outlineLevel="0" collapsed="false">
      <c r="A1" s="20"/>
      <c r="B1" s="20"/>
      <c r="C1" s="20"/>
      <c r="D1" s="56" t="s">
        <v>592</v>
      </c>
      <c r="E1" s="56"/>
      <c r="F1" s="56"/>
      <c r="G1" s="56" t="s">
        <v>593</v>
      </c>
      <c r="H1" s="56"/>
      <c r="I1" s="56"/>
      <c r="J1" s="56" t="s">
        <v>594</v>
      </c>
      <c r="K1" s="56"/>
      <c r="L1" s="56"/>
      <c r="M1" s="25" t="s">
        <v>595</v>
      </c>
      <c r="N1" s="25"/>
      <c r="O1" s="25"/>
      <c r="P1" s="20"/>
    </row>
    <row r="2" customFormat="false" ht="45" hidden="false" customHeight="true" outlineLevel="0" collapsed="false">
      <c r="A2" s="20" t="s">
        <v>128</v>
      </c>
      <c r="B2" s="20" t="s">
        <v>596</v>
      </c>
      <c r="C2" s="20" t="s">
        <v>597</v>
      </c>
      <c r="D2" s="20" t="s">
        <v>598</v>
      </c>
      <c r="E2" s="20" t="s">
        <v>599</v>
      </c>
      <c r="F2" s="20" t="s">
        <v>600</v>
      </c>
      <c r="G2" s="20" t="s">
        <v>598</v>
      </c>
      <c r="H2" s="20" t="s">
        <v>599</v>
      </c>
      <c r="I2" s="20" t="s">
        <v>600</v>
      </c>
      <c r="J2" s="20" t="s">
        <v>598</v>
      </c>
      <c r="K2" s="20" t="s">
        <v>599</v>
      </c>
      <c r="L2" s="20" t="s">
        <v>600</v>
      </c>
      <c r="M2" s="26" t="s">
        <v>601</v>
      </c>
      <c r="N2" s="20" t="s">
        <v>602</v>
      </c>
      <c r="O2" s="26" t="s">
        <v>603</v>
      </c>
      <c r="P2" s="20" t="s">
        <v>604</v>
      </c>
    </row>
    <row r="3" customFormat="false" ht="32.8" hidden="false" customHeight="false" outlineLevel="0" collapsed="false">
      <c r="A3" s="57" t="s">
        <v>150</v>
      </c>
      <c r="B3" s="58" t="s">
        <v>605</v>
      </c>
      <c r="C3" s="58" t="s">
        <v>606</v>
      </c>
      <c r="D3" s="59" t="s">
        <v>607</v>
      </c>
      <c r="E3" s="60" t="n">
        <f aca="false">SUMIFS('4-1 지역 벤치마크(참조)'!$D$2:$D$28,'4-1 지역 벤치마크(참조)'!$A$2:$A$28,$B3,'4-1 지역 벤치마크(참조)'!$B$2:$B$28,"D1 리텐션")</f>
        <v>0.369</v>
      </c>
      <c r="F3" s="60" t="n">
        <f aca="false">SUMIFS('4-1 지역 벤치마크(참조)'!$C$2:$C$28,'4-1 지역 벤치마크(참조)'!$A$2:$A$28,$B3,'4-1 지역 벤치마크(참조)'!$B$2:$B$28,"D1 리텐션")</f>
        <v>0.2328</v>
      </c>
      <c r="G3" s="59" t="s">
        <v>608</v>
      </c>
      <c r="H3" s="60" t="n">
        <f aca="false">SUMIFS('4-1 지역 벤치마크(참조)'!$D$2:$D$28,'4-1 지역 벤치마크(참조)'!$A$2:$A$28,$B3,'4-1 지역 벤치마크(참조)'!$B$2:$B$28,"D7 리텐션")</f>
        <v>0.1258</v>
      </c>
      <c r="I3" s="60" t="n">
        <f aca="false">SUMIFS('4-1 지역 벤치마크(참조)'!$C$2:$C$28,'4-1 지역 벤치마크(참조)'!$A$2:$A$28,$B3,'4-1 지역 벤치마크(참조)'!$B$2:$B$28,"D7 리텐션")</f>
        <v>0.0497</v>
      </c>
      <c r="J3" s="59" t="s">
        <v>609</v>
      </c>
      <c r="K3" s="60" t="n">
        <f aca="false">SUMIFS('4-1 지역 벤치마크(참조)'!$D$2:$D$28,'4-1 지역 벤치마크(참조)'!$A$2:$A$28,$B3,'4-1 지역 벤치마크(참조)'!$B$2:$B$28,"D30 리텐션")</f>
        <v>0.0478</v>
      </c>
      <c r="L3" s="60" t="n">
        <f aca="false">SUMIFS('4-1 지역 벤치마크(참조)'!$C$2:$C$28,'4-1 지역 벤치마크(참조)'!$A$2:$A$28,$B3,'4-1 지역 벤치마크(참조)'!$B$2:$B$28,"D30 리텐션")</f>
        <v>0.0118</v>
      </c>
      <c r="M3" s="61" t="n">
        <v>1.34</v>
      </c>
      <c r="N3" s="61" t="n">
        <v>0.55</v>
      </c>
      <c r="O3" s="61" t="n">
        <v>7.26</v>
      </c>
      <c r="P3" s="62" t="s">
        <v>610</v>
      </c>
    </row>
    <row r="4" customFormat="false" ht="32.8" hidden="false" customHeight="false" outlineLevel="0" collapsed="false">
      <c r="A4" s="57" t="s">
        <v>154</v>
      </c>
      <c r="B4" s="58" t="s">
        <v>605</v>
      </c>
      <c r="C4" s="58" t="s">
        <v>606</v>
      </c>
      <c r="D4" s="59" t="s">
        <v>607</v>
      </c>
      <c r="E4" s="60" t="n">
        <f aca="false">SUMIFS('4-1 지역 벤치마크(참조)'!$D$2:$D$28,'4-1 지역 벤치마크(참조)'!$A$2:$A$28,$B4,'4-1 지역 벤치마크(참조)'!$B$2:$B$28,"D1 리텐션")</f>
        <v>0.369</v>
      </c>
      <c r="F4" s="60" t="n">
        <f aca="false">SUMIFS('4-1 지역 벤치마크(참조)'!$C$2:$C$28,'4-1 지역 벤치마크(참조)'!$A$2:$A$28,$B4,'4-1 지역 벤치마크(참조)'!$B$2:$B$28,"D1 리텐션")</f>
        <v>0.2328</v>
      </c>
      <c r="G4" s="59" t="s">
        <v>608</v>
      </c>
      <c r="H4" s="60" t="n">
        <f aca="false">SUMIFS('4-1 지역 벤치마크(참조)'!$D$2:$D$28,'4-1 지역 벤치마크(참조)'!$A$2:$A$28,$B4,'4-1 지역 벤치마크(참조)'!$B$2:$B$28,"D7 리텐션")</f>
        <v>0.1258</v>
      </c>
      <c r="I4" s="60" t="n">
        <f aca="false">SUMIFS('4-1 지역 벤치마크(참조)'!$C$2:$C$28,'4-1 지역 벤치마크(참조)'!$A$2:$A$28,$B4,'4-1 지역 벤치마크(참조)'!$B$2:$B$28,"D7 리텐션")</f>
        <v>0.0497</v>
      </c>
      <c r="J4" s="59" t="s">
        <v>609</v>
      </c>
      <c r="K4" s="60" t="n">
        <f aca="false">SUMIFS('4-1 지역 벤치마크(참조)'!$D$2:$D$28,'4-1 지역 벤치마크(참조)'!$A$2:$A$28,$B4,'4-1 지역 벤치마크(참조)'!$B$2:$B$28,"D30 리텐션")</f>
        <v>0.0478</v>
      </c>
      <c r="L4" s="60" t="n">
        <f aca="false">SUMIFS('4-1 지역 벤치마크(참조)'!$C$2:$C$28,'4-1 지역 벤치마크(참조)'!$A$2:$A$28,$B4,'4-1 지역 벤치마크(참조)'!$B$2:$B$28,"D30 리텐션")</f>
        <v>0.0118</v>
      </c>
      <c r="M4" s="61" t="n">
        <v>1.34</v>
      </c>
      <c r="N4" s="61" t="n">
        <v>0.55</v>
      </c>
      <c r="O4" s="61" t="n">
        <v>7.26</v>
      </c>
      <c r="P4" s="62" t="s">
        <v>610</v>
      </c>
    </row>
    <row r="5" customFormat="false" ht="32.8" hidden="false" customHeight="false" outlineLevel="0" collapsed="false">
      <c r="A5" s="57" t="s">
        <v>157</v>
      </c>
      <c r="B5" s="58" t="s">
        <v>605</v>
      </c>
      <c r="C5" s="58" t="s">
        <v>606</v>
      </c>
      <c r="D5" s="59" t="s">
        <v>607</v>
      </c>
      <c r="E5" s="60" t="n">
        <f aca="false">SUMIFS('4-1 지역 벤치마크(참조)'!$D$2:$D$28,'4-1 지역 벤치마크(참조)'!$A$2:$A$28,$B5,'4-1 지역 벤치마크(참조)'!$B$2:$B$28,"D1 리텐션")</f>
        <v>0.369</v>
      </c>
      <c r="F5" s="60" t="n">
        <f aca="false">SUMIFS('4-1 지역 벤치마크(참조)'!$C$2:$C$28,'4-1 지역 벤치마크(참조)'!$A$2:$A$28,$B5,'4-1 지역 벤치마크(참조)'!$B$2:$B$28,"D1 리텐션")</f>
        <v>0.2328</v>
      </c>
      <c r="G5" s="59" t="s">
        <v>608</v>
      </c>
      <c r="H5" s="60" t="n">
        <f aca="false">SUMIFS('4-1 지역 벤치마크(참조)'!$D$2:$D$28,'4-1 지역 벤치마크(참조)'!$A$2:$A$28,$B5,'4-1 지역 벤치마크(참조)'!$B$2:$B$28,"D7 리텐션")</f>
        <v>0.1258</v>
      </c>
      <c r="I5" s="60" t="n">
        <f aca="false">SUMIFS('4-1 지역 벤치마크(참조)'!$C$2:$C$28,'4-1 지역 벤치마크(참조)'!$A$2:$A$28,$B5,'4-1 지역 벤치마크(참조)'!$B$2:$B$28,"D7 리텐션")</f>
        <v>0.0497</v>
      </c>
      <c r="J5" s="59" t="s">
        <v>609</v>
      </c>
      <c r="K5" s="60" t="n">
        <f aca="false">SUMIFS('4-1 지역 벤치마크(참조)'!$D$2:$D$28,'4-1 지역 벤치마크(참조)'!$A$2:$A$28,$B5,'4-1 지역 벤치마크(참조)'!$B$2:$B$28,"D30 리텐션")</f>
        <v>0.0478</v>
      </c>
      <c r="L5" s="60" t="n">
        <f aca="false">SUMIFS('4-1 지역 벤치마크(참조)'!$C$2:$C$28,'4-1 지역 벤치마크(참조)'!$A$2:$A$28,$B5,'4-1 지역 벤치마크(참조)'!$B$2:$B$28,"D30 리텐션")</f>
        <v>0.0118</v>
      </c>
      <c r="M5" s="61" t="n">
        <v>1.34</v>
      </c>
      <c r="N5" s="61" t="n">
        <v>0.55</v>
      </c>
      <c r="O5" s="61" t="n">
        <v>7.26</v>
      </c>
      <c r="P5" s="62" t="s">
        <v>610</v>
      </c>
    </row>
    <row r="6" customFormat="false" ht="32.8" hidden="false" customHeight="false" outlineLevel="0" collapsed="false">
      <c r="A6" s="57" t="s">
        <v>160</v>
      </c>
      <c r="B6" s="58" t="s">
        <v>605</v>
      </c>
      <c r="C6" s="58" t="s">
        <v>606</v>
      </c>
      <c r="D6" s="59" t="s">
        <v>607</v>
      </c>
      <c r="E6" s="60" t="n">
        <f aca="false">SUMIFS('4-1 지역 벤치마크(참조)'!$D$2:$D$28,'4-1 지역 벤치마크(참조)'!$A$2:$A$28,$B6,'4-1 지역 벤치마크(참조)'!$B$2:$B$28,"D1 리텐션")</f>
        <v>0.369</v>
      </c>
      <c r="F6" s="60" t="n">
        <f aca="false">SUMIFS('4-1 지역 벤치마크(참조)'!$C$2:$C$28,'4-1 지역 벤치마크(참조)'!$A$2:$A$28,$B6,'4-1 지역 벤치마크(참조)'!$B$2:$B$28,"D1 리텐션")</f>
        <v>0.2328</v>
      </c>
      <c r="G6" s="59" t="s">
        <v>608</v>
      </c>
      <c r="H6" s="60" t="n">
        <f aca="false">SUMIFS('4-1 지역 벤치마크(참조)'!$D$2:$D$28,'4-1 지역 벤치마크(참조)'!$A$2:$A$28,$B6,'4-1 지역 벤치마크(참조)'!$B$2:$B$28,"D7 리텐션")</f>
        <v>0.1258</v>
      </c>
      <c r="I6" s="60" t="n">
        <f aca="false">SUMIFS('4-1 지역 벤치마크(참조)'!$C$2:$C$28,'4-1 지역 벤치마크(참조)'!$A$2:$A$28,$B6,'4-1 지역 벤치마크(참조)'!$B$2:$B$28,"D7 리텐션")</f>
        <v>0.0497</v>
      </c>
      <c r="J6" s="59" t="s">
        <v>609</v>
      </c>
      <c r="K6" s="60" t="n">
        <f aca="false">SUMIFS('4-1 지역 벤치마크(참조)'!$D$2:$D$28,'4-1 지역 벤치마크(참조)'!$A$2:$A$28,$B6,'4-1 지역 벤치마크(참조)'!$B$2:$B$28,"D30 리텐션")</f>
        <v>0.0478</v>
      </c>
      <c r="L6" s="60" t="n">
        <f aca="false">SUMIFS('4-1 지역 벤치마크(참조)'!$C$2:$C$28,'4-1 지역 벤치마크(참조)'!$A$2:$A$28,$B6,'4-1 지역 벤치마크(참조)'!$B$2:$B$28,"D30 리텐션")</f>
        <v>0.0118</v>
      </c>
      <c r="M6" s="61" t="n">
        <v>1.34</v>
      </c>
      <c r="N6" s="61" t="n">
        <v>0.55</v>
      </c>
      <c r="O6" s="61" t="n">
        <v>7.26</v>
      </c>
      <c r="P6" s="62" t="s">
        <v>610</v>
      </c>
    </row>
    <row r="7" customFormat="false" ht="32.8" hidden="false" customHeight="false" outlineLevel="0" collapsed="false">
      <c r="A7" s="57" t="s">
        <v>162</v>
      </c>
      <c r="B7" s="58" t="s">
        <v>605</v>
      </c>
      <c r="C7" s="58" t="s">
        <v>606</v>
      </c>
      <c r="D7" s="59" t="s">
        <v>607</v>
      </c>
      <c r="E7" s="60" t="n">
        <f aca="false">SUMIFS('4-1 지역 벤치마크(참조)'!$D$2:$D$28,'4-1 지역 벤치마크(참조)'!$A$2:$A$28,$B7,'4-1 지역 벤치마크(참조)'!$B$2:$B$28,"D1 리텐션")</f>
        <v>0.369</v>
      </c>
      <c r="F7" s="60" t="n">
        <f aca="false">SUMIFS('4-1 지역 벤치마크(참조)'!$C$2:$C$28,'4-1 지역 벤치마크(참조)'!$A$2:$A$28,$B7,'4-1 지역 벤치마크(참조)'!$B$2:$B$28,"D1 리텐션")</f>
        <v>0.2328</v>
      </c>
      <c r="G7" s="59" t="s">
        <v>608</v>
      </c>
      <c r="H7" s="60" t="n">
        <f aca="false">SUMIFS('4-1 지역 벤치마크(참조)'!$D$2:$D$28,'4-1 지역 벤치마크(참조)'!$A$2:$A$28,$B7,'4-1 지역 벤치마크(참조)'!$B$2:$B$28,"D7 리텐션")</f>
        <v>0.1258</v>
      </c>
      <c r="I7" s="60" t="n">
        <f aca="false">SUMIFS('4-1 지역 벤치마크(참조)'!$C$2:$C$28,'4-1 지역 벤치마크(참조)'!$A$2:$A$28,$B7,'4-1 지역 벤치마크(참조)'!$B$2:$B$28,"D7 리텐션")</f>
        <v>0.0497</v>
      </c>
      <c r="J7" s="59" t="s">
        <v>609</v>
      </c>
      <c r="K7" s="60" t="n">
        <f aca="false">SUMIFS('4-1 지역 벤치마크(참조)'!$D$2:$D$28,'4-1 지역 벤치마크(참조)'!$A$2:$A$28,$B7,'4-1 지역 벤치마크(참조)'!$B$2:$B$28,"D30 리텐션")</f>
        <v>0.0478</v>
      </c>
      <c r="L7" s="60" t="n">
        <f aca="false">SUMIFS('4-1 지역 벤치마크(참조)'!$C$2:$C$28,'4-1 지역 벤치마크(참조)'!$A$2:$A$28,$B7,'4-1 지역 벤치마크(참조)'!$B$2:$B$28,"D30 리텐션")</f>
        <v>0.0118</v>
      </c>
      <c r="M7" s="61" t="n">
        <v>1.34</v>
      </c>
      <c r="N7" s="61" t="n">
        <v>0.55</v>
      </c>
      <c r="O7" s="61" t="n">
        <v>7.26</v>
      </c>
      <c r="P7" s="62" t="s">
        <v>610</v>
      </c>
    </row>
    <row r="8" customFormat="false" ht="32.8" hidden="false" customHeight="false" outlineLevel="0" collapsed="false">
      <c r="A8" s="57" t="s">
        <v>165</v>
      </c>
      <c r="B8" s="58" t="s">
        <v>605</v>
      </c>
      <c r="C8" s="58" t="s">
        <v>606</v>
      </c>
      <c r="D8" s="59" t="s">
        <v>607</v>
      </c>
      <c r="E8" s="60" t="n">
        <f aca="false">SUMIFS('4-1 지역 벤치마크(참조)'!$D$2:$D$28,'4-1 지역 벤치마크(참조)'!$A$2:$A$28,$B8,'4-1 지역 벤치마크(참조)'!$B$2:$B$28,"D1 리텐션")</f>
        <v>0.369</v>
      </c>
      <c r="F8" s="60" t="n">
        <f aca="false">SUMIFS('4-1 지역 벤치마크(참조)'!$C$2:$C$28,'4-1 지역 벤치마크(참조)'!$A$2:$A$28,$B8,'4-1 지역 벤치마크(참조)'!$B$2:$B$28,"D1 리텐션")</f>
        <v>0.2328</v>
      </c>
      <c r="G8" s="59" t="s">
        <v>608</v>
      </c>
      <c r="H8" s="60" t="n">
        <f aca="false">SUMIFS('4-1 지역 벤치마크(참조)'!$D$2:$D$28,'4-1 지역 벤치마크(참조)'!$A$2:$A$28,$B8,'4-1 지역 벤치마크(참조)'!$B$2:$B$28,"D7 리텐션")</f>
        <v>0.1258</v>
      </c>
      <c r="I8" s="60" t="n">
        <f aca="false">SUMIFS('4-1 지역 벤치마크(참조)'!$C$2:$C$28,'4-1 지역 벤치마크(참조)'!$A$2:$A$28,$B8,'4-1 지역 벤치마크(참조)'!$B$2:$B$28,"D7 리텐션")</f>
        <v>0.0497</v>
      </c>
      <c r="J8" s="59" t="s">
        <v>609</v>
      </c>
      <c r="K8" s="60" t="n">
        <f aca="false">SUMIFS('4-1 지역 벤치마크(참조)'!$D$2:$D$28,'4-1 지역 벤치마크(참조)'!$A$2:$A$28,$B8,'4-1 지역 벤치마크(참조)'!$B$2:$B$28,"D30 리텐션")</f>
        <v>0.0478</v>
      </c>
      <c r="L8" s="60" t="n">
        <f aca="false">SUMIFS('4-1 지역 벤치마크(참조)'!$C$2:$C$28,'4-1 지역 벤치마크(참조)'!$A$2:$A$28,$B8,'4-1 지역 벤치마크(참조)'!$B$2:$B$28,"D30 리텐션")</f>
        <v>0.0118</v>
      </c>
      <c r="M8" s="61" t="n">
        <v>1.34</v>
      </c>
      <c r="N8" s="61" t="n">
        <v>0.55</v>
      </c>
      <c r="O8" s="61" t="n">
        <v>7.26</v>
      </c>
      <c r="P8" s="62" t="s">
        <v>610</v>
      </c>
    </row>
    <row r="9" customFormat="false" ht="32.8" hidden="false" customHeight="false" outlineLevel="0" collapsed="false">
      <c r="A9" s="57" t="s">
        <v>169</v>
      </c>
      <c r="B9" s="58" t="s">
        <v>605</v>
      </c>
      <c r="C9" s="58" t="s">
        <v>606</v>
      </c>
      <c r="D9" s="59" t="s">
        <v>607</v>
      </c>
      <c r="E9" s="60" t="n">
        <f aca="false">SUMIFS('4-1 지역 벤치마크(참조)'!$D$2:$D$28,'4-1 지역 벤치마크(참조)'!$A$2:$A$28,$B9,'4-1 지역 벤치마크(참조)'!$B$2:$B$28,"D1 리텐션")</f>
        <v>0.369</v>
      </c>
      <c r="F9" s="60" t="n">
        <f aca="false">SUMIFS('4-1 지역 벤치마크(참조)'!$C$2:$C$28,'4-1 지역 벤치마크(참조)'!$A$2:$A$28,$B9,'4-1 지역 벤치마크(참조)'!$B$2:$B$28,"D1 리텐션")</f>
        <v>0.2328</v>
      </c>
      <c r="G9" s="59" t="s">
        <v>608</v>
      </c>
      <c r="H9" s="60" t="n">
        <f aca="false">SUMIFS('4-1 지역 벤치마크(참조)'!$D$2:$D$28,'4-1 지역 벤치마크(참조)'!$A$2:$A$28,$B9,'4-1 지역 벤치마크(참조)'!$B$2:$B$28,"D7 리텐션")</f>
        <v>0.1258</v>
      </c>
      <c r="I9" s="60" t="n">
        <f aca="false">SUMIFS('4-1 지역 벤치마크(참조)'!$C$2:$C$28,'4-1 지역 벤치마크(참조)'!$A$2:$A$28,$B9,'4-1 지역 벤치마크(참조)'!$B$2:$B$28,"D7 리텐션")</f>
        <v>0.0497</v>
      </c>
      <c r="J9" s="59" t="s">
        <v>609</v>
      </c>
      <c r="K9" s="60" t="n">
        <f aca="false">SUMIFS('4-1 지역 벤치마크(참조)'!$D$2:$D$28,'4-1 지역 벤치마크(참조)'!$A$2:$A$28,$B9,'4-1 지역 벤치마크(참조)'!$B$2:$B$28,"D30 리텐션")</f>
        <v>0.0478</v>
      </c>
      <c r="L9" s="60" t="n">
        <f aca="false">SUMIFS('4-1 지역 벤치마크(참조)'!$C$2:$C$28,'4-1 지역 벤치마크(참조)'!$A$2:$A$28,$B9,'4-1 지역 벤치마크(참조)'!$B$2:$B$28,"D30 리텐션")</f>
        <v>0.0118</v>
      </c>
      <c r="M9" s="61" t="n">
        <v>1.34</v>
      </c>
      <c r="N9" s="61" t="n">
        <v>0.55</v>
      </c>
      <c r="O9" s="61" t="n">
        <v>7.26</v>
      </c>
      <c r="P9" s="62" t="s">
        <v>610</v>
      </c>
    </row>
    <row r="10" customFormat="false" ht="32.8" hidden="false" customHeight="false" outlineLevel="0" collapsed="false">
      <c r="A10" s="57" t="s">
        <v>173</v>
      </c>
      <c r="B10" s="58" t="s">
        <v>605</v>
      </c>
      <c r="C10" s="58" t="s">
        <v>606</v>
      </c>
      <c r="D10" s="59" t="s">
        <v>607</v>
      </c>
      <c r="E10" s="60" t="n">
        <f aca="false">SUMIFS('4-1 지역 벤치마크(참조)'!$D$2:$D$28,'4-1 지역 벤치마크(참조)'!$A$2:$A$28,$B10,'4-1 지역 벤치마크(참조)'!$B$2:$B$28,"D1 리텐션")</f>
        <v>0.369</v>
      </c>
      <c r="F10" s="60" t="n">
        <f aca="false">SUMIFS('4-1 지역 벤치마크(참조)'!$C$2:$C$28,'4-1 지역 벤치마크(참조)'!$A$2:$A$28,$B10,'4-1 지역 벤치마크(참조)'!$B$2:$B$28,"D1 리텐션")</f>
        <v>0.2328</v>
      </c>
      <c r="G10" s="59" t="s">
        <v>608</v>
      </c>
      <c r="H10" s="60" t="n">
        <f aca="false">SUMIFS('4-1 지역 벤치마크(참조)'!$D$2:$D$28,'4-1 지역 벤치마크(참조)'!$A$2:$A$28,$B10,'4-1 지역 벤치마크(참조)'!$B$2:$B$28,"D7 리텐션")</f>
        <v>0.1258</v>
      </c>
      <c r="I10" s="60" t="n">
        <f aca="false">SUMIFS('4-1 지역 벤치마크(참조)'!$C$2:$C$28,'4-1 지역 벤치마크(참조)'!$A$2:$A$28,$B10,'4-1 지역 벤치마크(참조)'!$B$2:$B$28,"D7 리텐션")</f>
        <v>0.0497</v>
      </c>
      <c r="J10" s="59" t="s">
        <v>609</v>
      </c>
      <c r="K10" s="60" t="n">
        <f aca="false">SUMIFS('4-1 지역 벤치마크(참조)'!$D$2:$D$28,'4-1 지역 벤치마크(참조)'!$A$2:$A$28,$B10,'4-1 지역 벤치마크(참조)'!$B$2:$B$28,"D30 리텐션")</f>
        <v>0.0478</v>
      </c>
      <c r="L10" s="60" t="n">
        <f aca="false">SUMIFS('4-1 지역 벤치마크(참조)'!$C$2:$C$28,'4-1 지역 벤치마크(참조)'!$A$2:$A$28,$B10,'4-1 지역 벤치마크(참조)'!$B$2:$B$28,"D30 리텐션")</f>
        <v>0.0118</v>
      </c>
      <c r="M10" s="61" t="n">
        <v>1.34</v>
      </c>
      <c r="N10" s="61" t="n">
        <v>0.55</v>
      </c>
      <c r="O10" s="61" t="n">
        <v>7.26</v>
      </c>
      <c r="P10" s="62" t="s">
        <v>610</v>
      </c>
    </row>
    <row r="11" customFormat="false" ht="32.8" hidden="false" customHeight="false" outlineLevel="0" collapsed="false">
      <c r="A11" s="57" t="s">
        <v>176</v>
      </c>
      <c r="B11" s="58" t="s">
        <v>605</v>
      </c>
      <c r="C11" s="58" t="s">
        <v>611</v>
      </c>
      <c r="D11" s="59" t="s">
        <v>607</v>
      </c>
      <c r="E11" s="60" t="n">
        <f aca="false">SUMIFS('4-1 지역 벤치마크(참조)'!$D$2:$D$28,'4-1 지역 벤치마크(참조)'!$A$2:$A$28,$B11,'4-1 지역 벤치마크(참조)'!$B$2:$B$28,"D1 리텐션")</f>
        <v>0.369</v>
      </c>
      <c r="F11" s="60" t="n">
        <f aca="false">SUMIFS('4-1 지역 벤치마크(참조)'!$C$2:$C$28,'4-1 지역 벤치마크(참조)'!$A$2:$A$28,$B11,'4-1 지역 벤치마크(참조)'!$B$2:$B$28,"D1 리텐션")</f>
        <v>0.2328</v>
      </c>
      <c r="G11" s="59" t="s">
        <v>608</v>
      </c>
      <c r="H11" s="60" t="n">
        <f aca="false">SUMIFS('4-1 지역 벤치마크(참조)'!$D$2:$D$28,'4-1 지역 벤치마크(참조)'!$A$2:$A$28,$B11,'4-1 지역 벤치마크(참조)'!$B$2:$B$28,"D7 리텐션")</f>
        <v>0.1258</v>
      </c>
      <c r="I11" s="60" t="n">
        <f aca="false">SUMIFS('4-1 지역 벤치마크(참조)'!$C$2:$C$28,'4-1 지역 벤치마크(참조)'!$A$2:$A$28,$B11,'4-1 지역 벤치마크(참조)'!$B$2:$B$28,"D7 리텐션")</f>
        <v>0.0497</v>
      </c>
      <c r="J11" s="59" t="s">
        <v>609</v>
      </c>
      <c r="K11" s="60" t="n">
        <f aca="false">SUMIFS('4-1 지역 벤치마크(참조)'!$D$2:$D$28,'4-1 지역 벤치마크(참조)'!$A$2:$A$28,$B11,'4-1 지역 벤치마크(참조)'!$B$2:$B$28,"D30 리텐션")</f>
        <v>0.0478</v>
      </c>
      <c r="L11" s="60" t="n">
        <f aca="false">SUMIFS('4-1 지역 벤치마크(참조)'!$C$2:$C$28,'4-1 지역 벤치마크(참조)'!$A$2:$A$28,$B11,'4-1 지역 벤치마크(참조)'!$B$2:$B$28,"D30 리텐션")</f>
        <v>0.0118</v>
      </c>
      <c r="M11" s="61" t="n">
        <v>2.13</v>
      </c>
      <c r="N11" s="61" t="n">
        <v>0.4</v>
      </c>
      <c r="O11" s="61" t="n">
        <v>9.8</v>
      </c>
      <c r="P11" s="62" t="s">
        <v>610</v>
      </c>
    </row>
    <row r="12" customFormat="false" ht="32.8" hidden="false" customHeight="false" outlineLevel="0" collapsed="false">
      <c r="A12" s="57" t="s">
        <v>180</v>
      </c>
      <c r="B12" s="58" t="s">
        <v>612</v>
      </c>
      <c r="C12" s="58" t="s">
        <v>611</v>
      </c>
      <c r="D12" s="59" t="s">
        <v>607</v>
      </c>
      <c r="E12" s="60" t="n">
        <f aca="false">SUMIFS('4-1 지역 벤치마크(참조)'!$D$2:$D$28,'4-1 지역 벤치마크(참조)'!$A$2:$A$28,$B12,'4-1 지역 벤치마크(참조)'!$B$2:$B$28,"D1 리텐션")</f>
        <v>0.3406</v>
      </c>
      <c r="F12" s="60" t="n">
        <f aca="false">SUMIFS('4-1 지역 벤치마크(참조)'!$C$2:$C$28,'4-1 지역 벤치마크(참조)'!$A$2:$A$28,$B12,'4-1 지역 벤치마크(참조)'!$B$2:$B$28,"D1 리텐션")</f>
        <v>0.2009</v>
      </c>
      <c r="G12" s="59" t="s">
        <v>608</v>
      </c>
      <c r="H12" s="60" t="n">
        <f aca="false">SUMIFS('4-1 지역 벤치마크(참조)'!$D$2:$D$28,'4-1 지역 벤치마크(참조)'!$A$2:$A$28,$B12,'4-1 지역 벤치마크(참조)'!$B$2:$B$28,"D7 리텐션")</f>
        <v>0.0914</v>
      </c>
      <c r="I12" s="60" t="n">
        <f aca="false">SUMIFS('4-1 지역 벤치마크(참조)'!$C$2:$C$28,'4-1 지역 벤치마크(참조)'!$A$2:$A$28,$B12,'4-1 지역 벤치마크(참조)'!$B$2:$B$28,"D7 리텐션")</f>
        <v>0.0325</v>
      </c>
      <c r="J12" s="59" t="s">
        <v>609</v>
      </c>
      <c r="K12" s="60" t="n">
        <f aca="false">SUMIFS('4-1 지역 벤치마크(참조)'!$D$2:$D$28,'4-1 지역 벤치마크(참조)'!$A$2:$A$28,$B12,'4-1 지역 벤치마크(참조)'!$B$2:$B$28,"D30 리텐션")</f>
        <v>0.0254</v>
      </c>
      <c r="L12" s="60" t="n">
        <f aca="false">SUMIFS('4-1 지역 벤치마크(참조)'!$C$2:$C$28,'4-1 지역 벤치마크(참조)'!$A$2:$A$28,$B12,'4-1 지역 벤치마크(참조)'!$B$2:$B$28,"D30 리텐션")</f>
        <v>0.0065</v>
      </c>
      <c r="M12" s="61" t="n">
        <v>2.13</v>
      </c>
      <c r="N12" s="61" t="n">
        <v>0.4</v>
      </c>
      <c r="O12" s="61" t="n">
        <v>9.8</v>
      </c>
      <c r="P12" s="62" t="s">
        <v>610</v>
      </c>
    </row>
    <row r="13" customFormat="false" ht="32.8" hidden="false" customHeight="false" outlineLevel="0" collapsed="false">
      <c r="A13" s="63" t="s">
        <v>183</v>
      </c>
      <c r="B13" s="58" t="s">
        <v>613</v>
      </c>
      <c r="C13" s="64" t="s">
        <v>614</v>
      </c>
      <c r="D13" s="59" t="s">
        <v>607</v>
      </c>
      <c r="E13" s="60" t="n">
        <f aca="false">SUMIFS('4-1 지역 벤치마크(참조)'!$D$2:$D$28,'4-1 지역 벤치마크(참조)'!$A$2:$A$28,$B13,'4-1 지역 벤치마크(참조)'!$B$2:$B$28,"D1 리텐션")</f>
        <v>0.3277</v>
      </c>
      <c r="F13" s="60" t="n">
        <f aca="false">SUMIFS('4-1 지역 벤치마크(참조)'!$C$2:$C$28,'4-1 지역 벤치마크(참조)'!$A$2:$A$28,$B13,'4-1 지역 벤치마크(참조)'!$B$2:$B$28,"D1 리텐션")</f>
        <v>0.175</v>
      </c>
      <c r="G13" s="59" t="s">
        <v>608</v>
      </c>
      <c r="H13" s="60" t="n">
        <f aca="false">SUMIFS('4-1 지역 벤치마크(참조)'!$D$2:$D$28,'4-1 지역 벤치마크(참조)'!$A$2:$A$28,$B13,'4-1 지역 벤치마크(참조)'!$B$2:$B$28,"D7 리텐션")</f>
        <v>0.0865</v>
      </c>
      <c r="I13" s="60" t="n">
        <f aca="false">SUMIFS('4-1 지역 벤치마크(참조)'!$C$2:$C$28,'4-1 지역 벤치마크(참조)'!$A$2:$A$28,$B13,'4-1 지역 벤치마크(참조)'!$B$2:$B$28,"D7 리텐션")</f>
        <v>0.0268</v>
      </c>
      <c r="J13" s="59" t="s">
        <v>609</v>
      </c>
      <c r="K13" s="60" t="n">
        <f aca="false">SUMIFS('4-1 지역 벤치마크(참조)'!$D$2:$D$28,'4-1 지역 벤치마크(참조)'!$A$2:$A$28,$B13,'4-1 지역 벤치마크(참조)'!$B$2:$B$28,"D30 리텐션")</f>
        <v>0.0259</v>
      </c>
      <c r="L13" s="60" t="n">
        <f aca="false">SUMIFS('4-1 지역 벤치마크(참조)'!$C$2:$C$28,'4-1 지역 벤치마크(참조)'!$A$2:$A$28,$B13,'4-1 지역 벤치마크(참조)'!$B$2:$B$28,"D30 리텐션")</f>
        <v>0.0053</v>
      </c>
      <c r="M13" s="65"/>
      <c r="N13" s="65"/>
      <c r="O13" s="65"/>
      <c r="P13" s="62" t="s">
        <v>610</v>
      </c>
    </row>
    <row r="14" customFormat="false" ht="32.8" hidden="false" customHeight="false" outlineLevel="0" collapsed="false">
      <c r="A14" s="63" t="s">
        <v>186</v>
      </c>
      <c r="B14" s="58" t="s">
        <v>613</v>
      </c>
      <c r="C14" s="58" t="s">
        <v>611</v>
      </c>
      <c r="D14" s="59" t="s">
        <v>607</v>
      </c>
      <c r="E14" s="60" t="n">
        <f aca="false">SUMIFS('4-1 지역 벤치마크(참조)'!$D$2:$D$28,'4-1 지역 벤치마크(참조)'!$A$2:$A$28,$B14,'4-1 지역 벤치마크(참조)'!$B$2:$B$28,"D1 리텐션")</f>
        <v>0.3277</v>
      </c>
      <c r="F14" s="60" t="n">
        <f aca="false">SUMIFS('4-1 지역 벤치마크(참조)'!$C$2:$C$28,'4-1 지역 벤치마크(참조)'!$A$2:$A$28,$B14,'4-1 지역 벤치마크(참조)'!$B$2:$B$28,"D1 리텐션")</f>
        <v>0.175</v>
      </c>
      <c r="G14" s="59" t="s">
        <v>608</v>
      </c>
      <c r="H14" s="60" t="n">
        <f aca="false">SUMIFS('4-1 지역 벤치마크(참조)'!$D$2:$D$28,'4-1 지역 벤치마크(참조)'!$A$2:$A$28,$B14,'4-1 지역 벤치마크(참조)'!$B$2:$B$28,"D7 리텐션")</f>
        <v>0.0865</v>
      </c>
      <c r="I14" s="60" t="n">
        <f aca="false">SUMIFS('4-1 지역 벤치마크(참조)'!$C$2:$C$28,'4-1 지역 벤치마크(참조)'!$A$2:$A$28,$B14,'4-1 지역 벤치마크(참조)'!$B$2:$B$28,"D7 리텐션")</f>
        <v>0.0268</v>
      </c>
      <c r="J14" s="59" t="s">
        <v>609</v>
      </c>
      <c r="K14" s="60" t="n">
        <f aca="false">SUMIFS('4-1 지역 벤치마크(참조)'!$D$2:$D$28,'4-1 지역 벤치마크(참조)'!$A$2:$A$28,$B14,'4-1 지역 벤치마크(참조)'!$B$2:$B$28,"D30 리텐션")</f>
        <v>0.0259</v>
      </c>
      <c r="L14" s="60" t="n">
        <f aca="false">SUMIFS('4-1 지역 벤치마크(참조)'!$C$2:$C$28,'4-1 지역 벤치마크(참조)'!$A$2:$A$28,$B14,'4-1 지역 벤치마크(참조)'!$B$2:$B$28,"D30 리텐션")</f>
        <v>0.0053</v>
      </c>
      <c r="M14" s="61" t="n">
        <v>2.13</v>
      </c>
      <c r="N14" s="61" t="n">
        <v>0.4</v>
      </c>
      <c r="O14" s="61" t="n">
        <v>9.8</v>
      </c>
      <c r="P14" s="62" t="s">
        <v>610</v>
      </c>
    </row>
    <row r="16" customFormat="false" ht="17.15" hidden="false" customHeight="false" outlineLevel="0" collapsed="false">
      <c r="A16" s="24" t="s">
        <v>615</v>
      </c>
    </row>
    <row r="17" customFormat="false" ht="17.15" hidden="false" customHeight="false" outlineLevel="0" collapsed="false">
      <c r="A17" s="40" t="s">
        <v>616</v>
      </c>
    </row>
    <row r="18" customFormat="false" ht="17.15" hidden="false" customHeight="false" outlineLevel="0" collapsed="false">
      <c r="A18" s="24" t="s">
        <v>617</v>
      </c>
    </row>
    <row r="19" customFormat="false" ht="17.15" hidden="false" customHeight="false" outlineLevel="0" collapsed="false">
      <c r="A19" s="24" t="s">
        <v>618</v>
      </c>
    </row>
    <row r="20" customFormat="false" ht="17.15" hidden="false" customHeight="false" outlineLevel="0" collapsed="false">
      <c r="A20" s="40" t="s">
        <v>619</v>
      </c>
    </row>
    <row r="21" customFormat="false" ht="17.15" hidden="false" customHeight="false" outlineLevel="0" collapsed="false">
      <c r="A21" s="24" t="s">
        <v>620</v>
      </c>
    </row>
  </sheetData>
  <mergeCells count="4">
    <mergeCell ref="D1:F1"/>
    <mergeCell ref="G1:I1"/>
    <mergeCell ref="J1:L1"/>
    <mergeCell ref="M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2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9" min="7" style="0" width="9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20.1" hidden="false" customHeight="false" outlineLevel="0" collapsed="false">
      <c r="A1" s="66" t="s">
        <v>621</v>
      </c>
    </row>
    <row r="2" customFormat="false" ht="17.15" hidden="false" customHeight="false" outlineLevel="0" collapsed="false">
      <c r="A2" s="67" t="s">
        <v>622</v>
      </c>
    </row>
    <row r="4" customFormat="false" ht="36" hidden="false" customHeight="true" outlineLevel="0" collapsed="false">
      <c r="A4" s="20" t="s">
        <v>623</v>
      </c>
      <c r="B4" s="20" t="s">
        <v>624</v>
      </c>
      <c r="C4" s="20" t="s">
        <v>625</v>
      </c>
      <c r="D4" s="20" t="s">
        <v>626</v>
      </c>
      <c r="E4" s="20" t="s">
        <v>627</v>
      </c>
      <c r="F4" s="20" t="s">
        <v>628</v>
      </c>
      <c r="G4" s="26" t="s">
        <v>629</v>
      </c>
      <c r="H4" s="26" t="s">
        <v>630</v>
      </c>
      <c r="I4" s="26" t="s">
        <v>631</v>
      </c>
      <c r="J4" s="20" t="s">
        <v>632</v>
      </c>
      <c r="K4" s="20" t="s">
        <v>633</v>
      </c>
      <c r="L4" s="20" t="s">
        <v>634</v>
      </c>
      <c r="M4" s="20" t="s">
        <v>635</v>
      </c>
    </row>
    <row r="5" customFormat="false" ht="33.75" hidden="false" customHeight="true" outlineLevel="0" collapsed="false">
      <c r="A5" s="68" t="s">
        <v>636</v>
      </c>
      <c r="B5" s="69" t="s">
        <v>637</v>
      </c>
      <c r="C5" s="70" t="s">
        <v>638</v>
      </c>
      <c r="D5" s="71" t="s">
        <v>639</v>
      </c>
      <c r="E5" s="71" t="s">
        <v>640</v>
      </c>
      <c r="F5" s="69" t="s">
        <v>641</v>
      </c>
      <c r="G5" s="60" t="n">
        <f aca="false">INDEX('4-3 장르 판독 요약(참조)'!$C$5:$C$20,MATCH($C5,'4-3 장르 판독 요약(참조)'!$A$5:$A$20,0))</f>
        <v>0.20205</v>
      </c>
      <c r="H5" s="60" t="n">
        <f aca="false">INDEX('4-3 장르 판독 요약(참조)'!$E$5:$E$20,MATCH($C5,'4-3 장르 판독 요약(참조)'!$A$5:$A$20,0))</f>
        <v>0.0453583333333333</v>
      </c>
      <c r="I5" s="60" t="n">
        <f aca="false">INDEX('4-3 장르 판독 요약(참조)'!$G$5:$G$20,MATCH($C5,'4-3 장르 판독 요약(참조)'!$A$5:$A$20,0))</f>
        <v>0.0119</v>
      </c>
      <c r="J5" s="72" t="n">
        <f aca="false">INDEX('4-3 장르 판독 요약(참조)'!$I$5:$I$20,MATCH($C5,'4-3 장르 판독 요약(참조)'!$A$5:$A$20,0))</f>
        <v>30.1916666666667</v>
      </c>
      <c r="K5" s="72" t="n">
        <f aca="false">INDEX('4-3 장르 판독 요약(참조)'!$K$5:$K$20,MATCH($C5,'4-3 장르 판독 요약(참조)'!$A$5:$A$20,0))</f>
        <v>5.64166666666667</v>
      </c>
      <c r="L5" s="73" t="n">
        <f aca="false">INDEX('4-3 장르 판독 요약(참조)'!$M$5:$M$20,MATCH($C5,'4-3 장르 판독 요약(참조)'!$A$5:$A$20,0))</f>
        <v>4.77583333333333</v>
      </c>
      <c r="M5" s="71" t="str">
        <f aca="false">INDEX('4-3 장르 판독 요약(참조)'!$O$5:$O$20,MATCH($C5,'4-3 장르 판독 요약(참조)'!$A$5:$A$20,0))</f>
        <v>다음날 20.2명 → 1주 뒤 4.5명 → 4주 뒤 1.2명이 다시 옴</v>
      </c>
    </row>
    <row r="6" customFormat="false" ht="33.75" hidden="false" customHeight="true" outlineLevel="0" collapsed="false">
      <c r="A6" s="68" t="s">
        <v>642</v>
      </c>
      <c r="B6" s="69" t="s">
        <v>643</v>
      </c>
      <c r="C6" s="70" t="s">
        <v>638</v>
      </c>
      <c r="D6" s="69" t="s">
        <v>644</v>
      </c>
      <c r="E6" s="71" t="s">
        <v>640</v>
      </c>
      <c r="F6" s="69" t="s">
        <v>645</v>
      </c>
      <c r="G6" s="60" t="n">
        <f aca="false">INDEX('4-3 장르 판독 요약(참조)'!$C$5:$C$20,MATCH($C6,'4-3 장르 판독 요약(참조)'!$A$5:$A$20,0))</f>
        <v>0.20205</v>
      </c>
      <c r="H6" s="60" t="n">
        <f aca="false">INDEX('4-3 장르 판독 요약(참조)'!$E$5:$E$20,MATCH($C6,'4-3 장르 판독 요약(참조)'!$A$5:$A$20,0))</f>
        <v>0.0453583333333333</v>
      </c>
      <c r="I6" s="60" t="n">
        <f aca="false">INDEX('4-3 장르 판독 요약(참조)'!$G$5:$G$20,MATCH($C6,'4-3 장르 판독 요약(참조)'!$A$5:$A$20,0))</f>
        <v>0.0119</v>
      </c>
      <c r="J6" s="72" t="n">
        <f aca="false">INDEX('4-3 장르 판독 요약(참조)'!$I$5:$I$20,MATCH($C6,'4-3 장르 판독 요약(참조)'!$A$5:$A$20,0))</f>
        <v>30.1916666666667</v>
      </c>
      <c r="K6" s="72" t="n">
        <f aca="false">INDEX('4-3 장르 판독 요약(참조)'!$K$5:$K$20,MATCH($C6,'4-3 장르 판독 요약(참조)'!$A$5:$A$20,0))</f>
        <v>5.64166666666667</v>
      </c>
      <c r="L6" s="73" t="n">
        <f aca="false">INDEX('4-3 장르 판독 요약(참조)'!$M$5:$M$20,MATCH($C6,'4-3 장르 판독 요약(참조)'!$A$5:$A$20,0))</f>
        <v>4.77583333333333</v>
      </c>
      <c r="M6" s="71" t="str">
        <f aca="false">INDEX('4-3 장르 판독 요약(참조)'!$O$5:$O$20,MATCH($C6,'4-3 장르 판독 요약(참조)'!$A$5:$A$20,0))</f>
        <v>다음날 20.2명 → 1주 뒤 4.5명 → 4주 뒤 1.2명이 다시 옴</v>
      </c>
    </row>
    <row r="7" customFormat="false" ht="33.75" hidden="false" customHeight="true" outlineLevel="0" collapsed="false">
      <c r="A7" s="68" t="s">
        <v>646</v>
      </c>
      <c r="B7" s="69" t="s">
        <v>647</v>
      </c>
      <c r="C7" s="70" t="s">
        <v>648</v>
      </c>
      <c r="D7" s="71" t="s">
        <v>649</v>
      </c>
      <c r="E7" s="74" t="s">
        <v>650</v>
      </c>
      <c r="F7" s="69" t="s">
        <v>651</v>
      </c>
      <c r="G7" s="60" t="n">
        <f aca="false">INDEX('4-3 장르 판독 요약(참조)'!$C$5:$C$20,MATCH($C7,'4-3 장르 판독 요약(참조)'!$A$5:$A$20,0))</f>
        <v>0.190991666666667</v>
      </c>
      <c r="H7" s="60" t="n">
        <f aca="false">INDEX('4-3 장르 판독 요약(참조)'!$E$5:$E$20,MATCH($C7,'4-3 장르 판독 요약(참조)'!$A$5:$A$20,0))</f>
        <v>0.0582833333333333</v>
      </c>
      <c r="I7" s="60" t="n">
        <f aca="false">INDEX('4-3 장르 판독 요약(참조)'!$G$5:$G$20,MATCH($C7,'4-3 장르 판독 요약(참조)'!$A$5:$A$20,0))</f>
        <v>0.0217166666666667</v>
      </c>
      <c r="J7" s="72" t="n">
        <f aca="false">INDEX('4-3 장르 판독 요약(참조)'!$I$5:$I$20,MATCH($C7,'4-3 장르 판독 요약(참조)'!$A$5:$A$20,0))</f>
        <v>41.0583333333333</v>
      </c>
      <c r="K7" s="72" t="n">
        <f aca="false">INDEX('4-3 장르 판독 요약(참조)'!$K$5:$K$20,MATCH($C7,'4-3 장르 판독 요약(참조)'!$A$5:$A$20,0))</f>
        <v>7.29166666666667</v>
      </c>
      <c r="L7" s="73" t="n">
        <f aca="false">INDEX('4-3 장르 판독 요약(참조)'!$M$5:$M$20,MATCH($C7,'4-3 장르 판독 요약(참조)'!$A$5:$A$20,0))</f>
        <v>5.08833333333333</v>
      </c>
      <c r="M7" s="71" t="str">
        <f aca="false">INDEX('4-3 장르 판독 요약(참조)'!$O$5:$O$20,MATCH($C7,'4-3 장르 판독 요약(참조)'!$A$5:$A$20,0))</f>
        <v>다음날 19.1명 → 1주 뒤 5.8명 → 4주 뒤 2.2명이 다시 옴</v>
      </c>
    </row>
    <row r="8" customFormat="false" ht="33.75" hidden="false" customHeight="true" outlineLevel="0" collapsed="false">
      <c r="A8" s="68" t="s">
        <v>652</v>
      </c>
      <c r="B8" s="69" t="s">
        <v>653</v>
      </c>
      <c r="C8" s="70" t="s">
        <v>654</v>
      </c>
      <c r="D8" s="71" t="s">
        <v>655</v>
      </c>
      <c r="E8" s="71" t="s">
        <v>640</v>
      </c>
      <c r="F8" s="69" t="s">
        <v>656</v>
      </c>
      <c r="G8" s="60" t="n">
        <f aca="false">INDEX('4-3 장르 판독 요약(참조)'!$C$5:$C$20,MATCH($C8,'4-3 장르 판독 요약(참조)'!$A$5:$A$20,0))</f>
        <v>0.198991666666667</v>
      </c>
      <c r="H8" s="60" t="n">
        <f aca="false">INDEX('4-3 장르 판독 요약(참조)'!$E$5:$E$20,MATCH($C8,'4-3 장르 판독 요약(참조)'!$A$5:$A$20,0))</f>
        <v>0.03365</v>
      </c>
      <c r="I8" s="60" t="n">
        <f aca="false">INDEX('4-3 장르 판독 요약(참조)'!$G$5:$G$20,MATCH($C8,'4-3 장르 판독 요약(참조)'!$A$5:$A$20,0))</f>
        <v>0.00714166666666667</v>
      </c>
      <c r="J8" s="72" t="n">
        <f aca="false">INDEX('4-3 장르 판독 요약(참조)'!$I$5:$I$20,MATCH($C8,'4-3 장르 판독 요약(참조)'!$A$5:$A$20,0))</f>
        <v>23.5</v>
      </c>
      <c r="K8" s="72" t="n">
        <f aca="false">INDEX('4-3 장르 판독 요약(참조)'!$K$5:$K$20,MATCH($C8,'4-3 장르 판독 요약(참조)'!$A$5:$A$20,0))</f>
        <v>5.45</v>
      </c>
      <c r="L8" s="73" t="n">
        <f aca="false">INDEX('4-3 장르 판독 요약(참조)'!$M$5:$M$20,MATCH($C8,'4-3 장르 판독 요약(참조)'!$A$5:$A$20,0))</f>
        <v>4.29666666666667</v>
      </c>
      <c r="M8" s="71" t="str">
        <f aca="false">INDEX('4-3 장르 판독 요약(참조)'!$O$5:$O$20,MATCH($C8,'4-3 장르 판독 요약(참조)'!$A$5:$A$20,0))</f>
        <v>다음날 19.9명 → 1주 뒤 3.4명 → 4주 뒤 0.7명이 다시 옴</v>
      </c>
    </row>
    <row r="9" customFormat="false" ht="33.75" hidden="false" customHeight="true" outlineLevel="0" collapsed="false">
      <c r="A9" s="68" t="s">
        <v>657</v>
      </c>
      <c r="B9" s="69" t="s">
        <v>658</v>
      </c>
      <c r="C9" s="70" t="s">
        <v>659</v>
      </c>
      <c r="D9" s="71" t="s">
        <v>655</v>
      </c>
      <c r="E9" s="71" t="s">
        <v>640</v>
      </c>
      <c r="F9" s="69" t="s">
        <v>660</v>
      </c>
      <c r="G9" s="60" t="n">
        <f aca="false">INDEX('4-3 장르 판독 요약(참조)'!$C$5:$C$20,MATCH($C9,'4-3 장르 판독 요약(참조)'!$A$5:$A$20,0))</f>
        <v>0.183533333333333</v>
      </c>
      <c r="H9" s="60" t="n">
        <f aca="false">INDEX('4-3 장르 판독 요약(참조)'!$E$5:$E$20,MATCH($C9,'4-3 장르 판독 요약(참조)'!$A$5:$A$20,0))</f>
        <v>0.029125</v>
      </c>
      <c r="I9" s="60" t="n">
        <f aca="false">INDEX('4-3 장르 판독 요약(참조)'!$G$5:$G$20,MATCH($C9,'4-3 장르 판독 요약(참조)'!$A$5:$A$20,0))</f>
        <v>0.00633333333333333</v>
      </c>
      <c r="J9" s="72" t="n">
        <f aca="false">INDEX('4-3 장르 판독 요약(참조)'!$I$5:$I$20,MATCH($C9,'4-3 장르 판독 요약(참조)'!$A$5:$A$20,0))</f>
        <v>14.0833333333333</v>
      </c>
      <c r="K9" s="72" t="n">
        <f aca="false">INDEX('4-3 장르 판독 요약(참조)'!$K$5:$K$20,MATCH($C9,'4-3 장르 판독 요약(참조)'!$A$5:$A$20,0))</f>
        <v>3.85833333333333</v>
      </c>
      <c r="L9" s="73" t="n">
        <f aca="false">INDEX('4-3 장르 판독 요약(참조)'!$M$5:$M$20,MATCH($C9,'4-3 장르 판독 요약(참조)'!$A$5:$A$20,0))</f>
        <v>3.55916666666667</v>
      </c>
      <c r="M9" s="71" t="str">
        <f aca="false">INDEX('4-3 장르 판독 요약(참조)'!$O$5:$O$20,MATCH($C9,'4-3 장르 판독 요약(참조)'!$A$5:$A$20,0))</f>
        <v>다음날 18.4명 → 1주 뒤 2.9명 → 4주 뒤 0.6명이 다시 옴</v>
      </c>
    </row>
    <row r="10" customFormat="false" ht="33.75" hidden="false" customHeight="true" outlineLevel="0" collapsed="false">
      <c r="A10" s="68" t="s">
        <v>661</v>
      </c>
      <c r="B10" s="69" t="s">
        <v>418</v>
      </c>
      <c r="C10" s="70" t="s">
        <v>662</v>
      </c>
      <c r="D10" s="71" t="s">
        <v>663</v>
      </c>
      <c r="E10" s="74" t="s">
        <v>650</v>
      </c>
      <c r="F10" s="69" t="s">
        <v>664</v>
      </c>
      <c r="G10" s="60" t="n">
        <f aca="false">INDEX('4-3 장르 판독 요약(참조)'!$C$5:$C$20,MATCH($C10,'4-3 장르 판독 요약(참조)'!$A$5:$A$20,0))</f>
        <v>0.160516666666667</v>
      </c>
      <c r="H10" s="60" t="n">
        <f aca="false">INDEX('4-3 장르 판독 요약(참조)'!$E$5:$E$20,MATCH($C10,'4-3 장르 판독 요약(참조)'!$A$5:$A$20,0))</f>
        <v>0.0228166666666667</v>
      </c>
      <c r="I10" s="60" t="n">
        <f aca="false">INDEX('4-3 장르 판독 요약(참조)'!$G$5:$G$20,MATCH($C10,'4-3 장르 판독 요약(참조)'!$A$5:$A$20,0))</f>
        <v>0.00481666666666667</v>
      </c>
      <c r="J10" s="72" t="n">
        <f aca="false">INDEX('4-3 장르 판독 요약(참조)'!$I$5:$I$20,MATCH($C10,'4-3 장르 판독 요약(참조)'!$A$5:$A$20,0))</f>
        <v>16.4</v>
      </c>
      <c r="K10" s="72" t="n">
        <f aca="false">INDEX('4-3 장르 판독 요약(참조)'!$K$5:$K$20,MATCH($C10,'4-3 장르 판독 요약(참조)'!$A$5:$A$20,0))</f>
        <v>4.60833333333333</v>
      </c>
      <c r="L10" s="73" t="n">
        <f aca="false">INDEX('4-3 장르 판독 요약(참조)'!$M$5:$M$20,MATCH($C10,'4-3 장르 판독 요약(참조)'!$A$5:$A$20,0))</f>
        <v>3.69833333333333</v>
      </c>
      <c r="M10" s="71" t="str">
        <f aca="false">INDEX('4-3 장르 판독 요약(참조)'!$O$5:$O$20,MATCH($C10,'4-3 장르 판독 요약(참조)'!$A$5:$A$20,0))</f>
        <v>다음날 16.1명 → 1주 뒤 2.3명 → 4주 뒤 0.5명이 다시 옴</v>
      </c>
    </row>
    <row r="11" customFormat="false" ht="33.75" hidden="false" customHeight="true" outlineLevel="0" collapsed="false">
      <c r="A11" s="68" t="s">
        <v>665</v>
      </c>
      <c r="B11" s="69" t="s">
        <v>425</v>
      </c>
      <c r="C11" s="70" t="s">
        <v>666</v>
      </c>
      <c r="D11" s="71" t="s">
        <v>667</v>
      </c>
      <c r="E11" s="71" t="s">
        <v>640</v>
      </c>
      <c r="F11" s="69" t="s">
        <v>668</v>
      </c>
      <c r="G11" s="60" t="n">
        <f aca="false">INDEX('4-3 장르 판독 요약(참조)'!$C$5:$C$20,MATCH($C11,'4-3 장르 판독 요약(참조)'!$A$5:$A$20,0))</f>
        <v>0.188383333333333</v>
      </c>
      <c r="H11" s="60" t="n">
        <f aca="false">INDEX('4-3 장르 판독 요약(참조)'!$E$5:$E$20,MATCH($C11,'4-3 장르 판독 요약(참조)'!$A$5:$A$20,0))</f>
        <v>0.0672</v>
      </c>
      <c r="I11" s="60" t="n">
        <f aca="false">INDEX('4-3 장르 판독 요약(참조)'!$G$5:$G$20,MATCH($C11,'4-3 장르 판독 요약(참조)'!$A$5:$A$20,0))</f>
        <v>0.03</v>
      </c>
      <c r="J11" s="72" t="n">
        <f aca="false">INDEX('4-3 장르 판독 요약(참조)'!$I$5:$I$20,MATCH($C11,'4-3 장르 판독 요약(참조)'!$A$5:$A$20,0))</f>
        <v>48.525</v>
      </c>
      <c r="K11" s="72" t="n">
        <f aca="false">INDEX('4-3 장르 판독 요약(참조)'!$K$5:$K$20,MATCH($C11,'4-3 장르 판독 요약(참조)'!$A$5:$A$20,0))</f>
        <v>8.30833333333333</v>
      </c>
      <c r="L11" s="73" t="n">
        <f aca="false">INDEX('4-3 장르 판독 요약(참조)'!$M$5:$M$20,MATCH($C11,'4-3 장르 판독 요약(참조)'!$A$5:$A$20,0))</f>
        <v>4.86</v>
      </c>
      <c r="M11" s="71" t="str">
        <f aca="false">INDEX('4-3 장르 판독 요약(참조)'!$O$5:$O$20,MATCH($C11,'4-3 장르 판독 요약(참조)'!$A$5:$A$20,0))</f>
        <v>다음날 18.8명 → 1주 뒤 6.7명 → 4주 뒤 3.0명이 다시 옴</v>
      </c>
    </row>
    <row r="12" customFormat="false" ht="33.75" hidden="false" customHeight="true" outlineLevel="0" collapsed="false">
      <c r="A12" s="68" t="s">
        <v>669</v>
      </c>
      <c r="B12" s="71" t="s">
        <v>670</v>
      </c>
      <c r="C12" s="70" t="s">
        <v>671</v>
      </c>
      <c r="D12" s="71" t="s">
        <v>672</v>
      </c>
      <c r="E12" s="71" t="s">
        <v>640</v>
      </c>
      <c r="F12" s="69" t="s">
        <v>673</v>
      </c>
      <c r="G12" s="60" t="n">
        <f aca="false">INDEX('4-3 장르 판독 요약(참조)'!$C$5:$C$20,MATCH($C12,'4-3 장르 판독 요약(참조)'!$A$5:$A$20,0))</f>
        <v>0.150716666666667</v>
      </c>
      <c r="H12" s="60" t="n">
        <f aca="false">INDEX('4-3 장르 판독 요약(참조)'!$E$5:$E$20,MATCH($C12,'4-3 장르 판독 요약(참조)'!$A$5:$A$20,0))</f>
        <v>0.020725</v>
      </c>
      <c r="I12" s="60" t="n">
        <f aca="false">INDEX('4-3 장르 판독 요약(참조)'!$G$5:$G$20,MATCH($C12,'4-3 장르 판독 요약(참조)'!$A$5:$A$20,0))</f>
        <v>0.004325</v>
      </c>
      <c r="J12" s="72" t="n">
        <f aca="false">INDEX('4-3 장르 판독 요약(참조)'!$I$5:$I$20,MATCH($C12,'4-3 장르 판독 요약(참조)'!$A$5:$A$20,0))</f>
        <v>15.6416666666667</v>
      </c>
      <c r="K12" s="72" t="n">
        <f aca="false">INDEX('4-3 장르 판독 요약(참조)'!$K$5:$K$20,MATCH($C12,'4-3 장르 판독 요약(참조)'!$A$5:$A$20,0))</f>
        <v>4.375</v>
      </c>
      <c r="L12" s="73" t="n">
        <f aca="false">INDEX('4-3 장르 판독 요약(참조)'!$M$5:$M$20,MATCH($C12,'4-3 장르 판독 요약(참조)'!$A$5:$A$20,0))</f>
        <v>4.015</v>
      </c>
      <c r="M12" s="71" t="str">
        <f aca="false">INDEX('4-3 장르 판독 요약(참조)'!$O$5:$O$20,MATCH($C12,'4-3 장르 판독 요약(참조)'!$A$5:$A$20,0))</f>
        <v>다음날 15.1명 → 1주 뒤 2.1명 → 4주 뒤 0.4명이 다시 옴</v>
      </c>
    </row>
    <row r="14" customFormat="false" ht="17.15" hidden="false" customHeight="false" outlineLevel="0" collapsed="false">
      <c r="A14" s="24" t="s">
        <v>674</v>
      </c>
    </row>
    <row r="15" customFormat="false" ht="17.15" hidden="false" customHeight="false" outlineLevel="0" collapsed="false">
      <c r="A15" s="40" t="s">
        <v>675</v>
      </c>
    </row>
    <row r="16" customFormat="false" ht="17.15" hidden="false" customHeight="false" outlineLevel="0" collapsed="false">
      <c r="A16" s="40" t="s">
        <v>676</v>
      </c>
    </row>
    <row r="17" customFormat="false" ht="17.15" hidden="false" customHeight="false" outlineLevel="0" collapsed="false">
      <c r="A17" s="24" t="s">
        <v>677</v>
      </c>
    </row>
  </sheetData>
  <conditionalFormatting sqref="G5:G1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H5:H1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I5:I12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J5:J12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12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L5:L12">
    <cfRule type="colorScale" priority="7">
      <colorScale>
        <cfvo type="min" val="0"/>
        <cfvo type="max" val="0"/>
        <color rgb="FFF2F2F2"/>
        <color rgb="FF8EA9DB"/>
      </colorScale>
    </cfRule>
  </conditionalFormatting>
  <dataValidations count="1">
    <dataValidation allowBlank="false" errorStyle="stop" operator="between" showDropDown="false" showErrorMessage="false" showInputMessage="false" sqref="C5:C12" type="list">
      <formula1>'4-3 장르 판독 요약(참조)'!$A$5:$A$20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6"/>
    <col collapsed="false" customWidth="true" hidden="false" outlineLevel="0" max="7" min="7" style="0" width="60"/>
  </cols>
  <sheetData>
    <row r="1" customFormat="false" ht="29.85" hidden="false" customHeight="false" outlineLevel="0" collapsed="false">
      <c r="A1" s="20" t="s">
        <v>678</v>
      </c>
      <c r="B1" s="20" t="s">
        <v>679</v>
      </c>
      <c r="C1" s="26" t="s">
        <v>680</v>
      </c>
      <c r="D1" s="26" t="s">
        <v>681</v>
      </c>
      <c r="E1" s="26" t="s">
        <v>682</v>
      </c>
      <c r="F1" s="20" t="s">
        <v>683</v>
      </c>
      <c r="G1" s="20" t="s">
        <v>684</v>
      </c>
      <c r="I1" s="75" t="s">
        <v>685</v>
      </c>
    </row>
    <row r="2" customFormat="false" ht="17.15" hidden="false" customHeight="false" outlineLevel="0" collapsed="false">
      <c r="A2" s="76" t="s">
        <v>605</v>
      </c>
      <c r="B2" s="77" t="s">
        <v>686</v>
      </c>
      <c r="C2" s="78" t="n">
        <v>0.2328</v>
      </c>
      <c r="D2" s="78" t="n">
        <v>0.369</v>
      </c>
      <c r="E2" s="78" t="n">
        <v>0.5089</v>
      </c>
      <c r="F2" s="77" t="s">
        <v>687</v>
      </c>
      <c r="G2" s="77" t="s">
        <v>688</v>
      </c>
    </row>
    <row r="3" customFormat="false" ht="17.15" hidden="false" customHeight="false" outlineLevel="0" collapsed="false">
      <c r="A3" s="76" t="s">
        <v>605</v>
      </c>
      <c r="B3" s="77" t="s">
        <v>689</v>
      </c>
      <c r="C3" s="78" t="n">
        <v>0.0497</v>
      </c>
      <c r="D3" s="78" t="n">
        <v>0.1258</v>
      </c>
      <c r="E3" s="78" t="n">
        <v>0.2478</v>
      </c>
      <c r="F3" s="77" t="s">
        <v>687</v>
      </c>
      <c r="G3" s="77" t="s">
        <v>688</v>
      </c>
    </row>
    <row r="4" customFormat="false" ht="17.15" hidden="false" customHeight="false" outlineLevel="0" collapsed="false">
      <c r="A4" s="76" t="s">
        <v>605</v>
      </c>
      <c r="B4" s="77" t="s">
        <v>690</v>
      </c>
      <c r="C4" s="78" t="n">
        <v>0.0118</v>
      </c>
      <c r="D4" s="78" t="n">
        <v>0.0478</v>
      </c>
      <c r="E4" s="78" t="n">
        <v>0.1326</v>
      </c>
      <c r="F4" s="77" t="s">
        <v>687</v>
      </c>
      <c r="G4" s="77" t="s">
        <v>688</v>
      </c>
    </row>
    <row r="5" customFormat="false" ht="17.15" hidden="false" customHeight="false" outlineLevel="0" collapsed="false">
      <c r="A5" s="76" t="s">
        <v>605</v>
      </c>
      <c r="B5" s="76" t="s">
        <v>691</v>
      </c>
      <c r="C5" s="79" t="n">
        <v>14.45</v>
      </c>
      <c r="D5" s="79" t="n">
        <v>45.84</v>
      </c>
      <c r="E5" s="79" t="n">
        <v>89.43</v>
      </c>
      <c r="F5" s="76" t="s">
        <v>692</v>
      </c>
      <c r="G5" s="77" t="s">
        <v>688</v>
      </c>
    </row>
    <row r="6" customFormat="false" ht="17.15" hidden="false" customHeight="false" outlineLevel="0" collapsed="false">
      <c r="A6" s="76" t="s">
        <v>605</v>
      </c>
      <c r="B6" s="76" t="s">
        <v>693</v>
      </c>
      <c r="C6" s="79" t="n">
        <v>3.64</v>
      </c>
      <c r="D6" s="79" t="n">
        <v>8.5</v>
      </c>
      <c r="E6" s="79" t="n">
        <v>20.22</v>
      </c>
      <c r="F6" s="76" t="s">
        <v>692</v>
      </c>
      <c r="G6" s="77" t="s">
        <v>688</v>
      </c>
    </row>
    <row r="7" customFormat="false" ht="17.15" hidden="false" customHeight="false" outlineLevel="0" collapsed="false">
      <c r="A7" s="76" t="s">
        <v>605</v>
      </c>
      <c r="B7" s="76" t="s">
        <v>634</v>
      </c>
      <c r="C7" s="79" t="n">
        <v>4.23</v>
      </c>
      <c r="D7" s="79" t="n">
        <v>7.59</v>
      </c>
      <c r="E7" s="79" t="n">
        <v>12.85</v>
      </c>
      <c r="F7" s="76" t="s">
        <v>694</v>
      </c>
      <c r="G7" s="77" t="s">
        <v>688</v>
      </c>
    </row>
    <row r="8" customFormat="false" ht="17.15" hidden="false" customHeight="false" outlineLevel="0" collapsed="false">
      <c r="A8" s="76" t="s">
        <v>695</v>
      </c>
      <c r="B8" s="77" t="s">
        <v>686</v>
      </c>
      <c r="C8" s="78" t="n">
        <v>0.2137</v>
      </c>
      <c r="D8" s="78" t="n">
        <v>0.3424</v>
      </c>
      <c r="E8" s="78" t="n">
        <v>0.4683</v>
      </c>
      <c r="F8" s="77" t="s">
        <v>687</v>
      </c>
      <c r="G8" s="77" t="s">
        <v>688</v>
      </c>
    </row>
    <row r="9" customFormat="false" ht="17.15" hidden="false" customHeight="false" outlineLevel="0" collapsed="false">
      <c r="A9" s="76" t="s">
        <v>695</v>
      </c>
      <c r="B9" s="77" t="s">
        <v>689</v>
      </c>
      <c r="C9" s="78" t="n">
        <v>0.0371</v>
      </c>
      <c r="D9" s="78" t="n">
        <v>0.096</v>
      </c>
      <c r="E9" s="78" t="n">
        <v>0.1815</v>
      </c>
      <c r="F9" s="77" t="s">
        <v>687</v>
      </c>
      <c r="G9" s="77" t="s">
        <v>688</v>
      </c>
    </row>
    <row r="10" customFormat="false" ht="17.15" hidden="false" customHeight="false" outlineLevel="0" collapsed="false">
      <c r="A10" s="76" t="s">
        <v>695</v>
      </c>
      <c r="B10" s="77" t="s">
        <v>690</v>
      </c>
      <c r="C10" s="78" t="n">
        <v>0.0078</v>
      </c>
      <c r="D10" s="78" t="n">
        <v>0.0285</v>
      </c>
      <c r="E10" s="78" t="n">
        <v>0.081</v>
      </c>
      <c r="F10" s="77" t="s">
        <v>687</v>
      </c>
      <c r="G10" s="77" t="s">
        <v>688</v>
      </c>
    </row>
    <row r="11" customFormat="false" ht="17.15" hidden="false" customHeight="false" outlineLevel="0" collapsed="false">
      <c r="A11" s="76" t="s">
        <v>695</v>
      </c>
      <c r="B11" s="76" t="s">
        <v>691</v>
      </c>
      <c r="C11" s="79" t="n">
        <v>12.41</v>
      </c>
      <c r="D11" s="79" t="n">
        <v>36.42</v>
      </c>
      <c r="E11" s="79" t="n">
        <v>66.26</v>
      </c>
      <c r="F11" s="76" t="s">
        <v>692</v>
      </c>
      <c r="G11" s="77" t="s">
        <v>688</v>
      </c>
    </row>
    <row r="12" customFormat="false" ht="17.15" hidden="false" customHeight="false" outlineLevel="0" collapsed="false">
      <c r="A12" s="76" t="s">
        <v>695</v>
      </c>
      <c r="B12" s="76" t="s">
        <v>693</v>
      </c>
      <c r="C12" s="79" t="n">
        <v>2.83</v>
      </c>
      <c r="D12" s="79" t="n">
        <v>6.25</v>
      </c>
      <c r="E12" s="79" t="n">
        <v>17.32</v>
      </c>
      <c r="F12" s="76" t="s">
        <v>692</v>
      </c>
      <c r="G12" s="77" t="s">
        <v>688</v>
      </c>
    </row>
    <row r="13" customFormat="false" ht="17.15" hidden="false" customHeight="false" outlineLevel="0" collapsed="false">
      <c r="A13" s="76" t="s">
        <v>695</v>
      </c>
      <c r="B13" s="76" t="s">
        <v>634</v>
      </c>
      <c r="C13" s="79" t="n">
        <v>4.9</v>
      </c>
      <c r="D13" s="79" t="n">
        <v>7.62</v>
      </c>
      <c r="E13" s="79" t="n">
        <v>11.06</v>
      </c>
      <c r="F13" s="76" t="s">
        <v>694</v>
      </c>
      <c r="G13" s="77" t="s">
        <v>688</v>
      </c>
    </row>
    <row r="14" customFormat="false" ht="17.15" hidden="false" customHeight="false" outlineLevel="0" collapsed="false">
      <c r="A14" s="76" t="s">
        <v>612</v>
      </c>
      <c r="B14" s="77" t="s">
        <v>686</v>
      </c>
      <c r="C14" s="78" t="n">
        <v>0.2009</v>
      </c>
      <c r="D14" s="78" t="n">
        <v>0.3406</v>
      </c>
      <c r="E14" s="78" t="n">
        <v>0.4689</v>
      </c>
      <c r="F14" s="77" t="s">
        <v>687</v>
      </c>
      <c r="G14" s="77" t="s">
        <v>688</v>
      </c>
    </row>
    <row r="15" customFormat="false" ht="17.15" hidden="false" customHeight="false" outlineLevel="0" collapsed="false">
      <c r="A15" s="76" t="s">
        <v>612</v>
      </c>
      <c r="B15" s="77" t="s">
        <v>689</v>
      </c>
      <c r="C15" s="78" t="n">
        <v>0.0325</v>
      </c>
      <c r="D15" s="78" t="n">
        <v>0.0914</v>
      </c>
      <c r="E15" s="78" t="n">
        <v>0.1894</v>
      </c>
      <c r="F15" s="77" t="s">
        <v>687</v>
      </c>
      <c r="G15" s="77" t="s">
        <v>688</v>
      </c>
    </row>
    <row r="16" customFormat="false" ht="17.15" hidden="false" customHeight="false" outlineLevel="0" collapsed="false">
      <c r="A16" s="76" t="s">
        <v>612</v>
      </c>
      <c r="B16" s="77" t="s">
        <v>690</v>
      </c>
      <c r="C16" s="78" t="n">
        <v>0.0065</v>
      </c>
      <c r="D16" s="78" t="n">
        <v>0.0254</v>
      </c>
      <c r="E16" s="78" t="n">
        <v>0.0793</v>
      </c>
      <c r="F16" s="77" t="s">
        <v>687</v>
      </c>
      <c r="G16" s="77" t="s">
        <v>688</v>
      </c>
    </row>
    <row r="17" customFormat="false" ht="17.15" hidden="false" customHeight="false" outlineLevel="0" collapsed="false">
      <c r="A17" s="76" t="s">
        <v>612</v>
      </c>
      <c r="B17" s="76" t="s">
        <v>691</v>
      </c>
      <c r="C17" s="79" t="n">
        <v>11.14</v>
      </c>
      <c r="D17" s="79" t="n">
        <v>35.77</v>
      </c>
      <c r="E17" s="79" t="n">
        <v>67.52</v>
      </c>
      <c r="F17" s="76" t="s">
        <v>692</v>
      </c>
      <c r="G17" s="77" t="s">
        <v>688</v>
      </c>
    </row>
    <row r="18" customFormat="false" ht="17.15" hidden="false" customHeight="false" outlineLevel="0" collapsed="false">
      <c r="A18" s="76" t="s">
        <v>612</v>
      </c>
      <c r="B18" s="76" t="s">
        <v>693</v>
      </c>
      <c r="C18" s="79" t="n">
        <v>2.77</v>
      </c>
      <c r="D18" s="79" t="n">
        <v>6.44</v>
      </c>
      <c r="E18" s="79" t="n">
        <v>15.62</v>
      </c>
      <c r="F18" s="76" t="s">
        <v>692</v>
      </c>
      <c r="G18" s="77" t="s">
        <v>688</v>
      </c>
    </row>
    <row r="19" customFormat="false" ht="17.15" hidden="false" customHeight="false" outlineLevel="0" collapsed="false">
      <c r="A19" s="76" t="s">
        <v>612</v>
      </c>
      <c r="B19" s="76" t="s">
        <v>634</v>
      </c>
      <c r="C19" s="79" t="n">
        <v>4.49</v>
      </c>
      <c r="D19" s="79" t="n">
        <v>7.32</v>
      </c>
      <c r="E19" s="79" t="n">
        <v>10.49</v>
      </c>
      <c r="F19" s="76" t="s">
        <v>694</v>
      </c>
      <c r="G19" s="77" t="s">
        <v>688</v>
      </c>
    </row>
    <row r="20" customFormat="false" ht="17.15" hidden="false" customHeight="false" outlineLevel="0" collapsed="false">
      <c r="A20" s="76" t="s">
        <v>613</v>
      </c>
      <c r="B20" s="77" t="s">
        <v>686</v>
      </c>
      <c r="C20" s="78" t="n">
        <v>0.175</v>
      </c>
      <c r="D20" s="78" t="n">
        <v>0.3277</v>
      </c>
      <c r="E20" s="78" t="n">
        <v>0.4558</v>
      </c>
      <c r="F20" s="77" t="s">
        <v>687</v>
      </c>
      <c r="G20" s="77" t="s">
        <v>688</v>
      </c>
    </row>
    <row r="21" customFormat="false" ht="17.15" hidden="false" customHeight="false" outlineLevel="0" collapsed="false">
      <c r="A21" s="76" t="s">
        <v>613</v>
      </c>
      <c r="B21" s="77" t="s">
        <v>689</v>
      </c>
      <c r="C21" s="78" t="n">
        <v>0.0268</v>
      </c>
      <c r="D21" s="78" t="n">
        <v>0.0865</v>
      </c>
      <c r="E21" s="78" t="n">
        <v>0.2008</v>
      </c>
      <c r="F21" s="77" t="s">
        <v>687</v>
      </c>
      <c r="G21" s="77" t="s">
        <v>688</v>
      </c>
    </row>
    <row r="22" customFormat="false" ht="17.15" hidden="false" customHeight="false" outlineLevel="0" collapsed="false">
      <c r="A22" s="76" t="s">
        <v>613</v>
      </c>
      <c r="B22" s="77" t="s">
        <v>690</v>
      </c>
      <c r="C22" s="78" t="n">
        <v>0.0053</v>
      </c>
      <c r="D22" s="78" t="n">
        <v>0.0259</v>
      </c>
      <c r="E22" s="78" t="n">
        <v>0.1005</v>
      </c>
      <c r="F22" s="77" t="s">
        <v>687</v>
      </c>
      <c r="G22" s="77" t="s">
        <v>688</v>
      </c>
    </row>
    <row r="23" customFormat="false" ht="17.15" hidden="false" customHeight="false" outlineLevel="0" collapsed="false">
      <c r="A23" s="76" t="s">
        <v>613</v>
      </c>
      <c r="B23" s="76" t="s">
        <v>691</v>
      </c>
      <c r="C23" s="79" t="n">
        <v>11.79</v>
      </c>
      <c r="D23" s="79" t="n">
        <v>40.72</v>
      </c>
      <c r="E23" s="79" t="n">
        <v>92.07</v>
      </c>
      <c r="F23" s="76" t="s">
        <v>692</v>
      </c>
      <c r="G23" s="77" t="s">
        <v>688</v>
      </c>
    </row>
    <row r="24" customFormat="false" ht="17.15" hidden="false" customHeight="false" outlineLevel="0" collapsed="false">
      <c r="A24" s="76" t="s">
        <v>613</v>
      </c>
      <c r="B24" s="76" t="s">
        <v>693</v>
      </c>
      <c r="C24" s="79" t="n">
        <v>3.12</v>
      </c>
      <c r="D24" s="79" t="n">
        <v>7.15</v>
      </c>
      <c r="E24" s="79" t="n">
        <v>17.69</v>
      </c>
      <c r="F24" s="76" t="s">
        <v>692</v>
      </c>
      <c r="G24" s="77" t="s">
        <v>688</v>
      </c>
    </row>
    <row r="25" customFormat="false" ht="17.15" hidden="false" customHeight="false" outlineLevel="0" collapsed="false">
      <c r="A25" s="76" t="s">
        <v>613</v>
      </c>
      <c r="B25" s="76" t="s">
        <v>634</v>
      </c>
      <c r="C25" s="79" t="n">
        <v>4.19</v>
      </c>
      <c r="D25" s="79" t="n">
        <v>7.79</v>
      </c>
      <c r="E25" s="79" t="n">
        <v>13.32</v>
      </c>
      <c r="F25" s="76" t="s">
        <v>694</v>
      </c>
      <c r="G25" s="77" t="s">
        <v>688</v>
      </c>
    </row>
    <row r="27" customFormat="false" ht="17.15" hidden="false" customHeight="false" outlineLevel="0" collapsed="false">
      <c r="A27" s="24" t="s">
        <v>696</v>
      </c>
    </row>
    <row r="28" customFormat="false" ht="17.15" hidden="false" customHeight="false" outlineLevel="0" collapsed="false">
      <c r="A28" s="24" t="s">
        <v>697</v>
      </c>
    </row>
  </sheetData>
  <autoFilter ref="A1:G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U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14" min="3" style="0" width="8.5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4"/>
  </cols>
  <sheetData>
    <row r="1" customFormat="false" ht="20.1" hidden="false" customHeight="false" outlineLevel="0" collapsed="false">
      <c r="A1" s="80" t="s">
        <v>698</v>
      </c>
      <c r="U1" s="75" t="s">
        <v>699</v>
      </c>
    </row>
    <row r="2" customFormat="false" ht="17.15" hidden="false" customHeight="false" outlineLevel="0" collapsed="false">
      <c r="A2" s="67" t="s">
        <v>700</v>
      </c>
    </row>
    <row r="3" customFormat="false" ht="17.15" hidden="false" customHeight="false" outlineLevel="0" collapsed="false">
      <c r="A3" s="24" t="s">
        <v>701</v>
      </c>
    </row>
    <row r="5" customFormat="false" ht="19.4" hidden="false" customHeight="false" outlineLevel="0" collapsed="false">
      <c r="A5" s="81" t="s">
        <v>702</v>
      </c>
    </row>
    <row r="6" customFormat="false" ht="45.75" hidden="false" customHeight="true" outlineLevel="0" collapsed="false">
      <c r="A6" s="20" t="s">
        <v>703</v>
      </c>
      <c r="B6" s="20" t="s">
        <v>704</v>
      </c>
      <c r="C6" s="26" t="s">
        <v>705</v>
      </c>
      <c r="D6" s="26" t="s">
        <v>706</v>
      </c>
      <c r="E6" s="26" t="s">
        <v>707</v>
      </c>
      <c r="F6" s="26" t="s">
        <v>708</v>
      </c>
      <c r="G6" s="26" t="s">
        <v>709</v>
      </c>
      <c r="H6" s="26" t="s">
        <v>710</v>
      </c>
      <c r="I6" s="26" t="s">
        <v>711</v>
      </c>
      <c r="J6" s="26" t="s">
        <v>712</v>
      </c>
      <c r="K6" s="26" t="s">
        <v>713</v>
      </c>
      <c r="L6" s="26" t="s">
        <v>714</v>
      </c>
      <c r="M6" s="26" t="s">
        <v>715</v>
      </c>
      <c r="N6" s="26" t="s">
        <v>716</v>
      </c>
      <c r="O6" s="20" t="s">
        <v>717</v>
      </c>
      <c r="P6" s="20" t="s">
        <v>718</v>
      </c>
      <c r="Q6" s="20" t="s">
        <v>719</v>
      </c>
      <c r="R6" s="20" t="s">
        <v>720</v>
      </c>
      <c r="S6" s="26" t="s">
        <v>721</v>
      </c>
    </row>
    <row r="7" customFormat="false" ht="15" hidden="false" customHeight="false" outlineLevel="0" collapsed="false">
      <c r="A7" s="18" t="s">
        <v>659</v>
      </c>
      <c r="B7" s="82" t="s">
        <v>722</v>
      </c>
      <c r="C7" s="78" t="n">
        <v>0.185</v>
      </c>
      <c r="D7" s="78" t="n">
        <v>0.1851</v>
      </c>
      <c r="E7" s="78" t="n">
        <v>0.1878</v>
      </c>
      <c r="F7" s="78" t="n">
        <v>0.1876</v>
      </c>
      <c r="G7" s="78" t="n">
        <v>0.187</v>
      </c>
      <c r="H7" s="78" t="n">
        <v>0.184</v>
      </c>
      <c r="I7" s="78" t="n">
        <v>0.1806</v>
      </c>
      <c r="J7" s="78" t="n">
        <v>0.1833</v>
      </c>
      <c r="K7" s="78" t="n">
        <v>0.1821</v>
      </c>
      <c r="L7" s="78" t="n">
        <v>0.1827</v>
      </c>
      <c r="M7" s="78" t="n">
        <v>0.18</v>
      </c>
      <c r="N7" s="78" t="n">
        <v>0.1772</v>
      </c>
      <c r="O7" s="83" t="n">
        <f aca="false">AVERAGE(C7:N7)</f>
        <v>0.183533333333333</v>
      </c>
      <c r="P7" s="84" t="n">
        <f aca="false">MIN(C7:N7)</f>
        <v>0.1772</v>
      </c>
      <c r="Q7" s="84" t="n">
        <f aca="false">MAX(C7:N7)</f>
        <v>0.1878</v>
      </c>
      <c r="R7" s="84" t="n">
        <f aca="false">Q7-P7</f>
        <v>0.0106</v>
      </c>
      <c r="S7" s="85" t="n">
        <f aca="false">RANK(O7,$O$7:$O$22)</f>
        <v>10</v>
      </c>
    </row>
    <row r="8" customFormat="false" ht="15" hidden="false" customHeight="false" outlineLevel="0" collapsed="false">
      <c r="A8" s="18" t="s">
        <v>662</v>
      </c>
      <c r="B8" s="82" t="s">
        <v>723</v>
      </c>
      <c r="C8" s="78" t="n">
        <v>0.165</v>
      </c>
      <c r="D8" s="78" t="n">
        <v>0.1653</v>
      </c>
      <c r="E8" s="78" t="n">
        <v>0.1664</v>
      </c>
      <c r="F8" s="78" t="n">
        <v>0.1653</v>
      </c>
      <c r="G8" s="78" t="n">
        <v>0.1614</v>
      </c>
      <c r="H8" s="78" t="n">
        <v>0.1566</v>
      </c>
      <c r="I8" s="78" t="n">
        <v>0.1547</v>
      </c>
      <c r="J8" s="78" t="n">
        <v>0.1556</v>
      </c>
      <c r="K8" s="78" t="n">
        <v>0.1607</v>
      </c>
      <c r="L8" s="78" t="n">
        <v>0.1597</v>
      </c>
      <c r="M8" s="78" t="n">
        <v>0.1585</v>
      </c>
      <c r="N8" s="78" t="n">
        <v>0.157</v>
      </c>
      <c r="O8" s="83" t="n">
        <f aca="false">AVERAGE(C8:N8)</f>
        <v>0.160516666666667</v>
      </c>
      <c r="P8" s="84" t="n">
        <f aca="false">MIN(C8:N8)</f>
        <v>0.1547</v>
      </c>
      <c r="Q8" s="84" t="n">
        <f aca="false">MAX(C8:N8)</f>
        <v>0.1664</v>
      </c>
      <c r="R8" s="84" t="n">
        <f aca="false">Q8-P8</f>
        <v>0.0117</v>
      </c>
      <c r="S8" s="85" t="n">
        <f aca="false">RANK(O8,$O$7:$O$22)</f>
        <v>14</v>
      </c>
    </row>
    <row r="9" customFormat="false" ht="15" hidden="false" customHeight="false" outlineLevel="0" collapsed="false">
      <c r="A9" s="18" t="s">
        <v>724</v>
      </c>
      <c r="B9" s="82" t="s">
        <v>725</v>
      </c>
      <c r="C9" s="78" t="n">
        <v>0.2233</v>
      </c>
      <c r="D9" s="78" t="n">
        <v>0.2164</v>
      </c>
      <c r="E9" s="78" t="n">
        <v>0.2253</v>
      </c>
      <c r="F9" s="78" t="n">
        <v>0.2266</v>
      </c>
      <c r="G9" s="78" t="n">
        <v>0.2263</v>
      </c>
      <c r="H9" s="78" t="n">
        <v>0.2229</v>
      </c>
      <c r="I9" s="78" t="n">
        <v>0.2203</v>
      </c>
      <c r="J9" s="78" t="n">
        <v>0.2214</v>
      </c>
      <c r="K9" s="78" t="n">
        <v>0.2235</v>
      </c>
      <c r="L9" s="78" t="n">
        <v>0.2247</v>
      </c>
      <c r="M9" s="78" t="n">
        <v>0.2206</v>
      </c>
      <c r="N9" s="78" t="n">
        <v>0.2179</v>
      </c>
      <c r="O9" s="83" t="n">
        <f aca="false">AVERAGE(C9:N9)</f>
        <v>0.222433333333333</v>
      </c>
      <c r="P9" s="84" t="n">
        <f aca="false">MIN(C9:N9)</f>
        <v>0.2164</v>
      </c>
      <c r="Q9" s="84" t="n">
        <f aca="false">MAX(C9:N9)</f>
        <v>0.2266</v>
      </c>
      <c r="R9" s="84" t="n">
        <f aca="false">Q9-P9</f>
        <v>0.0102</v>
      </c>
      <c r="S9" s="85" t="n">
        <f aca="false">RANK(O9,$O$7:$O$22)</f>
        <v>1</v>
      </c>
    </row>
    <row r="10" customFormat="false" ht="15" hidden="false" customHeight="false" outlineLevel="0" collapsed="false">
      <c r="A10" s="18" t="s">
        <v>648</v>
      </c>
      <c r="B10" s="82" t="s">
        <v>726</v>
      </c>
      <c r="C10" s="78" t="n">
        <v>0.1981</v>
      </c>
      <c r="D10" s="78" t="n">
        <v>0.2006</v>
      </c>
      <c r="E10" s="78" t="n">
        <v>0.1991</v>
      </c>
      <c r="F10" s="78" t="n">
        <v>0.1945</v>
      </c>
      <c r="G10" s="78" t="n">
        <v>0.195</v>
      </c>
      <c r="H10" s="78" t="n">
        <v>0.1894</v>
      </c>
      <c r="I10" s="78" t="n">
        <v>0.1885</v>
      </c>
      <c r="J10" s="78" t="n">
        <v>0.1862</v>
      </c>
      <c r="K10" s="78" t="n">
        <v>0.1867</v>
      </c>
      <c r="L10" s="78" t="n">
        <v>0.1874</v>
      </c>
      <c r="M10" s="78" t="n">
        <v>0.1864</v>
      </c>
      <c r="N10" s="78" t="n">
        <v>0.18</v>
      </c>
      <c r="O10" s="83" t="n">
        <f aca="false">AVERAGE(C10:N10)</f>
        <v>0.190991666666667</v>
      </c>
      <c r="P10" s="84" t="n">
        <f aca="false">MIN(C10:N10)</f>
        <v>0.18</v>
      </c>
      <c r="Q10" s="84" t="n">
        <f aca="false">MAX(C10:N10)</f>
        <v>0.2006</v>
      </c>
      <c r="R10" s="84" t="n">
        <f aca="false">Q10-P10</f>
        <v>0.0206</v>
      </c>
      <c r="S10" s="85" t="n">
        <f aca="false">RANK(O10,$O$7:$O$22)</f>
        <v>7</v>
      </c>
    </row>
    <row r="11" customFormat="false" ht="15" hidden="false" customHeight="false" outlineLevel="0" collapsed="false">
      <c r="A11" s="18" t="s">
        <v>666</v>
      </c>
      <c r="B11" s="82" t="s">
        <v>727</v>
      </c>
      <c r="C11" s="78" t="n">
        <v>0.1905</v>
      </c>
      <c r="D11" s="78" t="n">
        <v>0.1939</v>
      </c>
      <c r="E11" s="78" t="n">
        <v>0.1916</v>
      </c>
      <c r="F11" s="78" t="n">
        <v>0.1886</v>
      </c>
      <c r="G11" s="78" t="n">
        <v>0.1934</v>
      </c>
      <c r="H11" s="78" t="n">
        <v>0.1874</v>
      </c>
      <c r="I11" s="78" t="n">
        <v>0.191</v>
      </c>
      <c r="J11" s="78" t="n">
        <v>0.1868</v>
      </c>
      <c r="K11" s="78" t="n">
        <v>0.1843</v>
      </c>
      <c r="L11" s="78" t="n">
        <v>0.1863</v>
      </c>
      <c r="M11" s="78" t="n">
        <v>0.1846</v>
      </c>
      <c r="N11" s="78" t="n">
        <v>0.1822</v>
      </c>
      <c r="O11" s="83" t="n">
        <f aca="false">AVERAGE(C11:N11)</f>
        <v>0.188383333333333</v>
      </c>
      <c r="P11" s="84" t="n">
        <f aca="false">MIN(C11:N11)</f>
        <v>0.1822</v>
      </c>
      <c r="Q11" s="84" t="n">
        <f aca="false">MAX(C11:N11)</f>
        <v>0.1939</v>
      </c>
      <c r="R11" s="84" t="n">
        <f aca="false">Q11-P11</f>
        <v>0.0117</v>
      </c>
      <c r="S11" s="85" t="n">
        <f aca="false">RANK(O11,$O$7:$O$22)</f>
        <v>8</v>
      </c>
    </row>
    <row r="12" customFormat="false" ht="15" hidden="false" customHeight="false" outlineLevel="0" collapsed="false">
      <c r="A12" s="18" t="s">
        <v>728</v>
      </c>
      <c r="B12" s="82" t="s">
        <v>729</v>
      </c>
      <c r="C12" s="78" t="n">
        <v>0.1991</v>
      </c>
      <c r="D12" s="78" t="n">
        <v>0.2014</v>
      </c>
      <c r="E12" s="78" t="n">
        <v>0.2038</v>
      </c>
      <c r="F12" s="78" t="n">
        <v>0.1977</v>
      </c>
      <c r="G12" s="78" t="n">
        <v>0.1931</v>
      </c>
      <c r="H12" s="78" t="n">
        <v>0.1883</v>
      </c>
      <c r="I12" s="78" t="n">
        <v>0.1918</v>
      </c>
      <c r="J12" s="78" t="n">
        <v>0.1874</v>
      </c>
      <c r="K12" s="78" t="n">
        <v>0.1872</v>
      </c>
      <c r="L12" s="78" t="n">
        <v>0.1876</v>
      </c>
      <c r="M12" s="78" t="n">
        <v>0.1939</v>
      </c>
      <c r="N12" s="78" t="n">
        <v>0.1946</v>
      </c>
      <c r="O12" s="83" t="n">
        <f aca="false">AVERAGE(C12:N12)</f>
        <v>0.193825</v>
      </c>
      <c r="P12" s="84" t="n">
        <f aca="false">MIN(C12:N12)</f>
        <v>0.1872</v>
      </c>
      <c r="Q12" s="84" t="n">
        <f aca="false">MAX(C12:N12)</f>
        <v>0.2038</v>
      </c>
      <c r="R12" s="84" t="n">
        <f aca="false">Q12-P12</f>
        <v>0.0166</v>
      </c>
      <c r="S12" s="85" t="n">
        <f aca="false">RANK(O12,$O$7:$O$22)</f>
        <v>5</v>
      </c>
    </row>
    <row r="13" customFormat="false" ht="15" hidden="false" customHeight="false" outlineLevel="0" collapsed="false">
      <c r="A13" s="18" t="s">
        <v>645</v>
      </c>
      <c r="B13" s="82" t="s">
        <v>606</v>
      </c>
      <c r="C13" s="78" t="n">
        <v>0.2018</v>
      </c>
      <c r="D13" s="78" t="n">
        <v>0.2002</v>
      </c>
      <c r="E13" s="78" t="n">
        <v>0.2091</v>
      </c>
      <c r="F13" s="78" t="n">
        <v>0.2092</v>
      </c>
      <c r="G13" s="78" t="n">
        <v>0.2111</v>
      </c>
      <c r="H13" s="78" t="n">
        <v>0.2098</v>
      </c>
      <c r="I13" s="78" t="n">
        <v>0.2064</v>
      </c>
      <c r="J13" s="78" t="n">
        <v>0.2065</v>
      </c>
      <c r="K13" s="78" t="n">
        <v>0.2102</v>
      </c>
      <c r="L13" s="78" t="n">
        <v>0.2092</v>
      </c>
      <c r="M13" s="78" t="n">
        <v>0.2042</v>
      </c>
      <c r="N13" s="78" t="n">
        <v>0.2003</v>
      </c>
      <c r="O13" s="83" t="n">
        <f aca="false">AVERAGE(C13:N13)</f>
        <v>0.2065</v>
      </c>
      <c r="P13" s="84" t="n">
        <f aca="false">MIN(C13:N13)</f>
        <v>0.2002</v>
      </c>
      <c r="Q13" s="84" t="n">
        <f aca="false">MAX(C13:N13)</f>
        <v>0.2111</v>
      </c>
      <c r="R13" s="84" t="n">
        <f aca="false">Q13-P13</f>
        <v>0.0109</v>
      </c>
      <c r="S13" s="85" t="n">
        <f aca="false">RANK(O13,$O$7:$O$22)</f>
        <v>2</v>
      </c>
    </row>
    <row r="14" customFormat="false" ht="15" hidden="false" customHeight="false" outlineLevel="0" collapsed="false">
      <c r="A14" s="18" t="s">
        <v>730</v>
      </c>
      <c r="B14" s="82" t="s">
        <v>731</v>
      </c>
      <c r="C14" s="78" t="n">
        <v>0.128</v>
      </c>
      <c r="D14" s="78" t="n">
        <v>0.1217</v>
      </c>
      <c r="E14" s="78" t="n">
        <v>0.1211</v>
      </c>
      <c r="F14" s="78" t="n">
        <v>0.1147</v>
      </c>
      <c r="G14" s="78" t="n">
        <v>0.1127</v>
      </c>
      <c r="H14" s="78" t="n">
        <v>0.1118</v>
      </c>
      <c r="I14" s="78" t="n">
        <v>0.1107</v>
      </c>
      <c r="J14" s="78" t="n">
        <v>0.1109</v>
      </c>
      <c r="K14" s="78" t="n">
        <v>0.1111</v>
      </c>
      <c r="L14" s="78" t="n">
        <v>0.1122</v>
      </c>
      <c r="M14" s="78" t="n">
        <v>0.1118</v>
      </c>
      <c r="N14" s="78" t="n">
        <v>0.1086</v>
      </c>
      <c r="O14" s="83" t="n">
        <f aca="false">AVERAGE(C14:N14)</f>
        <v>0.114608333333333</v>
      </c>
      <c r="P14" s="84" t="n">
        <f aca="false">MIN(C14:N14)</f>
        <v>0.1086</v>
      </c>
      <c r="Q14" s="84" t="n">
        <f aca="false">MAX(C14:N14)</f>
        <v>0.128</v>
      </c>
      <c r="R14" s="84" t="n">
        <f aca="false">Q14-P14</f>
        <v>0.0194</v>
      </c>
      <c r="S14" s="85" t="n">
        <f aca="false">RANK(O14,$O$7:$O$22)</f>
        <v>16</v>
      </c>
    </row>
    <row r="15" customFormat="false" ht="15" hidden="false" customHeight="false" outlineLevel="0" collapsed="false">
      <c r="A15" s="18" t="s">
        <v>638</v>
      </c>
      <c r="B15" s="82" t="s">
        <v>732</v>
      </c>
      <c r="C15" s="78" t="n">
        <v>0.2053</v>
      </c>
      <c r="D15" s="78" t="n">
        <v>0.2047</v>
      </c>
      <c r="E15" s="78" t="n">
        <v>0.2074</v>
      </c>
      <c r="F15" s="78" t="n">
        <v>0.2051</v>
      </c>
      <c r="G15" s="78" t="n">
        <v>0.2045</v>
      </c>
      <c r="H15" s="78" t="n">
        <v>0.2028</v>
      </c>
      <c r="I15" s="78" t="n">
        <v>0.199</v>
      </c>
      <c r="J15" s="78" t="n">
        <v>0.2005</v>
      </c>
      <c r="K15" s="78" t="n">
        <v>0.2011</v>
      </c>
      <c r="L15" s="78" t="n">
        <v>0.1999</v>
      </c>
      <c r="M15" s="78" t="n">
        <v>0.1977</v>
      </c>
      <c r="N15" s="78" t="n">
        <v>0.1966</v>
      </c>
      <c r="O15" s="83" t="n">
        <f aca="false">AVERAGE(C15:N15)</f>
        <v>0.20205</v>
      </c>
      <c r="P15" s="84" t="n">
        <f aca="false">MIN(C15:N15)</f>
        <v>0.1966</v>
      </c>
      <c r="Q15" s="84" t="n">
        <f aca="false">MAX(C15:N15)</f>
        <v>0.2074</v>
      </c>
      <c r="R15" s="84" t="n">
        <f aca="false">Q15-P15</f>
        <v>0.0108</v>
      </c>
      <c r="S15" s="85" t="n">
        <f aca="false">RANK(O15,$O$7:$O$22)</f>
        <v>3</v>
      </c>
    </row>
    <row r="16" customFormat="false" ht="15" hidden="false" customHeight="false" outlineLevel="0" collapsed="false">
      <c r="A16" s="18" t="s">
        <v>733</v>
      </c>
      <c r="B16" s="82" t="s">
        <v>734</v>
      </c>
      <c r="C16" s="78" t="n">
        <v>0.1792</v>
      </c>
      <c r="D16" s="78" t="n">
        <v>0.18</v>
      </c>
      <c r="E16" s="78" t="n">
        <v>0.1836</v>
      </c>
      <c r="F16" s="78" t="n">
        <v>0.1836</v>
      </c>
      <c r="G16" s="78" t="n">
        <v>0.1821</v>
      </c>
      <c r="H16" s="78" t="n">
        <v>0.1834</v>
      </c>
      <c r="I16" s="78" t="n">
        <v>0.1806</v>
      </c>
      <c r="J16" s="78" t="n">
        <v>0.1819</v>
      </c>
      <c r="K16" s="78" t="n">
        <v>0.1833</v>
      </c>
      <c r="L16" s="78" t="n">
        <v>0.1817</v>
      </c>
      <c r="M16" s="78" t="n">
        <v>0.176</v>
      </c>
      <c r="N16" s="78" t="n">
        <v>0.1765</v>
      </c>
      <c r="O16" s="83" t="n">
        <f aca="false">AVERAGE(C16:N16)</f>
        <v>0.180991666666667</v>
      </c>
      <c r="P16" s="84" t="n">
        <f aca="false">MIN(C16:N16)</f>
        <v>0.176</v>
      </c>
      <c r="Q16" s="84" t="n">
        <f aca="false">MAX(C16:N16)</f>
        <v>0.1836</v>
      </c>
      <c r="R16" s="84" t="n">
        <f aca="false">Q16-P16</f>
        <v>0.00760000000000002</v>
      </c>
      <c r="S16" s="85" t="n">
        <f aca="false">RANK(O16,$O$7:$O$22)</f>
        <v>11</v>
      </c>
    </row>
    <row r="17" customFormat="false" ht="17.15" hidden="false" customHeight="false" outlineLevel="0" collapsed="false">
      <c r="A17" s="18" t="s">
        <v>671</v>
      </c>
      <c r="B17" s="82" t="s">
        <v>735</v>
      </c>
      <c r="C17" s="78" t="n">
        <v>0.1527</v>
      </c>
      <c r="D17" s="78" t="n">
        <v>0.1496</v>
      </c>
      <c r="E17" s="78" t="n">
        <v>0.1513</v>
      </c>
      <c r="F17" s="78" t="n">
        <v>0.1532</v>
      </c>
      <c r="G17" s="78" t="n">
        <v>0.1513</v>
      </c>
      <c r="H17" s="78" t="n">
        <v>0.1503</v>
      </c>
      <c r="I17" s="78" t="n">
        <v>0.1469</v>
      </c>
      <c r="J17" s="78" t="n">
        <v>0.1504</v>
      </c>
      <c r="K17" s="78" t="n">
        <v>0.1542</v>
      </c>
      <c r="L17" s="78" t="n">
        <v>0.1526</v>
      </c>
      <c r="M17" s="78" t="n">
        <v>0.1481</v>
      </c>
      <c r="N17" s="78" t="n">
        <v>0.148</v>
      </c>
      <c r="O17" s="83" t="n">
        <f aca="false">AVERAGE(C17:N17)</f>
        <v>0.150716666666667</v>
      </c>
      <c r="P17" s="84" t="n">
        <f aca="false">MIN(C17:N17)</f>
        <v>0.1469</v>
      </c>
      <c r="Q17" s="84" t="n">
        <f aca="false">MAX(C17:N17)</f>
        <v>0.1542</v>
      </c>
      <c r="R17" s="84" t="n">
        <f aca="false">Q17-P17</f>
        <v>0.0073</v>
      </c>
      <c r="S17" s="85" t="n">
        <f aca="false">RANK(O17,$O$7:$O$22)</f>
        <v>15</v>
      </c>
    </row>
    <row r="18" customFormat="false" ht="15" hidden="false" customHeight="false" outlineLevel="0" collapsed="false">
      <c r="A18" s="18" t="s">
        <v>664</v>
      </c>
      <c r="B18" s="82" t="s">
        <v>736</v>
      </c>
      <c r="C18" s="78" t="n">
        <v>0.1709</v>
      </c>
      <c r="D18" s="78" t="n">
        <v>0.1702</v>
      </c>
      <c r="E18" s="78" t="n">
        <v>0.1728</v>
      </c>
      <c r="F18" s="78" t="n">
        <v>0.1712</v>
      </c>
      <c r="G18" s="78" t="n">
        <v>0.1714</v>
      </c>
      <c r="H18" s="78" t="n">
        <v>0.171</v>
      </c>
      <c r="I18" s="78" t="n">
        <v>0.1677</v>
      </c>
      <c r="J18" s="78" t="n">
        <v>0.1688</v>
      </c>
      <c r="K18" s="78" t="n">
        <v>0.1704</v>
      </c>
      <c r="L18" s="78" t="n">
        <v>0.1724</v>
      </c>
      <c r="M18" s="78" t="n">
        <v>0.1689</v>
      </c>
      <c r="N18" s="78" t="n">
        <v>0.1685</v>
      </c>
      <c r="O18" s="83" t="n">
        <f aca="false">AVERAGE(C18:N18)</f>
        <v>0.17035</v>
      </c>
      <c r="P18" s="84" t="n">
        <f aca="false">MIN(C18:N18)</f>
        <v>0.1677</v>
      </c>
      <c r="Q18" s="84" t="n">
        <f aca="false">MAX(C18:N18)</f>
        <v>0.1728</v>
      </c>
      <c r="R18" s="84" t="n">
        <f aca="false">Q18-P18</f>
        <v>0.00510000000000002</v>
      </c>
      <c r="S18" s="85" t="n">
        <f aca="false">RANK(O18,$O$7:$O$22)</f>
        <v>12</v>
      </c>
    </row>
    <row r="19" customFormat="false" ht="15" hidden="false" customHeight="false" outlineLevel="0" collapsed="false">
      <c r="A19" s="18" t="s">
        <v>737</v>
      </c>
      <c r="B19" s="82" t="s">
        <v>738</v>
      </c>
      <c r="C19" s="78" t="n">
        <v>0.1947</v>
      </c>
      <c r="D19" s="78" t="n">
        <v>0.1967</v>
      </c>
      <c r="E19" s="78" t="n">
        <v>0.1973</v>
      </c>
      <c r="F19" s="78" t="n">
        <v>0.1936</v>
      </c>
      <c r="G19" s="78" t="n">
        <v>0.1927</v>
      </c>
      <c r="H19" s="78" t="n">
        <v>0.1899</v>
      </c>
      <c r="I19" s="78" t="n">
        <v>0.1882</v>
      </c>
      <c r="J19" s="78" t="n">
        <v>0.1878</v>
      </c>
      <c r="K19" s="78" t="n">
        <v>0.1893</v>
      </c>
      <c r="L19" s="78" t="n">
        <v>0.1951</v>
      </c>
      <c r="M19" s="78" t="n">
        <v>0.1945</v>
      </c>
      <c r="N19" s="78" t="n">
        <v>0.1917</v>
      </c>
      <c r="O19" s="83" t="n">
        <f aca="false">AVERAGE(C19:N19)</f>
        <v>0.192625</v>
      </c>
      <c r="P19" s="84" t="n">
        <f aca="false">MIN(C19:N19)</f>
        <v>0.1878</v>
      </c>
      <c r="Q19" s="84" t="n">
        <f aca="false">MAX(C19:N19)</f>
        <v>0.1973</v>
      </c>
      <c r="R19" s="84" t="n">
        <f aca="false">Q19-P19</f>
        <v>0.00950000000000001</v>
      </c>
      <c r="S19" s="85" t="n">
        <f aca="false">RANK(O19,$O$7:$O$22)</f>
        <v>6</v>
      </c>
    </row>
    <row r="20" customFormat="false" ht="15" hidden="false" customHeight="false" outlineLevel="0" collapsed="false">
      <c r="A20" s="18" t="s">
        <v>654</v>
      </c>
      <c r="B20" s="82" t="s">
        <v>739</v>
      </c>
      <c r="C20" s="78" t="n">
        <v>0.1985</v>
      </c>
      <c r="D20" s="78" t="n">
        <v>0.1998</v>
      </c>
      <c r="E20" s="78" t="n">
        <v>0.2065</v>
      </c>
      <c r="F20" s="78" t="n">
        <v>0.2039</v>
      </c>
      <c r="G20" s="78" t="n">
        <v>0.2021</v>
      </c>
      <c r="H20" s="78" t="n">
        <v>0.2001</v>
      </c>
      <c r="I20" s="78" t="n">
        <v>0.1982</v>
      </c>
      <c r="J20" s="78" t="n">
        <v>0.2002</v>
      </c>
      <c r="K20" s="78" t="n">
        <v>0.1984</v>
      </c>
      <c r="L20" s="78" t="n">
        <v>0.1979</v>
      </c>
      <c r="M20" s="78" t="n">
        <v>0.19</v>
      </c>
      <c r="N20" s="78" t="n">
        <v>0.1923</v>
      </c>
      <c r="O20" s="83" t="n">
        <f aca="false">AVERAGE(C20:N20)</f>
        <v>0.198991666666667</v>
      </c>
      <c r="P20" s="84" t="n">
        <f aca="false">MIN(C20:N20)</f>
        <v>0.19</v>
      </c>
      <c r="Q20" s="84" t="n">
        <f aca="false">MAX(C20:N20)</f>
        <v>0.2065</v>
      </c>
      <c r="R20" s="84" t="n">
        <f aca="false">Q20-P20</f>
        <v>0.0165</v>
      </c>
      <c r="S20" s="85" t="n">
        <f aca="false">RANK(O20,$O$7:$O$22)</f>
        <v>4</v>
      </c>
    </row>
    <row r="21" customFormat="false" ht="17.15" hidden="false" customHeight="false" outlineLevel="0" collapsed="false">
      <c r="A21" s="18" t="s">
        <v>740</v>
      </c>
      <c r="B21" s="82" t="s">
        <v>741</v>
      </c>
      <c r="C21" s="78" t="n">
        <v>0.1745</v>
      </c>
      <c r="D21" s="78" t="n">
        <v>0.1697</v>
      </c>
      <c r="E21" s="78" t="n">
        <v>0.1662</v>
      </c>
      <c r="F21" s="78" t="n">
        <v>0.1665</v>
      </c>
      <c r="G21" s="78" t="n">
        <v>0.1663</v>
      </c>
      <c r="H21" s="78" t="n">
        <v>0.1604</v>
      </c>
      <c r="I21" s="78" t="n">
        <v>0.1604</v>
      </c>
      <c r="J21" s="78" t="n">
        <v>0.1609</v>
      </c>
      <c r="K21" s="78" t="n">
        <v>0.1622</v>
      </c>
      <c r="L21" s="78" t="n">
        <v>0.1603</v>
      </c>
      <c r="M21" s="78" t="n">
        <v>0.1572</v>
      </c>
      <c r="N21" s="78" t="n">
        <v>0.1557</v>
      </c>
      <c r="O21" s="83" t="n">
        <f aca="false">AVERAGE(C21:N21)</f>
        <v>0.163358333333333</v>
      </c>
      <c r="P21" s="84" t="n">
        <f aca="false">MIN(C21:N21)</f>
        <v>0.1557</v>
      </c>
      <c r="Q21" s="84" t="n">
        <f aca="false">MAX(C21:N21)</f>
        <v>0.1745</v>
      </c>
      <c r="R21" s="84" t="n">
        <f aca="false">Q21-P21</f>
        <v>0.0188</v>
      </c>
      <c r="S21" s="85" t="n">
        <f aca="false">RANK(O21,$O$7:$O$22)</f>
        <v>13</v>
      </c>
    </row>
    <row r="22" customFormat="false" ht="15" hidden="false" customHeight="false" outlineLevel="0" collapsed="false">
      <c r="A22" s="18" t="s">
        <v>742</v>
      </c>
      <c r="B22" s="82" t="s">
        <v>743</v>
      </c>
      <c r="C22" s="78" t="n">
        <v>0.1973</v>
      </c>
      <c r="D22" s="78" t="n">
        <v>0.1951</v>
      </c>
      <c r="E22" s="78" t="n">
        <v>0.1928</v>
      </c>
      <c r="F22" s="78" t="n">
        <v>0.1858</v>
      </c>
      <c r="G22" s="78" t="n">
        <v>0.1858</v>
      </c>
      <c r="H22" s="78" t="n">
        <v>0.1832</v>
      </c>
      <c r="I22" s="78" t="n">
        <v>0.1844</v>
      </c>
      <c r="J22" s="78" t="n">
        <v>0.1777</v>
      </c>
      <c r="K22" s="78" t="n">
        <v>0.176</v>
      </c>
      <c r="L22" s="78" t="n">
        <v>0.1773</v>
      </c>
      <c r="M22" s="78" t="n">
        <v>0.1767</v>
      </c>
      <c r="N22" s="78" t="n">
        <v>0.1755</v>
      </c>
      <c r="O22" s="83" t="n">
        <f aca="false">AVERAGE(C22:N22)</f>
        <v>0.183966666666667</v>
      </c>
      <c r="P22" s="84" t="n">
        <f aca="false">MIN(C22:N22)</f>
        <v>0.1755</v>
      </c>
      <c r="Q22" s="84" t="n">
        <f aca="false">MAX(C22:N22)</f>
        <v>0.1973</v>
      </c>
      <c r="R22" s="84" t="n">
        <f aca="false">Q22-P22</f>
        <v>0.0218</v>
      </c>
      <c r="S22" s="85" t="n">
        <f aca="false">RANK(O22,$O$7:$O$22)</f>
        <v>9</v>
      </c>
    </row>
    <row r="24" customFormat="false" ht="19.4" hidden="false" customHeight="false" outlineLevel="0" collapsed="false">
      <c r="A24" s="81" t="s">
        <v>744</v>
      </c>
    </row>
    <row r="25" customFormat="false" ht="45.75" hidden="false" customHeight="true" outlineLevel="0" collapsed="false">
      <c r="A25" s="20" t="s">
        <v>703</v>
      </c>
      <c r="B25" s="20" t="s">
        <v>704</v>
      </c>
      <c r="C25" s="26" t="s">
        <v>705</v>
      </c>
      <c r="D25" s="26" t="s">
        <v>706</v>
      </c>
      <c r="E25" s="26" t="s">
        <v>707</v>
      </c>
      <c r="F25" s="26" t="s">
        <v>708</v>
      </c>
      <c r="G25" s="26" t="s">
        <v>709</v>
      </c>
      <c r="H25" s="26" t="s">
        <v>710</v>
      </c>
      <c r="I25" s="26" t="s">
        <v>711</v>
      </c>
      <c r="J25" s="26" t="s">
        <v>712</v>
      </c>
      <c r="K25" s="26" t="s">
        <v>713</v>
      </c>
      <c r="L25" s="26" t="s">
        <v>714</v>
      </c>
      <c r="M25" s="26" t="s">
        <v>715</v>
      </c>
      <c r="N25" s="26" t="s">
        <v>716</v>
      </c>
      <c r="O25" s="20" t="s">
        <v>717</v>
      </c>
      <c r="P25" s="20" t="s">
        <v>718</v>
      </c>
      <c r="Q25" s="20" t="s">
        <v>719</v>
      </c>
      <c r="R25" s="20" t="s">
        <v>720</v>
      </c>
      <c r="S25" s="26" t="s">
        <v>721</v>
      </c>
    </row>
    <row r="26" customFormat="false" ht="15" hidden="false" customHeight="false" outlineLevel="0" collapsed="false">
      <c r="A26" s="18" t="s">
        <v>659</v>
      </c>
      <c r="B26" s="82" t="s">
        <v>722</v>
      </c>
      <c r="C26" s="78" t="n">
        <v>0.0287</v>
      </c>
      <c r="D26" s="78" t="n">
        <v>0.0287</v>
      </c>
      <c r="E26" s="78" t="n">
        <v>0.0306</v>
      </c>
      <c r="F26" s="78" t="n">
        <v>0.0293</v>
      </c>
      <c r="G26" s="78" t="n">
        <v>0.0296</v>
      </c>
      <c r="H26" s="78" t="n">
        <v>0.0285</v>
      </c>
      <c r="I26" s="78" t="n">
        <v>0.0272</v>
      </c>
      <c r="J26" s="78" t="n">
        <v>0.0283</v>
      </c>
      <c r="K26" s="78" t="n">
        <v>0.0298</v>
      </c>
      <c r="L26" s="78" t="n">
        <v>0.0301</v>
      </c>
      <c r="M26" s="78" t="n">
        <v>0.0298</v>
      </c>
      <c r="N26" s="78" t="n">
        <v>0.0289</v>
      </c>
      <c r="O26" s="83" t="n">
        <f aca="false">AVERAGE(C26:N26)</f>
        <v>0.029125</v>
      </c>
      <c r="P26" s="84" t="n">
        <f aca="false">MIN(C26:N26)</f>
        <v>0.0272</v>
      </c>
      <c r="Q26" s="84" t="n">
        <f aca="false">MAX(C26:N26)</f>
        <v>0.0306</v>
      </c>
      <c r="R26" s="84" t="n">
        <f aca="false">Q26-P26</f>
        <v>0.0034</v>
      </c>
      <c r="S26" s="85" t="n">
        <f aca="false">RANK(O26,$O$26:$O$41)</f>
        <v>12</v>
      </c>
    </row>
    <row r="27" customFormat="false" ht="15" hidden="false" customHeight="false" outlineLevel="0" collapsed="false">
      <c r="A27" s="18" t="s">
        <v>662</v>
      </c>
      <c r="B27" s="82" t="s">
        <v>723</v>
      </c>
      <c r="C27" s="78" t="n">
        <v>0.0226</v>
      </c>
      <c r="D27" s="78" t="n">
        <v>0.0226</v>
      </c>
      <c r="E27" s="78" t="n">
        <v>0.024</v>
      </c>
      <c r="F27" s="78" t="n">
        <v>0.0229</v>
      </c>
      <c r="G27" s="78" t="n">
        <v>0.0229</v>
      </c>
      <c r="H27" s="78" t="n">
        <v>0.0219</v>
      </c>
      <c r="I27" s="78" t="n">
        <v>0.0209</v>
      </c>
      <c r="J27" s="78" t="n">
        <v>0.0213</v>
      </c>
      <c r="K27" s="78" t="n">
        <v>0.0232</v>
      </c>
      <c r="L27" s="78" t="n">
        <v>0.0242</v>
      </c>
      <c r="M27" s="78" t="n">
        <v>0.0239</v>
      </c>
      <c r="N27" s="78" t="n">
        <v>0.0234</v>
      </c>
      <c r="O27" s="83" t="n">
        <f aca="false">AVERAGE(C27:N27)</f>
        <v>0.0228166666666667</v>
      </c>
      <c r="P27" s="84" t="n">
        <f aca="false">MIN(C27:N27)</f>
        <v>0.0209</v>
      </c>
      <c r="Q27" s="84" t="n">
        <f aca="false">MAX(C27:N27)</f>
        <v>0.0242</v>
      </c>
      <c r="R27" s="84" t="n">
        <f aca="false">Q27-P27</f>
        <v>0.0033</v>
      </c>
      <c r="S27" s="85" t="n">
        <f aca="false">RANK(O27,$O$26:$O$41)</f>
        <v>14</v>
      </c>
    </row>
    <row r="28" customFormat="false" ht="15" hidden="false" customHeight="false" outlineLevel="0" collapsed="false">
      <c r="A28" s="18" t="s">
        <v>724</v>
      </c>
      <c r="B28" s="82" t="s">
        <v>725</v>
      </c>
      <c r="C28" s="78" t="n">
        <v>0.0407</v>
      </c>
      <c r="D28" s="78" t="n">
        <v>0.0394</v>
      </c>
      <c r="E28" s="78" t="n">
        <v>0.0431</v>
      </c>
      <c r="F28" s="78" t="n">
        <v>0.0417</v>
      </c>
      <c r="G28" s="78" t="n">
        <v>0.0428</v>
      </c>
      <c r="H28" s="78" t="n">
        <v>0.0411</v>
      </c>
      <c r="I28" s="78" t="n">
        <v>0.0393</v>
      </c>
      <c r="J28" s="78" t="n">
        <v>0.0398</v>
      </c>
      <c r="K28" s="78" t="n">
        <v>0.0428</v>
      </c>
      <c r="L28" s="78" t="n">
        <v>0.044</v>
      </c>
      <c r="M28" s="78" t="n">
        <v>0.0438</v>
      </c>
      <c r="N28" s="78" t="n">
        <v>0.0423</v>
      </c>
      <c r="O28" s="83" t="n">
        <f aca="false">AVERAGE(C28:N28)</f>
        <v>0.0417333333333333</v>
      </c>
      <c r="P28" s="84" t="n">
        <f aca="false">MIN(C28:N28)</f>
        <v>0.0393</v>
      </c>
      <c r="Q28" s="84" t="n">
        <f aca="false">MAX(C28:N28)</f>
        <v>0.044</v>
      </c>
      <c r="R28" s="84" t="n">
        <f aca="false">Q28-P28</f>
        <v>0.0047</v>
      </c>
      <c r="S28" s="85" t="n">
        <f aca="false">RANK(O28,$O$26:$O$41)</f>
        <v>6</v>
      </c>
    </row>
    <row r="29" customFormat="false" ht="15" hidden="false" customHeight="false" outlineLevel="0" collapsed="false">
      <c r="A29" s="18" t="s">
        <v>648</v>
      </c>
      <c r="B29" s="82" t="s">
        <v>726</v>
      </c>
      <c r="C29" s="78" t="n">
        <v>0.0596</v>
      </c>
      <c r="D29" s="78" t="n">
        <v>0.0616</v>
      </c>
      <c r="E29" s="78" t="n">
        <v>0.0617</v>
      </c>
      <c r="F29" s="78" t="n">
        <v>0.0568</v>
      </c>
      <c r="G29" s="78" t="n">
        <v>0.0584</v>
      </c>
      <c r="H29" s="78" t="n">
        <v>0.0563</v>
      </c>
      <c r="I29" s="78" t="n">
        <v>0.0553</v>
      </c>
      <c r="J29" s="78" t="n">
        <v>0.056</v>
      </c>
      <c r="K29" s="78" t="n">
        <v>0.0585</v>
      </c>
      <c r="L29" s="78" t="n">
        <v>0.0597</v>
      </c>
      <c r="M29" s="78" t="n">
        <v>0.0587</v>
      </c>
      <c r="N29" s="78" t="n">
        <v>0.0568</v>
      </c>
      <c r="O29" s="83" t="n">
        <f aca="false">AVERAGE(C29:N29)</f>
        <v>0.0582833333333333</v>
      </c>
      <c r="P29" s="84" t="n">
        <f aca="false">MIN(C29:N29)</f>
        <v>0.0553</v>
      </c>
      <c r="Q29" s="84" t="n">
        <f aca="false">MAX(C29:N29)</f>
        <v>0.0617</v>
      </c>
      <c r="R29" s="84" t="n">
        <f aca="false">Q29-P29</f>
        <v>0.0064</v>
      </c>
      <c r="S29" s="85" t="n">
        <f aca="false">RANK(O29,$O$26:$O$41)</f>
        <v>2</v>
      </c>
    </row>
    <row r="30" customFormat="false" ht="15" hidden="false" customHeight="false" outlineLevel="0" collapsed="false">
      <c r="A30" s="18" t="s">
        <v>666</v>
      </c>
      <c r="B30" s="82" t="s">
        <v>727</v>
      </c>
      <c r="C30" s="78" t="n">
        <v>0.0683</v>
      </c>
      <c r="D30" s="78" t="n">
        <v>0.0714</v>
      </c>
      <c r="E30" s="78" t="n">
        <v>0.0701</v>
      </c>
      <c r="F30" s="78" t="n">
        <v>0.0675</v>
      </c>
      <c r="G30" s="78" t="n">
        <v>0.0692</v>
      </c>
      <c r="H30" s="78" t="n">
        <v>0.0665</v>
      </c>
      <c r="I30" s="78" t="n">
        <v>0.0662</v>
      </c>
      <c r="J30" s="78" t="n">
        <v>0.0654</v>
      </c>
      <c r="K30" s="78" t="n">
        <v>0.0661</v>
      </c>
      <c r="L30" s="78" t="n">
        <v>0.0656</v>
      </c>
      <c r="M30" s="78" t="n">
        <v>0.0656</v>
      </c>
      <c r="N30" s="78" t="n">
        <v>0.0645</v>
      </c>
      <c r="O30" s="83" t="n">
        <f aca="false">AVERAGE(C30:N30)</f>
        <v>0.0672</v>
      </c>
      <c r="P30" s="84" t="n">
        <f aca="false">MIN(C30:N30)</f>
        <v>0.0645</v>
      </c>
      <c r="Q30" s="84" t="n">
        <f aca="false">MAX(C30:N30)</f>
        <v>0.0714</v>
      </c>
      <c r="R30" s="84" t="n">
        <f aca="false">Q30-P30</f>
        <v>0.00689999999999999</v>
      </c>
      <c r="S30" s="85" t="n">
        <f aca="false">RANK(O30,$O$26:$O$41)</f>
        <v>1</v>
      </c>
    </row>
    <row r="31" customFormat="false" ht="15" hidden="false" customHeight="false" outlineLevel="0" collapsed="false">
      <c r="A31" s="18" t="s">
        <v>728</v>
      </c>
      <c r="B31" s="82" t="s">
        <v>729</v>
      </c>
      <c r="C31" s="78" t="n">
        <v>0.0553</v>
      </c>
      <c r="D31" s="78" t="n">
        <v>0.0559</v>
      </c>
      <c r="E31" s="78" t="n">
        <v>0.0576</v>
      </c>
      <c r="F31" s="78" t="n">
        <v>0.0545</v>
      </c>
      <c r="G31" s="78" t="n">
        <v>0.0552</v>
      </c>
      <c r="H31" s="78" t="n">
        <v>0.0534</v>
      </c>
      <c r="I31" s="78" t="n">
        <v>0.0538</v>
      </c>
      <c r="J31" s="78" t="n">
        <v>0.0519</v>
      </c>
      <c r="K31" s="78" t="n">
        <v>0.0543</v>
      </c>
      <c r="L31" s="78" t="n">
        <v>0.054</v>
      </c>
      <c r="M31" s="78" t="n">
        <v>0.0571</v>
      </c>
      <c r="N31" s="78" t="n">
        <v>0.0576</v>
      </c>
      <c r="O31" s="83" t="n">
        <f aca="false">AVERAGE(C31:N31)</f>
        <v>0.05505</v>
      </c>
      <c r="P31" s="84" t="n">
        <f aca="false">MIN(C31:N31)</f>
        <v>0.0519</v>
      </c>
      <c r="Q31" s="84" t="n">
        <f aca="false">MAX(C31:N31)</f>
        <v>0.0576</v>
      </c>
      <c r="R31" s="84" t="n">
        <f aca="false">Q31-P31</f>
        <v>0.0057</v>
      </c>
      <c r="S31" s="85" t="n">
        <f aca="false">RANK(O31,$O$26:$O$41)</f>
        <v>3</v>
      </c>
    </row>
    <row r="32" customFormat="false" ht="15" hidden="false" customHeight="false" outlineLevel="0" collapsed="false">
      <c r="A32" s="18" t="s">
        <v>645</v>
      </c>
      <c r="B32" s="82" t="s">
        <v>606</v>
      </c>
      <c r="C32" s="78" t="n">
        <v>0.0314</v>
      </c>
      <c r="D32" s="78" t="n">
        <v>0.0318</v>
      </c>
      <c r="E32" s="78" t="n">
        <v>0.0346</v>
      </c>
      <c r="F32" s="78" t="n">
        <v>0.0334</v>
      </c>
      <c r="G32" s="78" t="n">
        <v>0.0344</v>
      </c>
      <c r="H32" s="78" t="n">
        <v>0.0335</v>
      </c>
      <c r="I32" s="78" t="n">
        <v>0.0317</v>
      </c>
      <c r="J32" s="78" t="n">
        <v>0.0319</v>
      </c>
      <c r="K32" s="78" t="n">
        <v>0.0345</v>
      </c>
      <c r="L32" s="78" t="n">
        <v>0.0343</v>
      </c>
      <c r="M32" s="78" t="n">
        <v>0.0341</v>
      </c>
      <c r="N32" s="78" t="n">
        <v>0.0326</v>
      </c>
      <c r="O32" s="83" t="n">
        <f aca="false">AVERAGE(C32:N32)</f>
        <v>0.0331833333333333</v>
      </c>
      <c r="P32" s="84" t="n">
        <f aca="false">MIN(C32:N32)</f>
        <v>0.0314</v>
      </c>
      <c r="Q32" s="84" t="n">
        <f aca="false">MAX(C32:N32)</f>
        <v>0.0346</v>
      </c>
      <c r="R32" s="84" t="n">
        <f aca="false">Q32-P32</f>
        <v>0.0032</v>
      </c>
      <c r="S32" s="85" t="n">
        <f aca="false">RANK(O32,$O$26:$O$41)</f>
        <v>9</v>
      </c>
    </row>
    <row r="33" customFormat="false" ht="15" hidden="false" customHeight="false" outlineLevel="0" collapsed="false">
      <c r="A33" s="18" t="s">
        <v>730</v>
      </c>
      <c r="B33" s="82" t="s">
        <v>731</v>
      </c>
      <c r="C33" s="78" t="n">
        <v>0.0187</v>
      </c>
      <c r="D33" s="78" t="n">
        <v>0.0182</v>
      </c>
      <c r="E33" s="78" t="n">
        <v>0.0186</v>
      </c>
      <c r="F33" s="78" t="n">
        <v>0.0172</v>
      </c>
      <c r="G33" s="78" t="n">
        <v>0.0159</v>
      </c>
      <c r="H33" s="78" t="n">
        <v>0.0156</v>
      </c>
      <c r="I33" s="78" t="n">
        <v>0.0147</v>
      </c>
      <c r="J33" s="78" t="n">
        <v>0.0149</v>
      </c>
      <c r="K33" s="78" t="n">
        <v>0.017</v>
      </c>
      <c r="L33" s="78" t="n">
        <v>0.0167</v>
      </c>
      <c r="M33" s="78" t="n">
        <v>0.0169</v>
      </c>
      <c r="N33" s="78" t="n">
        <v>0.0157</v>
      </c>
      <c r="O33" s="83" t="n">
        <f aca="false">AVERAGE(C33:N33)</f>
        <v>0.016675</v>
      </c>
      <c r="P33" s="84" t="n">
        <f aca="false">MIN(C33:N33)</f>
        <v>0.0147</v>
      </c>
      <c r="Q33" s="84" t="n">
        <f aca="false">MAX(C33:N33)</f>
        <v>0.0187</v>
      </c>
      <c r="R33" s="84" t="n">
        <f aca="false">Q33-P33</f>
        <v>0.004</v>
      </c>
      <c r="S33" s="85" t="n">
        <f aca="false">RANK(O33,$O$26:$O$41)</f>
        <v>16</v>
      </c>
    </row>
    <row r="34" customFormat="false" ht="15" hidden="false" customHeight="false" outlineLevel="0" collapsed="false">
      <c r="A34" s="18" t="s">
        <v>638</v>
      </c>
      <c r="B34" s="82" t="s">
        <v>732</v>
      </c>
      <c r="C34" s="78" t="n">
        <v>0.0451</v>
      </c>
      <c r="D34" s="78" t="n">
        <v>0.0453</v>
      </c>
      <c r="E34" s="78" t="n">
        <v>0.0479</v>
      </c>
      <c r="F34" s="78" t="n">
        <v>0.0454</v>
      </c>
      <c r="G34" s="78" t="n">
        <v>0.0465</v>
      </c>
      <c r="H34" s="78" t="n">
        <v>0.045</v>
      </c>
      <c r="I34" s="78" t="n">
        <v>0.0427</v>
      </c>
      <c r="J34" s="78" t="n">
        <v>0.0434</v>
      </c>
      <c r="K34" s="78" t="n">
        <v>0.0465</v>
      </c>
      <c r="L34" s="78" t="n">
        <v>0.0466</v>
      </c>
      <c r="M34" s="78" t="n">
        <v>0.0456</v>
      </c>
      <c r="N34" s="78" t="n">
        <v>0.0443</v>
      </c>
      <c r="O34" s="83" t="n">
        <f aca="false">AVERAGE(C34:N34)</f>
        <v>0.0453583333333333</v>
      </c>
      <c r="P34" s="84" t="n">
        <f aca="false">MIN(C34:N34)</f>
        <v>0.0427</v>
      </c>
      <c r="Q34" s="84" t="n">
        <f aca="false">MAX(C34:N34)</f>
        <v>0.0479</v>
      </c>
      <c r="R34" s="84" t="n">
        <f aca="false">Q34-P34</f>
        <v>0.00520000000000001</v>
      </c>
      <c r="S34" s="85" t="n">
        <f aca="false">RANK(O34,$O$26:$O$41)</f>
        <v>4</v>
      </c>
    </row>
    <row r="35" customFormat="false" ht="15" hidden="false" customHeight="false" outlineLevel="0" collapsed="false">
      <c r="A35" s="18" t="s">
        <v>733</v>
      </c>
      <c r="B35" s="82" t="s">
        <v>734</v>
      </c>
      <c r="C35" s="78" t="n">
        <v>0.0286</v>
      </c>
      <c r="D35" s="78" t="n">
        <v>0.0293</v>
      </c>
      <c r="E35" s="78" t="n">
        <v>0.0313</v>
      </c>
      <c r="F35" s="78" t="n">
        <v>0.0307</v>
      </c>
      <c r="G35" s="78" t="n">
        <v>0.0309</v>
      </c>
      <c r="H35" s="78" t="n">
        <v>0.0298</v>
      </c>
      <c r="I35" s="78" t="n">
        <v>0.0286</v>
      </c>
      <c r="J35" s="78" t="n">
        <v>0.0284</v>
      </c>
      <c r="K35" s="78" t="n">
        <v>0.031</v>
      </c>
      <c r="L35" s="78" t="n">
        <v>0.0319</v>
      </c>
      <c r="M35" s="78" t="n">
        <v>0.0306</v>
      </c>
      <c r="N35" s="78" t="n">
        <v>0.0302</v>
      </c>
      <c r="O35" s="83" t="n">
        <f aca="false">AVERAGE(C35:N35)</f>
        <v>0.0301083333333333</v>
      </c>
      <c r="P35" s="84" t="n">
        <f aca="false">MIN(C35:N35)</f>
        <v>0.0284</v>
      </c>
      <c r="Q35" s="84" t="n">
        <f aca="false">MAX(C35:N35)</f>
        <v>0.0319</v>
      </c>
      <c r="R35" s="84" t="n">
        <f aca="false">Q35-P35</f>
        <v>0.0035</v>
      </c>
      <c r="S35" s="85" t="n">
        <f aca="false">RANK(O35,$O$26:$O$41)</f>
        <v>11</v>
      </c>
    </row>
    <row r="36" customFormat="false" ht="17.15" hidden="false" customHeight="false" outlineLevel="0" collapsed="false">
      <c r="A36" s="18" t="s">
        <v>671</v>
      </c>
      <c r="B36" s="82" t="s">
        <v>735</v>
      </c>
      <c r="C36" s="78" t="n">
        <v>0.0205</v>
      </c>
      <c r="D36" s="78" t="n">
        <v>0.0202</v>
      </c>
      <c r="E36" s="78" t="n">
        <v>0.0208</v>
      </c>
      <c r="F36" s="78" t="n">
        <v>0.0201</v>
      </c>
      <c r="G36" s="78" t="n">
        <v>0.0207</v>
      </c>
      <c r="H36" s="78" t="n">
        <v>0.0203</v>
      </c>
      <c r="I36" s="78" t="n">
        <v>0.0196</v>
      </c>
      <c r="J36" s="78" t="n">
        <v>0.02</v>
      </c>
      <c r="K36" s="78" t="n">
        <v>0.0215</v>
      </c>
      <c r="L36" s="78" t="n">
        <v>0.0223</v>
      </c>
      <c r="M36" s="78" t="n">
        <v>0.0215</v>
      </c>
      <c r="N36" s="78" t="n">
        <v>0.0212</v>
      </c>
      <c r="O36" s="83" t="n">
        <f aca="false">AVERAGE(C36:N36)</f>
        <v>0.020725</v>
      </c>
      <c r="P36" s="84" t="n">
        <f aca="false">MIN(C36:N36)</f>
        <v>0.0196</v>
      </c>
      <c r="Q36" s="84" t="n">
        <f aca="false">MAX(C36:N36)</f>
        <v>0.0223</v>
      </c>
      <c r="R36" s="84" t="n">
        <f aca="false">Q36-P36</f>
        <v>0.0027</v>
      </c>
      <c r="S36" s="85" t="n">
        <f aca="false">RANK(O36,$O$26:$O$41)</f>
        <v>15</v>
      </c>
    </row>
    <row r="37" customFormat="false" ht="15" hidden="false" customHeight="false" outlineLevel="0" collapsed="false">
      <c r="A37" s="18" t="s">
        <v>664</v>
      </c>
      <c r="B37" s="82" t="s">
        <v>736</v>
      </c>
      <c r="C37" s="78" t="n">
        <v>0.023</v>
      </c>
      <c r="D37" s="78" t="n">
        <v>0.0231</v>
      </c>
      <c r="E37" s="78" t="n">
        <v>0.0251</v>
      </c>
      <c r="F37" s="78" t="n">
        <v>0.0237</v>
      </c>
      <c r="G37" s="78" t="n">
        <v>0.024</v>
      </c>
      <c r="H37" s="78" t="n">
        <v>0.0233</v>
      </c>
      <c r="I37" s="78" t="n">
        <v>0.0222</v>
      </c>
      <c r="J37" s="78" t="n">
        <v>0.0227</v>
      </c>
      <c r="K37" s="78" t="n">
        <v>0.0247</v>
      </c>
      <c r="L37" s="78" t="n">
        <v>0.0256</v>
      </c>
      <c r="M37" s="78" t="n">
        <v>0.0248</v>
      </c>
      <c r="N37" s="78" t="n">
        <v>0.0245</v>
      </c>
      <c r="O37" s="83" t="n">
        <f aca="false">AVERAGE(C37:N37)</f>
        <v>0.0238916666666667</v>
      </c>
      <c r="P37" s="84" t="n">
        <f aca="false">MIN(C37:N37)</f>
        <v>0.0222</v>
      </c>
      <c r="Q37" s="84" t="n">
        <f aca="false">MAX(C37:N37)</f>
        <v>0.0256</v>
      </c>
      <c r="R37" s="84" t="n">
        <f aca="false">Q37-P37</f>
        <v>0.0034</v>
      </c>
      <c r="S37" s="85" t="n">
        <f aca="false">RANK(O37,$O$26:$O$41)</f>
        <v>13</v>
      </c>
    </row>
    <row r="38" customFormat="false" ht="15" hidden="false" customHeight="false" outlineLevel="0" collapsed="false">
      <c r="A38" s="18" t="s">
        <v>737</v>
      </c>
      <c r="B38" s="82" t="s">
        <v>738</v>
      </c>
      <c r="C38" s="78" t="n">
        <v>0.0348</v>
      </c>
      <c r="D38" s="78" t="n">
        <v>0.0347</v>
      </c>
      <c r="E38" s="78" t="n">
        <v>0.0368</v>
      </c>
      <c r="F38" s="78" t="n">
        <v>0.036</v>
      </c>
      <c r="G38" s="78" t="n">
        <v>0.0364</v>
      </c>
      <c r="H38" s="78" t="n">
        <v>0.0346</v>
      </c>
      <c r="I38" s="78" t="n">
        <v>0.0325</v>
      </c>
      <c r="J38" s="78" t="n">
        <v>0.0331</v>
      </c>
      <c r="K38" s="78" t="n">
        <v>0.0365</v>
      </c>
      <c r="L38" s="78" t="n">
        <v>0.0383</v>
      </c>
      <c r="M38" s="78" t="n">
        <v>0.0394</v>
      </c>
      <c r="N38" s="78" t="n">
        <v>0.0368</v>
      </c>
      <c r="O38" s="83" t="n">
        <f aca="false">AVERAGE(C38:N38)</f>
        <v>0.035825</v>
      </c>
      <c r="P38" s="84" t="n">
        <f aca="false">MIN(C38:N38)</f>
        <v>0.0325</v>
      </c>
      <c r="Q38" s="84" t="n">
        <f aca="false">MAX(C38:N38)</f>
        <v>0.0394</v>
      </c>
      <c r="R38" s="84" t="n">
        <f aca="false">Q38-P38</f>
        <v>0.0069</v>
      </c>
      <c r="S38" s="85" t="n">
        <f aca="false">RANK(O38,$O$26:$O$41)</f>
        <v>7</v>
      </c>
    </row>
    <row r="39" customFormat="false" ht="15" hidden="false" customHeight="false" outlineLevel="0" collapsed="false">
      <c r="A39" s="18" t="s">
        <v>654</v>
      </c>
      <c r="B39" s="82" t="s">
        <v>739</v>
      </c>
      <c r="C39" s="78" t="n">
        <v>0.0318</v>
      </c>
      <c r="D39" s="78" t="n">
        <v>0.0323</v>
      </c>
      <c r="E39" s="78" t="n">
        <v>0.0349</v>
      </c>
      <c r="F39" s="78" t="n">
        <v>0.0334</v>
      </c>
      <c r="G39" s="78" t="n">
        <v>0.0338</v>
      </c>
      <c r="H39" s="78" t="n">
        <v>0.0335</v>
      </c>
      <c r="I39" s="78" t="n">
        <v>0.0328</v>
      </c>
      <c r="J39" s="78" t="n">
        <v>0.0329</v>
      </c>
      <c r="K39" s="78" t="n">
        <v>0.0348</v>
      </c>
      <c r="L39" s="78" t="n">
        <v>0.0358</v>
      </c>
      <c r="M39" s="78" t="n">
        <v>0.034</v>
      </c>
      <c r="N39" s="78" t="n">
        <v>0.0338</v>
      </c>
      <c r="O39" s="83" t="n">
        <f aca="false">AVERAGE(C39:N39)</f>
        <v>0.03365</v>
      </c>
      <c r="P39" s="84" t="n">
        <f aca="false">MIN(C39:N39)</f>
        <v>0.0318</v>
      </c>
      <c r="Q39" s="84" t="n">
        <f aca="false">MAX(C39:N39)</f>
        <v>0.0358</v>
      </c>
      <c r="R39" s="84" t="n">
        <f aca="false">Q39-P39</f>
        <v>0.004</v>
      </c>
      <c r="S39" s="85" t="n">
        <f aca="false">RANK(O39,$O$26:$O$41)</f>
        <v>8</v>
      </c>
    </row>
    <row r="40" customFormat="false" ht="17.15" hidden="false" customHeight="false" outlineLevel="0" collapsed="false">
      <c r="A40" s="18" t="s">
        <v>740</v>
      </c>
      <c r="B40" s="82" t="s">
        <v>741</v>
      </c>
      <c r="C40" s="78" t="n">
        <v>0.0356</v>
      </c>
      <c r="D40" s="78" t="n">
        <v>0.0342</v>
      </c>
      <c r="E40" s="78" t="n">
        <v>0.0347</v>
      </c>
      <c r="F40" s="78" t="n">
        <v>0.033</v>
      </c>
      <c r="G40" s="78" t="n">
        <v>0.0337</v>
      </c>
      <c r="H40" s="78" t="n">
        <v>0.0315</v>
      </c>
      <c r="I40" s="78" t="n">
        <v>0.0303</v>
      </c>
      <c r="J40" s="78" t="n">
        <v>0.0308</v>
      </c>
      <c r="K40" s="78" t="n">
        <v>0.0329</v>
      </c>
      <c r="L40" s="78" t="n">
        <v>0.0335</v>
      </c>
      <c r="M40" s="78" t="n">
        <v>0.0322</v>
      </c>
      <c r="N40" s="78" t="n">
        <v>0.0314</v>
      </c>
      <c r="O40" s="83" t="n">
        <f aca="false">AVERAGE(C40:N40)</f>
        <v>0.0328166666666667</v>
      </c>
      <c r="P40" s="84" t="n">
        <f aca="false">MIN(C40:N40)</f>
        <v>0.0303</v>
      </c>
      <c r="Q40" s="84" t="n">
        <f aca="false">MAX(C40:N40)</f>
        <v>0.0356</v>
      </c>
      <c r="R40" s="84" t="n">
        <f aca="false">Q40-P40</f>
        <v>0.0053</v>
      </c>
      <c r="S40" s="85" t="n">
        <f aca="false">RANK(O40,$O$26:$O$41)</f>
        <v>10</v>
      </c>
    </row>
    <row r="41" customFormat="false" ht="15" hidden="false" customHeight="false" outlineLevel="0" collapsed="false">
      <c r="A41" s="18" t="s">
        <v>742</v>
      </c>
      <c r="B41" s="82" t="s">
        <v>743</v>
      </c>
      <c r="C41" s="78" t="n">
        <v>0.0467</v>
      </c>
      <c r="D41" s="78" t="n">
        <v>0.0459</v>
      </c>
      <c r="E41" s="78" t="n">
        <v>0.0444</v>
      </c>
      <c r="F41" s="78" t="n">
        <v>0.0404</v>
      </c>
      <c r="G41" s="78" t="n">
        <v>0.041</v>
      </c>
      <c r="H41" s="78" t="n">
        <v>0.0394</v>
      </c>
      <c r="I41" s="78" t="n">
        <v>0.0395</v>
      </c>
      <c r="J41" s="78" t="n">
        <v>0.0377</v>
      </c>
      <c r="K41" s="78" t="n">
        <v>0.041</v>
      </c>
      <c r="L41" s="78" t="n">
        <v>0.0421</v>
      </c>
      <c r="M41" s="78" t="n">
        <v>0.0422</v>
      </c>
      <c r="N41" s="78" t="n">
        <v>0.0417</v>
      </c>
      <c r="O41" s="83" t="n">
        <f aca="false">AVERAGE(C41:N41)</f>
        <v>0.0418333333333333</v>
      </c>
      <c r="P41" s="84" t="n">
        <f aca="false">MIN(C41:N41)</f>
        <v>0.0377</v>
      </c>
      <c r="Q41" s="84" t="n">
        <f aca="false">MAX(C41:N41)</f>
        <v>0.0467</v>
      </c>
      <c r="R41" s="84" t="n">
        <f aca="false">Q41-P41</f>
        <v>0.009</v>
      </c>
      <c r="S41" s="85" t="n">
        <f aca="false">RANK(O41,$O$26:$O$41)</f>
        <v>5</v>
      </c>
    </row>
    <row r="43" customFormat="false" ht="19.4" hidden="false" customHeight="false" outlineLevel="0" collapsed="false">
      <c r="A43" s="81" t="s">
        <v>745</v>
      </c>
    </row>
    <row r="44" customFormat="false" ht="45.75" hidden="false" customHeight="true" outlineLevel="0" collapsed="false">
      <c r="A44" s="20" t="s">
        <v>703</v>
      </c>
      <c r="B44" s="20" t="s">
        <v>704</v>
      </c>
      <c r="C44" s="26" t="s">
        <v>705</v>
      </c>
      <c r="D44" s="26" t="s">
        <v>706</v>
      </c>
      <c r="E44" s="26" t="s">
        <v>707</v>
      </c>
      <c r="F44" s="26" t="s">
        <v>708</v>
      </c>
      <c r="G44" s="26" t="s">
        <v>709</v>
      </c>
      <c r="H44" s="26" t="s">
        <v>710</v>
      </c>
      <c r="I44" s="26" t="s">
        <v>711</v>
      </c>
      <c r="J44" s="26" t="s">
        <v>712</v>
      </c>
      <c r="K44" s="26" t="s">
        <v>713</v>
      </c>
      <c r="L44" s="26" t="s">
        <v>714</v>
      </c>
      <c r="M44" s="26" t="s">
        <v>715</v>
      </c>
      <c r="N44" s="26" t="s">
        <v>716</v>
      </c>
      <c r="O44" s="20" t="s">
        <v>717</v>
      </c>
      <c r="P44" s="20" t="s">
        <v>718</v>
      </c>
      <c r="Q44" s="20" t="s">
        <v>719</v>
      </c>
      <c r="R44" s="20" t="s">
        <v>720</v>
      </c>
      <c r="S44" s="26" t="s">
        <v>721</v>
      </c>
    </row>
    <row r="45" customFormat="false" ht="15" hidden="false" customHeight="false" outlineLevel="0" collapsed="false">
      <c r="A45" s="18" t="s">
        <v>659</v>
      </c>
      <c r="B45" s="82" t="s">
        <v>722</v>
      </c>
      <c r="C45" s="78" t="n">
        <v>0.0061</v>
      </c>
      <c r="D45" s="78" t="n">
        <v>0.0065</v>
      </c>
      <c r="E45" s="78" t="n">
        <v>0.0066</v>
      </c>
      <c r="F45" s="78" t="n">
        <v>0.0064</v>
      </c>
      <c r="G45" s="78" t="n">
        <v>0.0065</v>
      </c>
      <c r="H45" s="78" t="n">
        <v>0.0062</v>
      </c>
      <c r="I45" s="78" t="n">
        <v>0.0059</v>
      </c>
      <c r="J45" s="78" t="n">
        <v>0.0061</v>
      </c>
      <c r="K45" s="78" t="n">
        <v>0.006</v>
      </c>
      <c r="L45" s="78" t="n">
        <v>0.0066</v>
      </c>
      <c r="M45" s="78" t="n">
        <v>0.0066</v>
      </c>
      <c r="N45" s="78" t="n">
        <v>0.0065</v>
      </c>
      <c r="O45" s="83" t="n">
        <f aca="false">AVERAGE(C45:N45)</f>
        <v>0.00633333333333333</v>
      </c>
      <c r="P45" s="84" t="n">
        <f aca="false">MIN(C45:N45)</f>
        <v>0.0059</v>
      </c>
      <c r="Q45" s="84" t="n">
        <f aca="false">MAX(C45:N45)</f>
        <v>0.0066</v>
      </c>
      <c r="R45" s="84" t="n">
        <f aca="false">Q45-P45</f>
        <v>0.0007</v>
      </c>
      <c r="S45" s="85" t="n">
        <f aca="false">RANK(O45,$O$45:$O$60)</f>
        <v>12</v>
      </c>
    </row>
    <row r="46" customFormat="false" ht="15" hidden="false" customHeight="false" outlineLevel="0" collapsed="false">
      <c r="A46" s="18" t="s">
        <v>662</v>
      </c>
      <c r="B46" s="82" t="s">
        <v>723</v>
      </c>
      <c r="C46" s="78" t="n">
        <v>0.0047</v>
      </c>
      <c r="D46" s="78" t="n">
        <v>0.0049</v>
      </c>
      <c r="E46" s="78" t="n">
        <v>0.005</v>
      </c>
      <c r="F46" s="78" t="n">
        <v>0.0048</v>
      </c>
      <c r="G46" s="78" t="n">
        <v>0.005</v>
      </c>
      <c r="H46" s="78" t="n">
        <v>0.0046</v>
      </c>
      <c r="I46" s="78" t="n">
        <v>0.0043</v>
      </c>
      <c r="J46" s="78" t="n">
        <v>0.0044</v>
      </c>
      <c r="K46" s="78" t="n">
        <v>0.0046</v>
      </c>
      <c r="L46" s="78" t="n">
        <v>0.0051</v>
      </c>
      <c r="M46" s="78" t="n">
        <v>0.0051</v>
      </c>
      <c r="N46" s="78" t="n">
        <v>0.0053</v>
      </c>
      <c r="O46" s="83" t="n">
        <f aca="false">AVERAGE(C46:N46)</f>
        <v>0.00481666666666667</v>
      </c>
      <c r="P46" s="84" t="n">
        <f aca="false">MIN(C46:N46)</f>
        <v>0.0043</v>
      </c>
      <c r="Q46" s="84" t="n">
        <f aca="false">MAX(C46:N46)</f>
        <v>0.0053</v>
      </c>
      <c r="R46" s="84" t="n">
        <f aca="false">Q46-P46</f>
        <v>0.001</v>
      </c>
      <c r="S46" s="85" t="n">
        <f aca="false">RANK(O46,$O$45:$O$60)</f>
        <v>14</v>
      </c>
    </row>
    <row r="47" customFormat="false" ht="15" hidden="false" customHeight="false" outlineLevel="0" collapsed="false">
      <c r="A47" s="18" t="s">
        <v>724</v>
      </c>
      <c r="B47" s="82" t="s">
        <v>725</v>
      </c>
      <c r="C47" s="78" t="n">
        <v>0.0093</v>
      </c>
      <c r="D47" s="78" t="n">
        <v>0.0095</v>
      </c>
      <c r="E47" s="78" t="n">
        <v>0.0099</v>
      </c>
      <c r="F47" s="78" t="n">
        <v>0.0096</v>
      </c>
      <c r="G47" s="78" t="n">
        <v>0.0102</v>
      </c>
      <c r="H47" s="78" t="n">
        <v>0.0098</v>
      </c>
      <c r="I47" s="78" t="n">
        <v>0.0089</v>
      </c>
      <c r="J47" s="78" t="n">
        <v>0.0092</v>
      </c>
      <c r="K47" s="78" t="n">
        <v>0.0096</v>
      </c>
      <c r="L47" s="78" t="n">
        <v>0.0103</v>
      </c>
      <c r="M47" s="78" t="n">
        <v>0.0104</v>
      </c>
      <c r="N47" s="78" t="n">
        <v>0.0106</v>
      </c>
      <c r="O47" s="83" t="n">
        <f aca="false">AVERAGE(C47:N47)</f>
        <v>0.009775</v>
      </c>
      <c r="P47" s="84" t="n">
        <f aca="false">MIN(C47:N47)</f>
        <v>0.0089</v>
      </c>
      <c r="Q47" s="84" t="n">
        <f aca="false">MAX(C47:N47)</f>
        <v>0.0106</v>
      </c>
      <c r="R47" s="84" t="n">
        <f aca="false">Q47-P47</f>
        <v>0.0017</v>
      </c>
      <c r="S47" s="85" t="n">
        <f aca="false">RANK(O47,$O$45:$O$60)</f>
        <v>6</v>
      </c>
    </row>
    <row r="48" customFormat="false" ht="15" hidden="false" customHeight="false" outlineLevel="0" collapsed="false">
      <c r="A48" s="18" t="s">
        <v>648</v>
      </c>
      <c r="B48" s="82" t="s">
        <v>726</v>
      </c>
      <c r="C48" s="78" t="n">
        <v>0.0223</v>
      </c>
      <c r="D48" s="78" t="n">
        <v>0.023</v>
      </c>
      <c r="E48" s="78" t="n">
        <v>0.0249</v>
      </c>
      <c r="F48" s="78" t="n">
        <v>0.0209</v>
      </c>
      <c r="G48" s="78" t="n">
        <v>0.0211</v>
      </c>
      <c r="H48" s="78" t="n">
        <v>0.0197</v>
      </c>
      <c r="I48" s="78" t="n">
        <v>0.0201</v>
      </c>
      <c r="J48" s="78" t="n">
        <v>0.0216</v>
      </c>
      <c r="K48" s="78" t="n">
        <v>0.0211</v>
      </c>
      <c r="L48" s="78" t="n">
        <v>0.0228</v>
      </c>
      <c r="M48" s="78" t="n">
        <v>0.0213</v>
      </c>
      <c r="N48" s="78" t="n">
        <v>0.0218</v>
      </c>
      <c r="O48" s="83" t="n">
        <f aca="false">AVERAGE(C48:N48)</f>
        <v>0.0217166666666667</v>
      </c>
      <c r="P48" s="84" t="n">
        <f aca="false">MIN(C48:N48)</f>
        <v>0.0197</v>
      </c>
      <c r="Q48" s="84" t="n">
        <f aca="false">MAX(C48:N48)</f>
        <v>0.0249</v>
      </c>
      <c r="R48" s="84" t="n">
        <f aca="false">Q48-P48</f>
        <v>0.0052</v>
      </c>
      <c r="S48" s="85" t="n">
        <f aca="false">RANK(O48,$O$45:$O$60)</f>
        <v>2</v>
      </c>
    </row>
    <row r="49" customFormat="false" ht="15" hidden="false" customHeight="false" outlineLevel="0" collapsed="false">
      <c r="A49" s="18" t="s">
        <v>666</v>
      </c>
      <c r="B49" s="82" t="s">
        <v>727</v>
      </c>
      <c r="C49" s="78" t="n">
        <v>0.0285</v>
      </c>
      <c r="D49" s="78" t="n">
        <v>0.0323</v>
      </c>
      <c r="E49" s="78" t="n">
        <v>0.0324</v>
      </c>
      <c r="F49" s="78" t="n">
        <v>0.0295</v>
      </c>
      <c r="G49" s="78" t="n">
        <v>0.0306</v>
      </c>
      <c r="H49" s="78" t="n">
        <v>0.0294</v>
      </c>
      <c r="I49" s="78" t="n">
        <v>0.0285</v>
      </c>
      <c r="J49" s="78" t="n">
        <v>0.0287</v>
      </c>
      <c r="K49" s="78" t="n">
        <v>0.0308</v>
      </c>
      <c r="L49" s="78" t="n">
        <v>0.0306</v>
      </c>
      <c r="M49" s="78" t="n">
        <v>0.0296</v>
      </c>
      <c r="N49" s="78" t="n">
        <v>0.0291</v>
      </c>
      <c r="O49" s="83" t="n">
        <f aca="false">AVERAGE(C49:N49)</f>
        <v>0.03</v>
      </c>
      <c r="P49" s="84" t="n">
        <f aca="false">MIN(C49:N49)</f>
        <v>0.0285</v>
      </c>
      <c r="Q49" s="84" t="n">
        <f aca="false">MAX(C49:N49)</f>
        <v>0.0324</v>
      </c>
      <c r="R49" s="84" t="n">
        <f aca="false">Q49-P49</f>
        <v>0.00390000000000001</v>
      </c>
      <c r="S49" s="85" t="n">
        <f aca="false">RANK(O49,$O$45:$O$60)</f>
        <v>1</v>
      </c>
    </row>
    <row r="50" customFormat="false" ht="15" hidden="false" customHeight="false" outlineLevel="0" collapsed="false">
      <c r="A50" s="18" t="s">
        <v>728</v>
      </c>
      <c r="B50" s="82" t="s">
        <v>729</v>
      </c>
      <c r="C50" s="78" t="n">
        <v>0.0195</v>
      </c>
      <c r="D50" s="78" t="n">
        <v>0.0211</v>
      </c>
      <c r="E50" s="78" t="n">
        <v>0.0219</v>
      </c>
      <c r="F50" s="78" t="n">
        <v>0.0191</v>
      </c>
      <c r="G50" s="78" t="n">
        <v>0.0198</v>
      </c>
      <c r="H50" s="78" t="n">
        <v>0.0182</v>
      </c>
      <c r="I50" s="78" t="n">
        <v>0.0174</v>
      </c>
      <c r="J50" s="78" t="n">
        <v>0.0176</v>
      </c>
      <c r="K50" s="78" t="n">
        <v>0.0196</v>
      </c>
      <c r="L50" s="78" t="n">
        <v>0.0179</v>
      </c>
      <c r="M50" s="78" t="n">
        <v>0.019</v>
      </c>
      <c r="N50" s="78" t="n">
        <v>0.0194</v>
      </c>
      <c r="O50" s="83" t="n">
        <f aca="false">AVERAGE(C50:N50)</f>
        <v>0.0192083333333333</v>
      </c>
      <c r="P50" s="84" t="n">
        <f aca="false">MIN(C50:N50)</f>
        <v>0.0174</v>
      </c>
      <c r="Q50" s="84" t="n">
        <f aca="false">MAX(C50:N50)</f>
        <v>0.0219</v>
      </c>
      <c r="R50" s="84" t="n">
        <f aca="false">Q50-P50</f>
        <v>0.0045</v>
      </c>
      <c r="S50" s="85" t="n">
        <f aca="false">RANK(O50,$O$45:$O$60)</f>
        <v>3</v>
      </c>
    </row>
    <row r="51" customFormat="false" ht="15" hidden="false" customHeight="false" outlineLevel="0" collapsed="false">
      <c r="A51" s="18" t="s">
        <v>645</v>
      </c>
      <c r="B51" s="82" t="s">
        <v>606</v>
      </c>
      <c r="C51" s="78" t="n">
        <v>0.0065</v>
      </c>
      <c r="D51" s="78" t="n">
        <v>0.0069</v>
      </c>
      <c r="E51" s="78" t="n">
        <v>0.0073</v>
      </c>
      <c r="F51" s="78" t="n">
        <v>0.0071</v>
      </c>
      <c r="G51" s="78" t="n">
        <v>0.0075</v>
      </c>
      <c r="H51" s="78" t="n">
        <v>0.0073</v>
      </c>
      <c r="I51" s="78" t="n">
        <v>0.0067</v>
      </c>
      <c r="J51" s="78" t="n">
        <v>0.0067</v>
      </c>
      <c r="K51" s="78" t="n">
        <v>0.007</v>
      </c>
      <c r="L51" s="78" t="n">
        <v>0.0074</v>
      </c>
      <c r="M51" s="78" t="n">
        <v>0.0073</v>
      </c>
      <c r="N51" s="78" t="n">
        <v>0.0071</v>
      </c>
      <c r="O51" s="83" t="n">
        <f aca="false">AVERAGE(C51:N51)</f>
        <v>0.00706666666666667</v>
      </c>
      <c r="P51" s="84" t="n">
        <f aca="false">MIN(C51:N51)</f>
        <v>0.0065</v>
      </c>
      <c r="Q51" s="84" t="n">
        <f aca="false">MAX(C51:N51)</f>
        <v>0.0075</v>
      </c>
      <c r="R51" s="84" t="n">
        <f aca="false">Q51-P51</f>
        <v>0.000999999999999999</v>
      </c>
      <c r="S51" s="85" t="n">
        <f aca="false">RANK(O51,$O$45:$O$60)</f>
        <v>10</v>
      </c>
    </row>
    <row r="52" customFormat="false" ht="15" hidden="false" customHeight="false" outlineLevel="0" collapsed="false">
      <c r="A52" s="18" t="s">
        <v>730</v>
      </c>
      <c r="B52" s="82" t="s">
        <v>731</v>
      </c>
      <c r="C52" s="78" t="n">
        <v>0.0051</v>
      </c>
      <c r="D52" s="78" t="n">
        <v>0.0055</v>
      </c>
      <c r="E52" s="78" t="n">
        <v>0.0052</v>
      </c>
      <c r="F52" s="78" t="n">
        <v>0.0049</v>
      </c>
      <c r="G52" s="78" t="n">
        <v>0.0046</v>
      </c>
      <c r="H52" s="78" t="n">
        <v>0.0045</v>
      </c>
      <c r="I52" s="78" t="n">
        <v>0.0041</v>
      </c>
      <c r="J52" s="78" t="n">
        <v>0.004</v>
      </c>
      <c r="K52" s="78" t="n">
        <v>0.0045</v>
      </c>
      <c r="L52" s="78" t="n">
        <v>0.0048</v>
      </c>
      <c r="M52" s="78" t="n">
        <v>0.0047</v>
      </c>
      <c r="N52" s="78" t="n">
        <v>0.0047</v>
      </c>
      <c r="O52" s="83" t="n">
        <f aca="false">AVERAGE(C52:N52)</f>
        <v>0.00471666666666667</v>
      </c>
      <c r="P52" s="84" t="n">
        <f aca="false">MIN(C52:N52)</f>
        <v>0.004</v>
      </c>
      <c r="Q52" s="84" t="n">
        <f aca="false">MAX(C52:N52)</f>
        <v>0.0055</v>
      </c>
      <c r="R52" s="84" t="n">
        <f aca="false">Q52-P52</f>
        <v>0.0015</v>
      </c>
      <c r="S52" s="85" t="n">
        <f aca="false">RANK(O52,$O$45:$O$60)</f>
        <v>15</v>
      </c>
    </row>
    <row r="53" customFormat="false" ht="15" hidden="false" customHeight="false" outlineLevel="0" collapsed="false">
      <c r="A53" s="18" t="s">
        <v>638</v>
      </c>
      <c r="B53" s="82" t="s">
        <v>732</v>
      </c>
      <c r="C53" s="78" t="n">
        <v>0.0119</v>
      </c>
      <c r="D53" s="78" t="n">
        <v>0.0121</v>
      </c>
      <c r="E53" s="78" t="n">
        <v>0.0126</v>
      </c>
      <c r="F53" s="78" t="n">
        <v>0.0121</v>
      </c>
      <c r="G53" s="78" t="n">
        <v>0.0126</v>
      </c>
      <c r="H53" s="78" t="n">
        <v>0.0118</v>
      </c>
      <c r="I53" s="78" t="n">
        <v>0.0109</v>
      </c>
      <c r="J53" s="78" t="n">
        <v>0.0111</v>
      </c>
      <c r="K53" s="78" t="n">
        <v>0.0117</v>
      </c>
      <c r="L53" s="78" t="n">
        <v>0.0122</v>
      </c>
      <c r="M53" s="78" t="n">
        <v>0.0119</v>
      </c>
      <c r="N53" s="78" t="n">
        <v>0.0119</v>
      </c>
      <c r="O53" s="83" t="n">
        <f aca="false">AVERAGE(C53:N53)</f>
        <v>0.0119</v>
      </c>
      <c r="P53" s="84" t="n">
        <f aca="false">MIN(C53:N53)</f>
        <v>0.0109</v>
      </c>
      <c r="Q53" s="84" t="n">
        <f aca="false">MAX(C53:N53)</f>
        <v>0.0126</v>
      </c>
      <c r="R53" s="84" t="n">
        <f aca="false">Q53-P53</f>
        <v>0.0017</v>
      </c>
      <c r="S53" s="85" t="n">
        <f aca="false">RANK(O53,$O$45:$O$60)</f>
        <v>4</v>
      </c>
    </row>
    <row r="54" customFormat="false" ht="15" hidden="false" customHeight="false" outlineLevel="0" collapsed="false">
      <c r="A54" s="18" t="s">
        <v>733</v>
      </c>
      <c r="B54" s="82" t="s">
        <v>734</v>
      </c>
      <c r="C54" s="78" t="n">
        <v>0.006</v>
      </c>
      <c r="D54" s="78" t="n">
        <v>0.0063</v>
      </c>
      <c r="E54" s="78" t="n">
        <v>0.0065</v>
      </c>
      <c r="F54" s="78" t="n">
        <v>0.0069</v>
      </c>
      <c r="G54" s="78" t="n">
        <v>0.0069</v>
      </c>
      <c r="H54" s="78" t="n">
        <v>0.0065</v>
      </c>
      <c r="I54" s="78" t="n">
        <v>0.0062</v>
      </c>
      <c r="J54" s="78" t="n">
        <v>0.0061</v>
      </c>
      <c r="K54" s="78" t="n">
        <v>0.0064</v>
      </c>
      <c r="L54" s="78" t="n">
        <v>0.0071</v>
      </c>
      <c r="M54" s="78" t="n">
        <v>0.0067</v>
      </c>
      <c r="N54" s="78" t="n">
        <v>0.007</v>
      </c>
      <c r="O54" s="83" t="n">
        <f aca="false">AVERAGE(C54:N54)</f>
        <v>0.00655</v>
      </c>
      <c r="P54" s="84" t="n">
        <f aca="false">MIN(C54:N54)</f>
        <v>0.006</v>
      </c>
      <c r="Q54" s="84" t="n">
        <f aca="false">MAX(C54:N54)</f>
        <v>0.0071</v>
      </c>
      <c r="R54" s="84" t="n">
        <f aca="false">Q54-P54</f>
        <v>0.0011</v>
      </c>
      <c r="S54" s="85" t="n">
        <f aca="false">RANK(O54,$O$45:$O$60)</f>
        <v>11</v>
      </c>
    </row>
    <row r="55" customFormat="false" ht="17.15" hidden="false" customHeight="false" outlineLevel="0" collapsed="false">
      <c r="A55" s="18" t="s">
        <v>671</v>
      </c>
      <c r="B55" s="82" t="s">
        <v>735</v>
      </c>
      <c r="C55" s="78" t="n">
        <v>0.0042</v>
      </c>
      <c r="D55" s="78" t="n">
        <v>0.0043</v>
      </c>
      <c r="E55" s="78" t="n">
        <v>0.0044</v>
      </c>
      <c r="F55" s="78" t="n">
        <v>0.0044</v>
      </c>
      <c r="G55" s="78" t="n">
        <v>0.0044</v>
      </c>
      <c r="H55" s="78" t="n">
        <v>0.0042</v>
      </c>
      <c r="I55" s="78" t="n">
        <v>0.0039</v>
      </c>
      <c r="J55" s="78" t="n">
        <v>0.0041</v>
      </c>
      <c r="K55" s="78" t="n">
        <v>0.0043</v>
      </c>
      <c r="L55" s="78" t="n">
        <v>0.0047</v>
      </c>
      <c r="M55" s="78" t="n">
        <v>0.0046</v>
      </c>
      <c r="N55" s="78" t="n">
        <v>0.0044</v>
      </c>
      <c r="O55" s="83" t="n">
        <f aca="false">AVERAGE(C55:N55)</f>
        <v>0.004325</v>
      </c>
      <c r="P55" s="84" t="n">
        <f aca="false">MIN(C55:N55)</f>
        <v>0.0039</v>
      </c>
      <c r="Q55" s="84" t="n">
        <f aca="false">MAX(C55:N55)</f>
        <v>0.0047</v>
      </c>
      <c r="R55" s="84" t="n">
        <f aca="false">Q55-P55</f>
        <v>0.0008</v>
      </c>
      <c r="S55" s="85" t="n">
        <f aca="false">RANK(O55,$O$45:$O$60)</f>
        <v>16</v>
      </c>
    </row>
    <row r="56" customFormat="false" ht="15" hidden="false" customHeight="false" outlineLevel="0" collapsed="false">
      <c r="A56" s="18" t="s">
        <v>664</v>
      </c>
      <c r="B56" s="82" t="s">
        <v>736</v>
      </c>
      <c r="C56" s="78" t="n">
        <v>0.0047</v>
      </c>
      <c r="D56" s="78" t="n">
        <v>0.005</v>
      </c>
      <c r="E56" s="78" t="n">
        <v>0.0052</v>
      </c>
      <c r="F56" s="78" t="n">
        <v>0.005</v>
      </c>
      <c r="G56" s="78" t="n">
        <v>0.0052</v>
      </c>
      <c r="H56" s="78" t="n">
        <v>0.005</v>
      </c>
      <c r="I56" s="78" t="n">
        <v>0.0045</v>
      </c>
      <c r="J56" s="78" t="n">
        <v>0.0047</v>
      </c>
      <c r="K56" s="78" t="n">
        <v>0.0049</v>
      </c>
      <c r="L56" s="78" t="n">
        <v>0.0053</v>
      </c>
      <c r="M56" s="78" t="n">
        <v>0.0053</v>
      </c>
      <c r="N56" s="78" t="n">
        <v>0.0053</v>
      </c>
      <c r="O56" s="83" t="n">
        <f aca="false">AVERAGE(C56:N56)</f>
        <v>0.00500833333333333</v>
      </c>
      <c r="P56" s="84" t="n">
        <f aca="false">MIN(C56:N56)</f>
        <v>0.0045</v>
      </c>
      <c r="Q56" s="84" t="n">
        <f aca="false">MAX(C56:N56)</f>
        <v>0.0053</v>
      </c>
      <c r="R56" s="84" t="n">
        <f aca="false">Q56-P56</f>
        <v>0.000799999999999999</v>
      </c>
      <c r="S56" s="85" t="n">
        <f aca="false">RANK(O56,$O$45:$O$60)</f>
        <v>13</v>
      </c>
    </row>
    <row r="57" customFormat="false" ht="15" hidden="false" customHeight="false" outlineLevel="0" collapsed="false">
      <c r="A57" s="18" t="s">
        <v>737</v>
      </c>
      <c r="B57" s="82" t="s">
        <v>738</v>
      </c>
      <c r="C57" s="78" t="n">
        <v>0.0077</v>
      </c>
      <c r="D57" s="78" t="n">
        <v>0.0083</v>
      </c>
      <c r="E57" s="78" t="n">
        <v>0.0083</v>
      </c>
      <c r="F57" s="78" t="n">
        <v>0.0085</v>
      </c>
      <c r="G57" s="78" t="n">
        <v>0.0086</v>
      </c>
      <c r="H57" s="78" t="n">
        <v>0.008</v>
      </c>
      <c r="I57" s="78" t="n">
        <v>0.0072</v>
      </c>
      <c r="J57" s="78" t="n">
        <v>0.0073</v>
      </c>
      <c r="K57" s="78" t="n">
        <v>0.0077</v>
      </c>
      <c r="L57" s="78" t="n">
        <v>0.0085</v>
      </c>
      <c r="M57" s="78" t="n">
        <v>0.0089</v>
      </c>
      <c r="N57" s="78" t="n">
        <v>0.0088</v>
      </c>
      <c r="O57" s="83" t="n">
        <f aca="false">AVERAGE(C57:N57)</f>
        <v>0.00815</v>
      </c>
      <c r="P57" s="84" t="n">
        <f aca="false">MIN(C57:N57)</f>
        <v>0.0072</v>
      </c>
      <c r="Q57" s="84" t="n">
        <f aca="false">MAX(C57:N57)</f>
        <v>0.0089</v>
      </c>
      <c r="R57" s="84" t="n">
        <f aca="false">Q57-P57</f>
        <v>0.0017</v>
      </c>
      <c r="S57" s="85" t="n">
        <f aca="false">RANK(O57,$O$45:$O$60)</f>
        <v>8</v>
      </c>
    </row>
    <row r="58" customFormat="false" ht="15" hidden="false" customHeight="false" outlineLevel="0" collapsed="false">
      <c r="A58" s="18" t="s">
        <v>654</v>
      </c>
      <c r="B58" s="82" t="s">
        <v>739</v>
      </c>
      <c r="C58" s="78" t="n">
        <v>0.0068</v>
      </c>
      <c r="D58" s="78" t="n">
        <v>0.0068</v>
      </c>
      <c r="E58" s="78" t="n">
        <v>0.0072</v>
      </c>
      <c r="F58" s="78" t="n">
        <v>0.007</v>
      </c>
      <c r="G58" s="78" t="n">
        <v>0.0073</v>
      </c>
      <c r="H58" s="78" t="n">
        <v>0.0071</v>
      </c>
      <c r="I58" s="78" t="n">
        <v>0.0066</v>
      </c>
      <c r="J58" s="78" t="n">
        <v>0.0071</v>
      </c>
      <c r="K58" s="78" t="n">
        <v>0.0073</v>
      </c>
      <c r="L58" s="78" t="n">
        <v>0.0076</v>
      </c>
      <c r="M58" s="78" t="n">
        <v>0.0077</v>
      </c>
      <c r="N58" s="78" t="n">
        <v>0.0072</v>
      </c>
      <c r="O58" s="83" t="n">
        <f aca="false">AVERAGE(C58:N58)</f>
        <v>0.00714166666666667</v>
      </c>
      <c r="P58" s="84" t="n">
        <f aca="false">MIN(C58:N58)</f>
        <v>0.0066</v>
      </c>
      <c r="Q58" s="84" t="n">
        <f aca="false">MAX(C58:N58)</f>
        <v>0.0077</v>
      </c>
      <c r="R58" s="84" t="n">
        <f aca="false">Q58-P58</f>
        <v>0.0011</v>
      </c>
      <c r="S58" s="85" t="n">
        <f aca="false">RANK(O58,$O$45:$O$60)</f>
        <v>9</v>
      </c>
    </row>
    <row r="59" customFormat="false" ht="17.15" hidden="false" customHeight="false" outlineLevel="0" collapsed="false">
      <c r="A59" s="18" t="s">
        <v>740</v>
      </c>
      <c r="B59" s="82" t="s">
        <v>741</v>
      </c>
      <c r="C59" s="78" t="n">
        <v>0.0084</v>
      </c>
      <c r="D59" s="78" t="n">
        <v>0.0093</v>
      </c>
      <c r="E59" s="78" t="n">
        <v>0.0089</v>
      </c>
      <c r="F59" s="78" t="n">
        <v>0.0081</v>
      </c>
      <c r="G59" s="78" t="n">
        <v>0.0083</v>
      </c>
      <c r="H59" s="78" t="n">
        <v>0.008</v>
      </c>
      <c r="I59" s="78" t="n">
        <v>0.008</v>
      </c>
      <c r="J59" s="78" t="n">
        <v>0.0074</v>
      </c>
      <c r="K59" s="78" t="n">
        <v>0.0077</v>
      </c>
      <c r="L59" s="78" t="n">
        <v>0.0078</v>
      </c>
      <c r="M59" s="78" t="n">
        <v>0.0082</v>
      </c>
      <c r="N59" s="78" t="n">
        <v>0.0083</v>
      </c>
      <c r="O59" s="83" t="n">
        <f aca="false">AVERAGE(C59:N59)</f>
        <v>0.0082</v>
      </c>
      <c r="P59" s="84" t="n">
        <f aca="false">MIN(C59:N59)</f>
        <v>0.0074</v>
      </c>
      <c r="Q59" s="84" t="n">
        <f aca="false">MAX(C59:N59)</f>
        <v>0.0093</v>
      </c>
      <c r="R59" s="84" t="n">
        <f aca="false">Q59-P59</f>
        <v>0.0019</v>
      </c>
      <c r="S59" s="85" t="n">
        <f aca="false">RANK(O59,$O$45:$O$60)</f>
        <v>7</v>
      </c>
    </row>
    <row r="60" customFormat="false" ht="15" hidden="false" customHeight="false" outlineLevel="0" collapsed="false">
      <c r="A60" s="18" t="s">
        <v>742</v>
      </c>
      <c r="B60" s="82" t="s">
        <v>743</v>
      </c>
      <c r="C60" s="78" t="n">
        <v>0.0123</v>
      </c>
      <c r="D60" s="78" t="n">
        <v>0.0128</v>
      </c>
      <c r="E60" s="78" t="n">
        <v>0.0123</v>
      </c>
      <c r="F60" s="78" t="n">
        <v>0.0109</v>
      </c>
      <c r="G60" s="78" t="n">
        <v>0.011</v>
      </c>
      <c r="H60" s="78" t="n">
        <v>0.0104</v>
      </c>
      <c r="I60" s="78" t="n">
        <v>0.0101</v>
      </c>
      <c r="J60" s="78" t="n">
        <v>0.01</v>
      </c>
      <c r="K60" s="78" t="n">
        <v>0.0106</v>
      </c>
      <c r="L60" s="78" t="n">
        <v>0.0107</v>
      </c>
      <c r="M60" s="78" t="n">
        <v>0.0116</v>
      </c>
      <c r="N60" s="78" t="n">
        <v>0.012</v>
      </c>
      <c r="O60" s="83" t="n">
        <f aca="false">AVERAGE(C60:N60)</f>
        <v>0.011225</v>
      </c>
      <c r="P60" s="84" t="n">
        <f aca="false">MIN(C60:N60)</f>
        <v>0.01</v>
      </c>
      <c r="Q60" s="84" t="n">
        <f aca="false">MAX(C60:N60)</f>
        <v>0.0128</v>
      </c>
      <c r="R60" s="84" t="n">
        <f aca="false">Q60-P60</f>
        <v>0.0028</v>
      </c>
      <c r="S60" s="85" t="n">
        <f aca="false">RANK(O60,$O$45:$O$60)</f>
        <v>5</v>
      </c>
    </row>
    <row r="62" customFormat="false" ht="19.4" hidden="false" customHeight="false" outlineLevel="0" collapsed="false">
      <c r="A62" s="86" t="s">
        <v>746</v>
      </c>
    </row>
    <row r="63" customFormat="false" ht="45.75" hidden="false" customHeight="true" outlineLevel="0" collapsed="false">
      <c r="A63" s="20" t="s">
        <v>703</v>
      </c>
      <c r="B63" s="20" t="s">
        <v>704</v>
      </c>
      <c r="C63" s="26" t="s">
        <v>705</v>
      </c>
      <c r="D63" s="26" t="s">
        <v>706</v>
      </c>
      <c r="E63" s="26" t="s">
        <v>707</v>
      </c>
      <c r="F63" s="26" t="s">
        <v>708</v>
      </c>
      <c r="G63" s="26" t="s">
        <v>709</v>
      </c>
      <c r="H63" s="26" t="s">
        <v>710</v>
      </c>
      <c r="I63" s="26" t="s">
        <v>711</v>
      </c>
      <c r="J63" s="26" t="s">
        <v>712</v>
      </c>
      <c r="K63" s="26" t="s">
        <v>713</v>
      </c>
      <c r="L63" s="26" t="s">
        <v>714</v>
      </c>
      <c r="M63" s="26" t="s">
        <v>715</v>
      </c>
      <c r="N63" s="26" t="s">
        <v>716</v>
      </c>
      <c r="O63" s="20" t="s">
        <v>717</v>
      </c>
      <c r="P63" s="20" t="s">
        <v>718</v>
      </c>
      <c r="Q63" s="20" t="s">
        <v>719</v>
      </c>
      <c r="R63" s="20" t="s">
        <v>720</v>
      </c>
      <c r="S63" s="26" t="s">
        <v>721</v>
      </c>
    </row>
    <row r="64" customFormat="false" ht="15" hidden="false" customHeight="false" outlineLevel="0" collapsed="false">
      <c r="A64" s="18" t="s">
        <v>659</v>
      </c>
      <c r="B64" s="82" t="s">
        <v>722</v>
      </c>
      <c r="C64" s="87" t="n">
        <v>14</v>
      </c>
      <c r="D64" s="87" t="n">
        <v>13.9</v>
      </c>
      <c r="E64" s="87" t="n">
        <v>13.7</v>
      </c>
      <c r="F64" s="87" t="n">
        <v>13.8</v>
      </c>
      <c r="G64" s="87" t="n">
        <v>13.9</v>
      </c>
      <c r="H64" s="87" t="n">
        <v>14</v>
      </c>
      <c r="I64" s="87" t="n">
        <v>14.3</v>
      </c>
      <c r="J64" s="87" t="n">
        <v>14.4</v>
      </c>
      <c r="K64" s="87" t="n">
        <v>14.4</v>
      </c>
      <c r="L64" s="87" t="n">
        <v>14.4</v>
      </c>
      <c r="M64" s="87" t="n">
        <v>14.1</v>
      </c>
      <c r="N64" s="87" t="n">
        <v>14.1</v>
      </c>
      <c r="O64" s="88" t="n">
        <f aca="false">AVERAGE(C64:N64)</f>
        <v>14.0833333333333</v>
      </c>
      <c r="P64" s="89" t="n">
        <f aca="false">MIN(C64:N64)</f>
        <v>13.7</v>
      </c>
      <c r="Q64" s="89" t="n">
        <f aca="false">MAX(C64:N64)</f>
        <v>14.4</v>
      </c>
      <c r="R64" s="89" t="n">
        <f aca="false">Q64-P64</f>
        <v>0.700000000000001</v>
      </c>
      <c r="S64" s="85" t="n">
        <f aca="false">RANK(O64,$O$64:$O$79)</f>
        <v>13</v>
      </c>
    </row>
    <row r="65" customFormat="false" ht="15" hidden="false" customHeight="false" outlineLevel="0" collapsed="false">
      <c r="A65" s="18" t="s">
        <v>662</v>
      </c>
      <c r="B65" s="82" t="s">
        <v>723</v>
      </c>
      <c r="C65" s="87" t="n">
        <v>16.3</v>
      </c>
      <c r="D65" s="87" t="n">
        <v>15.8</v>
      </c>
      <c r="E65" s="87" t="n">
        <v>15.9</v>
      </c>
      <c r="F65" s="87" t="n">
        <v>16.2</v>
      </c>
      <c r="G65" s="87" t="n">
        <v>16.2</v>
      </c>
      <c r="H65" s="87" t="n">
        <v>16.3</v>
      </c>
      <c r="I65" s="87" t="n">
        <v>16.6</v>
      </c>
      <c r="J65" s="87" t="n">
        <v>16.7</v>
      </c>
      <c r="K65" s="87" t="n">
        <v>16.6</v>
      </c>
      <c r="L65" s="87" t="n">
        <v>16.6</v>
      </c>
      <c r="M65" s="87" t="n">
        <v>16.8</v>
      </c>
      <c r="N65" s="87" t="n">
        <v>16.8</v>
      </c>
      <c r="O65" s="88" t="n">
        <f aca="false">AVERAGE(C65:N65)</f>
        <v>16.4</v>
      </c>
      <c r="P65" s="89" t="n">
        <f aca="false">MIN(C65:N65)</f>
        <v>15.8</v>
      </c>
      <c r="Q65" s="89" t="n">
        <f aca="false">MAX(C65:N65)</f>
        <v>16.8</v>
      </c>
      <c r="R65" s="89" t="n">
        <f aca="false">Q65-P65</f>
        <v>1</v>
      </c>
      <c r="S65" s="85" t="n">
        <f aca="false">RANK(O65,$O$64:$O$79)</f>
        <v>8</v>
      </c>
    </row>
    <row r="66" customFormat="false" ht="15" hidden="false" customHeight="false" outlineLevel="0" collapsed="false">
      <c r="A66" s="18" t="s">
        <v>724</v>
      </c>
      <c r="B66" s="82" t="s">
        <v>725</v>
      </c>
      <c r="C66" s="87" t="n">
        <v>12.4</v>
      </c>
      <c r="D66" s="87" t="n">
        <v>12.2</v>
      </c>
      <c r="E66" s="87" t="n">
        <v>12.3</v>
      </c>
      <c r="F66" s="87" t="n">
        <v>12.5</v>
      </c>
      <c r="G66" s="87" t="n">
        <v>12.8</v>
      </c>
      <c r="H66" s="87" t="n">
        <v>12.9</v>
      </c>
      <c r="I66" s="87" t="n">
        <v>13.3</v>
      </c>
      <c r="J66" s="87" t="n">
        <v>13.4</v>
      </c>
      <c r="K66" s="87" t="n">
        <v>13.3</v>
      </c>
      <c r="L66" s="87" t="n">
        <v>13.1</v>
      </c>
      <c r="M66" s="87" t="n">
        <v>13</v>
      </c>
      <c r="N66" s="87" t="n">
        <v>12.9</v>
      </c>
      <c r="O66" s="88" t="n">
        <f aca="false">AVERAGE(C66:N66)</f>
        <v>12.8416666666667</v>
      </c>
      <c r="P66" s="89" t="n">
        <f aca="false">MIN(C66:N66)</f>
        <v>12.2</v>
      </c>
      <c r="Q66" s="89" t="n">
        <f aca="false">MAX(C66:N66)</f>
        <v>13.4</v>
      </c>
      <c r="R66" s="89" t="n">
        <f aca="false">Q66-P66</f>
        <v>1.2</v>
      </c>
      <c r="S66" s="85" t="n">
        <f aca="false">RANK(O66,$O$64:$O$79)</f>
        <v>16</v>
      </c>
    </row>
    <row r="67" customFormat="false" ht="15" hidden="false" customHeight="false" outlineLevel="0" collapsed="false">
      <c r="A67" s="18" t="s">
        <v>648</v>
      </c>
      <c r="B67" s="82" t="s">
        <v>726</v>
      </c>
      <c r="C67" s="87" t="n">
        <v>40.5</v>
      </c>
      <c r="D67" s="87" t="n">
        <v>40.4</v>
      </c>
      <c r="E67" s="87" t="n">
        <v>40</v>
      </c>
      <c r="F67" s="87" t="n">
        <v>40.4</v>
      </c>
      <c r="G67" s="87" t="n">
        <v>41.6</v>
      </c>
      <c r="H67" s="87" t="n">
        <v>41.4</v>
      </c>
      <c r="I67" s="87" t="n">
        <v>41.5</v>
      </c>
      <c r="J67" s="87" t="n">
        <v>41.7</v>
      </c>
      <c r="K67" s="87" t="n">
        <v>41.8</v>
      </c>
      <c r="L67" s="87" t="n">
        <v>41.4</v>
      </c>
      <c r="M67" s="87" t="n">
        <v>41.2</v>
      </c>
      <c r="N67" s="87" t="n">
        <v>40.8</v>
      </c>
      <c r="O67" s="88" t="n">
        <f aca="false">AVERAGE(C67:N67)</f>
        <v>41.0583333333333</v>
      </c>
      <c r="P67" s="89" t="n">
        <f aca="false">MIN(C67:N67)</f>
        <v>40</v>
      </c>
      <c r="Q67" s="89" t="n">
        <f aca="false">MAX(C67:N67)</f>
        <v>41.8</v>
      </c>
      <c r="R67" s="89" t="n">
        <f aca="false">Q67-P67</f>
        <v>1.8</v>
      </c>
      <c r="S67" s="85" t="n">
        <f aca="false">RANK(O67,$O$64:$O$79)</f>
        <v>2</v>
      </c>
    </row>
    <row r="68" customFormat="false" ht="15" hidden="false" customHeight="false" outlineLevel="0" collapsed="false">
      <c r="A68" s="18" t="s">
        <v>666</v>
      </c>
      <c r="B68" s="82" t="s">
        <v>727</v>
      </c>
      <c r="C68" s="87" t="n">
        <v>47.7</v>
      </c>
      <c r="D68" s="87" t="n">
        <v>48.4</v>
      </c>
      <c r="E68" s="87" t="n">
        <v>48.4</v>
      </c>
      <c r="F68" s="87" t="n">
        <v>49</v>
      </c>
      <c r="G68" s="87" t="n">
        <v>48.5</v>
      </c>
      <c r="H68" s="87" t="n">
        <v>48.6</v>
      </c>
      <c r="I68" s="87" t="n">
        <v>48.3</v>
      </c>
      <c r="J68" s="87" t="n">
        <v>48.2</v>
      </c>
      <c r="K68" s="87" t="n">
        <v>48.3</v>
      </c>
      <c r="L68" s="87" t="n">
        <v>48.9</v>
      </c>
      <c r="M68" s="87" t="n">
        <v>49.1</v>
      </c>
      <c r="N68" s="87" t="n">
        <v>48.9</v>
      </c>
      <c r="O68" s="88" t="n">
        <f aca="false">AVERAGE(C68:N68)</f>
        <v>48.525</v>
      </c>
      <c r="P68" s="89" t="n">
        <f aca="false">MIN(C68:N68)</f>
        <v>47.7</v>
      </c>
      <c r="Q68" s="89" t="n">
        <f aca="false">MAX(C68:N68)</f>
        <v>49.1</v>
      </c>
      <c r="R68" s="89" t="n">
        <f aca="false">Q68-P68</f>
        <v>1.4</v>
      </c>
      <c r="S68" s="85" t="n">
        <f aca="false">RANK(O68,$O$64:$O$79)</f>
        <v>1</v>
      </c>
    </row>
    <row r="69" customFormat="false" ht="15" hidden="false" customHeight="false" outlineLevel="0" collapsed="false">
      <c r="A69" s="18" t="s">
        <v>728</v>
      </c>
      <c r="B69" s="82" t="s">
        <v>729</v>
      </c>
      <c r="C69" s="87" t="n">
        <v>35.1</v>
      </c>
      <c r="D69" s="87" t="n">
        <v>35.6</v>
      </c>
      <c r="E69" s="87" t="n">
        <v>35.9</v>
      </c>
      <c r="F69" s="87" t="n">
        <v>34.4</v>
      </c>
      <c r="G69" s="87" t="n">
        <v>34.3</v>
      </c>
      <c r="H69" s="87" t="n">
        <v>35.3</v>
      </c>
      <c r="I69" s="87" t="n">
        <v>34.5</v>
      </c>
      <c r="J69" s="87" t="n">
        <v>34.5</v>
      </c>
      <c r="K69" s="87" t="n">
        <v>34.8</v>
      </c>
      <c r="L69" s="87" t="n">
        <v>35.5</v>
      </c>
      <c r="M69" s="87" t="n">
        <v>37.1</v>
      </c>
      <c r="N69" s="87" t="n">
        <v>37.2</v>
      </c>
      <c r="O69" s="88" t="n">
        <f aca="false">AVERAGE(C69:N69)</f>
        <v>35.35</v>
      </c>
      <c r="P69" s="89" t="n">
        <f aca="false">MIN(C69:N69)</f>
        <v>34.3</v>
      </c>
      <c r="Q69" s="89" t="n">
        <f aca="false">MAX(C69:N69)</f>
        <v>37.2</v>
      </c>
      <c r="R69" s="89" t="n">
        <f aca="false">Q69-P69</f>
        <v>2.90000000000001</v>
      </c>
      <c r="S69" s="85" t="n">
        <f aca="false">RANK(O69,$O$64:$O$79)</f>
        <v>3</v>
      </c>
    </row>
    <row r="70" customFormat="false" ht="15" hidden="false" customHeight="false" outlineLevel="0" collapsed="false">
      <c r="A70" s="18" t="s">
        <v>645</v>
      </c>
      <c r="B70" s="82" t="s">
        <v>606</v>
      </c>
      <c r="C70" s="87" t="n">
        <v>13</v>
      </c>
      <c r="D70" s="87" t="n">
        <v>12.7</v>
      </c>
      <c r="E70" s="87" t="n">
        <v>13.1</v>
      </c>
      <c r="F70" s="87" t="n">
        <v>13.5</v>
      </c>
      <c r="G70" s="87" t="n">
        <v>13.8</v>
      </c>
      <c r="H70" s="87" t="n">
        <v>13.9</v>
      </c>
      <c r="I70" s="87" t="n">
        <v>14.1</v>
      </c>
      <c r="J70" s="87" t="n">
        <v>14.1</v>
      </c>
      <c r="K70" s="87" t="n">
        <v>14.3</v>
      </c>
      <c r="L70" s="87" t="n">
        <v>14.1</v>
      </c>
      <c r="M70" s="87" t="n">
        <v>13.7</v>
      </c>
      <c r="N70" s="87" t="n">
        <v>13.4</v>
      </c>
      <c r="O70" s="88" t="n">
        <f aca="false">AVERAGE(C70:N70)</f>
        <v>13.6416666666667</v>
      </c>
      <c r="P70" s="89" t="n">
        <f aca="false">MIN(C70:N70)</f>
        <v>12.7</v>
      </c>
      <c r="Q70" s="89" t="n">
        <f aca="false">MAX(C70:N70)</f>
        <v>14.3</v>
      </c>
      <c r="R70" s="89" t="n">
        <f aca="false">Q70-P70</f>
        <v>1.6</v>
      </c>
      <c r="S70" s="85" t="n">
        <f aca="false">RANK(O70,$O$64:$O$79)</f>
        <v>15</v>
      </c>
    </row>
    <row r="71" customFormat="false" ht="15" hidden="false" customHeight="false" outlineLevel="0" collapsed="false">
      <c r="A71" s="18" t="s">
        <v>730</v>
      </c>
      <c r="B71" s="82" t="s">
        <v>731</v>
      </c>
      <c r="C71" s="87" t="n">
        <v>25.8</v>
      </c>
      <c r="D71" s="87" t="n">
        <v>25.3</v>
      </c>
      <c r="E71" s="87" t="n">
        <v>25.2</v>
      </c>
      <c r="F71" s="87" t="n">
        <v>24.2</v>
      </c>
      <c r="G71" s="87" t="n">
        <v>22.3</v>
      </c>
      <c r="H71" s="87" t="n">
        <v>22.5</v>
      </c>
      <c r="I71" s="87" t="n">
        <v>22.7</v>
      </c>
      <c r="J71" s="87" t="n">
        <v>22.6</v>
      </c>
      <c r="K71" s="87" t="n">
        <v>24.2</v>
      </c>
      <c r="L71" s="87" t="n">
        <v>24.6</v>
      </c>
      <c r="M71" s="87" t="n">
        <v>25.6</v>
      </c>
      <c r="N71" s="87" t="n">
        <v>25.8</v>
      </c>
      <c r="O71" s="88" t="n">
        <f aca="false">AVERAGE(C71:N71)</f>
        <v>24.2333333333333</v>
      </c>
      <c r="P71" s="89" t="n">
        <f aca="false">MIN(C71:N71)</f>
        <v>22.3</v>
      </c>
      <c r="Q71" s="89" t="n">
        <f aca="false">MAX(C71:N71)</f>
        <v>25.8</v>
      </c>
      <c r="R71" s="89" t="n">
        <f aca="false">Q71-P71</f>
        <v>3.5</v>
      </c>
      <c r="S71" s="85" t="n">
        <f aca="false">RANK(O71,$O$64:$O$79)</f>
        <v>5</v>
      </c>
    </row>
    <row r="72" customFormat="false" ht="15" hidden="false" customHeight="false" outlineLevel="0" collapsed="false">
      <c r="A72" s="18" t="s">
        <v>638</v>
      </c>
      <c r="B72" s="82" t="s">
        <v>732</v>
      </c>
      <c r="C72" s="87" t="n">
        <v>29.5</v>
      </c>
      <c r="D72" s="87" t="n">
        <v>29.6</v>
      </c>
      <c r="E72" s="87" t="n">
        <v>29.7</v>
      </c>
      <c r="F72" s="87" t="n">
        <v>30.1</v>
      </c>
      <c r="G72" s="87" t="n">
        <v>30.4</v>
      </c>
      <c r="H72" s="87" t="n">
        <v>29.6</v>
      </c>
      <c r="I72" s="87" t="n">
        <v>29.5</v>
      </c>
      <c r="J72" s="87" t="n">
        <v>29.7</v>
      </c>
      <c r="K72" s="87" t="n">
        <v>31.1</v>
      </c>
      <c r="L72" s="87" t="n">
        <v>31.1</v>
      </c>
      <c r="M72" s="87" t="n">
        <v>31.1</v>
      </c>
      <c r="N72" s="87" t="n">
        <v>30.9</v>
      </c>
      <c r="O72" s="88" t="n">
        <f aca="false">AVERAGE(C72:N72)</f>
        <v>30.1916666666667</v>
      </c>
      <c r="P72" s="89" t="n">
        <f aca="false">MIN(C72:N72)</f>
        <v>29.5</v>
      </c>
      <c r="Q72" s="89" t="n">
        <f aca="false">MAX(C72:N72)</f>
        <v>31.1</v>
      </c>
      <c r="R72" s="89" t="n">
        <f aca="false">Q72-P72</f>
        <v>1.6</v>
      </c>
      <c r="S72" s="85" t="n">
        <f aca="false">RANK(O72,$O$64:$O$79)</f>
        <v>4</v>
      </c>
    </row>
    <row r="73" customFormat="false" ht="15" hidden="false" customHeight="false" outlineLevel="0" collapsed="false">
      <c r="A73" s="18" t="s">
        <v>733</v>
      </c>
      <c r="B73" s="82" t="s">
        <v>734</v>
      </c>
      <c r="C73" s="87" t="n">
        <v>13.6</v>
      </c>
      <c r="D73" s="87" t="n">
        <v>13.5</v>
      </c>
      <c r="E73" s="87" t="n">
        <v>13.5</v>
      </c>
      <c r="F73" s="87" t="n">
        <v>13.8</v>
      </c>
      <c r="G73" s="87" t="n">
        <v>13.9</v>
      </c>
      <c r="H73" s="87" t="n">
        <v>14</v>
      </c>
      <c r="I73" s="87" t="n">
        <v>14.3</v>
      </c>
      <c r="J73" s="87" t="n">
        <v>14.5</v>
      </c>
      <c r="K73" s="87" t="n">
        <v>14.6</v>
      </c>
      <c r="L73" s="87" t="n">
        <v>14.4</v>
      </c>
      <c r="M73" s="87" t="n">
        <v>14.5</v>
      </c>
      <c r="N73" s="87" t="n">
        <v>14.8</v>
      </c>
      <c r="O73" s="88" t="n">
        <f aca="false">AVERAGE(C73:N73)</f>
        <v>14.1166666666667</v>
      </c>
      <c r="P73" s="89" t="n">
        <f aca="false">MIN(C73:N73)</f>
        <v>13.5</v>
      </c>
      <c r="Q73" s="89" t="n">
        <f aca="false">MAX(C73:N73)</f>
        <v>14.8</v>
      </c>
      <c r="R73" s="89" t="n">
        <f aca="false">Q73-P73</f>
        <v>1.3</v>
      </c>
      <c r="S73" s="85" t="n">
        <f aca="false">RANK(O73,$O$64:$O$79)</f>
        <v>12</v>
      </c>
    </row>
    <row r="74" customFormat="false" ht="17.15" hidden="false" customHeight="false" outlineLevel="0" collapsed="false">
      <c r="A74" s="18" t="s">
        <v>671</v>
      </c>
      <c r="B74" s="82" t="s">
        <v>735</v>
      </c>
      <c r="C74" s="87" t="n">
        <v>15.3</v>
      </c>
      <c r="D74" s="87" t="n">
        <v>14.9</v>
      </c>
      <c r="E74" s="87" t="n">
        <v>14.7</v>
      </c>
      <c r="F74" s="87" t="n">
        <v>15</v>
      </c>
      <c r="G74" s="87" t="n">
        <v>15.1</v>
      </c>
      <c r="H74" s="87" t="n">
        <v>15.1</v>
      </c>
      <c r="I74" s="87" t="n">
        <v>15.3</v>
      </c>
      <c r="J74" s="87" t="n">
        <v>15.8</v>
      </c>
      <c r="K74" s="87" t="n">
        <v>16.3</v>
      </c>
      <c r="L74" s="87" t="n">
        <v>16.8</v>
      </c>
      <c r="M74" s="87" t="n">
        <v>16.9</v>
      </c>
      <c r="N74" s="87" t="n">
        <v>16.5</v>
      </c>
      <c r="O74" s="88" t="n">
        <f aca="false">AVERAGE(C74:N74)</f>
        <v>15.6416666666667</v>
      </c>
      <c r="P74" s="89" t="n">
        <f aca="false">MIN(C74:N74)</f>
        <v>14.7</v>
      </c>
      <c r="Q74" s="89" t="n">
        <f aca="false">MAX(C74:N74)</f>
        <v>16.9</v>
      </c>
      <c r="R74" s="89" t="n">
        <f aca="false">Q74-P74</f>
        <v>2.2</v>
      </c>
      <c r="S74" s="85" t="n">
        <f aca="false">RANK(O74,$O$64:$O$79)</f>
        <v>10</v>
      </c>
    </row>
    <row r="75" customFormat="false" ht="15" hidden="false" customHeight="false" outlineLevel="0" collapsed="false">
      <c r="A75" s="18" t="s">
        <v>664</v>
      </c>
      <c r="B75" s="82" t="s">
        <v>736</v>
      </c>
      <c r="C75" s="87" t="n">
        <v>14.1</v>
      </c>
      <c r="D75" s="87" t="n">
        <v>14.1</v>
      </c>
      <c r="E75" s="87" t="n">
        <v>14.3</v>
      </c>
      <c r="F75" s="87" t="n">
        <v>14.6</v>
      </c>
      <c r="G75" s="87" t="n">
        <v>14.6</v>
      </c>
      <c r="H75" s="87" t="n">
        <v>14.8</v>
      </c>
      <c r="I75" s="87" t="n">
        <v>14.9</v>
      </c>
      <c r="J75" s="87" t="n">
        <v>15</v>
      </c>
      <c r="K75" s="87" t="n">
        <v>15</v>
      </c>
      <c r="L75" s="87" t="n">
        <v>15</v>
      </c>
      <c r="M75" s="87" t="n">
        <v>14.9</v>
      </c>
      <c r="N75" s="87" t="n">
        <v>15</v>
      </c>
      <c r="O75" s="88" t="n">
        <f aca="false">AVERAGE(C75:N75)</f>
        <v>14.6916666666667</v>
      </c>
      <c r="P75" s="89" t="n">
        <f aca="false">MIN(C75:N75)</f>
        <v>14.1</v>
      </c>
      <c r="Q75" s="89" t="n">
        <f aca="false">MAX(C75:N75)</f>
        <v>15</v>
      </c>
      <c r="R75" s="89" t="n">
        <f aca="false">Q75-P75</f>
        <v>0.9</v>
      </c>
      <c r="S75" s="85" t="n">
        <f aca="false">RANK(O75,$O$64:$O$79)</f>
        <v>11</v>
      </c>
    </row>
    <row r="76" customFormat="false" ht="15" hidden="false" customHeight="false" outlineLevel="0" collapsed="false">
      <c r="A76" s="18" t="s">
        <v>737</v>
      </c>
      <c r="B76" s="82" t="s">
        <v>738</v>
      </c>
      <c r="C76" s="87" t="n">
        <v>15.4</v>
      </c>
      <c r="D76" s="87" t="n">
        <v>15.3</v>
      </c>
      <c r="E76" s="87" t="n">
        <v>15.4</v>
      </c>
      <c r="F76" s="87" t="n">
        <v>15.5</v>
      </c>
      <c r="G76" s="87" t="n">
        <v>15.5</v>
      </c>
      <c r="H76" s="87" t="n">
        <v>15.3</v>
      </c>
      <c r="I76" s="87" t="n">
        <v>15.8</v>
      </c>
      <c r="J76" s="87" t="n">
        <v>16</v>
      </c>
      <c r="K76" s="87" t="n">
        <v>16.2</v>
      </c>
      <c r="L76" s="87" t="n">
        <v>16.1</v>
      </c>
      <c r="M76" s="87" t="n">
        <v>16</v>
      </c>
      <c r="N76" s="87" t="n">
        <v>16</v>
      </c>
      <c r="O76" s="88" t="n">
        <f aca="false">AVERAGE(C76:N76)</f>
        <v>15.7083333333333</v>
      </c>
      <c r="P76" s="89" t="n">
        <f aca="false">MIN(C76:N76)</f>
        <v>15.3</v>
      </c>
      <c r="Q76" s="89" t="n">
        <f aca="false">MAX(C76:N76)</f>
        <v>16.2</v>
      </c>
      <c r="R76" s="89" t="n">
        <f aca="false">Q76-P76</f>
        <v>0.899999999999999</v>
      </c>
      <c r="S76" s="85" t="n">
        <f aca="false">RANK(O76,$O$64:$O$79)</f>
        <v>9</v>
      </c>
    </row>
    <row r="77" customFormat="false" ht="15" hidden="false" customHeight="false" outlineLevel="0" collapsed="false">
      <c r="A77" s="18" t="s">
        <v>654</v>
      </c>
      <c r="B77" s="82" t="s">
        <v>739</v>
      </c>
      <c r="C77" s="87" t="n">
        <v>22.3</v>
      </c>
      <c r="D77" s="87" t="n">
        <v>22.2</v>
      </c>
      <c r="E77" s="87" t="n">
        <v>22.2</v>
      </c>
      <c r="F77" s="87" t="n">
        <v>22.3</v>
      </c>
      <c r="G77" s="87" t="n">
        <v>23.5</v>
      </c>
      <c r="H77" s="87" t="n">
        <v>23.9</v>
      </c>
      <c r="I77" s="87" t="n">
        <v>24.3</v>
      </c>
      <c r="J77" s="87" t="n">
        <v>24.8</v>
      </c>
      <c r="K77" s="87" t="n">
        <v>24.8</v>
      </c>
      <c r="L77" s="87" t="n">
        <v>24.5</v>
      </c>
      <c r="M77" s="87" t="n">
        <v>23.7</v>
      </c>
      <c r="N77" s="87" t="n">
        <v>23.5</v>
      </c>
      <c r="O77" s="88" t="n">
        <f aca="false">AVERAGE(C77:N77)</f>
        <v>23.5</v>
      </c>
      <c r="P77" s="89" t="n">
        <f aca="false">MIN(C77:N77)</f>
        <v>22.2</v>
      </c>
      <c r="Q77" s="89" t="n">
        <f aca="false">MAX(C77:N77)</f>
        <v>24.8</v>
      </c>
      <c r="R77" s="89" t="n">
        <f aca="false">Q77-P77</f>
        <v>2.6</v>
      </c>
      <c r="S77" s="85" t="n">
        <f aca="false">RANK(O77,$O$64:$O$79)</f>
        <v>7</v>
      </c>
    </row>
    <row r="78" customFormat="false" ht="17.15" hidden="false" customHeight="false" outlineLevel="0" collapsed="false">
      <c r="A78" s="18" t="s">
        <v>740</v>
      </c>
      <c r="B78" s="82" t="s">
        <v>741</v>
      </c>
      <c r="C78" s="87" t="n">
        <v>13.7</v>
      </c>
      <c r="D78" s="87" t="n">
        <v>13.9</v>
      </c>
      <c r="E78" s="87" t="n">
        <v>13.8</v>
      </c>
      <c r="F78" s="87" t="n">
        <v>13.7</v>
      </c>
      <c r="G78" s="87" t="n">
        <v>13.8</v>
      </c>
      <c r="H78" s="87" t="n">
        <v>13.9</v>
      </c>
      <c r="I78" s="87" t="n">
        <v>14.3</v>
      </c>
      <c r="J78" s="87" t="n">
        <v>14.2</v>
      </c>
      <c r="K78" s="87" t="n">
        <v>13.7</v>
      </c>
      <c r="L78" s="87" t="n">
        <v>13.7</v>
      </c>
      <c r="M78" s="87" t="n">
        <v>14</v>
      </c>
      <c r="N78" s="87" t="n">
        <v>13.8</v>
      </c>
      <c r="O78" s="88" t="n">
        <f aca="false">AVERAGE(C78:N78)</f>
        <v>13.875</v>
      </c>
      <c r="P78" s="89" t="n">
        <f aca="false">MIN(C78:N78)</f>
        <v>13.7</v>
      </c>
      <c r="Q78" s="89" t="n">
        <f aca="false">MAX(C78:N78)</f>
        <v>14.3</v>
      </c>
      <c r="R78" s="89" t="n">
        <f aca="false">Q78-P78</f>
        <v>0.600000000000001</v>
      </c>
      <c r="S78" s="85" t="n">
        <f aca="false">RANK(O78,$O$64:$O$79)</f>
        <v>14</v>
      </c>
    </row>
    <row r="79" customFormat="false" ht="15" hidden="false" customHeight="false" outlineLevel="0" collapsed="false">
      <c r="A79" s="18" t="s">
        <v>742</v>
      </c>
      <c r="B79" s="82" t="s">
        <v>743</v>
      </c>
      <c r="C79" s="87" t="n">
        <v>24.7</v>
      </c>
      <c r="D79" s="87" t="n">
        <v>24.3</v>
      </c>
      <c r="E79" s="87" t="n">
        <v>23.7</v>
      </c>
      <c r="F79" s="87" t="n">
        <v>24</v>
      </c>
      <c r="G79" s="87" t="n">
        <v>23.8</v>
      </c>
      <c r="H79" s="87" t="n">
        <v>23.9</v>
      </c>
      <c r="I79" s="87" t="n">
        <v>23.8</v>
      </c>
      <c r="J79" s="87" t="n">
        <v>23.9</v>
      </c>
      <c r="K79" s="87" t="n">
        <v>23.9</v>
      </c>
      <c r="L79" s="87" t="n">
        <v>23.6</v>
      </c>
      <c r="M79" s="87" t="n">
        <v>23.1</v>
      </c>
      <c r="N79" s="87" t="n">
        <v>23</v>
      </c>
      <c r="O79" s="88" t="n">
        <f aca="false">AVERAGE(C79:N79)</f>
        <v>23.8083333333333</v>
      </c>
      <c r="P79" s="89" t="n">
        <f aca="false">MIN(C79:N79)</f>
        <v>23</v>
      </c>
      <c r="Q79" s="89" t="n">
        <f aca="false">MAX(C79:N79)</f>
        <v>24.7</v>
      </c>
      <c r="R79" s="89" t="n">
        <f aca="false">Q79-P79</f>
        <v>1.7</v>
      </c>
      <c r="S79" s="85" t="n">
        <f aca="false">RANK(O79,$O$64:$O$79)</f>
        <v>6</v>
      </c>
    </row>
    <row r="81" customFormat="false" ht="19.4" hidden="false" customHeight="false" outlineLevel="0" collapsed="false">
      <c r="A81" s="86" t="s">
        <v>747</v>
      </c>
    </row>
    <row r="82" customFormat="false" ht="45.75" hidden="false" customHeight="true" outlineLevel="0" collapsed="false">
      <c r="A82" s="20" t="s">
        <v>703</v>
      </c>
      <c r="B82" s="20" t="s">
        <v>704</v>
      </c>
      <c r="C82" s="26" t="s">
        <v>705</v>
      </c>
      <c r="D82" s="26" t="s">
        <v>706</v>
      </c>
      <c r="E82" s="26" t="s">
        <v>707</v>
      </c>
      <c r="F82" s="26" t="s">
        <v>708</v>
      </c>
      <c r="G82" s="26" t="s">
        <v>709</v>
      </c>
      <c r="H82" s="26" t="s">
        <v>710</v>
      </c>
      <c r="I82" s="26" t="s">
        <v>711</v>
      </c>
      <c r="J82" s="26" t="s">
        <v>712</v>
      </c>
      <c r="K82" s="26" t="s">
        <v>713</v>
      </c>
      <c r="L82" s="26" t="s">
        <v>714</v>
      </c>
      <c r="M82" s="26" t="s">
        <v>715</v>
      </c>
      <c r="N82" s="26" t="s">
        <v>716</v>
      </c>
      <c r="O82" s="20" t="s">
        <v>717</v>
      </c>
      <c r="P82" s="20" t="s">
        <v>718</v>
      </c>
      <c r="Q82" s="20" t="s">
        <v>719</v>
      </c>
      <c r="R82" s="20" t="s">
        <v>720</v>
      </c>
      <c r="S82" s="26" t="s">
        <v>721</v>
      </c>
    </row>
    <row r="83" customFormat="false" ht="15" hidden="false" customHeight="false" outlineLevel="0" collapsed="false">
      <c r="A83" s="18" t="s">
        <v>659</v>
      </c>
      <c r="B83" s="82" t="s">
        <v>722</v>
      </c>
      <c r="C83" s="87" t="n">
        <v>3.8</v>
      </c>
      <c r="D83" s="87" t="n">
        <v>3.8</v>
      </c>
      <c r="E83" s="87" t="n">
        <v>3.8</v>
      </c>
      <c r="F83" s="87" t="n">
        <v>3.7</v>
      </c>
      <c r="G83" s="87" t="n">
        <v>3.8</v>
      </c>
      <c r="H83" s="87" t="n">
        <v>3.8</v>
      </c>
      <c r="I83" s="87" t="n">
        <v>3.9</v>
      </c>
      <c r="J83" s="87" t="n">
        <v>3.9</v>
      </c>
      <c r="K83" s="87" t="n">
        <v>3.9</v>
      </c>
      <c r="L83" s="87" t="n">
        <v>3.9</v>
      </c>
      <c r="M83" s="87" t="n">
        <v>4</v>
      </c>
      <c r="N83" s="87" t="n">
        <v>4</v>
      </c>
      <c r="O83" s="88" t="n">
        <f aca="false">AVERAGE(C83:N83)</f>
        <v>3.85833333333333</v>
      </c>
      <c r="P83" s="89" t="n">
        <f aca="false">MIN(C83:N83)</f>
        <v>3.7</v>
      </c>
      <c r="Q83" s="89" t="n">
        <f aca="false">MAX(C83:N83)</f>
        <v>4</v>
      </c>
      <c r="R83" s="89" t="n">
        <f aca="false">Q83-P83</f>
        <v>0.3</v>
      </c>
      <c r="S83" s="85" t="n">
        <f aca="false">RANK(O83,$O$83:$O$98)</f>
        <v>12</v>
      </c>
    </row>
    <row r="84" customFormat="false" ht="15" hidden="false" customHeight="false" outlineLevel="0" collapsed="false">
      <c r="A84" s="18" t="s">
        <v>662</v>
      </c>
      <c r="B84" s="82" t="s">
        <v>723</v>
      </c>
      <c r="C84" s="87" t="n">
        <v>4.4</v>
      </c>
      <c r="D84" s="87" t="n">
        <v>4.3</v>
      </c>
      <c r="E84" s="87" t="n">
        <v>4.5</v>
      </c>
      <c r="F84" s="87" t="n">
        <v>4.5</v>
      </c>
      <c r="G84" s="87" t="n">
        <v>4.5</v>
      </c>
      <c r="H84" s="87" t="n">
        <v>4.4</v>
      </c>
      <c r="I84" s="87" t="n">
        <v>4.6</v>
      </c>
      <c r="J84" s="87" t="n">
        <v>4.7</v>
      </c>
      <c r="K84" s="87" t="n">
        <v>4.8</v>
      </c>
      <c r="L84" s="87" t="n">
        <v>4.8</v>
      </c>
      <c r="M84" s="87" t="n">
        <v>4.9</v>
      </c>
      <c r="N84" s="87" t="n">
        <v>4.9</v>
      </c>
      <c r="O84" s="88" t="n">
        <f aca="false">AVERAGE(C84:N84)</f>
        <v>4.60833333333333</v>
      </c>
      <c r="P84" s="89" t="n">
        <f aca="false">MIN(C84:N84)</f>
        <v>4.3</v>
      </c>
      <c r="Q84" s="89" t="n">
        <f aca="false">MAX(C84:N84)</f>
        <v>4.9</v>
      </c>
      <c r="R84" s="89" t="n">
        <f aca="false">Q84-P84</f>
        <v>0.600000000000001</v>
      </c>
      <c r="S84" s="85" t="n">
        <f aca="false">RANK(O84,$O$83:$O$98)</f>
        <v>8</v>
      </c>
    </row>
    <row r="85" customFormat="false" ht="15" hidden="false" customHeight="false" outlineLevel="0" collapsed="false">
      <c r="A85" s="18" t="s">
        <v>724</v>
      </c>
      <c r="B85" s="82" t="s">
        <v>725</v>
      </c>
      <c r="C85" s="87" t="n">
        <v>3.2</v>
      </c>
      <c r="D85" s="87" t="n">
        <v>3.3</v>
      </c>
      <c r="E85" s="87" t="n">
        <v>3.3</v>
      </c>
      <c r="F85" s="87" t="n">
        <v>3.3</v>
      </c>
      <c r="G85" s="87" t="n">
        <v>3.2</v>
      </c>
      <c r="H85" s="87" t="n">
        <v>3.3</v>
      </c>
      <c r="I85" s="87" t="n">
        <v>3.4</v>
      </c>
      <c r="J85" s="87" t="n">
        <v>3.4</v>
      </c>
      <c r="K85" s="87" t="n">
        <v>3.3</v>
      </c>
      <c r="L85" s="87" t="n">
        <v>3.3</v>
      </c>
      <c r="M85" s="87" t="n">
        <v>3.4</v>
      </c>
      <c r="N85" s="87" t="n">
        <v>3.4</v>
      </c>
      <c r="O85" s="88" t="n">
        <f aca="false">AVERAGE(C85:N85)</f>
        <v>3.31666666666667</v>
      </c>
      <c r="P85" s="89" t="n">
        <f aca="false">MIN(C85:N85)</f>
        <v>3.2</v>
      </c>
      <c r="Q85" s="89" t="n">
        <f aca="false">MAX(C85:N85)</f>
        <v>3.4</v>
      </c>
      <c r="R85" s="89" t="n">
        <f aca="false">Q85-P85</f>
        <v>0.2</v>
      </c>
      <c r="S85" s="85" t="n">
        <f aca="false">RANK(O85,$O$83:$O$98)</f>
        <v>16</v>
      </c>
    </row>
    <row r="86" customFormat="false" ht="15" hidden="false" customHeight="false" outlineLevel="0" collapsed="false">
      <c r="A86" s="18" t="s">
        <v>648</v>
      </c>
      <c r="B86" s="82" t="s">
        <v>726</v>
      </c>
      <c r="C86" s="87" t="n">
        <v>7.3</v>
      </c>
      <c r="D86" s="87" t="n">
        <v>7.2</v>
      </c>
      <c r="E86" s="87" t="n">
        <v>7.2</v>
      </c>
      <c r="F86" s="87" t="n">
        <v>7.2</v>
      </c>
      <c r="G86" s="87" t="n">
        <v>7.4</v>
      </c>
      <c r="H86" s="87" t="n">
        <v>7.2</v>
      </c>
      <c r="I86" s="87" t="n">
        <v>7.3</v>
      </c>
      <c r="J86" s="87" t="n">
        <v>7.3</v>
      </c>
      <c r="K86" s="87" t="n">
        <v>7.3</v>
      </c>
      <c r="L86" s="87" t="n">
        <v>7.4</v>
      </c>
      <c r="M86" s="87" t="n">
        <v>7.4</v>
      </c>
      <c r="N86" s="87" t="n">
        <v>7.3</v>
      </c>
      <c r="O86" s="88" t="n">
        <f aca="false">AVERAGE(C86:N86)</f>
        <v>7.29166666666667</v>
      </c>
      <c r="P86" s="89" t="n">
        <f aca="false">MIN(C86:N86)</f>
        <v>7.2</v>
      </c>
      <c r="Q86" s="89" t="n">
        <f aca="false">MAX(C86:N86)</f>
        <v>7.4</v>
      </c>
      <c r="R86" s="89" t="n">
        <f aca="false">Q86-P86</f>
        <v>0.2</v>
      </c>
      <c r="S86" s="85" t="n">
        <f aca="false">RANK(O86,$O$83:$O$98)</f>
        <v>4</v>
      </c>
    </row>
    <row r="87" customFormat="false" ht="15" hidden="false" customHeight="false" outlineLevel="0" collapsed="false">
      <c r="A87" s="18" t="s">
        <v>666</v>
      </c>
      <c r="B87" s="82" t="s">
        <v>727</v>
      </c>
      <c r="C87" s="87" t="n">
        <v>8.2</v>
      </c>
      <c r="D87" s="87" t="n">
        <v>8.2</v>
      </c>
      <c r="E87" s="87" t="n">
        <v>8.2</v>
      </c>
      <c r="F87" s="87" t="n">
        <v>8.3</v>
      </c>
      <c r="G87" s="87" t="n">
        <v>8.3</v>
      </c>
      <c r="H87" s="87" t="n">
        <v>8.2</v>
      </c>
      <c r="I87" s="87" t="n">
        <v>8.2</v>
      </c>
      <c r="J87" s="87" t="n">
        <v>8.2</v>
      </c>
      <c r="K87" s="87" t="n">
        <v>8.4</v>
      </c>
      <c r="L87" s="87" t="n">
        <v>8.5</v>
      </c>
      <c r="M87" s="87" t="n">
        <v>8.5</v>
      </c>
      <c r="N87" s="87" t="n">
        <v>8.5</v>
      </c>
      <c r="O87" s="88" t="n">
        <f aca="false">AVERAGE(C87:N87)</f>
        <v>8.30833333333333</v>
      </c>
      <c r="P87" s="89" t="n">
        <f aca="false">MIN(C87:N87)</f>
        <v>8.2</v>
      </c>
      <c r="Q87" s="89" t="n">
        <f aca="false">MAX(C87:N87)</f>
        <v>8.5</v>
      </c>
      <c r="R87" s="89" t="n">
        <f aca="false">Q87-P87</f>
        <v>0.300000000000001</v>
      </c>
      <c r="S87" s="85" t="n">
        <f aca="false">RANK(O87,$O$83:$O$98)</f>
        <v>2</v>
      </c>
    </row>
    <row r="88" customFormat="false" ht="15" hidden="false" customHeight="false" outlineLevel="0" collapsed="false">
      <c r="A88" s="18" t="s">
        <v>728</v>
      </c>
      <c r="B88" s="82" t="s">
        <v>729</v>
      </c>
      <c r="C88" s="87" t="n">
        <v>7.4</v>
      </c>
      <c r="D88" s="87" t="n">
        <v>7.3</v>
      </c>
      <c r="E88" s="87" t="n">
        <v>7.3</v>
      </c>
      <c r="F88" s="87" t="n">
        <v>7.4</v>
      </c>
      <c r="G88" s="87" t="n">
        <v>7.3</v>
      </c>
      <c r="H88" s="87" t="n">
        <v>7.3</v>
      </c>
      <c r="I88" s="87" t="n">
        <v>7.2</v>
      </c>
      <c r="J88" s="87" t="n">
        <v>7.1</v>
      </c>
      <c r="K88" s="87" t="n">
        <v>7.2</v>
      </c>
      <c r="L88" s="87" t="n">
        <v>7.2</v>
      </c>
      <c r="M88" s="87" t="n">
        <v>7.4</v>
      </c>
      <c r="N88" s="87" t="n">
        <v>7.5</v>
      </c>
      <c r="O88" s="88" t="n">
        <f aca="false">AVERAGE(C88:N88)</f>
        <v>7.3</v>
      </c>
      <c r="P88" s="89" t="n">
        <f aca="false">MIN(C88:N88)</f>
        <v>7.1</v>
      </c>
      <c r="Q88" s="89" t="n">
        <f aca="false">MAX(C88:N88)</f>
        <v>7.5</v>
      </c>
      <c r="R88" s="89" t="n">
        <f aca="false">Q88-P88</f>
        <v>0.4</v>
      </c>
      <c r="S88" s="85" t="n">
        <f aca="false">RANK(O88,$O$83:$O$98)</f>
        <v>3</v>
      </c>
    </row>
    <row r="89" customFormat="false" ht="15" hidden="false" customHeight="false" outlineLevel="0" collapsed="false">
      <c r="A89" s="18" t="s">
        <v>645</v>
      </c>
      <c r="B89" s="82" t="s">
        <v>606</v>
      </c>
      <c r="C89" s="87" t="n">
        <v>3.5</v>
      </c>
      <c r="D89" s="87" t="n">
        <v>3.5</v>
      </c>
      <c r="E89" s="87" t="n">
        <v>3.5</v>
      </c>
      <c r="F89" s="87" t="n">
        <v>3.6</v>
      </c>
      <c r="G89" s="87" t="n">
        <v>3.6</v>
      </c>
      <c r="H89" s="87" t="n">
        <v>3.6</v>
      </c>
      <c r="I89" s="87" t="n">
        <v>3.7</v>
      </c>
      <c r="J89" s="87" t="n">
        <v>3.7</v>
      </c>
      <c r="K89" s="87" t="n">
        <v>3.7</v>
      </c>
      <c r="L89" s="87" t="n">
        <v>3.8</v>
      </c>
      <c r="M89" s="87" t="n">
        <v>3.9</v>
      </c>
      <c r="N89" s="87" t="n">
        <v>4</v>
      </c>
      <c r="O89" s="88" t="n">
        <f aca="false">AVERAGE(C89:N89)</f>
        <v>3.675</v>
      </c>
      <c r="P89" s="89" t="n">
        <f aca="false">MIN(C89:N89)</f>
        <v>3.5</v>
      </c>
      <c r="Q89" s="89" t="n">
        <f aca="false">MAX(C89:N89)</f>
        <v>4</v>
      </c>
      <c r="R89" s="89" t="n">
        <f aca="false">Q89-P89</f>
        <v>0.5</v>
      </c>
      <c r="S89" s="85" t="n">
        <f aca="false">RANK(O89,$O$83:$O$98)</f>
        <v>14</v>
      </c>
    </row>
    <row r="90" customFormat="false" ht="15" hidden="false" customHeight="false" outlineLevel="0" collapsed="false">
      <c r="A90" s="18" t="s">
        <v>730</v>
      </c>
      <c r="B90" s="82" t="s">
        <v>731</v>
      </c>
      <c r="C90" s="87" t="n">
        <v>9.3</v>
      </c>
      <c r="D90" s="87" t="n">
        <v>9.3</v>
      </c>
      <c r="E90" s="87" t="n">
        <v>9.3</v>
      </c>
      <c r="F90" s="87" t="n">
        <v>9.5</v>
      </c>
      <c r="G90" s="87" t="n">
        <v>9.2</v>
      </c>
      <c r="H90" s="87" t="n">
        <v>9.3</v>
      </c>
      <c r="I90" s="87" t="n">
        <v>9.3</v>
      </c>
      <c r="J90" s="87" t="n">
        <v>9.4</v>
      </c>
      <c r="K90" s="87" t="n">
        <v>9.4</v>
      </c>
      <c r="L90" s="87" t="n">
        <v>9.7</v>
      </c>
      <c r="M90" s="87" t="n">
        <v>9.8</v>
      </c>
      <c r="N90" s="87" t="n">
        <v>9.7</v>
      </c>
      <c r="O90" s="88" t="n">
        <f aca="false">AVERAGE(C90:N90)</f>
        <v>9.43333333333333</v>
      </c>
      <c r="P90" s="89" t="n">
        <f aca="false">MIN(C90:N90)</f>
        <v>9.2</v>
      </c>
      <c r="Q90" s="89" t="n">
        <f aca="false">MAX(C90:N90)</f>
        <v>9.8</v>
      </c>
      <c r="R90" s="89" t="n">
        <f aca="false">Q90-P90</f>
        <v>0.600000000000001</v>
      </c>
      <c r="S90" s="85" t="n">
        <f aca="false">RANK(O90,$O$83:$O$98)</f>
        <v>1</v>
      </c>
    </row>
    <row r="91" customFormat="false" ht="15" hidden="false" customHeight="false" outlineLevel="0" collapsed="false">
      <c r="A91" s="18" t="s">
        <v>638</v>
      </c>
      <c r="B91" s="82" t="s">
        <v>732</v>
      </c>
      <c r="C91" s="87" t="n">
        <v>5.6</v>
      </c>
      <c r="D91" s="87" t="n">
        <v>5.6</v>
      </c>
      <c r="E91" s="87" t="n">
        <v>5.6</v>
      </c>
      <c r="F91" s="87" t="n">
        <v>5.7</v>
      </c>
      <c r="G91" s="87" t="n">
        <v>5.6</v>
      </c>
      <c r="H91" s="87" t="n">
        <v>5.6</v>
      </c>
      <c r="I91" s="87" t="n">
        <v>5.6</v>
      </c>
      <c r="J91" s="87" t="n">
        <v>5.6</v>
      </c>
      <c r="K91" s="87" t="n">
        <v>5.7</v>
      </c>
      <c r="L91" s="87" t="n">
        <v>5.7</v>
      </c>
      <c r="M91" s="87" t="n">
        <v>5.7</v>
      </c>
      <c r="N91" s="87" t="n">
        <v>5.7</v>
      </c>
      <c r="O91" s="88" t="n">
        <f aca="false">AVERAGE(C91:N91)</f>
        <v>5.64166666666667</v>
      </c>
      <c r="P91" s="89" t="n">
        <f aca="false">MIN(C91:N91)</f>
        <v>5.6</v>
      </c>
      <c r="Q91" s="89" t="n">
        <f aca="false">MAX(C91:N91)</f>
        <v>5.7</v>
      </c>
      <c r="R91" s="89" t="n">
        <f aca="false">Q91-P91</f>
        <v>0.100000000000001</v>
      </c>
      <c r="S91" s="85" t="n">
        <f aca="false">RANK(O91,$O$83:$O$98)</f>
        <v>5</v>
      </c>
    </row>
    <row r="92" customFormat="false" ht="15" hidden="false" customHeight="false" outlineLevel="0" collapsed="false">
      <c r="A92" s="18" t="s">
        <v>733</v>
      </c>
      <c r="B92" s="82" t="s">
        <v>734</v>
      </c>
      <c r="C92" s="87" t="n">
        <v>3.6</v>
      </c>
      <c r="D92" s="87" t="n">
        <v>3.7</v>
      </c>
      <c r="E92" s="87" t="n">
        <v>3.7</v>
      </c>
      <c r="F92" s="87" t="n">
        <v>3.7</v>
      </c>
      <c r="G92" s="87" t="n">
        <v>3.8</v>
      </c>
      <c r="H92" s="87" t="n">
        <v>3.8</v>
      </c>
      <c r="I92" s="87" t="n">
        <v>3.9</v>
      </c>
      <c r="J92" s="87" t="n">
        <v>3.9</v>
      </c>
      <c r="K92" s="87" t="n">
        <v>3.9</v>
      </c>
      <c r="L92" s="87" t="n">
        <v>3.9</v>
      </c>
      <c r="M92" s="87" t="n">
        <v>3.9</v>
      </c>
      <c r="N92" s="87" t="n">
        <v>4</v>
      </c>
      <c r="O92" s="88" t="n">
        <f aca="false">AVERAGE(C92:N92)</f>
        <v>3.81666666666667</v>
      </c>
      <c r="P92" s="89" t="n">
        <f aca="false">MIN(C92:N92)</f>
        <v>3.6</v>
      </c>
      <c r="Q92" s="89" t="n">
        <f aca="false">MAX(C92:N92)</f>
        <v>4</v>
      </c>
      <c r="R92" s="89" t="n">
        <f aca="false">Q92-P92</f>
        <v>0.4</v>
      </c>
      <c r="S92" s="85" t="n">
        <f aca="false">RANK(O92,$O$83:$O$98)</f>
        <v>13</v>
      </c>
    </row>
    <row r="93" customFormat="false" ht="17.15" hidden="false" customHeight="false" outlineLevel="0" collapsed="false">
      <c r="A93" s="18" t="s">
        <v>671</v>
      </c>
      <c r="B93" s="82" t="s">
        <v>735</v>
      </c>
      <c r="C93" s="87" t="n">
        <v>4.2</v>
      </c>
      <c r="D93" s="87" t="n">
        <v>4.2</v>
      </c>
      <c r="E93" s="87" t="n">
        <v>4.1</v>
      </c>
      <c r="F93" s="87" t="n">
        <v>4.1</v>
      </c>
      <c r="G93" s="87" t="n">
        <v>4.1</v>
      </c>
      <c r="H93" s="87" t="n">
        <v>4.1</v>
      </c>
      <c r="I93" s="87" t="n">
        <v>4.3</v>
      </c>
      <c r="J93" s="87" t="n">
        <v>4.5</v>
      </c>
      <c r="K93" s="87" t="n">
        <v>4.7</v>
      </c>
      <c r="L93" s="87" t="n">
        <v>4.7</v>
      </c>
      <c r="M93" s="87" t="n">
        <v>4.8</v>
      </c>
      <c r="N93" s="87" t="n">
        <v>4.7</v>
      </c>
      <c r="O93" s="88" t="n">
        <f aca="false">AVERAGE(C93:N93)</f>
        <v>4.375</v>
      </c>
      <c r="P93" s="89" t="n">
        <f aca="false">MIN(C93:N93)</f>
        <v>4.1</v>
      </c>
      <c r="Q93" s="89" t="n">
        <f aca="false">MAX(C93:N93)</f>
        <v>4.8</v>
      </c>
      <c r="R93" s="89" t="n">
        <f aca="false">Q93-P93</f>
        <v>0.7</v>
      </c>
      <c r="S93" s="85" t="n">
        <f aca="false">RANK(O93,$O$83:$O$98)</f>
        <v>9</v>
      </c>
    </row>
    <row r="94" customFormat="false" ht="15" hidden="false" customHeight="false" outlineLevel="0" collapsed="false">
      <c r="A94" s="18" t="s">
        <v>664</v>
      </c>
      <c r="B94" s="82" t="s">
        <v>736</v>
      </c>
      <c r="C94" s="87" t="n">
        <v>3.9</v>
      </c>
      <c r="D94" s="87" t="n">
        <v>4</v>
      </c>
      <c r="E94" s="87" t="n">
        <v>4</v>
      </c>
      <c r="F94" s="87" t="n">
        <v>4</v>
      </c>
      <c r="G94" s="87" t="n">
        <v>4.1</v>
      </c>
      <c r="H94" s="87" t="n">
        <v>4.1</v>
      </c>
      <c r="I94" s="87" t="n">
        <v>4.1</v>
      </c>
      <c r="J94" s="87" t="n">
        <v>4.2</v>
      </c>
      <c r="K94" s="87" t="n">
        <v>4.2</v>
      </c>
      <c r="L94" s="87" t="n">
        <v>4.2</v>
      </c>
      <c r="M94" s="87" t="n">
        <v>4.3</v>
      </c>
      <c r="N94" s="87" t="n">
        <v>4.3</v>
      </c>
      <c r="O94" s="88" t="n">
        <f aca="false">AVERAGE(C94:N94)</f>
        <v>4.11666666666667</v>
      </c>
      <c r="P94" s="89" t="n">
        <f aca="false">MIN(C94:N94)</f>
        <v>3.9</v>
      </c>
      <c r="Q94" s="89" t="n">
        <f aca="false">MAX(C94:N94)</f>
        <v>4.3</v>
      </c>
      <c r="R94" s="89" t="n">
        <f aca="false">Q94-P94</f>
        <v>0.4</v>
      </c>
      <c r="S94" s="85" t="n">
        <f aca="false">RANK(O94,$O$83:$O$98)</f>
        <v>11</v>
      </c>
    </row>
    <row r="95" customFormat="false" ht="15" hidden="false" customHeight="false" outlineLevel="0" collapsed="false">
      <c r="A95" s="18" t="s">
        <v>737</v>
      </c>
      <c r="B95" s="82" t="s">
        <v>738</v>
      </c>
      <c r="C95" s="87" t="n">
        <v>4.2</v>
      </c>
      <c r="D95" s="87" t="n">
        <v>4.2</v>
      </c>
      <c r="E95" s="87" t="n">
        <v>4.2</v>
      </c>
      <c r="F95" s="87" t="n">
        <v>4.3</v>
      </c>
      <c r="G95" s="87" t="n">
        <v>4.3</v>
      </c>
      <c r="H95" s="87" t="n">
        <v>4.3</v>
      </c>
      <c r="I95" s="87" t="n">
        <v>4.3</v>
      </c>
      <c r="J95" s="87" t="n">
        <v>4.3</v>
      </c>
      <c r="K95" s="87" t="n">
        <v>4.4</v>
      </c>
      <c r="L95" s="87" t="n">
        <v>4.4</v>
      </c>
      <c r="M95" s="87" t="n">
        <v>4.5</v>
      </c>
      <c r="N95" s="87" t="n">
        <v>4.4</v>
      </c>
      <c r="O95" s="88" t="n">
        <f aca="false">AVERAGE(C95:N95)</f>
        <v>4.31666666666667</v>
      </c>
      <c r="P95" s="89" t="n">
        <f aca="false">MIN(C95:N95)</f>
        <v>4.2</v>
      </c>
      <c r="Q95" s="89" t="n">
        <f aca="false">MAX(C95:N95)</f>
        <v>4.5</v>
      </c>
      <c r="R95" s="89" t="n">
        <f aca="false">Q95-P95</f>
        <v>0.3</v>
      </c>
      <c r="S95" s="85" t="n">
        <f aca="false">RANK(O95,$O$83:$O$98)</f>
        <v>10</v>
      </c>
    </row>
    <row r="96" customFormat="false" ht="15" hidden="false" customHeight="false" outlineLevel="0" collapsed="false">
      <c r="A96" s="18" t="s">
        <v>654</v>
      </c>
      <c r="B96" s="82" t="s">
        <v>739</v>
      </c>
      <c r="C96" s="87" t="n">
        <v>5.3</v>
      </c>
      <c r="D96" s="87" t="n">
        <v>5.3</v>
      </c>
      <c r="E96" s="87" t="n">
        <v>5.3</v>
      </c>
      <c r="F96" s="87" t="n">
        <v>5.4</v>
      </c>
      <c r="G96" s="87" t="n">
        <v>5.4</v>
      </c>
      <c r="H96" s="87" t="n">
        <v>5.5</v>
      </c>
      <c r="I96" s="87" t="n">
        <v>5.5</v>
      </c>
      <c r="J96" s="87" t="n">
        <v>5.6</v>
      </c>
      <c r="K96" s="87" t="n">
        <v>5.6</v>
      </c>
      <c r="L96" s="87" t="n">
        <v>5.5</v>
      </c>
      <c r="M96" s="87" t="n">
        <v>5.5</v>
      </c>
      <c r="N96" s="87" t="n">
        <v>5.5</v>
      </c>
      <c r="O96" s="88" t="n">
        <f aca="false">AVERAGE(C96:N96)</f>
        <v>5.45</v>
      </c>
      <c r="P96" s="89" t="n">
        <f aca="false">MIN(C96:N96)</f>
        <v>5.3</v>
      </c>
      <c r="Q96" s="89" t="n">
        <f aca="false">MAX(C96:N96)</f>
        <v>5.6</v>
      </c>
      <c r="R96" s="89" t="n">
        <f aca="false">Q96-P96</f>
        <v>0.3</v>
      </c>
      <c r="S96" s="85" t="n">
        <f aca="false">RANK(O96,$O$83:$O$98)</f>
        <v>6</v>
      </c>
    </row>
    <row r="97" customFormat="false" ht="17.15" hidden="false" customHeight="false" outlineLevel="0" collapsed="false">
      <c r="A97" s="18" t="s">
        <v>740</v>
      </c>
      <c r="B97" s="82" t="s">
        <v>741</v>
      </c>
      <c r="C97" s="87" t="n">
        <v>3.5</v>
      </c>
      <c r="D97" s="87" t="n">
        <v>3.6</v>
      </c>
      <c r="E97" s="87" t="n">
        <v>3.6</v>
      </c>
      <c r="F97" s="87" t="n">
        <v>3.6</v>
      </c>
      <c r="G97" s="87" t="n">
        <v>3.7</v>
      </c>
      <c r="H97" s="87" t="n">
        <v>3.7</v>
      </c>
      <c r="I97" s="87" t="n">
        <v>3.8</v>
      </c>
      <c r="J97" s="87" t="n">
        <v>3.7</v>
      </c>
      <c r="K97" s="87" t="n">
        <v>3.6</v>
      </c>
      <c r="L97" s="87" t="n">
        <v>3.6</v>
      </c>
      <c r="M97" s="87" t="n">
        <v>3.7</v>
      </c>
      <c r="N97" s="87" t="n">
        <v>3.7</v>
      </c>
      <c r="O97" s="88" t="n">
        <f aca="false">AVERAGE(C97:N97)</f>
        <v>3.65</v>
      </c>
      <c r="P97" s="89" t="n">
        <f aca="false">MIN(C97:N97)</f>
        <v>3.5</v>
      </c>
      <c r="Q97" s="89" t="n">
        <f aca="false">MAX(C97:N97)</f>
        <v>3.8</v>
      </c>
      <c r="R97" s="89" t="n">
        <f aca="false">Q97-P97</f>
        <v>0.3</v>
      </c>
      <c r="S97" s="85" t="n">
        <f aca="false">RANK(O97,$O$83:$O$98)</f>
        <v>15</v>
      </c>
    </row>
    <row r="98" customFormat="false" ht="15" hidden="false" customHeight="false" outlineLevel="0" collapsed="false">
      <c r="A98" s="18" t="s">
        <v>742</v>
      </c>
      <c r="B98" s="82" t="s">
        <v>743</v>
      </c>
      <c r="C98" s="87" t="n">
        <v>5</v>
      </c>
      <c r="D98" s="87" t="n">
        <v>5</v>
      </c>
      <c r="E98" s="87" t="n">
        <v>4.9</v>
      </c>
      <c r="F98" s="87" t="n">
        <v>5</v>
      </c>
      <c r="G98" s="87" t="n">
        <v>5</v>
      </c>
      <c r="H98" s="87" t="n">
        <v>5.1</v>
      </c>
      <c r="I98" s="87" t="n">
        <v>5.1</v>
      </c>
      <c r="J98" s="87" t="n">
        <v>5.1</v>
      </c>
      <c r="K98" s="87" t="n">
        <v>5.1</v>
      </c>
      <c r="L98" s="87" t="n">
        <v>5.3</v>
      </c>
      <c r="M98" s="87" t="n">
        <v>5.2</v>
      </c>
      <c r="N98" s="87" t="n">
        <v>5.2</v>
      </c>
      <c r="O98" s="88" t="n">
        <f aca="false">AVERAGE(C98:N98)</f>
        <v>5.08333333333333</v>
      </c>
      <c r="P98" s="89" t="n">
        <f aca="false">MIN(C98:N98)</f>
        <v>4.9</v>
      </c>
      <c r="Q98" s="89" t="n">
        <f aca="false">MAX(C98:N98)</f>
        <v>5.3</v>
      </c>
      <c r="R98" s="89" t="n">
        <f aca="false">Q98-P98</f>
        <v>0.399999999999999</v>
      </c>
      <c r="S98" s="85" t="n">
        <f aca="false">RANK(O98,$O$83:$O$98)</f>
        <v>7</v>
      </c>
    </row>
    <row r="100" customFormat="false" ht="19.4" hidden="false" customHeight="false" outlineLevel="0" collapsed="false">
      <c r="A100" s="86" t="s">
        <v>748</v>
      </c>
    </row>
    <row r="101" customFormat="false" ht="45.75" hidden="false" customHeight="true" outlineLevel="0" collapsed="false">
      <c r="A101" s="20" t="s">
        <v>703</v>
      </c>
      <c r="B101" s="20" t="s">
        <v>704</v>
      </c>
      <c r="C101" s="26" t="s">
        <v>705</v>
      </c>
      <c r="D101" s="26" t="s">
        <v>706</v>
      </c>
      <c r="E101" s="26" t="s">
        <v>707</v>
      </c>
      <c r="F101" s="26" t="s">
        <v>708</v>
      </c>
      <c r="G101" s="26" t="s">
        <v>709</v>
      </c>
      <c r="H101" s="26" t="s">
        <v>710</v>
      </c>
      <c r="I101" s="26" t="s">
        <v>711</v>
      </c>
      <c r="J101" s="26" t="s">
        <v>712</v>
      </c>
      <c r="K101" s="26" t="s">
        <v>713</v>
      </c>
      <c r="L101" s="26" t="s">
        <v>714</v>
      </c>
      <c r="M101" s="26" t="s">
        <v>715</v>
      </c>
      <c r="N101" s="26" t="s">
        <v>716</v>
      </c>
      <c r="O101" s="20" t="s">
        <v>717</v>
      </c>
      <c r="P101" s="20" t="s">
        <v>718</v>
      </c>
      <c r="Q101" s="20" t="s">
        <v>719</v>
      </c>
      <c r="R101" s="20" t="s">
        <v>720</v>
      </c>
      <c r="S101" s="26" t="s">
        <v>721</v>
      </c>
    </row>
    <row r="102" customFormat="false" ht="15" hidden="false" customHeight="false" outlineLevel="0" collapsed="false">
      <c r="A102" s="18" t="s">
        <v>659</v>
      </c>
      <c r="B102" s="82" t="s">
        <v>722</v>
      </c>
      <c r="C102" s="79" t="n">
        <v>3.54</v>
      </c>
      <c r="D102" s="79" t="n">
        <v>3.56</v>
      </c>
      <c r="E102" s="79" t="n">
        <v>3.55</v>
      </c>
      <c r="F102" s="79" t="n">
        <v>3.59</v>
      </c>
      <c r="G102" s="79" t="n">
        <v>3.58</v>
      </c>
      <c r="H102" s="79" t="n">
        <v>3.58</v>
      </c>
      <c r="I102" s="79" t="n">
        <v>3.59</v>
      </c>
      <c r="J102" s="79" t="n">
        <v>3.63</v>
      </c>
      <c r="K102" s="79" t="n">
        <v>3.6</v>
      </c>
      <c r="L102" s="79" t="n">
        <v>3.55</v>
      </c>
      <c r="M102" s="79" t="n">
        <v>3.47</v>
      </c>
      <c r="N102" s="79" t="n">
        <v>3.47</v>
      </c>
      <c r="O102" s="90" t="n">
        <f aca="false">AVERAGE(C102:N102)</f>
        <v>3.55916666666667</v>
      </c>
      <c r="P102" s="91" t="n">
        <f aca="false">MIN(C102:N102)</f>
        <v>3.47</v>
      </c>
      <c r="Q102" s="91" t="n">
        <f aca="false">MAX(C102:N102)</f>
        <v>3.63</v>
      </c>
      <c r="R102" s="91" t="n">
        <f aca="false">Q102-P102</f>
        <v>0.16</v>
      </c>
      <c r="S102" s="85" t="n">
        <f aca="false">RANK(O102,$O$102:$O$117)</f>
        <v>15</v>
      </c>
    </row>
    <row r="103" customFormat="false" ht="15" hidden="false" customHeight="false" outlineLevel="0" collapsed="false">
      <c r="A103" s="18" t="s">
        <v>662</v>
      </c>
      <c r="B103" s="82" t="s">
        <v>723</v>
      </c>
      <c r="C103" s="79" t="n">
        <v>3.65</v>
      </c>
      <c r="D103" s="79" t="n">
        <v>3.68</v>
      </c>
      <c r="E103" s="79" t="n">
        <v>3.67</v>
      </c>
      <c r="F103" s="79" t="n">
        <v>3.76</v>
      </c>
      <c r="G103" s="79" t="n">
        <v>3.76</v>
      </c>
      <c r="H103" s="79" t="n">
        <v>3.76</v>
      </c>
      <c r="I103" s="79" t="n">
        <v>3.75</v>
      </c>
      <c r="J103" s="79" t="n">
        <v>3.73</v>
      </c>
      <c r="K103" s="79" t="n">
        <v>3.74</v>
      </c>
      <c r="L103" s="79" t="n">
        <v>3.66</v>
      </c>
      <c r="M103" s="79" t="n">
        <v>3.6</v>
      </c>
      <c r="N103" s="79" t="n">
        <v>3.62</v>
      </c>
      <c r="O103" s="90" t="n">
        <f aca="false">AVERAGE(C103:N103)</f>
        <v>3.69833333333333</v>
      </c>
      <c r="P103" s="91" t="n">
        <f aca="false">MIN(C103:N103)</f>
        <v>3.6</v>
      </c>
      <c r="Q103" s="91" t="n">
        <f aca="false">MAX(C103:N103)</f>
        <v>3.76</v>
      </c>
      <c r="R103" s="91" t="n">
        <f aca="false">Q103-P103</f>
        <v>0.16</v>
      </c>
      <c r="S103" s="85" t="n">
        <f aca="false">RANK(O103,$O$102:$O$117)</f>
        <v>13</v>
      </c>
    </row>
    <row r="104" customFormat="false" ht="15" hidden="false" customHeight="false" outlineLevel="0" collapsed="false">
      <c r="A104" s="18" t="s">
        <v>724</v>
      </c>
      <c r="B104" s="82" t="s">
        <v>725</v>
      </c>
      <c r="C104" s="79" t="n">
        <v>3.82</v>
      </c>
      <c r="D104" s="79" t="n">
        <v>3.78</v>
      </c>
      <c r="E104" s="79" t="n">
        <v>3.86</v>
      </c>
      <c r="F104" s="79" t="n">
        <v>3.97</v>
      </c>
      <c r="G104" s="79" t="n">
        <v>4.09</v>
      </c>
      <c r="H104" s="79" t="n">
        <v>4.1</v>
      </c>
      <c r="I104" s="79" t="n">
        <v>4.1</v>
      </c>
      <c r="J104" s="79" t="n">
        <v>4.08</v>
      </c>
      <c r="K104" s="79" t="n">
        <v>4.14</v>
      </c>
      <c r="L104" s="79" t="n">
        <v>4.08</v>
      </c>
      <c r="M104" s="79" t="n">
        <v>3.97</v>
      </c>
      <c r="N104" s="79" t="n">
        <v>3.95</v>
      </c>
      <c r="O104" s="90" t="n">
        <f aca="false">AVERAGE(C104:N104)</f>
        <v>3.995</v>
      </c>
      <c r="P104" s="91" t="n">
        <f aca="false">MIN(C104:N104)</f>
        <v>3.78</v>
      </c>
      <c r="Q104" s="91" t="n">
        <f aca="false">MAX(C104:N104)</f>
        <v>4.14</v>
      </c>
      <c r="R104" s="91" t="n">
        <f aca="false">Q104-P104</f>
        <v>0.36</v>
      </c>
      <c r="S104" s="85" t="n">
        <f aca="false">RANK(O104,$O$102:$O$117)</f>
        <v>9</v>
      </c>
    </row>
    <row r="105" customFormat="false" ht="15" hidden="false" customHeight="false" outlineLevel="0" collapsed="false">
      <c r="A105" s="18" t="s">
        <v>648</v>
      </c>
      <c r="B105" s="82" t="s">
        <v>726</v>
      </c>
      <c r="C105" s="79" t="n">
        <v>5.08</v>
      </c>
      <c r="D105" s="79" t="n">
        <v>5.07</v>
      </c>
      <c r="E105" s="79" t="n">
        <v>5</v>
      </c>
      <c r="F105" s="79" t="n">
        <v>5.02</v>
      </c>
      <c r="G105" s="79" t="n">
        <v>5.11</v>
      </c>
      <c r="H105" s="79" t="n">
        <v>5.08</v>
      </c>
      <c r="I105" s="79" t="n">
        <v>5.05</v>
      </c>
      <c r="J105" s="79" t="n">
        <v>5.1</v>
      </c>
      <c r="K105" s="79" t="n">
        <v>5.16</v>
      </c>
      <c r="L105" s="79" t="n">
        <v>5.17</v>
      </c>
      <c r="M105" s="79" t="n">
        <v>5.14</v>
      </c>
      <c r="N105" s="79" t="n">
        <v>5.08</v>
      </c>
      <c r="O105" s="90" t="n">
        <f aca="false">AVERAGE(C105:N105)</f>
        <v>5.08833333333333</v>
      </c>
      <c r="P105" s="91" t="n">
        <f aca="false">MIN(C105:N105)</f>
        <v>5</v>
      </c>
      <c r="Q105" s="91" t="n">
        <f aca="false">MAX(C105:N105)</f>
        <v>5.17</v>
      </c>
      <c r="R105" s="91" t="n">
        <f aca="false">Q105-P105</f>
        <v>0.17</v>
      </c>
      <c r="S105" s="85" t="n">
        <f aca="false">RANK(O105,$O$102:$O$117)</f>
        <v>1</v>
      </c>
    </row>
    <row r="106" customFormat="false" ht="15" hidden="false" customHeight="false" outlineLevel="0" collapsed="false">
      <c r="A106" s="18" t="s">
        <v>666</v>
      </c>
      <c r="B106" s="82" t="s">
        <v>727</v>
      </c>
      <c r="C106" s="79" t="n">
        <v>4.78</v>
      </c>
      <c r="D106" s="79" t="n">
        <v>4.89</v>
      </c>
      <c r="E106" s="79" t="n">
        <v>4.86</v>
      </c>
      <c r="F106" s="79" t="n">
        <v>4.83</v>
      </c>
      <c r="G106" s="79" t="n">
        <v>4.83</v>
      </c>
      <c r="H106" s="79" t="n">
        <v>4.83</v>
      </c>
      <c r="I106" s="79" t="n">
        <v>4.87</v>
      </c>
      <c r="J106" s="79" t="n">
        <v>4.89</v>
      </c>
      <c r="K106" s="79" t="n">
        <v>4.88</v>
      </c>
      <c r="L106" s="79" t="n">
        <v>4.9</v>
      </c>
      <c r="M106" s="79" t="n">
        <v>4.85</v>
      </c>
      <c r="N106" s="79" t="n">
        <v>4.91</v>
      </c>
      <c r="O106" s="90" t="n">
        <f aca="false">AVERAGE(C106:N106)</f>
        <v>4.86</v>
      </c>
      <c r="P106" s="91" t="n">
        <f aca="false">MIN(C106:N106)</f>
        <v>4.78</v>
      </c>
      <c r="Q106" s="91" t="n">
        <f aca="false">MAX(C106:N106)</f>
        <v>4.91</v>
      </c>
      <c r="R106" s="91" t="n">
        <f aca="false">Q106-P106</f>
        <v>0.13</v>
      </c>
      <c r="S106" s="85" t="n">
        <f aca="false">RANK(O106,$O$102:$O$117)</f>
        <v>2</v>
      </c>
    </row>
    <row r="107" customFormat="false" ht="15" hidden="false" customHeight="false" outlineLevel="0" collapsed="false">
      <c r="A107" s="18" t="s">
        <v>728</v>
      </c>
      <c r="B107" s="82" t="s">
        <v>729</v>
      </c>
      <c r="C107" s="79" t="n">
        <v>4.09</v>
      </c>
      <c r="D107" s="79" t="n">
        <v>4.2</v>
      </c>
      <c r="E107" s="79" t="n">
        <v>4.28</v>
      </c>
      <c r="F107" s="79" t="n">
        <v>4.35</v>
      </c>
      <c r="G107" s="79" t="n">
        <v>4.26</v>
      </c>
      <c r="H107" s="79" t="n">
        <v>4.3</v>
      </c>
      <c r="I107" s="79" t="n">
        <v>4.35</v>
      </c>
      <c r="J107" s="79" t="n">
        <v>4.37</v>
      </c>
      <c r="K107" s="79" t="n">
        <v>4.26</v>
      </c>
      <c r="L107" s="79" t="n">
        <v>4.34</v>
      </c>
      <c r="M107" s="79" t="n">
        <v>4.24</v>
      </c>
      <c r="N107" s="79" t="n">
        <v>4.23</v>
      </c>
      <c r="O107" s="90" t="n">
        <f aca="false">AVERAGE(C107:N107)</f>
        <v>4.2725</v>
      </c>
      <c r="P107" s="91" t="n">
        <f aca="false">MIN(C107:N107)</f>
        <v>4.09</v>
      </c>
      <c r="Q107" s="91" t="n">
        <f aca="false">MAX(C107:N107)</f>
        <v>4.37</v>
      </c>
      <c r="R107" s="91" t="n">
        <f aca="false">Q107-P107</f>
        <v>0.28</v>
      </c>
      <c r="S107" s="85" t="n">
        <f aca="false">RANK(O107,$O$102:$O$117)</f>
        <v>6</v>
      </c>
    </row>
    <row r="108" customFormat="false" ht="15" hidden="false" customHeight="false" outlineLevel="0" collapsed="false">
      <c r="A108" s="18" t="s">
        <v>645</v>
      </c>
      <c r="B108" s="82" t="s">
        <v>606</v>
      </c>
      <c r="C108" s="79" t="n">
        <v>3.87</v>
      </c>
      <c r="D108" s="79" t="n">
        <v>3.86</v>
      </c>
      <c r="E108" s="79" t="n">
        <v>3.95</v>
      </c>
      <c r="F108" s="79" t="n">
        <v>4.06</v>
      </c>
      <c r="G108" s="79" t="n">
        <v>4.11</v>
      </c>
      <c r="H108" s="79" t="n">
        <v>4.1</v>
      </c>
      <c r="I108" s="79" t="n">
        <v>4.07</v>
      </c>
      <c r="J108" s="79" t="n">
        <v>4.04</v>
      </c>
      <c r="K108" s="79" t="n">
        <v>4.13</v>
      </c>
      <c r="L108" s="79" t="n">
        <v>4.01</v>
      </c>
      <c r="M108" s="79" t="n">
        <v>3.89</v>
      </c>
      <c r="N108" s="79" t="n">
        <v>3.87</v>
      </c>
      <c r="O108" s="90" t="n">
        <f aca="false">AVERAGE(C108:N108)</f>
        <v>3.99666666666667</v>
      </c>
      <c r="P108" s="91" t="n">
        <f aca="false">MIN(C108:N108)</f>
        <v>3.86</v>
      </c>
      <c r="Q108" s="91" t="n">
        <f aca="false">MAX(C108:N108)</f>
        <v>4.13</v>
      </c>
      <c r="R108" s="91" t="n">
        <f aca="false">Q108-P108</f>
        <v>0.27</v>
      </c>
      <c r="S108" s="85" t="n">
        <f aca="false">RANK(O108,$O$102:$O$117)</f>
        <v>8</v>
      </c>
    </row>
    <row r="109" customFormat="false" ht="15" hidden="false" customHeight="false" outlineLevel="0" collapsed="false">
      <c r="A109" s="18" t="s">
        <v>730</v>
      </c>
      <c r="B109" s="82" t="s">
        <v>731</v>
      </c>
      <c r="C109" s="79" t="n">
        <v>2.36</v>
      </c>
      <c r="D109" s="79" t="n">
        <v>2.38</v>
      </c>
      <c r="E109" s="79" t="n">
        <v>2.41</v>
      </c>
      <c r="F109" s="79" t="n">
        <v>2.35</v>
      </c>
      <c r="G109" s="79" t="n">
        <v>2.26</v>
      </c>
      <c r="H109" s="79" t="n">
        <v>2.31</v>
      </c>
      <c r="I109" s="79" t="n">
        <v>2.3</v>
      </c>
      <c r="J109" s="79" t="n">
        <v>2.29</v>
      </c>
      <c r="K109" s="79" t="n">
        <v>2.33</v>
      </c>
      <c r="L109" s="79" t="n">
        <v>2.28</v>
      </c>
      <c r="M109" s="79" t="n">
        <v>2.31</v>
      </c>
      <c r="N109" s="79" t="n">
        <v>2.26</v>
      </c>
      <c r="O109" s="90" t="n">
        <f aca="false">AVERAGE(C109:N109)</f>
        <v>2.32</v>
      </c>
      <c r="P109" s="91" t="n">
        <f aca="false">MIN(C109:N109)</f>
        <v>2.26</v>
      </c>
      <c r="Q109" s="91" t="n">
        <f aca="false">MAX(C109:N109)</f>
        <v>2.41</v>
      </c>
      <c r="R109" s="91" t="n">
        <f aca="false">Q109-P109</f>
        <v>0.15</v>
      </c>
      <c r="S109" s="85" t="n">
        <f aca="false">RANK(O109,$O$102:$O$117)</f>
        <v>16</v>
      </c>
    </row>
    <row r="110" customFormat="false" ht="15" hidden="false" customHeight="false" outlineLevel="0" collapsed="false">
      <c r="A110" s="18" t="s">
        <v>638</v>
      </c>
      <c r="B110" s="82" t="s">
        <v>732</v>
      </c>
      <c r="C110" s="79" t="n">
        <v>4.59</v>
      </c>
      <c r="D110" s="79" t="n">
        <v>4.69</v>
      </c>
      <c r="E110" s="79" t="n">
        <v>4.74</v>
      </c>
      <c r="F110" s="79" t="n">
        <v>4.78</v>
      </c>
      <c r="G110" s="79" t="n">
        <v>4.82</v>
      </c>
      <c r="H110" s="79" t="n">
        <v>4.77</v>
      </c>
      <c r="I110" s="79" t="n">
        <v>4.76</v>
      </c>
      <c r="J110" s="79" t="n">
        <v>4.77</v>
      </c>
      <c r="K110" s="79" t="n">
        <v>4.9</v>
      </c>
      <c r="L110" s="79" t="n">
        <v>4.9</v>
      </c>
      <c r="M110" s="79" t="n">
        <v>4.79</v>
      </c>
      <c r="N110" s="79" t="n">
        <v>4.8</v>
      </c>
      <c r="O110" s="90" t="n">
        <f aca="false">AVERAGE(C110:N110)</f>
        <v>4.77583333333333</v>
      </c>
      <c r="P110" s="91" t="n">
        <f aca="false">MIN(C110:N110)</f>
        <v>4.59</v>
      </c>
      <c r="Q110" s="91" t="n">
        <f aca="false">MAX(C110:N110)</f>
        <v>4.9</v>
      </c>
      <c r="R110" s="91" t="n">
        <f aca="false">Q110-P110</f>
        <v>0.310000000000001</v>
      </c>
      <c r="S110" s="85" t="n">
        <f aca="false">RANK(O110,$O$102:$O$117)</f>
        <v>3</v>
      </c>
    </row>
    <row r="111" customFormat="false" ht="15" hidden="false" customHeight="false" outlineLevel="0" collapsed="false">
      <c r="A111" s="18" t="s">
        <v>733</v>
      </c>
      <c r="B111" s="82" t="s">
        <v>734</v>
      </c>
      <c r="C111" s="79" t="n">
        <v>3.84</v>
      </c>
      <c r="D111" s="79" t="n">
        <v>3.85</v>
      </c>
      <c r="E111" s="79" t="n">
        <v>3.89</v>
      </c>
      <c r="F111" s="79" t="n">
        <v>3.99</v>
      </c>
      <c r="G111" s="79" t="n">
        <v>3.99</v>
      </c>
      <c r="H111" s="79" t="n">
        <v>3.94</v>
      </c>
      <c r="I111" s="79" t="n">
        <v>3.96</v>
      </c>
      <c r="J111" s="79" t="n">
        <v>4.01</v>
      </c>
      <c r="K111" s="79" t="n">
        <v>4.02</v>
      </c>
      <c r="L111" s="79" t="n">
        <v>3.95</v>
      </c>
      <c r="M111" s="79" t="n">
        <v>3.9</v>
      </c>
      <c r="N111" s="79" t="n">
        <v>3.97</v>
      </c>
      <c r="O111" s="90" t="n">
        <f aca="false">AVERAGE(C111:N111)</f>
        <v>3.9425</v>
      </c>
      <c r="P111" s="91" t="n">
        <f aca="false">MIN(C111:N111)</f>
        <v>3.84</v>
      </c>
      <c r="Q111" s="91" t="n">
        <f aca="false">MAX(C111:N111)</f>
        <v>4.02</v>
      </c>
      <c r="R111" s="91" t="n">
        <f aca="false">Q111-P111</f>
        <v>0.18</v>
      </c>
      <c r="S111" s="85" t="n">
        <f aca="false">RANK(O111,$O$102:$O$117)</f>
        <v>10</v>
      </c>
    </row>
    <row r="112" customFormat="false" ht="17.15" hidden="false" customHeight="false" outlineLevel="0" collapsed="false">
      <c r="A112" s="18" t="s">
        <v>671</v>
      </c>
      <c r="B112" s="82" t="s">
        <v>735</v>
      </c>
      <c r="C112" s="79" t="n">
        <v>3.97</v>
      </c>
      <c r="D112" s="79" t="n">
        <v>3.97</v>
      </c>
      <c r="E112" s="79" t="n">
        <v>4.02</v>
      </c>
      <c r="F112" s="79" t="n">
        <v>4.09</v>
      </c>
      <c r="G112" s="79" t="n">
        <v>4.06</v>
      </c>
      <c r="H112" s="79" t="n">
        <v>4.08</v>
      </c>
      <c r="I112" s="79" t="n">
        <v>3.99</v>
      </c>
      <c r="J112" s="79" t="n">
        <v>3.99</v>
      </c>
      <c r="K112" s="79" t="n">
        <v>4.04</v>
      </c>
      <c r="L112" s="79" t="n">
        <v>4.02</v>
      </c>
      <c r="M112" s="79" t="n">
        <v>3.95</v>
      </c>
      <c r="N112" s="79" t="n">
        <v>4</v>
      </c>
      <c r="O112" s="90" t="n">
        <f aca="false">AVERAGE(C112:N112)</f>
        <v>4.015</v>
      </c>
      <c r="P112" s="91" t="n">
        <f aca="false">MIN(C112:N112)</f>
        <v>3.95</v>
      </c>
      <c r="Q112" s="91" t="n">
        <f aca="false">MAX(C112:N112)</f>
        <v>4.09</v>
      </c>
      <c r="R112" s="91" t="n">
        <f aca="false">Q112-P112</f>
        <v>0.14</v>
      </c>
      <c r="S112" s="85" t="n">
        <f aca="false">RANK(O112,$O$102:$O$117)</f>
        <v>7</v>
      </c>
    </row>
    <row r="113" customFormat="false" ht="15" hidden="false" customHeight="false" outlineLevel="0" collapsed="false">
      <c r="A113" s="18" t="s">
        <v>664</v>
      </c>
      <c r="B113" s="82" t="s">
        <v>736</v>
      </c>
      <c r="C113" s="79" t="n">
        <v>3.58</v>
      </c>
      <c r="D113" s="79" t="n">
        <v>3.61</v>
      </c>
      <c r="E113" s="79" t="n">
        <v>3.67</v>
      </c>
      <c r="F113" s="79" t="n">
        <v>3.73</v>
      </c>
      <c r="G113" s="79" t="n">
        <v>3.72</v>
      </c>
      <c r="H113" s="79" t="n">
        <v>3.73</v>
      </c>
      <c r="I113" s="79" t="n">
        <v>3.7</v>
      </c>
      <c r="J113" s="79" t="n">
        <v>3.71</v>
      </c>
      <c r="K113" s="79" t="n">
        <v>3.72</v>
      </c>
      <c r="L113" s="79" t="n">
        <v>3.68</v>
      </c>
      <c r="M113" s="79" t="n">
        <v>3.62</v>
      </c>
      <c r="N113" s="79" t="n">
        <v>3.64</v>
      </c>
      <c r="O113" s="90" t="n">
        <f aca="false">AVERAGE(C113:N113)</f>
        <v>3.67583333333333</v>
      </c>
      <c r="P113" s="91" t="n">
        <f aca="false">MIN(C113:N113)</f>
        <v>3.58</v>
      </c>
      <c r="Q113" s="91" t="n">
        <f aca="false">MAX(C113:N113)</f>
        <v>3.73</v>
      </c>
      <c r="R113" s="91" t="n">
        <f aca="false">Q113-P113</f>
        <v>0.15</v>
      </c>
      <c r="S113" s="85" t="n">
        <f aca="false">RANK(O113,$O$102:$O$117)</f>
        <v>14</v>
      </c>
    </row>
    <row r="114" customFormat="false" ht="15" hidden="false" customHeight="false" outlineLevel="0" collapsed="false">
      <c r="A114" s="18" t="s">
        <v>737</v>
      </c>
      <c r="B114" s="82" t="s">
        <v>738</v>
      </c>
      <c r="C114" s="79" t="n">
        <v>3.79</v>
      </c>
      <c r="D114" s="79" t="n">
        <v>3.79</v>
      </c>
      <c r="E114" s="79" t="n">
        <v>3.81</v>
      </c>
      <c r="F114" s="79" t="n">
        <v>3.84</v>
      </c>
      <c r="G114" s="79" t="n">
        <v>3.79</v>
      </c>
      <c r="H114" s="79" t="n">
        <v>3.77</v>
      </c>
      <c r="I114" s="79" t="n">
        <v>3.85</v>
      </c>
      <c r="J114" s="79" t="n">
        <v>3.85</v>
      </c>
      <c r="K114" s="79" t="n">
        <v>3.86</v>
      </c>
      <c r="L114" s="79" t="n">
        <v>3.83</v>
      </c>
      <c r="M114" s="79" t="n">
        <v>3.74</v>
      </c>
      <c r="N114" s="79" t="n">
        <v>3.78</v>
      </c>
      <c r="O114" s="90" t="n">
        <f aca="false">AVERAGE(C114:N114)</f>
        <v>3.80833333333333</v>
      </c>
      <c r="P114" s="91" t="n">
        <f aca="false">MIN(C114:N114)</f>
        <v>3.74</v>
      </c>
      <c r="Q114" s="91" t="n">
        <f aca="false">MAX(C114:N114)</f>
        <v>3.86</v>
      </c>
      <c r="R114" s="91" t="n">
        <f aca="false">Q114-P114</f>
        <v>0.12</v>
      </c>
      <c r="S114" s="85" t="n">
        <f aca="false">RANK(O114,$O$102:$O$117)</f>
        <v>12</v>
      </c>
    </row>
    <row r="115" customFormat="false" ht="15" hidden="false" customHeight="false" outlineLevel="0" collapsed="false">
      <c r="A115" s="18" t="s">
        <v>654</v>
      </c>
      <c r="B115" s="82" t="s">
        <v>739</v>
      </c>
      <c r="C115" s="79" t="n">
        <v>4.24</v>
      </c>
      <c r="D115" s="79" t="n">
        <v>4.21</v>
      </c>
      <c r="E115" s="79" t="n">
        <v>4.23</v>
      </c>
      <c r="F115" s="79" t="n">
        <v>4.27</v>
      </c>
      <c r="G115" s="79" t="n">
        <v>4.32</v>
      </c>
      <c r="H115" s="79" t="n">
        <v>4.3</v>
      </c>
      <c r="I115" s="79" t="n">
        <v>4.31</v>
      </c>
      <c r="J115" s="79" t="n">
        <v>4.35</v>
      </c>
      <c r="K115" s="79" t="n">
        <v>4.34</v>
      </c>
      <c r="L115" s="79" t="n">
        <v>4.35</v>
      </c>
      <c r="M115" s="79" t="n">
        <v>4.28</v>
      </c>
      <c r="N115" s="79" t="n">
        <v>4.36</v>
      </c>
      <c r="O115" s="90" t="n">
        <f aca="false">AVERAGE(C115:N115)</f>
        <v>4.29666666666667</v>
      </c>
      <c r="P115" s="91" t="n">
        <f aca="false">MIN(C115:N115)</f>
        <v>4.21</v>
      </c>
      <c r="Q115" s="91" t="n">
        <f aca="false">MAX(C115:N115)</f>
        <v>4.36</v>
      </c>
      <c r="R115" s="91" t="n">
        <f aca="false">Q115-P115</f>
        <v>0.15</v>
      </c>
      <c r="S115" s="85" t="n">
        <f aca="false">RANK(O115,$O$102:$O$117)</f>
        <v>5</v>
      </c>
    </row>
    <row r="116" customFormat="false" ht="17.15" hidden="false" customHeight="false" outlineLevel="0" collapsed="false">
      <c r="A116" s="18" t="s">
        <v>740</v>
      </c>
      <c r="B116" s="82" t="s">
        <v>741</v>
      </c>
      <c r="C116" s="79" t="n">
        <v>3.78</v>
      </c>
      <c r="D116" s="79" t="n">
        <v>3.79</v>
      </c>
      <c r="E116" s="79" t="n">
        <v>3.72</v>
      </c>
      <c r="F116" s="79" t="n">
        <v>3.8</v>
      </c>
      <c r="G116" s="79" t="n">
        <v>3.8</v>
      </c>
      <c r="H116" s="79" t="n">
        <v>3.81</v>
      </c>
      <c r="I116" s="79" t="n">
        <v>3.92</v>
      </c>
      <c r="J116" s="79" t="n">
        <v>3.94</v>
      </c>
      <c r="K116" s="79" t="n">
        <v>3.93</v>
      </c>
      <c r="L116" s="79" t="n">
        <v>3.9</v>
      </c>
      <c r="M116" s="79" t="n">
        <v>3.84</v>
      </c>
      <c r="N116" s="79" t="n">
        <v>3.86</v>
      </c>
      <c r="O116" s="90" t="n">
        <f aca="false">AVERAGE(C116:N116)</f>
        <v>3.84083333333333</v>
      </c>
      <c r="P116" s="91" t="n">
        <f aca="false">MIN(C116:N116)</f>
        <v>3.72</v>
      </c>
      <c r="Q116" s="91" t="n">
        <f aca="false">MAX(C116:N116)</f>
        <v>3.94</v>
      </c>
      <c r="R116" s="91" t="n">
        <f aca="false">Q116-P116</f>
        <v>0.22</v>
      </c>
      <c r="S116" s="85" t="n">
        <f aca="false">RANK(O116,$O$102:$O$117)</f>
        <v>11</v>
      </c>
    </row>
    <row r="117" customFormat="false" ht="15" hidden="false" customHeight="false" outlineLevel="0" collapsed="false">
      <c r="A117" s="18" t="s">
        <v>742</v>
      </c>
      <c r="B117" s="82" t="s">
        <v>743</v>
      </c>
      <c r="C117" s="79" t="n">
        <v>4.36</v>
      </c>
      <c r="D117" s="79" t="n">
        <v>4.36</v>
      </c>
      <c r="E117" s="79" t="n">
        <v>4.38</v>
      </c>
      <c r="F117" s="79" t="n">
        <v>4.42</v>
      </c>
      <c r="G117" s="79" t="n">
        <v>4.37</v>
      </c>
      <c r="H117" s="79" t="n">
        <v>4.35</v>
      </c>
      <c r="I117" s="79" t="n">
        <v>4.31</v>
      </c>
      <c r="J117" s="79" t="n">
        <v>4.22</v>
      </c>
      <c r="K117" s="79" t="n">
        <v>4.26</v>
      </c>
      <c r="L117" s="79" t="n">
        <v>4.24</v>
      </c>
      <c r="M117" s="79" t="n">
        <v>4.27</v>
      </c>
      <c r="N117" s="79" t="n">
        <v>4.33</v>
      </c>
      <c r="O117" s="90" t="n">
        <f aca="false">AVERAGE(C117:N117)</f>
        <v>4.3225</v>
      </c>
      <c r="P117" s="91" t="n">
        <f aca="false">MIN(C117:N117)</f>
        <v>4.22</v>
      </c>
      <c r="Q117" s="91" t="n">
        <f aca="false">MAX(C117:N117)</f>
        <v>4.42</v>
      </c>
      <c r="R117" s="91" t="n">
        <f aca="false">Q117-P117</f>
        <v>0.2</v>
      </c>
      <c r="S117" s="85" t="n">
        <f aca="false">RANK(O117,$O$102:$O$117)</f>
        <v>4</v>
      </c>
    </row>
    <row r="119" customFormat="false" ht="17.15" hidden="false" customHeight="false" outlineLevel="0" collapsed="false">
      <c r="A119" s="40" t="s">
        <v>749</v>
      </c>
    </row>
    <row r="120" customFormat="false" ht="17.15" hidden="false" customHeight="false" outlineLevel="0" collapsed="false">
      <c r="A120" s="24" t="s">
        <v>750</v>
      </c>
    </row>
    <row r="121" customFormat="false" ht="17.15" hidden="false" customHeight="false" outlineLevel="0" collapsed="false">
      <c r="A121" s="24" t="s">
        <v>751</v>
      </c>
    </row>
    <row r="122" customFormat="false" ht="17.15" hidden="false" customHeight="false" outlineLevel="0" collapsed="false">
      <c r="A122" s="40" t="s">
        <v>752</v>
      </c>
    </row>
    <row r="123" customFormat="false" ht="17.15" hidden="false" customHeight="false" outlineLevel="0" collapsed="false">
      <c r="A123" s="24" t="s">
        <v>753</v>
      </c>
    </row>
  </sheetData>
  <conditionalFormatting sqref="C7:N2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O7:O2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C26:N41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O26:O41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C45:N6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O45:O60">
    <cfRule type="colorScale" priority="7">
      <colorScale>
        <cfvo type="min" val="0"/>
        <cfvo type="max" val="0"/>
        <color rgb="FFF2F2F2"/>
        <color rgb="FF8EA9DB"/>
      </colorScale>
    </cfRule>
  </conditionalFormatting>
  <conditionalFormatting sqref="C64:N79">
    <cfRule type="colorScale" priority="8">
      <colorScale>
        <cfvo type="min" val="0"/>
        <cfvo type="max" val="0"/>
        <color rgb="FFF2F2F2"/>
        <color rgb="FF8EA9DB"/>
      </colorScale>
    </cfRule>
  </conditionalFormatting>
  <conditionalFormatting sqref="O64:O79">
    <cfRule type="colorScale" priority="9">
      <colorScale>
        <cfvo type="min" val="0"/>
        <cfvo type="max" val="0"/>
        <color rgb="FFF2F2F2"/>
        <color rgb="FF8EA9DB"/>
      </colorScale>
    </cfRule>
  </conditionalFormatting>
  <conditionalFormatting sqref="C83:N98">
    <cfRule type="colorScale" priority="10">
      <colorScale>
        <cfvo type="min" val="0"/>
        <cfvo type="max" val="0"/>
        <color rgb="FFF2F2F2"/>
        <color rgb="FF8EA9DB"/>
      </colorScale>
    </cfRule>
  </conditionalFormatting>
  <conditionalFormatting sqref="O83:O98">
    <cfRule type="colorScale" priority="11">
      <colorScale>
        <cfvo type="min" val="0"/>
        <cfvo type="max" val="0"/>
        <color rgb="FFF2F2F2"/>
        <color rgb="FF8EA9DB"/>
      </colorScale>
    </cfRule>
  </conditionalFormatting>
  <conditionalFormatting sqref="C102:N117">
    <cfRule type="colorScale" priority="12">
      <colorScale>
        <cfvo type="min" val="0"/>
        <cfvo type="max" val="0"/>
        <color rgb="FFF2F2F2"/>
        <color rgb="FF8EA9DB"/>
      </colorScale>
    </cfRule>
  </conditionalFormatting>
  <conditionalFormatting sqref="O102:O117">
    <cfRule type="colorScale" priority="13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R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0"/>
    <col collapsed="false" customWidth="true" hidden="false" outlineLevel="0" max="14" min="14" style="0" width="6"/>
    <col collapsed="false" customWidth="true" hidden="false" outlineLevel="0" max="15" min="15" style="0" width="52"/>
    <col collapsed="false" customWidth="true" hidden="false" outlineLevel="0" max="16" min="16" style="0" width="44"/>
  </cols>
  <sheetData>
    <row r="1" customFormat="false" ht="20.1" hidden="false" customHeight="false" outlineLevel="0" collapsed="false">
      <c r="A1" s="66" t="s">
        <v>754</v>
      </c>
      <c r="R1" s="75" t="s">
        <v>755</v>
      </c>
    </row>
    <row r="2" customFormat="false" ht="17.15" hidden="false" customHeight="false" outlineLevel="0" collapsed="false">
      <c r="A2" s="67" t="s">
        <v>756</v>
      </c>
    </row>
    <row r="4" customFormat="false" ht="36" hidden="false" customHeight="true" outlineLevel="0" collapsed="false">
      <c r="A4" s="20" t="s">
        <v>130</v>
      </c>
      <c r="B4" s="20" t="s">
        <v>704</v>
      </c>
      <c r="C4" s="26" t="s">
        <v>592</v>
      </c>
      <c r="D4" s="20" t="s">
        <v>149</v>
      </c>
      <c r="E4" s="26" t="s">
        <v>593</v>
      </c>
      <c r="F4" s="20" t="s">
        <v>149</v>
      </c>
      <c r="G4" s="26" t="s">
        <v>757</v>
      </c>
      <c r="H4" s="20" t="s">
        <v>149</v>
      </c>
      <c r="I4" s="20" t="s">
        <v>632</v>
      </c>
      <c r="J4" s="20" t="s">
        <v>149</v>
      </c>
      <c r="K4" s="20" t="s">
        <v>633</v>
      </c>
      <c r="L4" s="20" t="s">
        <v>149</v>
      </c>
      <c r="M4" s="20" t="s">
        <v>634</v>
      </c>
      <c r="N4" s="20" t="s">
        <v>149</v>
      </c>
      <c r="O4" s="20" t="s">
        <v>758</v>
      </c>
      <c r="P4" s="20" t="s">
        <v>759</v>
      </c>
    </row>
    <row r="5" customFormat="false" ht="17.15" hidden="false" customHeight="false" outlineLevel="0" collapsed="false">
      <c r="A5" s="18" t="s">
        <v>659</v>
      </c>
      <c r="B5" s="82" t="s">
        <v>722</v>
      </c>
      <c r="C5" s="84" t="n">
        <f aca="false">'4-2 장르 차트 판독값(참조)'!O7</f>
        <v>0.183533333333333</v>
      </c>
      <c r="D5" s="85" t="n">
        <f aca="false">'4-2 장르 차트 판독값(참조)'!S7</f>
        <v>10</v>
      </c>
      <c r="E5" s="84" t="n">
        <f aca="false">'4-2 장르 차트 판독값(참조)'!O26</f>
        <v>0.029125</v>
      </c>
      <c r="F5" s="85" t="n">
        <f aca="false">'4-2 장르 차트 판독값(참조)'!S26</f>
        <v>12</v>
      </c>
      <c r="G5" s="84" t="n">
        <f aca="false">'4-2 장르 차트 판독값(참조)'!O45</f>
        <v>0.00633333333333333</v>
      </c>
      <c r="H5" s="85" t="n">
        <f aca="false">'4-2 장르 차트 판독값(참조)'!S45</f>
        <v>12</v>
      </c>
      <c r="I5" s="89" t="n">
        <f aca="false">'4-2 장르 차트 판독값(참조)'!O64</f>
        <v>14.0833333333333</v>
      </c>
      <c r="J5" s="85" t="n">
        <f aca="false">'4-2 장르 차트 판독값(참조)'!S64</f>
        <v>13</v>
      </c>
      <c r="K5" s="89" t="n">
        <f aca="false">'4-2 장르 차트 판독값(참조)'!O83</f>
        <v>3.85833333333333</v>
      </c>
      <c r="L5" s="85" t="n">
        <f aca="false">'4-2 장르 차트 판독값(참조)'!S83</f>
        <v>12</v>
      </c>
      <c r="M5" s="91" t="n">
        <f aca="false">'4-2 장르 차트 판독값(참조)'!O102</f>
        <v>3.55916666666667</v>
      </c>
      <c r="N5" s="85" t="n">
        <f aca="false">'4-2 장르 차트 판독값(참조)'!S102</f>
        <v>15</v>
      </c>
      <c r="O5" s="82" t="str">
        <f aca="false">"다음날 "&amp;TEXT(C5*100,"0.0")&amp;"명 → 1주 뒤 "&amp;TEXT(E5*100,"0.0")&amp;"명 → 4주 뒤 "&amp;TEXT(G5*100,"0.0")&amp;"명이 다시 옴"</f>
        <v>다음날 18.4명 → 1주 뒤 2.9명 → 4주 뒤 0.6명이 다시 옴</v>
      </c>
      <c r="P5" s="82" t="str">
        <f aca="false">"하루 "&amp;TEXT(M5,"0.0")&amp;"번 켜고, 한 번에 "&amp;TEXT(K5,"0.0")&amp;"분, 하루 합계 약 "&amp;TEXT(I5,"0")&amp;"분"</f>
        <v>하루 3.6번 켜고, 한 번에 3.9분, 하루 합계 약 14분</v>
      </c>
    </row>
    <row r="6" customFormat="false" ht="17.15" hidden="false" customHeight="false" outlineLevel="0" collapsed="false">
      <c r="A6" s="18" t="s">
        <v>662</v>
      </c>
      <c r="B6" s="82" t="s">
        <v>723</v>
      </c>
      <c r="C6" s="84" t="n">
        <f aca="false">'4-2 장르 차트 판독값(참조)'!O8</f>
        <v>0.160516666666667</v>
      </c>
      <c r="D6" s="85" t="n">
        <f aca="false">'4-2 장르 차트 판독값(참조)'!S8</f>
        <v>14</v>
      </c>
      <c r="E6" s="84" t="n">
        <f aca="false">'4-2 장르 차트 판독값(참조)'!O27</f>
        <v>0.0228166666666667</v>
      </c>
      <c r="F6" s="85" t="n">
        <f aca="false">'4-2 장르 차트 판독값(참조)'!S27</f>
        <v>14</v>
      </c>
      <c r="G6" s="84" t="n">
        <f aca="false">'4-2 장르 차트 판독값(참조)'!O46</f>
        <v>0.00481666666666667</v>
      </c>
      <c r="H6" s="85" t="n">
        <f aca="false">'4-2 장르 차트 판독값(참조)'!S46</f>
        <v>14</v>
      </c>
      <c r="I6" s="89" t="n">
        <f aca="false">'4-2 장르 차트 판독값(참조)'!O65</f>
        <v>16.4</v>
      </c>
      <c r="J6" s="85" t="n">
        <f aca="false">'4-2 장르 차트 판독값(참조)'!S65</f>
        <v>8</v>
      </c>
      <c r="K6" s="89" t="n">
        <f aca="false">'4-2 장르 차트 판독값(참조)'!O84</f>
        <v>4.60833333333333</v>
      </c>
      <c r="L6" s="85" t="n">
        <f aca="false">'4-2 장르 차트 판독값(참조)'!S84</f>
        <v>8</v>
      </c>
      <c r="M6" s="91" t="n">
        <f aca="false">'4-2 장르 차트 판독값(참조)'!O103</f>
        <v>3.69833333333333</v>
      </c>
      <c r="N6" s="85" t="n">
        <f aca="false">'4-2 장르 차트 판독값(참조)'!S103</f>
        <v>13</v>
      </c>
      <c r="O6" s="82" t="str">
        <f aca="false">"다음날 "&amp;TEXT(C6*100,"0.0")&amp;"명 → 1주 뒤 "&amp;TEXT(E6*100,"0.0")&amp;"명 → 4주 뒤 "&amp;TEXT(G6*100,"0.0")&amp;"명이 다시 옴"</f>
        <v>다음날 16.1명 → 1주 뒤 2.3명 → 4주 뒤 0.5명이 다시 옴</v>
      </c>
      <c r="P6" s="82" t="str">
        <f aca="false">"하루 "&amp;TEXT(M6,"0.0")&amp;"번 켜고, 한 번에 "&amp;TEXT(K6,"0.0")&amp;"분, 하루 합계 약 "&amp;TEXT(I6,"0")&amp;"분"</f>
        <v>하루 3.7번 켜고, 한 번에 4.6분, 하루 합계 약 16분</v>
      </c>
    </row>
    <row r="7" customFormat="false" ht="17.15" hidden="false" customHeight="false" outlineLevel="0" collapsed="false">
      <c r="A7" s="18" t="s">
        <v>724</v>
      </c>
      <c r="B7" s="82" t="s">
        <v>725</v>
      </c>
      <c r="C7" s="84" t="n">
        <f aca="false">'4-2 장르 차트 판독값(참조)'!O9</f>
        <v>0.222433333333333</v>
      </c>
      <c r="D7" s="85" t="n">
        <f aca="false">'4-2 장르 차트 판독값(참조)'!S9</f>
        <v>1</v>
      </c>
      <c r="E7" s="84" t="n">
        <f aca="false">'4-2 장르 차트 판독값(참조)'!O28</f>
        <v>0.0417333333333333</v>
      </c>
      <c r="F7" s="85" t="n">
        <f aca="false">'4-2 장르 차트 판독값(참조)'!S28</f>
        <v>6</v>
      </c>
      <c r="G7" s="84" t="n">
        <f aca="false">'4-2 장르 차트 판독값(참조)'!O47</f>
        <v>0.009775</v>
      </c>
      <c r="H7" s="85" t="n">
        <f aca="false">'4-2 장르 차트 판독값(참조)'!S47</f>
        <v>6</v>
      </c>
      <c r="I7" s="89" t="n">
        <f aca="false">'4-2 장르 차트 판독값(참조)'!O66</f>
        <v>12.8416666666667</v>
      </c>
      <c r="J7" s="85" t="n">
        <f aca="false">'4-2 장르 차트 판독값(참조)'!S66</f>
        <v>16</v>
      </c>
      <c r="K7" s="89" t="n">
        <f aca="false">'4-2 장르 차트 판독값(참조)'!O85</f>
        <v>3.31666666666667</v>
      </c>
      <c r="L7" s="85" t="n">
        <f aca="false">'4-2 장르 차트 판독값(참조)'!S85</f>
        <v>16</v>
      </c>
      <c r="M7" s="91" t="n">
        <f aca="false">'4-2 장르 차트 판독값(참조)'!O104</f>
        <v>3.995</v>
      </c>
      <c r="N7" s="85" t="n">
        <f aca="false">'4-2 장르 차트 판독값(참조)'!S104</f>
        <v>9</v>
      </c>
      <c r="O7" s="82" t="str">
        <f aca="false">"다음날 "&amp;TEXT(C7*100,"0.0")&amp;"명 → 1주 뒤 "&amp;TEXT(E7*100,"0.0")&amp;"명 → 4주 뒤 "&amp;TEXT(G7*100,"0.0")&amp;"명이 다시 옴"</f>
        <v>다음날 22.2명 → 1주 뒤 4.2명 → 4주 뒤 1.0명이 다시 옴</v>
      </c>
      <c r="P7" s="82" t="str">
        <f aca="false">"하루 "&amp;TEXT(M7,"0.0")&amp;"번 켜고, 한 번에 "&amp;TEXT(K7,"0.0")&amp;"분, 하루 합계 약 "&amp;TEXT(I7,"0")&amp;"분"</f>
        <v>하루 4.0번 켜고, 한 번에 3.3분, 하루 합계 약 13분</v>
      </c>
    </row>
    <row r="8" customFormat="false" ht="17.15" hidden="false" customHeight="false" outlineLevel="0" collapsed="false">
      <c r="A8" s="18" t="s">
        <v>648</v>
      </c>
      <c r="B8" s="82" t="s">
        <v>726</v>
      </c>
      <c r="C8" s="84" t="n">
        <f aca="false">'4-2 장르 차트 판독값(참조)'!O10</f>
        <v>0.190991666666667</v>
      </c>
      <c r="D8" s="85" t="n">
        <f aca="false">'4-2 장르 차트 판독값(참조)'!S10</f>
        <v>7</v>
      </c>
      <c r="E8" s="84" t="n">
        <f aca="false">'4-2 장르 차트 판독값(참조)'!O29</f>
        <v>0.0582833333333333</v>
      </c>
      <c r="F8" s="85" t="n">
        <f aca="false">'4-2 장르 차트 판독값(참조)'!S29</f>
        <v>2</v>
      </c>
      <c r="G8" s="84" t="n">
        <f aca="false">'4-2 장르 차트 판독값(참조)'!O48</f>
        <v>0.0217166666666667</v>
      </c>
      <c r="H8" s="85" t="n">
        <f aca="false">'4-2 장르 차트 판독값(참조)'!S48</f>
        <v>2</v>
      </c>
      <c r="I8" s="89" t="n">
        <f aca="false">'4-2 장르 차트 판독값(참조)'!O67</f>
        <v>41.0583333333333</v>
      </c>
      <c r="J8" s="85" t="n">
        <f aca="false">'4-2 장르 차트 판독값(참조)'!S67</f>
        <v>2</v>
      </c>
      <c r="K8" s="89" t="n">
        <f aca="false">'4-2 장르 차트 판독값(참조)'!O86</f>
        <v>7.29166666666667</v>
      </c>
      <c r="L8" s="85" t="n">
        <f aca="false">'4-2 장르 차트 판독값(참조)'!S86</f>
        <v>4</v>
      </c>
      <c r="M8" s="91" t="n">
        <f aca="false">'4-2 장르 차트 판독값(참조)'!O105</f>
        <v>5.08833333333333</v>
      </c>
      <c r="N8" s="85" t="n">
        <f aca="false">'4-2 장르 차트 판독값(참조)'!S105</f>
        <v>1</v>
      </c>
      <c r="O8" s="82" t="str">
        <f aca="false">"다음날 "&amp;TEXT(C8*100,"0.0")&amp;"명 → 1주 뒤 "&amp;TEXT(E8*100,"0.0")&amp;"명 → 4주 뒤 "&amp;TEXT(G8*100,"0.0")&amp;"명이 다시 옴"</f>
        <v>다음날 19.1명 → 1주 뒤 5.8명 → 4주 뒤 2.2명이 다시 옴</v>
      </c>
      <c r="P8" s="82" t="str">
        <f aca="false">"하루 "&amp;TEXT(M8,"0.0")&amp;"번 켜고, 한 번에 "&amp;TEXT(K8,"0.0")&amp;"분, 하루 합계 약 "&amp;TEXT(I8,"0")&amp;"분"</f>
        <v>하루 5.1번 켜고, 한 번에 7.3분, 하루 합계 약 41분</v>
      </c>
    </row>
    <row r="9" customFormat="false" ht="17.15" hidden="false" customHeight="false" outlineLevel="0" collapsed="false">
      <c r="A9" s="18" t="s">
        <v>666</v>
      </c>
      <c r="B9" s="82" t="s">
        <v>727</v>
      </c>
      <c r="C9" s="84" t="n">
        <f aca="false">'4-2 장르 차트 판독값(참조)'!O11</f>
        <v>0.188383333333333</v>
      </c>
      <c r="D9" s="85" t="n">
        <f aca="false">'4-2 장르 차트 판독값(참조)'!S11</f>
        <v>8</v>
      </c>
      <c r="E9" s="84" t="n">
        <f aca="false">'4-2 장르 차트 판독값(참조)'!O30</f>
        <v>0.0672</v>
      </c>
      <c r="F9" s="85" t="n">
        <f aca="false">'4-2 장르 차트 판독값(참조)'!S30</f>
        <v>1</v>
      </c>
      <c r="G9" s="84" t="n">
        <f aca="false">'4-2 장르 차트 판독값(참조)'!O49</f>
        <v>0.03</v>
      </c>
      <c r="H9" s="85" t="n">
        <f aca="false">'4-2 장르 차트 판독값(참조)'!S49</f>
        <v>1</v>
      </c>
      <c r="I9" s="89" t="n">
        <f aca="false">'4-2 장르 차트 판독값(참조)'!O68</f>
        <v>48.525</v>
      </c>
      <c r="J9" s="85" t="n">
        <f aca="false">'4-2 장르 차트 판독값(참조)'!S68</f>
        <v>1</v>
      </c>
      <c r="K9" s="89" t="n">
        <f aca="false">'4-2 장르 차트 판독값(참조)'!O87</f>
        <v>8.30833333333333</v>
      </c>
      <c r="L9" s="85" t="n">
        <f aca="false">'4-2 장르 차트 판독값(참조)'!S87</f>
        <v>2</v>
      </c>
      <c r="M9" s="91" t="n">
        <f aca="false">'4-2 장르 차트 판독값(참조)'!O106</f>
        <v>4.86</v>
      </c>
      <c r="N9" s="85" t="n">
        <f aca="false">'4-2 장르 차트 판독값(참조)'!S106</f>
        <v>2</v>
      </c>
      <c r="O9" s="82" t="str">
        <f aca="false">"다음날 "&amp;TEXT(C9*100,"0.0")&amp;"명 → 1주 뒤 "&amp;TEXT(E9*100,"0.0")&amp;"명 → 4주 뒤 "&amp;TEXT(G9*100,"0.0")&amp;"명이 다시 옴"</f>
        <v>다음날 18.8명 → 1주 뒤 6.7명 → 4주 뒤 3.0명이 다시 옴</v>
      </c>
      <c r="P9" s="82" t="str">
        <f aca="false">"하루 "&amp;TEXT(M9,"0.0")&amp;"번 켜고, 한 번에 "&amp;TEXT(K9,"0.0")&amp;"분, 하루 합계 약 "&amp;TEXT(I9,"0")&amp;"분"</f>
        <v>하루 4.9번 켜고, 한 번에 8.3분, 하루 합계 약 49분</v>
      </c>
    </row>
    <row r="10" customFormat="false" ht="17.15" hidden="false" customHeight="false" outlineLevel="0" collapsed="false">
      <c r="A10" s="18" t="s">
        <v>728</v>
      </c>
      <c r="B10" s="82" t="s">
        <v>729</v>
      </c>
      <c r="C10" s="84" t="n">
        <f aca="false">'4-2 장르 차트 판독값(참조)'!O12</f>
        <v>0.193825</v>
      </c>
      <c r="D10" s="85" t="n">
        <f aca="false">'4-2 장르 차트 판독값(참조)'!S12</f>
        <v>5</v>
      </c>
      <c r="E10" s="84" t="n">
        <f aca="false">'4-2 장르 차트 판독값(참조)'!O31</f>
        <v>0.05505</v>
      </c>
      <c r="F10" s="85" t="n">
        <f aca="false">'4-2 장르 차트 판독값(참조)'!S31</f>
        <v>3</v>
      </c>
      <c r="G10" s="84" t="n">
        <f aca="false">'4-2 장르 차트 판독값(참조)'!O50</f>
        <v>0.0192083333333333</v>
      </c>
      <c r="H10" s="85" t="n">
        <f aca="false">'4-2 장르 차트 판독값(참조)'!S50</f>
        <v>3</v>
      </c>
      <c r="I10" s="89" t="n">
        <f aca="false">'4-2 장르 차트 판독값(참조)'!O69</f>
        <v>35.35</v>
      </c>
      <c r="J10" s="85" t="n">
        <f aca="false">'4-2 장르 차트 판독값(참조)'!S69</f>
        <v>3</v>
      </c>
      <c r="K10" s="89" t="n">
        <f aca="false">'4-2 장르 차트 판독값(참조)'!O88</f>
        <v>7.3</v>
      </c>
      <c r="L10" s="85" t="n">
        <f aca="false">'4-2 장르 차트 판독값(참조)'!S88</f>
        <v>3</v>
      </c>
      <c r="M10" s="91" t="n">
        <f aca="false">'4-2 장르 차트 판독값(참조)'!O107</f>
        <v>4.2725</v>
      </c>
      <c r="N10" s="85" t="n">
        <f aca="false">'4-2 장르 차트 판독값(참조)'!S107</f>
        <v>6</v>
      </c>
      <c r="O10" s="82" t="str">
        <f aca="false">"다음날 "&amp;TEXT(C10*100,"0.0")&amp;"명 → 1주 뒤 "&amp;TEXT(E10*100,"0.0")&amp;"명 → 4주 뒤 "&amp;TEXT(G10*100,"0.0")&amp;"명이 다시 옴"</f>
        <v>다음날 19.4명 → 1주 뒤 5.5명 → 4주 뒤 1.9명이 다시 옴</v>
      </c>
      <c r="P10" s="82" t="str">
        <f aca="false">"하루 "&amp;TEXT(M10,"0.0")&amp;"번 켜고, 한 번에 "&amp;TEXT(K10,"0.0")&amp;"분, 하루 합계 약 "&amp;TEXT(I10,"0")&amp;"분"</f>
        <v>하루 4.3번 켜고, 한 번에 7.3분, 하루 합계 약 35분</v>
      </c>
    </row>
    <row r="11" customFormat="false" ht="17.15" hidden="false" customHeight="false" outlineLevel="0" collapsed="false">
      <c r="A11" s="18" t="s">
        <v>645</v>
      </c>
      <c r="B11" s="82" t="s">
        <v>606</v>
      </c>
      <c r="C11" s="84" t="n">
        <f aca="false">'4-2 장르 차트 판독값(참조)'!O13</f>
        <v>0.2065</v>
      </c>
      <c r="D11" s="85" t="n">
        <f aca="false">'4-2 장르 차트 판독값(참조)'!S13</f>
        <v>2</v>
      </c>
      <c r="E11" s="84" t="n">
        <f aca="false">'4-2 장르 차트 판독값(참조)'!O32</f>
        <v>0.0331833333333333</v>
      </c>
      <c r="F11" s="85" t="n">
        <f aca="false">'4-2 장르 차트 판독값(참조)'!S32</f>
        <v>9</v>
      </c>
      <c r="G11" s="84" t="n">
        <f aca="false">'4-2 장르 차트 판독값(참조)'!O51</f>
        <v>0.00706666666666667</v>
      </c>
      <c r="H11" s="85" t="n">
        <f aca="false">'4-2 장르 차트 판독값(참조)'!S51</f>
        <v>10</v>
      </c>
      <c r="I11" s="89" t="n">
        <f aca="false">'4-2 장르 차트 판독값(참조)'!O70</f>
        <v>13.6416666666667</v>
      </c>
      <c r="J11" s="85" t="n">
        <f aca="false">'4-2 장르 차트 판독값(참조)'!S70</f>
        <v>15</v>
      </c>
      <c r="K11" s="89" t="n">
        <f aca="false">'4-2 장르 차트 판독값(참조)'!O89</f>
        <v>3.675</v>
      </c>
      <c r="L11" s="85" t="n">
        <f aca="false">'4-2 장르 차트 판독값(참조)'!S89</f>
        <v>14</v>
      </c>
      <c r="M11" s="91" t="n">
        <f aca="false">'4-2 장르 차트 판독값(참조)'!O108</f>
        <v>3.99666666666667</v>
      </c>
      <c r="N11" s="85" t="n">
        <f aca="false">'4-2 장르 차트 판독값(참조)'!S108</f>
        <v>8</v>
      </c>
      <c r="O11" s="82" t="str">
        <f aca="false">"다음날 "&amp;TEXT(C11*100,"0.0")&amp;"명 → 1주 뒤 "&amp;TEXT(E11*100,"0.0")&amp;"명 → 4주 뒤 "&amp;TEXT(G11*100,"0.0")&amp;"명이 다시 옴"</f>
        <v>다음날 20.7명 → 1주 뒤 3.3명 → 4주 뒤 0.7명이 다시 옴</v>
      </c>
      <c r="P11" s="82" t="str">
        <f aca="false">"하루 "&amp;TEXT(M11,"0.0")&amp;"번 켜고, 한 번에 "&amp;TEXT(K11,"0.0")&amp;"분, 하루 합계 약 "&amp;TEXT(I11,"0")&amp;"분"</f>
        <v>하루 4.0번 켜고, 한 번에 3.7분, 하루 합계 약 14분</v>
      </c>
    </row>
    <row r="12" customFormat="false" ht="17.15" hidden="false" customHeight="false" outlineLevel="0" collapsed="false">
      <c r="A12" s="18" t="s">
        <v>730</v>
      </c>
      <c r="B12" s="82" t="s">
        <v>731</v>
      </c>
      <c r="C12" s="84" t="n">
        <f aca="false">'4-2 장르 차트 판독값(참조)'!O14</f>
        <v>0.114608333333333</v>
      </c>
      <c r="D12" s="85" t="n">
        <f aca="false">'4-2 장르 차트 판독값(참조)'!S14</f>
        <v>16</v>
      </c>
      <c r="E12" s="84" t="n">
        <f aca="false">'4-2 장르 차트 판독값(참조)'!O33</f>
        <v>0.016675</v>
      </c>
      <c r="F12" s="85" t="n">
        <f aca="false">'4-2 장르 차트 판독값(참조)'!S33</f>
        <v>16</v>
      </c>
      <c r="G12" s="84" t="n">
        <f aca="false">'4-2 장르 차트 판독값(참조)'!O52</f>
        <v>0.00471666666666667</v>
      </c>
      <c r="H12" s="85" t="n">
        <f aca="false">'4-2 장르 차트 판독값(참조)'!S52</f>
        <v>15</v>
      </c>
      <c r="I12" s="89" t="n">
        <f aca="false">'4-2 장르 차트 판독값(참조)'!O71</f>
        <v>24.2333333333333</v>
      </c>
      <c r="J12" s="85" t="n">
        <f aca="false">'4-2 장르 차트 판독값(참조)'!S71</f>
        <v>5</v>
      </c>
      <c r="K12" s="89" t="n">
        <f aca="false">'4-2 장르 차트 판독값(참조)'!O90</f>
        <v>9.43333333333333</v>
      </c>
      <c r="L12" s="85" t="n">
        <f aca="false">'4-2 장르 차트 판독값(참조)'!S90</f>
        <v>1</v>
      </c>
      <c r="M12" s="91" t="n">
        <f aca="false">'4-2 장르 차트 판독값(참조)'!O109</f>
        <v>2.32</v>
      </c>
      <c r="N12" s="85" t="n">
        <f aca="false">'4-2 장르 차트 판독값(참조)'!S109</f>
        <v>16</v>
      </c>
      <c r="O12" s="82" t="str">
        <f aca="false">"다음날 "&amp;TEXT(C12*100,"0.0")&amp;"명 → 1주 뒤 "&amp;TEXT(E12*100,"0.0")&amp;"명 → 4주 뒤 "&amp;TEXT(G12*100,"0.0")&amp;"명이 다시 옴"</f>
        <v>다음날 11.5명 → 1주 뒤 1.7명 → 4주 뒤 0.5명이 다시 옴</v>
      </c>
      <c r="P12" s="82" t="str">
        <f aca="false">"하루 "&amp;TEXT(M12,"0.0")&amp;"번 켜고, 한 번에 "&amp;TEXT(K12,"0.0")&amp;"분, 하루 합계 약 "&amp;TEXT(I12,"0")&amp;"분"</f>
        <v>하루 2.3번 켜고, 한 번에 9.4분, 하루 합계 약 24분</v>
      </c>
    </row>
    <row r="13" customFormat="false" ht="17.15" hidden="false" customHeight="false" outlineLevel="0" collapsed="false">
      <c r="A13" s="18" t="s">
        <v>638</v>
      </c>
      <c r="B13" s="82" t="s">
        <v>732</v>
      </c>
      <c r="C13" s="84" t="n">
        <f aca="false">'4-2 장르 차트 판독값(참조)'!O15</f>
        <v>0.20205</v>
      </c>
      <c r="D13" s="85" t="n">
        <f aca="false">'4-2 장르 차트 판독값(참조)'!S15</f>
        <v>3</v>
      </c>
      <c r="E13" s="84" t="n">
        <f aca="false">'4-2 장르 차트 판독값(참조)'!O34</f>
        <v>0.0453583333333333</v>
      </c>
      <c r="F13" s="85" t="n">
        <f aca="false">'4-2 장르 차트 판독값(참조)'!S34</f>
        <v>4</v>
      </c>
      <c r="G13" s="84" t="n">
        <f aca="false">'4-2 장르 차트 판독값(참조)'!O53</f>
        <v>0.0119</v>
      </c>
      <c r="H13" s="85" t="n">
        <f aca="false">'4-2 장르 차트 판독값(참조)'!S53</f>
        <v>4</v>
      </c>
      <c r="I13" s="89" t="n">
        <f aca="false">'4-2 장르 차트 판독값(참조)'!O72</f>
        <v>30.1916666666667</v>
      </c>
      <c r="J13" s="85" t="n">
        <f aca="false">'4-2 장르 차트 판독값(참조)'!S72</f>
        <v>4</v>
      </c>
      <c r="K13" s="89" t="n">
        <f aca="false">'4-2 장르 차트 판독값(참조)'!O91</f>
        <v>5.64166666666667</v>
      </c>
      <c r="L13" s="85" t="n">
        <f aca="false">'4-2 장르 차트 판독값(참조)'!S91</f>
        <v>5</v>
      </c>
      <c r="M13" s="91" t="n">
        <f aca="false">'4-2 장르 차트 판독값(참조)'!O110</f>
        <v>4.77583333333333</v>
      </c>
      <c r="N13" s="85" t="n">
        <f aca="false">'4-2 장르 차트 판독값(참조)'!S110</f>
        <v>3</v>
      </c>
      <c r="O13" s="82" t="str">
        <f aca="false">"다음날 "&amp;TEXT(C13*100,"0.0")&amp;"명 → 1주 뒤 "&amp;TEXT(E13*100,"0.0")&amp;"명 → 4주 뒤 "&amp;TEXT(G13*100,"0.0")&amp;"명이 다시 옴"</f>
        <v>다음날 20.2명 → 1주 뒤 4.5명 → 4주 뒤 1.2명이 다시 옴</v>
      </c>
      <c r="P13" s="82" t="str">
        <f aca="false">"하루 "&amp;TEXT(M13,"0.0")&amp;"번 켜고, 한 번에 "&amp;TEXT(K13,"0.0")&amp;"분, 하루 합계 약 "&amp;TEXT(I13,"0")&amp;"분"</f>
        <v>하루 4.8번 켜고, 한 번에 5.6분, 하루 합계 약 30분</v>
      </c>
    </row>
    <row r="14" customFormat="false" ht="17.15" hidden="false" customHeight="false" outlineLevel="0" collapsed="false">
      <c r="A14" s="18" t="s">
        <v>733</v>
      </c>
      <c r="B14" s="82" t="s">
        <v>734</v>
      </c>
      <c r="C14" s="84" t="n">
        <f aca="false">'4-2 장르 차트 판독값(참조)'!O16</f>
        <v>0.180991666666667</v>
      </c>
      <c r="D14" s="85" t="n">
        <f aca="false">'4-2 장르 차트 판독값(참조)'!S16</f>
        <v>11</v>
      </c>
      <c r="E14" s="84" t="n">
        <f aca="false">'4-2 장르 차트 판독값(참조)'!O35</f>
        <v>0.0301083333333333</v>
      </c>
      <c r="F14" s="85" t="n">
        <f aca="false">'4-2 장르 차트 판독값(참조)'!S35</f>
        <v>11</v>
      </c>
      <c r="G14" s="84" t="n">
        <f aca="false">'4-2 장르 차트 판독값(참조)'!O54</f>
        <v>0.00655</v>
      </c>
      <c r="H14" s="85" t="n">
        <f aca="false">'4-2 장르 차트 판독값(참조)'!S54</f>
        <v>11</v>
      </c>
      <c r="I14" s="89" t="n">
        <f aca="false">'4-2 장르 차트 판독값(참조)'!O73</f>
        <v>14.1166666666667</v>
      </c>
      <c r="J14" s="85" t="n">
        <f aca="false">'4-2 장르 차트 판독값(참조)'!S73</f>
        <v>12</v>
      </c>
      <c r="K14" s="89" t="n">
        <f aca="false">'4-2 장르 차트 판독값(참조)'!O92</f>
        <v>3.81666666666667</v>
      </c>
      <c r="L14" s="85" t="n">
        <f aca="false">'4-2 장르 차트 판독값(참조)'!S92</f>
        <v>13</v>
      </c>
      <c r="M14" s="91" t="n">
        <f aca="false">'4-2 장르 차트 판독값(참조)'!O111</f>
        <v>3.9425</v>
      </c>
      <c r="N14" s="85" t="n">
        <f aca="false">'4-2 장르 차트 판독값(참조)'!S111</f>
        <v>10</v>
      </c>
      <c r="O14" s="82" t="str">
        <f aca="false">"다음날 "&amp;TEXT(C14*100,"0.0")&amp;"명 → 1주 뒤 "&amp;TEXT(E14*100,"0.0")&amp;"명 → 4주 뒤 "&amp;TEXT(G14*100,"0.0")&amp;"명이 다시 옴"</f>
        <v>다음날 18.1명 → 1주 뒤 3.0명 → 4주 뒤 0.7명이 다시 옴</v>
      </c>
      <c r="P14" s="82" t="str">
        <f aca="false">"하루 "&amp;TEXT(M14,"0.0")&amp;"번 켜고, 한 번에 "&amp;TEXT(K14,"0.0")&amp;"분, 하루 합계 약 "&amp;TEXT(I14,"0")&amp;"분"</f>
        <v>하루 3.9번 켜고, 한 번에 3.8분, 하루 합계 약 14분</v>
      </c>
    </row>
    <row r="15" customFormat="false" ht="17.15" hidden="false" customHeight="false" outlineLevel="0" collapsed="false">
      <c r="A15" s="18" t="s">
        <v>671</v>
      </c>
      <c r="B15" s="82" t="s">
        <v>735</v>
      </c>
      <c r="C15" s="84" t="n">
        <f aca="false">'4-2 장르 차트 판독값(참조)'!O17</f>
        <v>0.150716666666667</v>
      </c>
      <c r="D15" s="85" t="n">
        <f aca="false">'4-2 장르 차트 판독값(참조)'!S17</f>
        <v>15</v>
      </c>
      <c r="E15" s="84" t="n">
        <f aca="false">'4-2 장르 차트 판독값(참조)'!O36</f>
        <v>0.020725</v>
      </c>
      <c r="F15" s="85" t="n">
        <f aca="false">'4-2 장르 차트 판독값(참조)'!S36</f>
        <v>15</v>
      </c>
      <c r="G15" s="84" t="n">
        <f aca="false">'4-2 장르 차트 판독값(참조)'!O55</f>
        <v>0.004325</v>
      </c>
      <c r="H15" s="85" t="n">
        <f aca="false">'4-2 장르 차트 판독값(참조)'!S55</f>
        <v>16</v>
      </c>
      <c r="I15" s="89" t="n">
        <f aca="false">'4-2 장르 차트 판독값(참조)'!O74</f>
        <v>15.6416666666667</v>
      </c>
      <c r="J15" s="85" t="n">
        <f aca="false">'4-2 장르 차트 판독값(참조)'!S74</f>
        <v>10</v>
      </c>
      <c r="K15" s="89" t="n">
        <f aca="false">'4-2 장르 차트 판독값(참조)'!O93</f>
        <v>4.375</v>
      </c>
      <c r="L15" s="85" t="n">
        <f aca="false">'4-2 장르 차트 판독값(참조)'!S93</f>
        <v>9</v>
      </c>
      <c r="M15" s="91" t="n">
        <f aca="false">'4-2 장르 차트 판독값(참조)'!O112</f>
        <v>4.015</v>
      </c>
      <c r="N15" s="85" t="n">
        <f aca="false">'4-2 장르 차트 판독값(참조)'!S112</f>
        <v>7</v>
      </c>
      <c r="O15" s="82" t="str">
        <f aca="false">"다음날 "&amp;TEXT(C15*100,"0.0")&amp;"명 → 1주 뒤 "&amp;TEXT(E15*100,"0.0")&amp;"명 → 4주 뒤 "&amp;TEXT(G15*100,"0.0")&amp;"명이 다시 옴"</f>
        <v>다음날 15.1명 → 1주 뒤 2.1명 → 4주 뒤 0.4명이 다시 옴</v>
      </c>
      <c r="P15" s="82" t="str">
        <f aca="false">"하루 "&amp;TEXT(M15,"0.0")&amp;"번 켜고, 한 번에 "&amp;TEXT(K15,"0.0")&amp;"분, 하루 합계 약 "&amp;TEXT(I15,"0")&amp;"분"</f>
        <v>하루 4.0번 켜고, 한 번에 4.4분, 하루 합계 약 16분</v>
      </c>
    </row>
    <row r="16" customFormat="false" ht="17.15" hidden="false" customHeight="false" outlineLevel="0" collapsed="false">
      <c r="A16" s="18" t="s">
        <v>664</v>
      </c>
      <c r="B16" s="82" t="s">
        <v>736</v>
      </c>
      <c r="C16" s="84" t="n">
        <f aca="false">'4-2 장르 차트 판독값(참조)'!O18</f>
        <v>0.17035</v>
      </c>
      <c r="D16" s="85" t="n">
        <f aca="false">'4-2 장르 차트 판독값(참조)'!S18</f>
        <v>12</v>
      </c>
      <c r="E16" s="84" t="n">
        <f aca="false">'4-2 장르 차트 판독값(참조)'!O37</f>
        <v>0.0238916666666667</v>
      </c>
      <c r="F16" s="85" t="n">
        <f aca="false">'4-2 장르 차트 판독값(참조)'!S37</f>
        <v>13</v>
      </c>
      <c r="G16" s="84" t="n">
        <f aca="false">'4-2 장르 차트 판독값(참조)'!O56</f>
        <v>0.00500833333333333</v>
      </c>
      <c r="H16" s="85" t="n">
        <f aca="false">'4-2 장르 차트 판독값(참조)'!S56</f>
        <v>13</v>
      </c>
      <c r="I16" s="89" t="n">
        <f aca="false">'4-2 장르 차트 판독값(참조)'!O75</f>
        <v>14.6916666666667</v>
      </c>
      <c r="J16" s="85" t="n">
        <f aca="false">'4-2 장르 차트 판독값(참조)'!S75</f>
        <v>11</v>
      </c>
      <c r="K16" s="89" t="n">
        <f aca="false">'4-2 장르 차트 판독값(참조)'!O94</f>
        <v>4.11666666666667</v>
      </c>
      <c r="L16" s="85" t="n">
        <f aca="false">'4-2 장르 차트 판독값(참조)'!S94</f>
        <v>11</v>
      </c>
      <c r="M16" s="91" t="n">
        <f aca="false">'4-2 장르 차트 판독값(참조)'!O113</f>
        <v>3.67583333333333</v>
      </c>
      <c r="N16" s="85" t="n">
        <f aca="false">'4-2 장르 차트 판독값(참조)'!S113</f>
        <v>14</v>
      </c>
      <c r="O16" s="82" t="str">
        <f aca="false">"다음날 "&amp;TEXT(C16*100,"0.0")&amp;"명 → 1주 뒤 "&amp;TEXT(E16*100,"0.0")&amp;"명 → 4주 뒤 "&amp;TEXT(G16*100,"0.0")&amp;"명이 다시 옴"</f>
        <v>다음날 17.0명 → 1주 뒤 2.4명 → 4주 뒤 0.5명이 다시 옴</v>
      </c>
      <c r="P16" s="82" t="str">
        <f aca="false">"하루 "&amp;TEXT(M16,"0.0")&amp;"번 켜고, 한 번에 "&amp;TEXT(K16,"0.0")&amp;"분, 하루 합계 약 "&amp;TEXT(I16,"0")&amp;"분"</f>
        <v>하루 3.7번 켜고, 한 번에 4.1분, 하루 합계 약 15분</v>
      </c>
    </row>
    <row r="17" customFormat="false" ht="17.15" hidden="false" customHeight="false" outlineLevel="0" collapsed="false">
      <c r="A17" s="18" t="s">
        <v>737</v>
      </c>
      <c r="B17" s="82" t="s">
        <v>738</v>
      </c>
      <c r="C17" s="84" t="n">
        <f aca="false">'4-2 장르 차트 판독값(참조)'!O19</f>
        <v>0.192625</v>
      </c>
      <c r="D17" s="85" t="n">
        <f aca="false">'4-2 장르 차트 판독값(참조)'!S19</f>
        <v>6</v>
      </c>
      <c r="E17" s="84" t="n">
        <f aca="false">'4-2 장르 차트 판독값(참조)'!O38</f>
        <v>0.035825</v>
      </c>
      <c r="F17" s="85" t="n">
        <f aca="false">'4-2 장르 차트 판독값(참조)'!S38</f>
        <v>7</v>
      </c>
      <c r="G17" s="84" t="n">
        <f aca="false">'4-2 장르 차트 판독값(참조)'!O57</f>
        <v>0.00815</v>
      </c>
      <c r="H17" s="85" t="n">
        <f aca="false">'4-2 장르 차트 판독값(참조)'!S57</f>
        <v>8</v>
      </c>
      <c r="I17" s="89" t="n">
        <f aca="false">'4-2 장르 차트 판독값(참조)'!O76</f>
        <v>15.7083333333333</v>
      </c>
      <c r="J17" s="85" t="n">
        <f aca="false">'4-2 장르 차트 판독값(참조)'!S76</f>
        <v>9</v>
      </c>
      <c r="K17" s="89" t="n">
        <f aca="false">'4-2 장르 차트 판독값(참조)'!O95</f>
        <v>4.31666666666667</v>
      </c>
      <c r="L17" s="85" t="n">
        <f aca="false">'4-2 장르 차트 판독값(참조)'!S95</f>
        <v>10</v>
      </c>
      <c r="M17" s="91" t="n">
        <f aca="false">'4-2 장르 차트 판독값(참조)'!O114</f>
        <v>3.80833333333333</v>
      </c>
      <c r="N17" s="85" t="n">
        <f aca="false">'4-2 장르 차트 판독값(참조)'!S114</f>
        <v>12</v>
      </c>
      <c r="O17" s="82" t="str">
        <f aca="false">"다음날 "&amp;TEXT(C17*100,"0.0")&amp;"명 → 1주 뒤 "&amp;TEXT(E17*100,"0.0")&amp;"명 → 4주 뒤 "&amp;TEXT(G17*100,"0.0")&amp;"명이 다시 옴"</f>
        <v>다음날 19.3명 → 1주 뒤 3.6명 → 4주 뒤 0.8명이 다시 옴</v>
      </c>
      <c r="P17" s="82" t="str">
        <f aca="false">"하루 "&amp;TEXT(M17,"0.0")&amp;"번 켜고, 한 번에 "&amp;TEXT(K17,"0.0")&amp;"분, 하루 합계 약 "&amp;TEXT(I17,"0")&amp;"분"</f>
        <v>하루 3.8번 켜고, 한 번에 4.3분, 하루 합계 약 16분</v>
      </c>
    </row>
    <row r="18" customFormat="false" ht="17.15" hidden="false" customHeight="false" outlineLevel="0" collapsed="false">
      <c r="A18" s="18" t="s">
        <v>654</v>
      </c>
      <c r="B18" s="82" t="s">
        <v>739</v>
      </c>
      <c r="C18" s="84" t="n">
        <f aca="false">'4-2 장르 차트 판독값(참조)'!O20</f>
        <v>0.198991666666667</v>
      </c>
      <c r="D18" s="85" t="n">
        <f aca="false">'4-2 장르 차트 판독값(참조)'!S20</f>
        <v>4</v>
      </c>
      <c r="E18" s="84" t="n">
        <f aca="false">'4-2 장르 차트 판독값(참조)'!O39</f>
        <v>0.03365</v>
      </c>
      <c r="F18" s="85" t="n">
        <f aca="false">'4-2 장르 차트 판독값(참조)'!S39</f>
        <v>8</v>
      </c>
      <c r="G18" s="84" t="n">
        <f aca="false">'4-2 장르 차트 판독값(참조)'!O58</f>
        <v>0.00714166666666667</v>
      </c>
      <c r="H18" s="85" t="n">
        <f aca="false">'4-2 장르 차트 판독값(참조)'!S58</f>
        <v>9</v>
      </c>
      <c r="I18" s="89" t="n">
        <f aca="false">'4-2 장르 차트 판독값(참조)'!O77</f>
        <v>23.5</v>
      </c>
      <c r="J18" s="85" t="n">
        <f aca="false">'4-2 장르 차트 판독값(참조)'!S77</f>
        <v>7</v>
      </c>
      <c r="K18" s="89" t="n">
        <f aca="false">'4-2 장르 차트 판독값(참조)'!O96</f>
        <v>5.45</v>
      </c>
      <c r="L18" s="85" t="n">
        <f aca="false">'4-2 장르 차트 판독값(참조)'!S96</f>
        <v>6</v>
      </c>
      <c r="M18" s="91" t="n">
        <f aca="false">'4-2 장르 차트 판독값(참조)'!O115</f>
        <v>4.29666666666667</v>
      </c>
      <c r="N18" s="85" t="n">
        <f aca="false">'4-2 장르 차트 판독값(참조)'!S115</f>
        <v>5</v>
      </c>
      <c r="O18" s="82" t="str">
        <f aca="false">"다음날 "&amp;TEXT(C18*100,"0.0")&amp;"명 → 1주 뒤 "&amp;TEXT(E18*100,"0.0")&amp;"명 → 4주 뒤 "&amp;TEXT(G18*100,"0.0")&amp;"명이 다시 옴"</f>
        <v>다음날 19.9명 → 1주 뒤 3.4명 → 4주 뒤 0.7명이 다시 옴</v>
      </c>
      <c r="P18" s="82" t="str">
        <f aca="false">"하루 "&amp;TEXT(M18,"0.0")&amp;"번 켜고, 한 번에 "&amp;TEXT(K18,"0.0")&amp;"분, 하루 합계 약 "&amp;TEXT(I18,"0")&amp;"분"</f>
        <v>하루 4.3번 켜고, 한 번에 5.5분, 하루 합계 약 24분</v>
      </c>
    </row>
    <row r="19" customFormat="false" ht="17.15" hidden="false" customHeight="false" outlineLevel="0" collapsed="false">
      <c r="A19" s="18" t="s">
        <v>740</v>
      </c>
      <c r="B19" s="82" t="s">
        <v>741</v>
      </c>
      <c r="C19" s="84" t="n">
        <f aca="false">'4-2 장르 차트 판독값(참조)'!O21</f>
        <v>0.163358333333333</v>
      </c>
      <c r="D19" s="85" t="n">
        <f aca="false">'4-2 장르 차트 판독값(참조)'!S21</f>
        <v>13</v>
      </c>
      <c r="E19" s="84" t="n">
        <f aca="false">'4-2 장르 차트 판독값(참조)'!O40</f>
        <v>0.0328166666666667</v>
      </c>
      <c r="F19" s="85" t="n">
        <f aca="false">'4-2 장르 차트 판독값(참조)'!S40</f>
        <v>10</v>
      </c>
      <c r="G19" s="84" t="n">
        <f aca="false">'4-2 장르 차트 판독값(참조)'!O59</f>
        <v>0.0082</v>
      </c>
      <c r="H19" s="85" t="n">
        <f aca="false">'4-2 장르 차트 판독값(참조)'!S59</f>
        <v>7</v>
      </c>
      <c r="I19" s="89" t="n">
        <f aca="false">'4-2 장르 차트 판독값(참조)'!O78</f>
        <v>13.875</v>
      </c>
      <c r="J19" s="85" t="n">
        <f aca="false">'4-2 장르 차트 판독값(참조)'!S78</f>
        <v>14</v>
      </c>
      <c r="K19" s="89" t="n">
        <f aca="false">'4-2 장르 차트 판독값(참조)'!O97</f>
        <v>3.65</v>
      </c>
      <c r="L19" s="85" t="n">
        <f aca="false">'4-2 장르 차트 판독값(참조)'!S97</f>
        <v>15</v>
      </c>
      <c r="M19" s="91" t="n">
        <f aca="false">'4-2 장르 차트 판독값(참조)'!O116</f>
        <v>3.84083333333333</v>
      </c>
      <c r="N19" s="85" t="n">
        <f aca="false">'4-2 장르 차트 판독값(참조)'!S116</f>
        <v>11</v>
      </c>
      <c r="O19" s="82" t="str">
        <f aca="false">"다음날 "&amp;TEXT(C19*100,"0.0")&amp;"명 → 1주 뒤 "&amp;TEXT(E19*100,"0.0")&amp;"명 → 4주 뒤 "&amp;TEXT(G19*100,"0.0")&amp;"명이 다시 옴"</f>
        <v>다음날 16.3명 → 1주 뒤 3.3명 → 4주 뒤 0.8명이 다시 옴</v>
      </c>
      <c r="P19" s="82" t="str">
        <f aca="false">"하루 "&amp;TEXT(M19,"0.0")&amp;"번 켜고, 한 번에 "&amp;TEXT(K19,"0.0")&amp;"분, 하루 합계 약 "&amp;TEXT(I19,"0")&amp;"분"</f>
        <v>하루 3.8번 켜고, 한 번에 3.7분, 하루 합계 약 14분</v>
      </c>
    </row>
    <row r="20" customFormat="false" ht="17.15" hidden="false" customHeight="false" outlineLevel="0" collapsed="false">
      <c r="A20" s="18" t="s">
        <v>742</v>
      </c>
      <c r="B20" s="82" t="s">
        <v>743</v>
      </c>
      <c r="C20" s="84" t="n">
        <f aca="false">'4-2 장르 차트 판독값(참조)'!O22</f>
        <v>0.183966666666667</v>
      </c>
      <c r="D20" s="85" t="n">
        <f aca="false">'4-2 장르 차트 판독값(참조)'!S22</f>
        <v>9</v>
      </c>
      <c r="E20" s="84" t="n">
        <f aca="false">'4-2 장르 차트 판독값(참조)'!O41</f>
        <v>0.0418333333333333</v>
      </c>
      <c r="F20" s="85" t="n">
        <f aca="false">'4-2 장르 차트 판독값(참조)'!S41</f>
        <v>5</v>
      </c>
      <c r="G20" s="84" t="n">
        <f aca="false">'4-2 장르 차트 판독값(참조)'!O60</f>
        <v>0.011225</v>
      </c>
      <c r="H20" s="85" t="n">
        <f aca="false">'4-2 장르 차트 판독값(참조)'!S60</f>
        <v>5</v>
      </c>
      <c r="I20" s="89" t="n">
        <f aca="false">'4-2 장르 차트 판독값(참조)'!O79</f>
        <v>23.8083333333333</v>
      </c>
      <c r="J20" s="85" t="n">
        <f aca="false">'4-2 장르 차트 판독값(참조)'!S79</f>
        <v>6</v>
      </c>
      <c r="K20" s="89" t="n">
        <f aca="false">'4-2 장르 차트 판독값(참조)'!O98</f>
        <v>5.08333333333333</v>
      </c>
      <c r="L20" s="85" t="n">
        <f aca="false">'4-2 장르 차트 판독값(참조)'!S98</f>
        <v>7</v>
      </c>
      <c r="M20" s="91" t="n">
        <f aca="false">'4-2 장르 차트 판독값(참조)'!O117</f>
        <v>4.3225</v>
      </c>
      <c r="N20" s="85" t="n">
        <f aca="false">'4-2 장르 차트 판독값(참조)'!S117</f>
        <v>4</v>
      </c>
      <c r="O20" s="82" t="str">
        <f aca="false">"다음날 "&amp;TEXT(C20*100,"0.0")&amp;"명 → 1주 뒤 "&amp;TEXT(E20*100,"0.0")&amp;"명 → 4주 뒤 "&amp;TEXT(G20*100,"0.0")&amp;"명이 다시 옴"</f>
        <v>다음날 18.4명 → 1주 뒤 4.2명 → 4주 뒤 1.1명이 다시 옴</v>
      </c>
      <c r="P20" s="82" t="str">
        <f aca="false">"하루 "&amp;TEXT(M20,"0.0")&amp;"번 켜고, 한 번에 "&amp;TEXT(K20,"0.0")&amp;"분, 하루 합계 약 "&amp;TEXT(I20,"0")&amp;"분"</f>
        <v>하루 4.3번 켜고, 한 번에 5.1분, 하루 합계 약 24분</v>
      </c>
    </row>
    <row r="23" customFormat="false" ht="19.4" hidden="false" customHeight="false" outlineLevel="0" collapsed="false">
      <c r="A23" s="45" t="s">
        <v>760</v>
      </c>
    </row>
    <row r="24" customFormat="false" ht="17.15" hidden="false" customHeight="false" outlineLevel="0" collapsed="false">
      <c r="A24" s="92" t="s">
        <v>761</v>
      </c>
      <c r="B24" s="92"/>
      <c r="C24" s="92"/>
      <c r="D24" s="92"/>
      <c r="E24" s="92"/>
      <c r="F24" s="92"/>
      <c r="G24" s="92"/>
      <c r="H24" s="92"/>
      <c r="I24" s="92" t="s">
        <v>762</v>
      </c>
      <c r="J24" s="92"/>
      <c r="K24" s="92"/>
      <c r="L24" s="92"/>
      <c r="M24" s="92"/>
      <c r="N24" s="92"/>
      <c r="O24" s="93" t="s">
        <v>763</v>
      </c>
    </row>
    <row r="25" customFormat="false" ht="49.5" hidden="false" customHeight="true" outlineLevel="0" collapsed="false">
      <c r="A25" s="94" t="s">
        <v>764</v>
      </c>
      <c r="B25" s="94"/>
      <c r="C25" s="94"/>
      <c r="D25" s="94"/>
      <c r="E25" s="94"/>
      <c r="F25" s="94"/>
      <c r="G25" s="94"/>
      <c r="H25" s="94"/>
      <c r="I25" s="95" t="str">
        <f aca="false">"D1 1위: "&amp;INDEX($A$5:$A$20,MATCH(MAX($C$5:$C$20),$C$5:$C$20,0))&amp;" ("&amp;TEXT(MAX($C$5:$C$20),"0.00%")&amp;")"</f>
        <v>D1 1위: Arcade (22.24%)</v>
      </c>
      <c r="J25" s="95"/>
      <c r="K25" s="95"/>
      <c r="L25" s="95"/>
      <c r="M25" s="95"/>
      <c r="N25" s="95"/>
      <c r="O25" s="38" t="str">
        <f aca="false">IF(INDEX($A$5:$A$20,MATCH(MAX($C$5:$C$20),$C$5:$C$20,0))="Arcade","일치","다름")</f>
        <v>일치</v>
      </c>
    </row>
    <row r="26" customFormat="false" ht="49.5" hidden="false" customHeight="true" outlineLevel="0" collapsed="false">
      <c r="A26" s="94" t="s">
        <v>765</v>
      </c>
      <c r="B26" s="94"/>
      <c r="C26" s="94"/>
      <c r="D26" s="94"/>
      <c r="E26" s="94"/>
      <c r="F26" s="94"/>
      <c r="G26" s="94"/>
      <c r="H26" s="94"/>
      <c r="I26" s="95" t="str">
        <f aca="false">"Arcade 순위: D1 "&amp;INDEX($D$5:$D$20,MATCH("Arcade",$A$5:$A$20,0))&amp;"위 → D7 "&amp;INDEX($F$5:$F$20,MATCH("Arcade",$A$5:$A$20,0))&amp;"위 → D28 "&amp;INDEX($H$5:$H$20,MATCH("Arcade",$A$5:$A$20,0))&amp;"위"</f>
        <v>Arcade 순위: D1 1위 → D7 6위 → D28 6위</v>
      </c>
      <c r="J26" s="95"/>
      <c r="K26" s="95"/>
      <c r="L26" s="95"/>
      <c r="M26" s="95"/>
      <c r="N26" s="95"/>
      <c r="O26" s="38" t="str">
        <f aca="false">IF(INDEX($H$5:$H$20,MATCH("Arcade",$A$5:$A$20,0))&gt;INDEX($D$5:$D$20,MATCH("Arcade",$A$5:$A$20,0)),"일치 (뒤로 갈수록 순위 하락)","다름")</f>
        <v>일치 (뒤로 갈수록 순위 하락)</v>
      </c>
    </row>
    <row r="27" customFormat="false" ht="49.5" hidden="false" customHeight="true" outlineLevel="0" collapsed="false">
      <c r="A27" s="94" t="s">
        <v>766</v>
      </c>
      <c r="B27" s="94"/>
      <c r="C27" s="94"/>
      <c r="D27" s="94"/>
      <c r="E27" s="94"/>
      <c r="F27" s="94"/>
      <c r="G27" s="94"/>
      <c r="H27" s="94"/>
      <c r="I27" s="95" t="str">
        <f aca="false">"D7 순위 보드 "&amp;INDEX($F$5:$F$20,MATCH("Board",$A$5:$A$20,0))&amp;"·카드 "&amp;INDEX($F$5:$F$20,MATCH("Card",$A$5:$A$20,0))&amp;"·퍼즐 "&amp;INDEX($F$5:$F$20,MATCH("Puzzle",$A$5:$A$20,0))&amp;"·카지노 "&amp;INDEX($F$5:$F$20,MATCH("Casino",$A$5:$A$20,0))&amp;" / D28 순위 "&amp;INDEX($H$5:$H$20,MATCH("Board",$A$5:$A$20,0))&amp;"·"&amp;INDEX($H$5:$H$20,MATCH("Card",$A$5:$A$20,0))&amp;"·"&amp;INDEX($H$5:$H$20,MATCH("Puzzle",$A$5:$A$20,0))&amp;"·"&amp;INDEX($H$5:$H$20,MATCH("Casino",$A$5:$A$20,0))</f>
        <v>D7 순위 보드 2·카드 1·퍼즐 4·카지노 3 / D28 순위 2·1·4·3</v>
      </c>
      <c r="J27" s="95"/>
      <c r="K27" s="95"/>
      <c r="L27" s="95"/>
      <c r="M27" s="95"/>
      <c r="N27" s="95"/>
      <c r="O27" s="38" t="str">
        <f aca="false">IF(MAX(INDEX($F$5:$F$20,MATCH("Board",$A$5:$A$20,0)),INDEX($F$5:$F$20,MATCH("Card",$A$5:$A$20,0)),INDEX($F$5:$F$20,MATCH("Puzzle",$A$5:$A$20,0)),INDEX($F$5:$F$20,MATCH("Casino",$A$5:$A$20,0)),INDEX($H$5:$H$20,MATCH("Board",$A$5:$A$20,0)),INDEX($H$5:$H$20,MATCH("Card",$A$5:$A$20,0)),INDEX($H$5:$H$20,MATCH("Puzzle",$A$5:$A$20,0)),INDEX($H$5:$H$20,MATCH("Casino",$A$5:$A$20,0)))&lt;=5,"일치 (모두 5위 안)","부분 일치")</f>
        <v>일치 (모두 5위 안)</v>
      </c>
    </row>
    <row r="28" customFormat="false" ht="49.5" hidden="false" customHeight="true" outlineLevel="0" collapsed="false">
      <c r="A28" s="94" t="s">
        <v>767</v>
      </c>
      <c r="B28" s="94"/>
      <c r="C28" s="94"/>
      <c r="D28" s="94"/>
      <c r="E28" s="94"/>
      <c r="F28" s="94"/>
      <c r="G28" s="94"/>
      <c r="H28" s="94"/>
      <c r="I28" s="95" t="str">
        <f aca="false">"D1 순위 보드 "&amp;INDEX($D$5:$D$20,MATCH("Board",$A$5:$A$20,0))&amp;"·카드 "&amp;INDEX($D$5:$D$20,MATCH("Card",$A$5:$A$20,0))&amp;"·퍼즐 "&amp;INDEX($D$5:$D$20,MATCH("Puzzle",$A$5:$A$20,0))&amp;"·카지노 "&amp;INDEX($D$5:$D$20,MATCH("Casino",$A$5:$A$20,0))</f>
        <v>D1 순위 보드 7·카드 8·퍼즐 3·카지노 5</v>
      </c>
      <c r="J28" s="95"/>
      <c r="K28" s="95"/>
      <c r="L28" s="95"/>
      <c r="M28" s="95"/>
      <c r="N28" s="95"/>
      <c r="O28" s="38" t="str">
        <f aca="false">IF(MAX(INDEX($D$5:$D$20,MATCH("Board",$A$5:$A$20,0)),INDEX($D$5:$D$20,MATCH("Card",$A$5:$A$20,0)),INDEX($D$5:$D$20,MATCH("Puzzle",$A$5:$A$20,0)),INDEX($D$5:$D$20,MATCH("Casino",$A$5:$A$20,0)))&lt;=5,"일치 (모두 5위 안)","부분 일치 (D1은 중간권 포함)")</f>
        <v>부분 일치 (D1은 중간권 포함)</v>
      </c>
    </row>
    <row r="29" customFormat="false" ht="49.5" hidden="false" customHeight="true" outlineLevel="0" collapsed="false">
      <c r="A29" s="94" t="s">
        <v>768</v>
      </c>
      <c r="B29" s="94"/>
      <c r="C29" s="94"/>
      <c r="D29" s="94"/>
      <c r="E29" s="94"/>
      <c r="F29" s="94"/>
      <c r="G29" s="94"/>
      <c r="H29" s="94"/>
      <c r="I29" s="95" t="str">
        <f aca="false">"최저 장르: D1 "&amp;INDEX($A$5:$A$20,MATCH(MIN($C$5:$C$20),$C$5:$C$20,0))&amp;" / D7 "&amp;INDEX($A$5:$A$20,MATCH(MIN($E$5:$E$20),$E$5:$E$20,0))&amp;" / D28 "&amp;INDEX($A$5:$A$20,MATCH(MIN($G$5:$G$20),$G$5:$G$20,0))</f>
        <v>최저 장르: D1 Multiplayer / D7 Multiplayer / D28 Role Playing</v>
      </c>
      <c r="J29" s="95"/>
      <c r="K29" s="95"/>
      <c r="L29" s="95"/>
      <c r="M29" s="95"/>
      <c r="N29" s="95"/>
      <c r="O29" s="38" t="str">
        <f aca="false">IF(AND(INDEX($A$5:$A$20,MATCH(MIN($C$5:$C$20),$C$5:$C$20,0))="Multiplayer",INDEX($A$5:$A$20,MATCH(MIN($E$5:$E$20),$E$5:$E$20,0))="Multiplayer",INDEX($A$5:$A$20,MATCH(MIN($G$5:$G$20),$G$5:$G$20,0))="Multiplayer"),"일치","부분 일치 (D28 최저는 다른 장르)")</f>
        <v>부분 일치 (D28 최저는 다른 장르)</v>
      </c>
    </row>
    <row r="30" customFormat="false" ht="49.5" hidden="false" customHeight="true" outlineLevel="0" collapsed="false">
      <c r="A30" s="94" t="s">
        <v>769</v>
      </c>
      <c r="B30" s="94"/>
      <c r="C30" s="94"/>
      <c r="D30" s="94"/>
      <c r="E30" s="94"/>
      <c r="F30" s="94"/>
      <c r="G30" s="94"/>
      <c r="H30" s="94"/>
      <c r="I30" s="95" t="str">
        <f aca="false">"세션 길이 1위: "&amp;INDEX($A$5:$A$20,MATCH(MAX($K$5:$K$20),$K$5:$K$20,0))&amp;" ("&amp;TEXT(MAX($K$5:$K$20),"0.0")&amp;"분)"</f>
        <v>세션 길이 1위: Multiplayer (9.4분)</v>
      </c>
      <c r="J30" s="95"/>
      <c r="K30" s="95"/>
      <c r="L30" s="95"/>
      <c r="M30" s="95"/>
      <c r="N30" s="95"/>
      <c r="O30" s="38" t="str">
        <f aca="false">IF(INDEX($A$5:$A$20,MATCH(MAX($K$5:$K$20),$K$5:$K$20,0))="Multiplayer","일치","다름")</f>
        <v>일치</v>
      </c>
    </row>
    <row r="31" customFormat="false" ht="49.5" hidden="false" customHeight="true" outlineLevel="0" collapsed="false">
      <c r="A31" s="94" t="s">
        <v>770</v>
      </c>
      <c r="B31" s="94"/>
      <c r="C31" s="94"/>
      <c r="D31" s="94"/>
      <c r="E31" s="94"/>
      <c r="F31" s="94"/>
      <c r="G31" s="94"/>
      <c r="H31" s="94"/>
      <c r="I31" s="95" t="str">
        <f aca="false">"플레이 시간 순위 "&amp;INDEX($J$5:$J$20,MATCH("Board",$A$5:$A$20,0))&amp;"·"&amp;INDEX($J$5:$J$20,MATCH("Card",$A$5:$A$20,0))&amp;"·"&amp;INDEX($J$5:$J$20,MATCH("Puzzle",$A$5:$A$20,0))&amp;"·"&amp;INDEX($J$5:$J$20,MATCH("Casino",$A$5:$A$20,0))&amp;" / 세션 수 순위 "&amp;INDEX($N$5:$N$20,MATCH("Board",$A$5:$A$20,0))&amp;"·"&amp;INDEX($N$5:$N$20,MATCH("Card",$A$5:$A$20,0))&amp;"·"&amp;INDEX($N$5:$N$20,MATCH("Puzzle",$A$5:$A$20,0))&amp;"·"&amp;INDEX($N$5:$N$20,MATCH("Casino",$A$5:$A$20,0))&amp;" (보드·카드·퍼즐·카지노 순)"</f>
        <v>플레이 시간 순위 2·1·4·3 / 세션 수 순위 1·2·3·6 (보드·카드·퍼즐·카지노 순)</v>
      </c>
      <c r="J31" s="95"/>
      <c r="K31" s="95"/>
      <c r="L31" s="95"/>
      <c r="M31" s="95"/>
      <c r="N31" s="95"/>
      <c r="O31" s="38" t="str">
        <f aca="false">IF(MAX(INDEX($J$5:$J$20,MATCH("Board",$A$5:$A$20,0)),INDEX($J$5:$J$20,MATCH("Card",$A$5:$A$20,0)),INDEX($J$5:$J$20,MATCH("Puzzle",$A$5:$A$20,0)),INDEX($J$5:$J$20,MATCH("Casino",$A$5:$A$20,0)),INDEX($N$5:$N$20,MATCH("Board",$A$5:$A$20,0)),INDEX($N$5:$N$20,MATCH("Card",$A$5:$A$20,0)),INDEX($N$5:$N$20,MATCH("Puzzle",$A$5:$A$20,0)),INDEX($N$5:$N$20,MATCH("Casino",$A$5:$A$20,0)))&lt;=4,"일치 (모두 4위 안)","부분 일치")</f>
        <v>부분 일치</v>
      </c>
    </row>
    <row r="32" customFormat="false" ht="49.5" hidden="false" customHeight="true" outlineLevel="0" collapsed="false">
      <c r="A32" s="94" t="s">
        <v>771</v>
      </c>
      <c r="B32" s="94"/>
      <c r="C32" s="94"/>
      <c r="D32" s="94"/>
      <c r="E32" s="94"/>
      <c r="F32" s="94"/>
      <c r="G32" s="94"/>
      <c r="H32" s="94"/>
      <c r="I32" s="95" t="str">
        <f aca="false">"16개 장르 중 하루 세션 수 최고: "&amp;INDEX($A$5:$A$20,MATCH(MAX($M$5:$M$20),$M$5:$M$20,0))&amp;" "&amp;TEXT(MAX($M$5:$M$20),"0.00")&amp;"회"</f>
        <v>16개 장르 중 하루 세션 수 최고: Board 5.09회</v>
      </c>
      <c r="J32" s="95"/>
      <c r="K32" s="95"/>
      <c r="L32" s="95"/>
      <c r="M32" s="95"/>
      <c r="N32" s="95"/>
      <c r="O32" s="38" t="str">
        <f aca="false">IF(MAX($M$5:$M$20)&gt;=6,"일치","판독값으로는 확인 안 됨 (분류 기준이 다를 가능성, 추정)")</f>
        <v>판독값으로는 확인 안 됨 (분류 기준이 다를 가능성, 추정)</v>
      </c>
    </row>
    <row r="34" customFormat="false" ht="17.15" hidden="false" customHeight="false" outlineLevel="0" collapsed="false">
      <c r="A34" s="24" t="s">
        <v>772</v>
      </c>
    </row>
    <row r="35" customFormat="false" ht="17.15" hidden="false" customHeight="false" outlineLevel="0" collapsed="false">
      <c r="A35" s="40" t="s">
        <v>773</v>
      </c>
    </row>
    <row r="36" customFormat="false" ht="17.15" hidden="false" customHeight="false" outlineLevel="0" collapsed="false">
      <c r="A36" s="24" t="s">
        <v>774</v>
      </c>
    </row>
  </sheetData>
  <mergeCells count="18">
    <mergeCell ref="A24:H24"/>
    <mergeCell ref="I24:N24"/>
    <mergeCell ref="A25:H25"/>
    <mergeCell ref="I25:N25"/>
    <mergeCell ref="A26:H26"/>
    <mergeCell ref="I26:N26"/>
    <mergeCell ref="A27:H27"/>
    <mergeCell ref="I27:N27"/>
    <mergeCell ref="A28:H28"/>
    <mergeCell ref="I28:N28"/>
    <mergeCell ref="A29:H29"/>
    <mergeCell ref="I29:N29"/>
    <mergeCell ref="A30:H30"/>
    <mergeCell ref="I30:N30"/>
    <mergeCell ref="A31:H31"/>
    <mergeCell ref="I31:N31"/>
    <mergeCell ref="A32:H32"/>
    <mergeCell ref="I32:N32"/>
  </mergeCells>
  <conditionalFormatting sqref="C5:C20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E5:E20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G5:G20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I5:I20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2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M5:M20">
    <cfRule type="colorScale" priority="7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2026-10-05T09:30:47Z</dcterms:created>
  <dc:creator>openpyxl</dc:creator>
  <dc:description/>
  <dc:language>en-US</dc:language>
  <cp:lastModifiedBy/>
  <dcterms:modified xsi:type="dcterms:W3CDTF">2026-10-05T09:30:54Z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