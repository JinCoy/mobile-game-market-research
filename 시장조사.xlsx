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목차" sheetId="1" state="visible" r:id="rId3"/>
    <sheet name="0-1 개요" sheetId="2" state="visible" r:id="rId4"/>
    <sheet name="1-1 App Store Top100" sheetId="3" state="visible" r:id="rId5"/>
    <sheet name="1-2 Google Play Top100" sheetId="4" state="visible" r:id="rId6"/>
    <sheet name="1-3 장르 분포" sheetId="5" state="visible" r:id="rId7"/>
    <sheet name="1-4 세부 장르" sheetId="6" state="visible" r:id="rId8"/>
    <sheet name="1-5 인사이트" sheetId="7" state="visible" r:id="rId9"/>
    <sheet name="1-6 심층 분석 후보" sheetId="8" state="visible" r:id="rId10"/>
    <sheet name="2-1 지역 비교 요약" sheetId="9" state="visible" r:id="rId11"/>
    <sheet name="2-2 국가별 Top20" sheetId="10" state="visible" r:id="rId12"/>
    <sheet name="2-3 국가별 장르 분포" sheetId="11" state="visible" r:id="rId13"/>
    <sheet name="2-4 공통 인기 게임" sheetId="12" state="visible" r:id="rId14"/>
    <sheet name="2-5 지역별 특징" sheetId="13" state="visible" r:id="rId15"/>
    <sheet name="2-6 대륙별 OS 분포" sheetId="14" state="visible" r:id="rId16"/>
    <sheet name="2-7 동남아 분석" sheetId="15" state="visible" r:id="rId17"/>
    <sheet name="3-1 매출 순위 원자료" sheetId="16" state="visible" r:id="rId18"/>
    <sheet name="3-2 매출 Top100" sheetId="17" state="visible" r:id="rId19"/>
    <sheet name="3-3 매출-다운로드 비교" sheetId="18" state="visible" r:id="rId20"/>
    <sheet name="4-1 벤치마크 근거" sheetId="19" state="visible" r:id="rId21"/>
    <sheet name="4-2 지역 벤치마크" sheetId="20" state="visible" r:id="rId22"/>
    <sheet name="4-3 장르 차트 판독값" sheetId="21" state="visible" r:id="rId23"/>
    <sheet name="4-4 장르 판독 요약" sheetId="22" state="visible" r:id="rId24"/>
    <sheet name="4-5 제외한 자료" sheetId="23" state="visible" r:id="rId25"/>
  </sheets>
  <definedNames>
    <definedName function="false" hidden="true" localSheetId="2" name="_xlnm._FilterDatabase" vbProcedure="false">'1-1 App Store Top100'!$A$1:$F$101</definedName>
    <definedName function="false" hidden="true" localSheetId="3" name="_xlnm._FilterDatabase" vbProcedure="false">'1-2 Google Play Top100'!$A$1:$F$101</definedName>
    <definedName function="false" hidden="true" localSheetId="5" name="_xlnm._FilterDatabase" vbProcedure="false">'1-4 세부 장르'!$A$1:$E$49</definedName>
    <definedName function="false" hidden="true" localSheetId="9" name="_xlnm._FilterDatabase" vbProcedure="false">'2-2 국가별 Top20'!$A$1:$H$101</definedName>
    <definedName function="false" hidden="true" localSheetId="12" name="_xlnm._FilterDatabase" vbProcedure="false">'2-5 지역별 특징'!$A$1:$E$27</definedName>
    <definedName function="false" hidden="true" localSheetId="17" name="_xlnm._FilterDatabase" vbProcedure="false">'3-3 매출-다운로드 비교'!$A$5:$I$177</definedName>
    <definedName function="false" hidden="true" localSheetId="18" name="_xlnm._FilterDatabase" vbProcedure="false">'4-1 벤치마크 근거'!$A$1:$G$40</definedName>
    <definedName function="false" hidden="true" localSheetId="19" name="_xlnm._FilterDatabase" vbProcedure="false">'4-2 지역 벤치마크'!$A$1:$G$25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<sst xmlns="http://schemas.openxmlformats.org/spreadsheetml/2006/main" count="4553" uniqueCount="1257">
  <si>
    <r>
      <rPr>
        <b val="true"/>
        <sz val="14"/>
        <rFont val="Noto Sans CJK SC"/>
        <family val="2"/>
      </rPr>
      <t xml:space="preserve">시장조사</t>
    </r>
    <r>
      <rPr>
        <b val="true"/>
        <sz val="14"/>
        <rFont val="Arial"/>
        <family val="0"/>
        <charset val="1"/>
      </rPr>
      <t xml:space="preserve">.xlsx — </t>
    </r>
    <r>
      <rPr>
        <b val="true"/>
        <sz val="14"/>
        <rFont val="Noto Sans CJK SC"/>
        <family val="2"/>
      </rPr>
      <t xml:space="preserve">목차</t>
    </r>
  </si>
  <si>
    <r>
      <rPr>
        <sz val="11"/>
        <color rgb="FF595959"/>
        <rFont val="Noto Sans CJK SC"/>
        <family val="2"/>
      </rPr>
      <t xml:space="preserve">이 파일</t>
    </r>
    <r>
      <rPr>
        <sz val="11"/>
        <color rgb="FF595959"/>
        <rFont val="Arial"/>
        <family val="0"/>
        <charset val="1"/>
      </rPr>
      <t xml:space="preserve">: </t>
    </r>
    <r>
      <rPr>
        <sz val="11"/>
        <color rgb="FF595959"/>
        <rFont val="Noto Sans CJK SC"/>
        <family val="2"/>
      </rPr>
      <t xml:space="preserve">시장조사</t>
    </r>
    <r>
      <rPr>
        <sz val="11"/>
        <color rgb="FF595959"/>
        <rFont val="Arial"/>
        <family val="0"/>
        <charset val="1"/>
      </rPr>
      <t xml:space="preserve">.xlsx  /  </t>
    </r>
    <r>
      <rPr>
        <sz val="11"/>
        <color rgb="FF595959"/>
        <rFont val="Noto Sans CJK SC"/>
        <family val="2"/>
      </rPr>
      <t xml:space="preserve">짝 파일</t>
    </r>
    <r>
      <rPr>
        <sz val="11"/>
        <color rgb="FF595959"/>
        <rFont val="Arial"/>
        <family val="0"/>
        <charset val="1"/>
      </rPr>
      <t xml:space="preserve">: </t>
    </r>
    <r>
      <rPr>
        <sz val="11"/>
        <color rgb="FF595959"/>
        <rFont val="Noto Sans CJK SC"/>
        <family val="2"/>
      </rPr>
      <t xml:space="preserve">게임전략</t>
    </r>
    <r>
      <rPr>
        <sz val="11"/>
        <color rgb="FF595959"/>
        <rFont val="Arial"/>
        <family val="0"/>
        <charset val="1"/>
      </rPr>
      <t xml:space="preserve">_MVP_</t>
    </r>
    <r>
      <rPr>
        <sz val="11"/>
        <color rgb="FF595959"/>
        <rFont val="Noto Sans CJK SC"/>
        <family val="2"/>
      </rPr>
      <t xml:space="preserve">마케팅</t>
    </r>
    <r>
      <rPr>
        <sz val="11"/>
        <color rgb="FF595959"/>
        <rFont val="Arial"/>
        <family val="0"/>
        <charset val="1"/>
      </rPr>
      <t xml:space="preserve">.xlsx (</t>
    </r>
    <r>
      <rPr>
        <sz val="11"/>
        <color rgb="FF595959"/>
        <rFont val="Noto Sans CJK SC"/>
        <family val="2"/>
      </rPr>
      <t xml:space="preserve">성공 비결</t>
    </r>
    <r>
      <rPr>
        <sz val="11"/>
        <color rgb="FF595959"/>
        <rFont val="Arial"/>
        <family val="0"/>
        <charset val="1"/>
      </rPr>
      <t xml:space="preserve">·MVP·</t>
    </r>
    <r>
      <rPr>
        <sz val="11"/>
        <color rgb="FF595959"/>
        <rFont val="Noto Sans CJK SC"/>
        <family val="2"/>
      </rPr>
      <t xml:space="preserve">마케팅 판단 자료</t>
    </r>
    <r>
      <rPr>
        <sz val="11"/>
        <color rgb="FF595959"/>
        <rFont val="Arial"/>
        <family val="0"/>
        <charset val="1"/>
      </rPr>
      <t xml:space="preserve">)  ·  </t>
    </r>
    <r>
      <rPr>
        <sz val="11"/>
        <color rgb="FF595959"/>
        <rFont val="Noto Sans CJK SC"/>
        <family val="2"/>
      </rPr>
      <t xml:space="preserve">시트 이름을 누르면 그 시트로 이동합니다</t>
    </r>
    <r>
      <rPr>
        <sz val="11"/>
        <color rgb="FF595959"/>
        <rFont val="Arial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회색 줄은 다음 단계에서 만들 </t>
    </r>
    <r>
      <rPr>
        <sz val="11"/>
        <color rgb="FF595959"/>
        <rFont val="Arial"/>
        <family val="0"/>
        <charset val="1"/>
      </rPr>
      <t xml:space="preserve">'</t>
    </r>
    <r>
      <rPr>
        <sz val="11"/>
        <color rgb="FF595959"/>
        <rFont val="Noto Sans CJK SC"/>
        <family val="2"/>
      </rPr>
      <t xml:space="preserve">예정</t>
    </r>
    <r>
      <rPr>
        <sz val="11"/>
        <color rgb="FF595959"/>
        <rFont val="Arial"/>
        <family val="0"/>
        <charset val="1"/>
      </rPr>
      <t xml:space="preserve">' </t>
    </r>
    <r>
      <rPr>
        <sz val="11"/>
        <color rgb="FF595959"/>
        <rFont val="Noto Sans CJK SC"/>
        <family val="2"/>
      </rPr>
      <t xml:space="preserve">시트입니다</t>
    </r>
    <r>
      <rPr>
        <sz val="11"/>
        <color rgb="FF595959"/>
        <rFont val="Arial"/>
        <family val="0"/>
        <charset val="1"/>
      </rPr>
      <t xml:space="preserve">.</t>
    </r>
  </si>
  <si>
    <t xml:space="preserve">그룹</t>
  </si>
  <si>
    <t xml:space="preserve">시트 이름</t>
  </si>
  <si>
    <t xml:space="preserve">한 줄 설명</t>
  </si>
  <si>
    <t xml:space="preserve">상태</t>
  </si>
  <si>
    <t xml:space="preserve">비고</t>
  </si>
  <si>
    <r>
      <rPr>
        <b val="true"/>
        <sz val="11"/>
        <color rgb="FFFFFFFF"/>
        <rFont val="Arial"/>
        <family val="0"/>
        <charset val="1"/>
      </rPr>
      <t xml:space="preserve">0 </t>
    </r>
    <r>
      <rPr>
        <b val="true"/>
        <sz val="11"/>
        <color rgb="FFFFFFFF"/>
        <rFont val="Noto Sans CJK SC"/>
        <family val="2"/>
      </rPr>
      <t xml:space="preserve">안내</t>
    </r>
  </si>
  <si>
    <r>
      <rPr>
        <sz val="11"/>
        <color rgb="FF000000"/>
        <rFont val="Arial"/>
        <family val="0"/>
        <charset val="1"/>
      </rPr>
      <t xml:space="preserve">0 </t>
    </r>
    <r>
      <rPr>
        <sz val="11"/>
        <color rgb="FF000000"/>
        <rFont val="Noto Sans CJK SC"/>
        <family val="2"/>
      </rPr>
      <t xml:space="preserve">목차</t>
    </r>
  </si>
  <si>
    <t xml:space="preserve">이 시트</t>
  </si>
  <si>
    <t xml:space="preserve">완료</t>
  </si>
  <si>
    <t xml:space="preserve">0-1 개요</t>
  </si>
  <si>
    <r>
      <rPr>
        <sz val="11"/>
        <color rgb="FF000000"/>
        <rFont val="Noto Sans CJK SC"/>
        <family val="2"/>
      </rPr>
      <t xml:space="preserve">분석 범위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기준일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출처 모음</t>
    </r>
  </si>
  <si>
    <r>
      <rPr>
        <b val="true"/>
        <sz val="11"/>
        <color rgb="FFFFFFFF"/>
        <rFont val="Arial"/>
        <family val="0"/>
        <charset val="1"/>
      </rPr>
      <t xml:space="preserve">1 </t>
    </r>
    <r>
      <rPr>
        <b val="true"/>
        <sz val="11"/>
        <color rgb="FFFFFFFF"/>
        <rFont val="Noto Sans CJK SC"/>
        <family val="2"/>
      </rPr>
      <t xml:space="preserve">미국 차트</t>
    </r>
  </si>
  <si>
    <t xml:space="preserve">1-1 App Store Top100</t>
  </si>
  <si>
    <r>
      <rPr>
        <sz val="11"/>
        <color rgb="FF000000"/>
        <rFont val="Noto Sans CJK SC"/>
        <family val="2"/>
      </rPr>
      <t xml:space="preserve">미국 </t>
    </r>
    <r>
      <rPr>
        <sz val="11"/>
        <color rgb="FF000000"/>
        <rFont val="Arial"/>
        <family val="0"/>
        <charset val="1"/>
      </rPr>
      <t xml:space="preserve">App Store </t>
    </r>
    <r>
      <rPr>
        <sz val="11"/>
        <color rgb="FF000000"/>
        <rFont val="Noto Sans CJK SC"/>
        <family val="2"/>
      </rPr>
      <t xml:space="preserve">무료 게임 </t>
    </r>
    <r>
      <rPr>
        <sz val="11"/>
        <color rgb="FF000000"/>
        <rFont val="Arial"/>
        <family val="0"/>
        <charset val="1"/>
      </rPr>
      <t xml:space="preserve">1~100</t>
    </r>
    <r>
      <rPr>
        <sz val="11"/>
        <color rgb="FF000000"/>
        <rFont val="Noto Sans CJK SC"/>
        <family val="2"/>
      </rPr>
      <t xml:space="preserve">위와 장르 분류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기준일 </t>
    </r>
    <r>
      <rPr>
        <sz val="11"/>
        <color rgb="FF000000"/>
        <rFont val="Arial"/>
        <family val="0"/>
        <charset val="1"/>
      </rPr>
      <t xml:space="preserve">2026-10-03)</t>
    </r>
  </si>
  <si>
    <t xml:space="preserve">1-2 Google Play Top100</t>
  </si>
  <si>
    <r>
      <rPr>
        <sz val="11"/>
        <color rgb="FF000000"/>
        <rFont val="Noto Sans CJK SC"/>
        <family val="2"/>
      </rPr>
      <t xml:space="preserve">미국 구글 플레이 무료 게임 </t>
    </r>
    <r>
      <rPr>
        <sz val="11"/>
        <color rgb="FF000000"/>
        <rFont val="Arial"/>
        <family val="0"/>
        <charset val="1"/>
      </rPr>
      <t xml:space="preserve">1~100</t>
    </r>
    <r>
      <rPr>
        <sz val="11"/>
        <color rgb="FF000000"/>
        <rFont val="Noto Sans CJK SC"/>
        <family val="2"/>
      </rPr>
      <t xml:space="preserve">위와 장르 분류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기준일 </t>
    </r>
    <r>
      <rPr>
        <sz val="11"/>
        <color rgb="FF000000"/>
        <rFont val="Arial"/>
        <family val="0"/>
        <charset val="1"/>
      </rPr>
      <t xml:space="preserve">2026-10-04)</t>
    </r>
  </si>
  <si>
    <t xml:space="preserve">1-3 장르 분포</t>
  </si>
  <si>
    <r>
      <rPr>
        <sz val="11"/>
        <color rgb="FF000000"/>
        <rFont val="Noto Sans CJK SC"/>
        <family val="2"/>
      </rPr>
      <t xml:space="preserve">두 스토어 </t>
    </r>
    <r>
      <rPr>
        <sz val="11"/>
        <color rgb="FF000000"/>
        <rFont val="Arial"/>
        <family val="0"/>
        <charset val="1"/>
      </rPr>
      <t xml:space="preserve">Top100</t>
    </r>
    <r>
      <rPr>
        <sz val="11"/>
        <color rgb="FF000000"/>
        <rFont val="Noto Sans CJK SC"/>
        <family val="2"/>
      </rPr>
      <t xml:space="preserve">의 대분류별 게임 수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비율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수식 자동 집계</t>
    </r>
    <r>
      <rPr>
        <sz val="11"/>
        <color rgb="FF000000"/>
        <rFont val="Arial"/>
        <family val="0"/>
        <charset val="1"/>
      </rPr>
      <t xml:space="preserve">)</t>
    </r>
  </si>
  <si>
    <t xml:space="preserve">1-4 세부 장르</t>
  </si>
  <si>
    <r>
      <rPr>
        <sz val="11"/>
        <color rgb="FF000000"/>
        <rFont val="Noto Sans CJK SC"/>
        <family val="2"/>
      </rPr>
      <t xml:space="preserve">대분류 안 세부 장르별 게임 수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수식 자동 집계</t>
    </r>
    <r>
      <rPr>
        <sz val="11"/>
        <color rgb="FF000000"/>
        <rFont val="Arial"/>
        <family val="0"/>
        <charset val="1"/>
      </rPr>
      <t xml:space="preserve">)</t>
    </r>
  </si>
  <si>
    <t xml:space="preserve">1-5 인사이트</t>
  </si>
  <si>
    <t xml:space="preserve">미국 차트에서 찾은 핵심 발견</t>
  </si>
  <si>
    <t xml:space="preserve">1-6 심층 분석 후보</t>
  </si>
  <si>
    <t xml:space="preserve">더 깊게 볼 게임 후보와 고른 이유</t>
  </si>
  <si>
    <r>
      <rPr>
        <b val="true"/>
        <sz val="11"/>
        <color rgb="FFFFFFFF"/>
        <rFont val="Arial"/>
        <family val="0"/>
        <charset val="1"/>
      </rPr>
      <t xml:space="preserve">2 </t>
    </r>
    <r>
      <rPr>
        <b val="true"/>
        <sz val="11"/>
        <color rgb="FFFFFFFF"/>
        <rFont val="Noto Sans CJK SC"/>
        <family val="2"/>
      </rPr>
      <t xml:space="preserve">지역</t>
    </r>
  </si>
  <si>
    <t xml:space="preserve">2-1 지역 비교 요약</t>
  </si>
  <si>
    <r>
      <rPr>
        <sz val="11"/>
        <color rgb="FF000000"/>
        <rFont val="Noto Sans CJK SC"/>
        <family val="2"/>
      </rPr>
      <t xml:space="preserve">미국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캐나다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남미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아시아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동남아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인도네시아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Noto Sans CJK SC"/>
        <family val="2"/>
      </rPr>
      <t xml:space="preserve">시장 한눈에 비교</t>
    </r>
  </si>
  <si>
    <r>
      <rPr>
        <sz val="11"/>
        <color rgb="FF000000"/>
        <rFont val="Arial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단계</t>
    </r>
    <r>
      <rPr>
        <sz val="11"/>
        <color rgb="FF000000"/>
        <rFont val="Arial"/>
        <family val="0"/>
        <charset val="1"/>
      </rPr>
      <t xml:space="preserve">-2</t>
    </r>
    <r>
      <rPr>
        <sz val="11"/>
        <color rgb="FF000000"/>
        <rFont val="Noto Sans CJK SC"/>
        <family val="2"/>
      </rPr>
      <t xml:space="preserve">에서 동남아 열</t>
    </r>
    <r>
      <rPr>
        <sz val="11"/>
        <color rgb="FF000000"/>
        <rFont val="Arial"/>
        <family val="0"/>
        <charset val="1"/>
      </rPr>
      <t xml:space="preserve">(E) </t>
    </r>
    <r>
      <rPr>
        <sz val="11"/>
        <color rgb="FF000000"/>
        <rFont val="Noto Sans CJK SC"/>
        <family val="2"/>
      </rPr>
      <t xml:space="preserve">추가함</t>
    </r>
  </si>
  <si>
    <t xml:space="preserve">2-2 국가별 Top20</t>
  </si>
  <si>
    <r>
      <rPr>
        <sz val="11"/>
        <color rgb="FF000000"/>
        <rFont val="Noto Sans CJK SC"/>
        <family val="2"/>
      </rPr>
      <t xml:space="preserve">캐나다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브라질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멕시코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일본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한국 구글 플레이 무료 </t>
    </r>
    <r>
      <rPr>
        <sz val="11"/>
        <color rgb="FF000000"/>
        <rFont val="Arial"/>
        <family val="0"/>
        <charset val="1"/>
      </rPr>
      <t xml:space="preserve">Top20</t>
    </r>
  </si>
  <si>
    <t xml:space="preserve">2-3 국가별 장르 분포</t>
  </si>
  <si>
    <r>
      <rPr>
        <sz val="11"/>
        <color rgb="FF000000"/>
        <rFont val="Noto Sans CJK SC"/>
        <family val="2"/>
      </rPr>
      <t xml:space="preserve">국가별 </t>
    </r>
    <r>
      <rPr>
        <sz val="11"/>
        <color rgb="FF000000"/>
        <rFont val="Arial"/>
        <family val="0"/>
        <charset val="1"/>
      </rPr>
      <t xml:space="preserve">Top20</t>
    </r>
    <r>
      <rPr>
        <sz val="11"/>
        <color rgb="FF000000"/>
        <rFont val="Noto Sans CJK SC"/>
        <family val="2"/>
      </rPr>
      <t xml:space="preserve">의 장르 집계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수식 자동 집계</t>
    </r>
    <r>
      <rPr>
        <sz val="11"/>
        <color rgb="FF000000"/>
        <rFont val="Arial"/>
        <family val="0"/>
        <charset val="1"/>
      </rPr>
      <t xml:space="preserve">)</t>
    </r>
  </si>
  <si>
    <t xml:space="preserve">2-4 공통 인기 게임</t>
  </si>
  <si>
    <t xml:space="preserve">여러 나라에서 함께 순위권에 오른 게임</t>
  </si>
  <si>
    <t xml:space="preserve">2-5 지역별 특징</t>
  </si>
  <si>
    <r>
      <rPr>
        <sz val="11"/>
        <color rgb="FF000000"/>
        <rFont val="Noto Sans CJK SC"/>
        <family val="2"/>
      </rPr>
      <t xml:space="preserve">지역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국가별 특징과 근거 게임</t>
    </r>
  </si>
  <si>
    <t xml:space="preserve">2-6 대륙별 OS 분포</t>
  </si>
  <si>
    <r>
      <rPr>
        <sz val="11"/>
        <color rgb="FF000000"/>
        <rFont val="Noto Sans CJK SC"/>
        <family val="2"/>
      </rPr>
      <t xml:space="preserve">대륙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국가별 </t>
    </r>
    <r>
      <rPr>
        <sz val="11"/>
        <color rgb="FF000000"/>
        <rFont val="Arial"/>
        <family val="0"/>
        <charset val="1"/>
      </rPr>
      <t xml:space="preserve">Android/iOS </t>
    </r>
    <r>
      <rPr>
        <sz val="11"/>
        <color rgb="FF000000"/>
        <rFont val="Noto Sans CJK SC"/>
        <family val="2"/>
      </rPr>
      <t xml:space="preserve">점유율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스토어별 게임 매출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다운로드</t>
    </r>
    <r>
      <rPr>
        <sz val="11"/>
        <color rgb="FF000000"/>
        <rFont val="Arial"/>
        <family val="0"/>
        <charset val="1"/>
      </rPr>
      <t xml:space="preserve">, OS </t>
    </r>
    <r>
      <rPr>
        <sz val="11"/>
        <color rgb="FF000000"/>
        <rFont val="Noto Sans CJK SC"/>
        <family val="2"/>
      </rPr>
      <t xml:space="preserve">출시 우선순위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분석자 제안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</si>
  <si>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국가 </t>
    </r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곳 포함 </t>
    </r>
    <r>
      <rPr>
        <sz val="11"/>
        <color rgb="FF000000"/>
        <rFont val="Arial"/>
        <family val="0"/>
        <charset val="1"/>
      </rPr>
      <t xml:space="preserve">(StatCounter 2026-09)</t>
    </r>
  </si>
  <si>
    <t xml:space="preserve">2-7 동남아 분석</t>
  </si>
  <si>
    <r>
      <rPr>
        <sz val="11"/>
        <color rgb="FF000000"/>
        <rFont val="Noto Sans CJK SC"/>
        <family val="2"/>
      </rPr>
      <t xml:space="preserve">인도네시아 </t>
    </r>
    <r>
      <rPr>
        <sz val="11"/>
        <color rgb="FF000000"/>
        <rFont val="Arial"/>
        <family val="0"/>
        <charset val="1"/>
      </rPr>
      <t xml:space="preserve">Top20·</t>
    </r>
    <r>
      <rPr>
        <sz val="11"/>
        <color rgb="FF000000"/>
        <rFont val="Noto Sans CJK SC"/>
        <family val="2"/>
      </rPr>
      <t xml:space="preserve">장르 집계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공통 게임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특징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동남아 벤치마크</t>
    </r>
    <r>
      <rPr>
        <sz val="11"/>
        <color rgb="FF000000"/>
        <rFont val="Arial"/>
        <family val="0"/>
        <charset val="1"/>
      </rPr>
      <t xml:space="preserve">(2025 </t>
    </r>
    <r>
      <rPr>
        <sz val="11"/>
        <color rgb="FF000000"/>
        <rFont val="Noto Sans CJK SC"/>
        <family val="2"/>
      </rPr>
      <t xml:space="preserve">보고서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</si>
  <si>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태국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베트남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필리핀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말레이시아 순위는 확인 불가</t>
    </r>
  </si>
  <si>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Noto Sans CJK SC"/>
        <family val="2"/>
      </rPr>
      <t xml:space="preserve">매출</t>
    </r>
  </si>
  <si>
    <t xml:space="preserve">3-1 매출 순위 원자료</t>
  </si>
  <si>
    <r>
      <rPr>
        <sz val="11"/>
        <color rgb="FF000000"/>
        <rFont val="Noto Sans CJK SC"/>
        <family val="2"/>
      </rPr>
      <t xml:space="preserve">미국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브라질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일본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한국 구글 플레이 매출 </t>
    </r>
    <r>
      <rPr>
        <sz val="11"/>
        <color rgb="FF000000"/>
        <rFont val="Arial"/>
        <family val="0"/>
        <charset val="1"/>
      </rPr>
      <t xml:space="preserve">Top10 </t>
    </r>
    <r>
      <rPr>
        <sz val="11"/>
        <color rgb="FF000000"/>
        <rFont val="Noto Sans CJK SC"/>
        <family val="2"/>
      </rPr>
      <t xml:space="preserve">원자료</t>
    </r>
  </si>
  <si>
    <t xml:space="preserve">3-2 매출 Top100</t>
  </si>
  <si>
    <r>
      <rPr>
        <sz val="11"/>
        <color rgb="FF000000"/>
        <rFont val="Noto Sans CJK SC"/>
        <family val="2"/>
      </rPr>
      <t xml:space="preserve">미국 구글 플레이 매출 </t>
    </r>
    <r>
      <rPr>
        <sz val="11"/>
        <color rgb="FF000000"/>
        <rFont val="Arial"/>
        <family val="0"/>
        <charset val="1"/>
      </rPr>
      <t xml:space="preserve">Top100 </t>
    </r>
    <r>
      <rPr>
        <sz val="11"/>
        <color rgb="FF000000"/>
        <rFont val="Noto Sans CJK SC"/>
        <family val="2"/>
      </rPr>
      <t xml:space="preserve">장르 분류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기준일 </t>
    </r>
    <r>
      <rPr>
        <sz val="11"/>
        <color rgb="FF000000"/>
        <rFont val="Arial"/>
        <family val="0"/>
        <charset val="1"/>
      </rPr>
      <t xml:space="preserve">2026-10-04) + </t>
    </r>
    <r>
      <rPr>
        <sz val="11"/>
        <color rgb="FF000000"/>
        <rFont val="Noto Sans CJK SC"/>
        <family val="2"/>
      </rPr>
      <t xml:space="preserve">무료 </t>
    </r>
    <r>
      <rPr>
        <sz val="11"/>
        <color rgb="FF000000"/>
        <rFont val="Arial"/>
        <family val="0"/>
        <charset val="1"/>
      </rPr>
      <t xml:space="preserve">Top100</t>
    </r>
    <r>
      <rPr>
        <sz val="11"/>
        <color rgb="FF000000"/>
        <rFont val="Noto Sans CJK SC"/>
        <family val="2"/>
      </rPr>
      <t xml:space="preserve">과 장르 비교</t>
    </r>
  </si>
  <si>
    <t xml:space="preserve">3-3 매출-다운로드 비교</t>
  </si>
  <si>
    <r>
      <rPr>
        <sz val="11"/>
        <color rgb="FF000000"/>
        <rFont val="Noto Sans CJK SC"/>
        <family val="2"/>
      </rPr>
      <t xml:space="preserve">매출 순위 </t>
    </r>
    <r>
      <rPr>
        <sz val="11"/>
        <color rgb="FF000000"/>
        <rFont val="Arial"/>
        <family val="0"/>
        <charset val="1"/>
      </rPr>
      <t xml:space="preserve">vs </t>
    </r>
    <r>
      <rPr>
        <sz val="11"/>
        <color rgb="FF000000"/>
        <rFont val="Noto Sans CJK SC"/>
        <family val="2"/>
      </rPr>
      <t xml:space="preserve">무료 순위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추정 설치 수 구간</t>
    </r>
    <r>
      <rPr>
        <sz val="11"/>
        <color rgb="FF000000"/>
        <rFont val="Arial"/>
        <family val="0"/>
        <charset val="1"/>
      </rPr>
      <t xml:space="preserve">, 4</t>
    </r>
    <r>
      <rPr>
        <sz val="11"/>
        <color rgb="FF000000"/>
        <rFont val="Noto Sans CJK SC"/>
        <family val="2"/>
      </rPr>
      <t xml:space="preserve">가지 유형 자동 분류</t>
    </r>
  </si>
  <si>
    <r>
      <rPr>
        <b val="true"/>
        <sz val="11"/>
        <color rgb="FFFFFFFF"/>
        <rFont val="Arial"/>
        <family val="0"/>
        <charset val="1"/>
      </rPr>
      <t xml:space="preserve">4 </t>
    </r>
    <r>
      <rPr>
        <b val="true"/>
        <sz val="11"/>
        <color rgb="FFFFFFFF"/>
        <rFont val="Noto Sans CJK SC"/>
        <family val="2"/>
      </rPr>
      <t xml:space="preserve">벤치마크</t>
    </r>
  </si>
  <si>
    <t xml:space="preserve">4-1 벤치마크 근거</t>
  </si>
  <si>
    <r>
      <rPr>
        <sz val="11"/>
        <color rgb="FF000000"/>
        <rFont val="Noto Sans CJK SC"/>
        <family val="2"/>
      </rPr>
      <t xml:space="preserve">리텐션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수익 등 공개 벤치마크 수치와 출처</t>
    </r>
  </si>
  <si>
    <t xml:space="preserve">4-2 지역 벤치마크</t>
  </si>
  <si>
    <r>
      <rPr>
        <sz val="11"/>
        <color rgb="FF000000"/>
        <rFont val="Noto Sans CJK SC"/>
        <family val="2"/>
      </rPr>
      <t xml:space="preserve">지역별 지표 중앙값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상위 구간 표</t>
    </r>
  </si>
  <si>
    <r>
      <rPr>
        <sz val="11"/>
        <color rgb="FF000000"/>
        <rFont val="Noto Sans CJK SC"/>
        <family val="2"/>
      </rPr>
      <t xml:space="preserve">게임전략 파일 </t>
    </r>
    <r>
      <rPr>
        <sz val="11"/>
        <color rgb="FF000000"/>
        <rFont val="Arial"/>
        <family val="0"/>
        <charset val="1"/>
      </rPr>
      <t xml:space="preserve">4-1</t>
    </r>
    <r>
      <rPr>
        <sz val="11"/>
        <color rgb="FF000000"/>
        <rFont val="Noto Sans CJK SC"/>
        <family val="2"/>
      </rPr>
      <t xml:space="preserve">에 참조용 복사본 있음</t>
    </r>
  </si>
  <si>
    <t xml:space="preserve">4-3 장르 차트 판독값</t>
  </si>
  <si>
    <r>
      <rPr>
        <sz val="11"/>
        <color rgb="FF000000"/>
        <rFont val="Arial"/>
        <family val="0"/>
        <charset val="1"/>
      </rPr>
      <t xml:space="preserve">GameAnalytics 2025 </t>
    </r>
    <r>
      <rPr>
        <sz val="11"/>
        <color rgb="FF000000"/>
        <rFont val="Noto Sans CJK SC"/>
        <family val="2"/>
      </rPr>
      <t xml:space="preserve">장르별 차트를 눈으로 읽은 값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판독값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</si>
  <si>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게임전략 파일 </t>
    </r>
    <r>
      <rPr>
        <sz val="11"/>
        <color rgb="FF000000"/>
        <rFont val="Arial"/>
        <family val="0"/>
        <charset val="1"/>
      </rPr>
      <t xml:space="preserve">4-2</t>
    </r>
    <r>
      <rPr>
        <sz val="11"/>
        <color rgb="FF000000"/>
        <rFont val="Noto Sans CJK SC"/>
        <family val="2"/>
      </rPr>
      <t xml:space="preserve">에 참조용 복사본 있음</t>
    </r>
  </si>
  <si>
    <t xml:space="preserve">4-4 장르 판독 요약</t>
  </si>
  <si>
    <r>
      <rPr>
        <sz val="11"/>
        <color rgb="FF000000"/>
        <rFont val="Noto Sans CJK SC"/>
        <family val="2"/>
      </rPr>
      <t xml:space="preserve">판독값의 </t>
    </r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개월 평균과 장르 순위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수식 자동 계산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</si>
  <si>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게임전략 파일 </t>
    </r>
    <r>
      <rPr>
        <sz val="11"/>
        <color rgb="FF000000"/>
        <rFont val="Arial"/>
        <family val="0"/>
        <charset val="1"/>
      </rPr>
      <t xml:space="preserve">4-3</t>
    </r>
    <r>
      <rPr>
        <sz val="11"/>
        <color rgb="FF000000"/>
        <rFont val="Noto Sans CJK SC"/>
        <family val="2"/>
      </rPr>
      <t xml:space="preserve">에 참조용 복사본 있음</t>
    </r>
  </si>
  <si>
    <t xml:space="preserve">4-5 제외한 자료</t>
  </si>
  <si>
    <t xml:space="preserve">출처가 약해 쓰지 않은 자료와 이유</t>
  </si>
  <si>
    <r>
      <rPr>
        <b val="true"/>
        <sz val="14"/>
        <rFont val="Noto Sans CJK SC"/>
        <family val="2"/>
      </rPr>
      <t xml:space="preserve">모바일 게임 시장 분석 — 장르 분류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지역 비교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성공 비결 </t>
    </r>
    <r>
      <rPr>
        <b val="true"/>
        <sz val="14"/>
        <rFont val="Arial"/>
        <family val="0"/>
        <charset val="1"/>
      </rPr>
      <t xml:space="preserve">&amp; MVP · </t>
    </r>
    <r>
      <rPr>
        <b val="true"/>
        <sz val="14"/>
        <rFont val="Noto Sans CJK SC"/>
        <family val="2"/>
      </rPr>
      <t xml:space="preserve">벤치마크</t>
    </r>
  </si>
  <si>
    <t xml:space="preserve">항목</t>
  </si>
  <si>
    <t xml:space="preserve">내용</t>
  </si>
  <si>
    <t xml:space="preserve">분석 범위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</si>
  <si>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App Store / Google Play </t>
    </r>
    <r>
      <rPr>
        <sz val="11"/>
        <rFont val="Noto Sans CJK SC"/>
        <family val="2"/>
      </rPr>
      <t xml:space="preserve">게임 카테고리 </t>
    </r>
    <r>
      <rPr>
        <sz val="11"/>
        <rFont val="Arial"/>
        <family val="0"/>
        <charset val="1"/>
      </rPr>
      <t xml:space="preserve">Top Free 1~100</t>
    </r>
    <r>
      <rPr>
        <sz val="11"/>
        <rFont val="Noto Sans CJK SC"/>
        <family val="2"/>
      </rPr>
      <t xml:space="preserve">위</t>
    </r>
  </si>
  <si>
    <r>
      <rPr>
        <b val="true"/>
        <sz val="11"/>
        <rFont val="Arial"/>
        <family val="0"/>
        <charset val="1"/>
      </rPr>
      <t xml:space="preserve">App Store </t>
    </r>
    <r>
      <rPr>
        <b val="true"/>
        <sz val="11"/>
        <rFont val="Noto Sans CJK SC"/>
        <family val="2"/>
      </rPr>
      <t xml:space="preserve">기준일</t>
    </r>
  </si>
  <si>
    <t xml:space="preserve">2026-10-03</t>
  </si>
  <si>
    <r>
      <rPr>
        <b val="true"/>
        <sz val="11"/>
        <rFont val="Arial"/>
        <family val="0"/>
        <charset val="1"/>
      </rPr>
      <t xml:space="preserve">App Store </t>
    </r>
    <r>
      <rPr>
        <b val="true"/>
        <sz val="11"/>
        <rFont val="Noto Sans CJK SC"/>
        <family val="2"/>
      </rPr>
      <t xml:space="preserve">출처</t>
    </r>
  </si>
  <si>
    <r>
      <rPr>
        <sz val="11"/>
        <rFont val="Arial"/>
        <family val="0"/>
        <charset val="1"/>
      </rPr>
      <t xml:space="preserve">GameDropDaily (Apple </t>
    </r>
    <r>
      <rPr>
        <sz val="11"/>
        <rFont val="Noto Sans CJK SC"/>
        <family val="2"/>
      </rPr>
      <t xml:space="preserve">공개 </t>
    </r>
    <r>
      <rPr>
        <sz val="11"/>
        <rFont val="Arial"/>
        <family val="0"/>
        <charset val="1"/>
      </rPr>
      <t xml:space="preserve">iTunes RSS </t>
    </r>
    <r>
      <rPr>
        <sz val="11"/>
        <rFont val="Noto Sans CJK SC"/>
        <family val="2"/>
      </rPr>
      <t xml:space="preserve">차트 기반</t>
    </r>
    <r>
      <rPr>
        <sz val="11"/>
        <rFont val="Arial"/>
        <family val="0"/>
        <charset val="1"/>
      </rPr>
      <t xml:space="preserve">) https://gamedropdaily.com/mobile/ · </t>
    </r>
    <r>
      <rPr>
        <sz val="11"/>
        <rFont val="Noto Sans CJK SC"/>
        <family val="2"/>
      </rPr>
      <t xml:space="preserve">퍼블리셔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국가 교차 확인</t>
    </r>
    <r>
      <rPr>
        <sz val="11"/>
        <rFont val="Arial"/>
        <family val="0"/>
        <charset val="1"/>
      </rPr>
      <t xml:space="preserve">: AppBrain https://www.appbrain.com/stats/appstore-rankings</t>
    </r>
  </si>
  <si>
    <r>
      <rPr>
        <b val="true"/>
        <sz val="11"/>
        <rFont val="Arial"/>
        <family val="0"/>
        <charset val="1"/>
      </rPr>
      <t xml:space="preserve">Google Play </t>
    </r>
    <r>
      <rPr>
        <b val="true"/>
        <sz val="11"/>
        <rFont val="Noto Sans CJK SC"/>
        <family val="2"/>
      </rPr>
      <t xml:space="preserve">기준일</t>
    </r>
  </si>
  <si>
    <t xml:space="preserve">2026-10-04</t>
  </si>
  <si>
    <r>
      <rPr>
        <b val="true"/>
        <sz val="11"/>
        <rFont val="Arial"/>
        <family val="0"/>
        <charset val="1"/>
      </rPr>
      <t xml:space="preserve">Google Play </t>
    </r>
    <r>
      <rPr>
        <b val="true"/>
        <sz val="11"/>
        <rFont val="Noto Sans CJK SC"/>
        <family val="2"/>
      </rPr>
      <t xml:space="preserve">출처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</si>
  <si>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Top Free Games https://www.appbrain.com/stats/google-play-rankings/top_free/game/us · </t>
    </r>
    <r>
      <rPr>
        <sz val="11"/>
        <rFont val="Noto Sans CJK SC"/>
        <family val="2"/>
      </rPr>
      <t xml:space="preserve">교차 확인</t>
    </r>
    <r>
      <rPr>
        <sz val="11"/>
        <rFont val="Arial"/>
        <family val="0"/>
        <charset val="1"/>
      </rPr>
      <t xml:space="preserve">: GameDropDaily https://gamedropdaily.com/android/</t>
    </r>
  </si>
  <si>
    <t xml:space="preserve">참고</t>
  </si>
  <si>
    <r>
      <rPr>
        <sz val="11"/>
        <rFont val="Noto Sans CJK SC"/>
        <family val="2"/>
      </rPr>
      <t xml:space="preserve">수집 시점 차이로 출처 간 순위가 </t>
    </r>
    <r>
      <rPr>
        <sz val="11"/>
        <rFont val="Arial"/>
        <family val="0"/>
        <charset val="1"/>
      </rPr>
      <t xml:space="preserve">1~5</t>
    </r>
    <r>
      <rPr>
        <sz val="11"/>
        <rFont val="Noto Sans CJK SC"/>
        <family val="2"/>
      </rPr>
      <t xml:space="preserve">계단 다를 수 있음</t>
    </r>
    <r>
      <rPr>
        <sz val="11"/>
        <rFont val="Arial"/>
        <family val="0"/>
        <charset val="1"/>
      </rPr>
      <t xml:space="preserve">. Google Play 80</t>
    </r>
    <r>
      <rPr>
        <sz val="11"/>
        <rFont val="Noto Sans CJK SC"/>
        <family val="2"/>
      </rPr>
      <t xml:space="preserve">위는 출처 페이지에서 누락되어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확인 불가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표시</t>
    </r>
    <r>
      <rPr>
        <sz val="11"/>
        <rFont val="Arial"/>
        <family val="0"/>
        <charset val="1"/>
      </rPr>
      <t xml:space="preserve">.</t>
    </r>
  </si>
  <si>
    <t xml:space="preserve">장르 분류</t>
  </si>
  <si>
    <r>
      <rPr>
        <sz val="11"/>
        <rFont val="Noto Sans CJK SC"/>
        <family val="2"/>
      </rPr>
      <t xml:space="preserve">게임명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스토어 카테고리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공개 게임 정보 기반의 분석자 판단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확신이 낮은 항목은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비고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로 표시하고 노란색으로 강조</t>
    </r>
    <r>
      <rPr>
        <sz val="11"/>
        <rFont val="Arial"/>
        <family val="0"/>
        <charset val="1"/>
      </rPr>
      <t xml:space="preserve">.</t>
    </r>
  </si>
  <si>
    <t xml:space="preserve">수정 방법</t>
  </si>
  <si>
    <r>
      <rPr>
        <sz val="11"/>
        <rFont val="Arial"/>
        <family val="0"/>
        <charset val="1"/>
      </rPr>
      <t xml:space="preserve">'1-1 App Store Top100' / '1-2 Google Play Top100' </t>
    </r>
    <r>
      <rPr>
        <sz val="11"/>
        <rFont val="Noto Sans CJK SC"/>
        <family val="2"/>
      </rPr>
      <t xml:space="preserve">시트의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대분류</t>
    </r>
    <r>
      <rPr>
        <sz val="11"/>
        <rFont val="Arial"/>
        <family val="0"/>
        <charset val="1"/>
      </rPr>
      <t xml:space="preserve">', '</t>
    </r>
    <r>
      <rPr>
        <sz val="11"/>
        <rFont val="Noto Sans CJK SC"/>
        <family val="2"/>
      </rPr>
      <t xml:space="preserve">세부 장르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열을 수정하면 </t>
    </r>
    <r>
      <rPr>
        <sz val="11"/>
        <rFont val="Arial"/>
        <family val="0"/>
        <charset val="1"/>
      </rPr>
      <t xml:space="preserve">'1-3 </t>
    </r>
    <r>
      <rPr>
        <sz val="11"/>
        <rFont val="Noto Sans CJK SC"/>
        <family val="2"/>
      </rPr>
      <t xml:space="preserve">장르 분포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 집계가 자동으로 갱신됨</t>
    </r>
    <r>
      <rPr>
        <sz val="11"/>
        <rFont val="Arial"/>
        <family val="0"/>
        <charset val="1"/>
      </rPr>
      <t xml:space="preserve">(COUNTIF </t>
    </r>
    <r>
      <rPr>
        <sz val="11"/>
        <rFont val="Noto Sans CJK SC"/>
        <family val="2"/>
      </rPr>
      <t xml:space="preserve">수식</t>
    </r>
    <r>
      <rPr>
        <sz val="11"/>
        <rFont val="Arial"/>
        <family val="0"/>
        <charset val="1"/>
      </rPr>
      <t xml:space="preserve">).</t>
    </r>
  </si>
  <si>
    <t xml:space="preserve">시트 구성</t>
  </si>
  <si>
    <r>
      <rPr>
        <sz val="11"/>
        <rFont val="Arial"/>
        <family val="0"/>
        <charset val="1"/>
      </rPr>
      <t xml:space="preserve">[0 </t>
    </r>
    <r>
      <rPr>
        <sz val="11"/>
        <rFont val="Noto Sans CJK SC"/>
        <family val="2"/>
      </rPr>
      <t xml:space="preserve">안내</t>
    </r>
    <r>
      <rPr>
        <sz val="11"/>
        <rFont val="Arial"/>
        <family val="0"/>
        <charset val="1"/>
      </rPr>
      <t xml:space="preserve">] 0-1 </t>
    </r>
    <r>
      <rPr>
        <sz val="11"/>
        <rFont val="Noto Sans CJK SC"/>
        <family val="2"/>
      </rPr>
      <t xml:space="preserve">개요 </t>
    </r>
    <r>
      <rPr>
        <sz val="11"/>
        <rFont val="Arial"/>
        <family val="0"/>
        <charset val="1"/>
      </rPr>
      <t xml:space="preserve">/ [1 </t>
    </r>
    <r>
      <rPr>
        <sz val="11"/>
        <rFont val="Noto Sans CJK SC"/>
        <family val="2"/>
      </rPr>
      <t xml:space="preserve">미국 차트</t>
    </r>
    <r>
      <rPr>
        <sz val="11"/>
        <rFont val="Arial"/>
        <family val="0"/>
        <charset val="1"/>
      </rPr>
      <t xml:space="preserve">] 1-1 App Store Top100 · 1-2 Google Play Top100 · 1-3 </t>
    </r>
    <r>
      <rPr>
        <sz val="11"/>
        <rFont val="Noto Sans CJK SC"/>
        <family val="2"/>
      </rPr>
      <t xml:space="preserve">장르 분포 </t>
    </r>
    <r>
      <rPr>
        <sz val="11"/>
        <rFont val="Arial"/>
        <family val="0"/>
        <charset val="1"/>
      </rPr>
      <t xml:space="preserve">· 1-4 </t>
    </r>
    <r>
      <rPr>
        <sz val="11"/>
        <rFont val="Noto Sans CJK SC"/>
        <family val="2"/>
      </rPr>
      <t xml:space="preserve">세부 장르 </t>
    </r>
    <r>
      <rPr>
        <sz val="11"/>
        <rFont val="Arial"/>
        <family val="0"/>
        <charset val="1"/>
      </rPr>
      <t xml:space="preserve">· 1-5 </t>
    </r>
    <r>
      <rPr>
        <sz val="11"/>
        <rFont val="Noto Sans CJK SC"/>
        <family val="2"/>
      </rPr>
      <t xml:space="preserve">인사이트 </t>
    </r>
    <r>
      <rPr>
        <sz val="11"/>
        <rFont val="Arial"/>
        <family val="0"/>
        <charset val="1"/>
      </rPr>
      <t xml:space="preserve">· 1-6 </t>
    </r>
    <r>
      <rPr>
        <sz val="11"/>
        <rFont val="Noto Sans CJK SC"/>
        <family val="2"/>
      </rPr>
      <t xml:space="preserve">심층 분석 후보 </t>
    </r>
    <r>
      <rPr>
        <sz val="11"/>
        <rFont val="Arial"/>
        <family val="0"/>
        <charset val="1"/>
      </rPr>
      <t xml:space="preserve">/ [2 </t>
    </r>
    <r>
      <rPr>
        <sz val="11"/>
        <rFont val="Noto Sans CJK SC"/>
        <family val="2"/>
      </rPr>
      <t xml:space="preserve">지역</t>
    </r>
    <r>
      <rPr>
        <sz val="11"/>
        <rFont val="Arial"/>
        <family val="0"/>
        <charset val="1"/>
      </rPr>
      <t xml:space="preserve">] 2-1 </t>
    </r>
    <r>
      <rPr>
        <sz val="11"/>
        <rFont val="Noto Sans CJK SC"/>
        <family val="2"/>
      </rPr>
      <t xml:space="preserve">지역 비교 요약 </t>
    </r>
    <r>
      <rPr>
        <sz val="11"/>
        <rFont val="Arial"/>
        <family val="0"/>
        <charset val="1"/>
      </rPr>
      <t xml:space="preserve">· 2-2 </t>
    </r>
    <r>
      <rPr>
        <sz val="11"/>
        <rFont val="Noto Sans CJK SC"/>
        <family val="2"/>
      </rPr>
      <t xml:space="preserve">국가별 </t>
    </r>
    <r>
      <rPr>
        <sz val="11"/>
        <rFont val="Arial"/>
        <family val="0"/>
        <charset val="1"/>
      </rPr>
      <t xml:space="preserve">Top20 · 2-3 </t>
    </r>
    <r>
      <rPr>
        <sz val="11"/>
        <rFont val="Noto Sans CJK SC"/>
        <family val="2"/>
      </rPr>
      <t xml:space="preserve">국가별 장르 분포 </t>
    </r>
    <r>
      <rPr>
        <sz val="11"/>
        <rFont val="Arial"/>
        <family val="0"/>
        <charset val="1"/>
      </rPr>
      <t xml:space="preserve">· 2-4 </t>
    </r>
    <r>
      <rPr>
        <sz val="11"/>
        <rFont val="Noto Sans CJK SC"/>
        <family val="2"/>
      </rPr>
      <t xml:space="preserve">공통 인기 게임 </t>
    </r>
    <r>
      <rPr>
        <sz val="11"/>
        <rFont val="Arial"/>
        <family val="0"/>
        <charset val="1"/>
      </rPr>
      <t xml:space="preserve">· 2-5 </t>
    </r>
    <r>
      <rPr>
        <sz val="11"/>
        <rFont val="Noto Sans CJK SC"/>
        <family val="2"/>
      </rPr>
      <t xml:space="preserve">지역별 특징 </t>
    </r>
    <r>
      <rPr>
        <sz val="11"/>
        <rFont val="Arial"/>
        <family val="0"/>
        <charset val="1"/>
      </rPr>
      <t xml:space="preserve">· 2-6 </t>
    </r>
    <r>
      <rPr>
        <sz val="11"/>
        <rFont val="Noto Sans CJK SC"/>
        <family val="2"/>
      </rPr>
      <t xml:space="preserve">대륙별 </t>
    </r>
    <r>
      <rPr>
        <sz val="11"/>
        <rFont val="Arial"/>
        <family val="0"/>
        <charset val="1"/>
      </rPr>
      <t xml:space="preserve">OS </t>
    </r>
    <r>
      <rPr>
        <sz val="11"/>
        <rFont val="Noto Sans CJK SC"/>
        <family val="2"/>
      </rPr>
      <t xml:space="preserve">분포 </t>
    </r>
    <r>
      <rPr>
        <sz val="11"/>
        <rFont val="Arial"/>
        <family val="0"/>
        <charset val="1"/>
      </rPr>
      <t xml:space="preserve">· 2-7 </t>
    </r>
    <r>
      <rPr>
        <sz val="11"/>
        <rFont val="Noto Sans CJK SC"/>
        <family val="2"/>
      </rPr>
      <t xml:space="preserve">동남아 분석 </t>
    </r>
    <r>
      <rPr>
        <sz val="11"/>
        <rFont val="Arial"/>
        <family val="0"/>
        <charset val="1"/>
      </rPr>
      <t xml:space="preserve">/ [3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] 3-1 </t>
    </r>
    <r>
      <rPr>
        <sz val="11"/>
        <rFont val="Noto Sans CJK SC"/>
        <family val="2"/>
      </rPr>
      <t xml:space="preserve">매출 순위 원자료 </t>
    </r>
    <r>
      <rPr>
        <sz val="11"/>
        <rFont val="Arial"/>
        <family val="0"/>
        <charset val="1"/>
      </rPr>
      <t xml:space="preserve">· 3-2 </t>
    </r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Top100 · 3-3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다운로드 비교 </t>
    </r>
    <r>
      <rPr>
        <sz val="11"/>
        <rFont val="Arial"/>
        <family val="0"/>
        <charset val="1"/>
      </rPr>
      <t xml:space="preserve">/ [4 </t>
    </r>
    <r>
      <rPr>
        <sz val="11"/>
        <rFont val="Noto Sans CJK SC"/>
        <family val="2"/>
      </rPr>
      <t xml:space="preserve">벤치마크</t>
    </r>
    <r>
      <rPr>
        <sz val="11"/>
        <rFont val="Arial"/>
        <family val="0"/>
        <charset val="1"/>
      </rPr>
      <t xml:space="preserve">] 4-1 </t>
    </r>
    <r>
      <rPr>
        <sz val="11"/>
        <rFont val="Noto Sans CJK SC"/>
        <family val="2"/>
      </rPr>
      <t xml:space="preserve">벤치마크 근거 </t>
    </r>
    <r>
      <rPr>
        <sz val="11"/>
        <rFont val="Arial"/>
        <family val="0"/>
        <charset val="1"/>
      </rPr>
      <t xml:space="preserve">· 4-2 </t>
    </r>
    <r>
      <rPr>
        <sz val="11"/>
        <rFont val="Noto Sans CJK SC"/>
        <family val="2"/>
      </rPr>
      <t xml:space="preserve">지역 벤치마크 </t>
    </r>
    <r>
      <rPr>
        <sz val="11"/>
        <rFont val="Arial"/>
        <family val="0"/>
        <charset val="1"/>
      </rPr>
      <t xml:space="preserve">· 4-3 </t>
    </r>
    <r>
      <rPr>
        <sz val="11"/>
        <rFont val="Noto Sans CJK SC"/>
        <family val="2"/>
      </rPr>
      <t xml:space="preserve">장르 차트 판독값 </t>
    </r>
    <r>
      <rPr>
        <sz val="11"/>
        <rFont val="Arial"/>
        <family val="0"/>
        <charset val="1"/>
      </rPr>
      <t xml:space="preserve">· 4-4 </t>
    </r>
    <r>
      <rPr>
        <sz val="11"/>
        <rFont val="Noto Sans CJK SC"/>
        <family val="2"/>
      </rPr>
      <t xml:space="preserve">장르 판독 요약 </t>
    </r>
    <r>
      <rPr>
        <sz val="11"/>
        <rFont val="Arial"/>
        <family val="0"/>
        <charset val="1"/>
      </rPr>
      <t xml:space="preserve">· 4-5 </t>
    </r>
    <r>
      <rPr>
        <sz val="11"/>
        <rFont val="Noto Sans CJK SC"/>
        <family val="2"/>
      </rPr>
      <t xml:space="preserve">제외한 자료  ※ 성공 비결</t>
    </r>
    <r>
      <rPr>
        <sz val="11"/>
        <rFont val="Arial"/>
        <family val="0"/>
        <charset val="1"/>
      </rPr>
      <t xml:space="preserve">·MVP·</t>
    </r>
    <r>
      <rPr>
        <sz val="11"/>
        <rFont val="Noto Sans CJK SC"/>
        <family val="2"/>
      </rPr>
      <t xml:space="preserve">마케팅 판단 자료은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는</t>
    </r>
    <r>
      <rPr>
        <sz val="11"/>
        <rFont val="Arial"/>
        <family val="0"/>
        <charset val="1"/>
      </rPr>
      <t xml:space="preserve">) '</t>
    </r>
    <r>
      <rPr>
        <sz val="11"/>
        <rFont val="Noto Sans CJK SC"/>
        <family val="2"/>
      </rPr>
      <t xml:space="preserve">게임전략</t>
    </r>
    <r>
      <rPr>
        <sz val="11"/>
        <rFont val="Arial"/>
        <family val="0"/>
        <charset val="1"/>
      </rPr>
      <t xml:space="preserve">_MVP_</t>
    </r>
    <r>
      <rPr>
        <sz val="11"/>
        <rFont val="Noto Sans CJK SC"/>
        <family val="2"/>
      </rPr>
      <t xml:space="preserve">마케팅</t>
    </r>
    <r>
      <rPr>
        <sz val="11"/>
        <rFont val="Arial"/>
        <family val="0"/>
        <charset val="1"/>
      </rPr>
      <t xml:space="preserve">.xlsx' </t>
    </r>
    <r>
      <rPr>
        <sz val="11"/>
        <rFont val="Noto Sans CJK SC"/>
        <family val="2"/>
      </rPr>
      <t xml:space="preserve">파일에 있음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파일 사이 수식 연결 없음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</si>
  <si>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단계 출처</t>
    </r>
  </si>
  <si>
    <r>
      <rPr>
        <sz val="11"/>
        <rFont val="Arial"/>
        <family val="0"/>
        <charset val="1"/>
      </rPr>
      <t xml:space="preserve">GameAnalytics 2026·2025 </t>
    </r>
    <r>
      <rPr>
        <sz val="11"/>
        <rFont val="Noto Sans CJK SC"/>
        <family val="2"/>
      </rPr>
      <t xml:space="preserve">벤치마크</t>
    </r>
    <r>
      <rPr>
        <sz val="11"/>
        <rFont val="Arial"/>
        <family val="0"/>
        <charset val="1"/>
      </rPr>
      <t xml:space="preserve">, AppsFlyer State of App Monetization 2026·Gaming App Marketing 2024, Appodeal Mobile Casual Benchmarks 2025. </t>
    </r>
    <r>
      <rPr>
        <sz val="11"/>
        <rFont val="Noto Sans CJK SC"/>
        <family val="2"/>
      </rPr>
      <t xml:space="preserve">출처 없는 수치는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제외한 자료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 기록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</si>
  <si>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단계 출처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</si>
  <si>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구글 플레이 매출 순위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2026-10-03, 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2026-10-04, 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2026-10-01. </t>
    </r>
    <r>
      <rPr>
        <sz val="11"/>
        <rFont val="Noto Sans CJK SC"/>
        <family val="2"/>
      </rPr>
      <t xml:space="preserve">외부 자료</t>
    </r>
    <r>
      <rPr>
        <sz val="11"/>
        <rFont val="Arial"/>
        <family val="0"/>
        <charset val="1"/>
      </rPr>
      <t xml:space="preserve">: Wikipedia(Free Fire). </t>
    </r>
    <r>
      <rPr>
        <sz val="11"/>
        <rFont val="Noto Sans CJK SC"/>
        <family val="2"/>
      </rPr>
      <t xml:space="preserve">별점</t>
    </r>
    <r>
      <rPr>
        <sz val="11"/>
        <rFont val="Arial"/>
        <family val="0"/>
        <charset val="1"/>
      </rPr>
      <t xml:space="preserve">·MVP </t>
    </r>
    <r>
      <rPr>
        <sz val="11"/>
        <rFont val="Noto Sans CJK SC"/>
        <family val="2"/>
      </rPr>
      <t xml:space="preserve">규모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게임 방식 일부는 분석자 추정</t>
    </r>
    <r>
      <rPr>
        <sz val="11"/>
        <rFont val="Arial"/>
        <family val="0"/>
        <charset val="1"/>
      </rPr>
      <t xml:space="preserve">.</t>
    </r>
  </si>
  <si>
    <t xml:space="preserve">지역 비교 출처</t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</si>
  <si>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국가별 </t>
    </r>
    <r>
      <rPr>
        <sz val="11"/>
        <rFont val="Arial"/>
        <family val="0"/>
        <charset val="1"/>
      </rPr>
      <t xml:space="preserve">Google Play Top Free Games: </t>
    </r>
    <r>
      <rPr>
        <sz val="11"/>
        <rFont val="Noto Sans CJK SC"/>
        <family val="2"/>
      </rPr>
      <t xml:space="preserve">캐나다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브라질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2026-10-04,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2026-10-03, </t>
    </r>
    <r>
      <rPr>
        <sz val="11"/>
        <rFont val="Noto Sans CJK SC"/>
        <family val="2"/>
      </rPr>
      <t xml:space="preserve">멕시코 </t>
    </r>
    <r>
      <rPr>
        <sz val="11"/>
        <rFont val="Arial"/>
        <family val="0"/>
        <charset val="1"/>
      </rPr>
      <t xml:space="preserve">2026-09-25. </t>
    </r>
    <r>
      <rPr>
        <sz val="11"/>
        <rFont val="Noto Sans CJK SC"/>
        <family val="2"/>
      </rPr>
      <t xml:space="preserve">외부 자료</t>
    </r>
    <r>
      <rPr>
        <sz val="11"/>
        <rFont val="Arial"/>
        <family val="0"/>
        <charset val="1"/>
      </rPr>
      <t xml:space="preserve">: Wikipedia(Free Fire), Sensor Tower &amp; Adjust </t>
    </r>
    <r>
      <rPr>
        <sz val="11"/>
        <rFont val="Noto Sans CJK SC"/>
        <family val="2"/>
      </rPr>
      <t xml:space="preserve">일본 시장 리포트</t>
    </r>
    <r>
      <rPr>
        <sz val="11"/>
        <rFont val="Arial"/>
        <family val="0"/>
        <charset val="1"/>
      </rPr>
      <t xml:space="preserve">(2024)</t>
    </r>
  </si>
  <si>
    <t xml:space="preserve">지역 비교 한계</t>
  </si>
  <si>
    <r>
      <rPr>
        <sz val="11"/>
        <rFont val="Noto Sans CJK SC"/>
        <family val="2"/>
      </rPr>
      <t xml:space="preserve">캐나다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남미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아시아는 구글 플레이만 조사</t>
    </r>
    <r>
      <rPr>
        <sz val="11"/>
        <rFont val="Arial"/>
        <family val="0"/>
        <charset val="1"/>
      </rPr>
      <t xml:space="preserve">(App Store </t>
    </r>
    <r>
      <rPr>
        <sz val="11"/>
        <rFont val="Noto Sans CJK SC"/>
        <family val="2"/>
      </rPr>
      <t xml:space="preserve">미포함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국가별 장르 분류는 </t>
    </r>
    <r>
      <rPr>
        <sz val="11"/>
        <rFont val="Arial"/>
        <family val="0"/>
        <charset val="1"/>
      </rPr>
      <t xml:space="preserve">Top 20 </t>
    </r>
    <r>
      <rPr>
        <sz val="11"/>
        <rFont val="Noto Sans CJK SC"/>
        <family val="2"/>
      </rPr>
      <t xml:space="preserve">기준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동남아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인도네시아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태국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는 미포함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원인 설명 일부는 추정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</si>
  <si>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단계</t>
    </r>
    <r>
      <rPr>
        <b val="true"/>
        <sz val="11"/>
        <rFont val="Arial"/>
        <family val="0"/>
        <charset val="1"/>
      </rPr>
      <t xml:space="preserve">-2 </t>
    </r>
    <r>
      <rPr>
        <b val="true"/>
        <sz val="11"/>
        <rFont val="Noto Sans CJK SC"/>
        <family val="2"/>
      </rPr>
      <t xml:space="preserve">출처 </t>
    </r>
    <r>
      <rPr>
        <b val="true"/>
        <sz val="11"/>
        <rFont val="Arial"/>
        <family val="0"/>
        <charset val="1"/>
      </rPr>
      <t xml:space="preserve">(2026-10-05 </t>
    </r>
    <r>
      <rPr>
        <b val="true"/>
        <sz val="11"/>
        <rFont val="Noto Sans CJK SC"/>
        <family val="2"/>
      </rPr>
      <t xml:space="preserve">조회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</si>
  <si>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매출 </t>
    </r>
    <r>
      <rPr>
        <sz val="11"/>
        <rFont val="Arial"/>
        <family val="0"/>
        <charset val="1"/>
      </rPr>
      <t xml:space="preserve">Top100·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다운로드 비교</t>
    </r>
    <r>
      <rPr>
        <sz val="11"/>
        <rFont val="Arial"/>
        <family val="0"/>
        <charset val="1"/>
      </rPr>
      <t xml:space="preserve">: AppBrain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Top Grossing / Top Free Games (</t>
    </r>
    <r>
      <rPr>
        <sz val="11"/>
        <rFont val="Noto Sans CJK SC"/>
        <family val="2"/>
      </rPr>
      <t xml:space="preserve">둘 다 </t>
    </r>
    <r>
      <rPr>
        <sz val="11"/>
        <rFont val="Arial"/>
        <family val="0"/>
        <charset val="1"/>
      </rPr>
      <t xml:space="preserve">2026-10-04). </t>
    </r>
    <r>
      <rPr>
        <sz val="11"/>
        <rFont val="Noto Sans CJK SC"/>
        <family val="2"/>
      </rPr>
      <t xml:space="preserve">동남아</t>
    </r>
    <r>
      <rPr>
        <sz val="11"/>
        <rFont val="Arial"/>
        <family val="0"/>
        <charset val="1"/>
      </rPr>
      <t xml:space="preserve">: AppBrain </t>
    </r>
    <r>
      <rPr>
        <sz val="11"/>
        <rFont val="Noto Sans CJK SC"/>
        <family val="2"/>
      </rPr>
      <t xml:space="preserve">인도네시아 </t>
    </r>
    <r>
      <rPr>
        <sz val="11"/>
        <rFont val="Arial"/>
        <family val="0"/>
        <charset val="1"/>
      </rPr>
      <t xml:space="preserve">Top Free Games (2026-10-05). OS: StatCounter Global Stats </t>
    </r>
    <r>
      <rPr>
        <sz val="11"/>
        <rFont val="Noto Sans CJK SC"/>
        <family val="2"/>
      </rPr>
      <t xml:space="preserve">모바일 </t>
    </r>
    <r>
      <rPr>
        <sz val="11"/>
        <rFont val="Arial"/>
        <family val="0"/>
        <charset val="1"/>
      </rPr>
      <t xml:space="preserve">OS </t>
    </r>
    <r>
      <rPr>
        <sz val="11"/>
        <rFont val="Noto Sans CJK SC"/>
        <family val="2"/>
      </rPr>
      <t xml:space="preserve">점유율 </t>
    </r>
    <r>
      <rPr>
        <sz val="11"/>
        <rFont val="Arial"/>
        <family val="0"/>
        <charset val="1"/>
      </rPr>
      <t xml:space="preserve">(2026-09, </t>
    </r>
    <r>
      <rPr>
        <sz val="11"/>
        <rFont val="Noto Sans CJK SC"/>
        <family val="2"/>
      </rPr>
      <t xml:space="preserve">오세아니아 </t>
    </r>
    <r>
      <rPr>
        <sz val="11"/>
        <rFont val="Arial"/>
        <family val="0"/>
        <charset val="1"/>
      </rPr>
      <t xml:space="preserve">2026-08). </t>
    </r>
    <r>
      <rPr>
        <sz val="11"/>
        <rFont val="Noto Sans CJK SC"/>
        <family val="2"/>
      </rPr>
      <t xml:space="preserve">게임 매출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다운로드 스토어 비율</t>
    </r>
    <r>
      <rPr>
        <sz val="11"/>
        <rFont val="Arial"/>
        <family val="0"/>
        <charset val="1"/>
      </rPr>
      <t xml:space="preserve">: Sensor Tower State of Gaming 2026 (9to5Mac </t>
    </r>
    <r>
      <rPr>
        <sz val="11"/>
        <rFont val="Noto Sans CJK SC"/>
        <family val="2"/>
      </rPr>
      <t xml:space="preserve">보도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동남아 벤치마크</t>
    </r>
    <r>
      <rPr>
        <sz val="11"/>
        <rFont val="Arial"/>
        <family val="0"/>
        <charset val="1"/>
      </rPr>
      <t xml:space="preserve">: GameAnalytics 2025 </t>
    </r>
    <r>
      <rPr>
        <sz val="11"/>
        <rFont val="Noto Sans CJK SC"/>
        <family val="2"/>
      </rPr>
      <t xml:space="preserve">보고서 </t>
    </r>
    <r>
      <rPr>
        <sz val="11"/>
        <rFont val="Arial"/>
        <family val="0"/>
        <charset val="1"/>
      </rPr>
      <t xml:space="preserve">p.13~16, 2026 </t>
    </r>
    <r>
      <rPr>
        <sz val="11"/>
        <rFont val="Noto Sans CJK SC"/>
        <family val="2"/>
      </rPr>
      <t xml:space="preserve">보고서 </t>
    </r>
    <r>
      <rPr>
        <sz val="11"/>
        <rFont val="Arial"/>
        <family val="0"/>
        <charset val="1"/>
      </rPr>
      <t xml:space="preserve">p.15~19.</t>
    </r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</si>
  <si>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단계</t>
    </r>
    <r>
      <rPr>
        <b val="true"/>
        <sz val="11"/>
        <rFont val="Arial"/>
        <family val="0"/>
        <charset val="1"/>
      </rPr>
      <t xml:space="preserve">-2 </t>
    </r>
    <r>
      <rPr>
        <b val="true"/>
        <sz val="11"/>
        <rFont val="Noto Sans CJK SC"/>
        <family val="2"/>
      </rPr>
      <t xml:space="preserve">한계</t>
    </r>
  </si>
  <si>
    <r>
      <rPr>
        <sz val="11"/>
        <rFont val="Noto Sans CJK SC"/>
        <family val="2"/>
      </rPr>
      <t xml:space="preserve">태국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베트남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필리핀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말레이시아 </t>
    </r>
    <r>
      <rPr>
        <sz val="11"/>
        <rFont val="Arial"/>
        <family val="0"/>
        <charset val="1"/>
      </rPr>
      <t xml:space="preserve">Top20</t>
    </r>
    <r>
      <rPr>
        <sz val="11"/>
        <rFont val="Noto Sans CJK SC"/>
        <family val="2"/>
      </rPr>
      <t xml:space="preserve">은 공개 순위 출처가 없어 확인 불가</t>
    </r>
    <r>
      <rPr>
        <sz val="11"/>
        <rFont val="Arial"/>
        <family val="0"/>
        <charset val="1"/>
      </rPr>
      <t xml:space="preserve">. OS </t>
    </r>
    <r>
      <rPr>
        <sz val="11"/>
        <rFont val="Noto Sans CJK SC"/>
        <family val="2"/>
      </rPr>
      <t xml:space="preserve">값은 대륙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나라 </t>
    </r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싱가포르 참고 포함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조사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다운로드 비교의 공식 설치 구간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출시일은 </t>
    </r>
    <r>
      <rPr>
        <sz val="11"/>
        <rFont val="Arial"/>
        <family val="0"/>
        <charset val="1"/>
      </rPr>
      <t xml:space="preserve">Kingshot</t>
    </r>
    <r>
      <rPr>
        <sz val="11"/>
        <rFont val="Noto Sans CJK SC"/>
        <family val="2"/>
      </rPr>
      <t xml:space="preserve">만 확인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지역 비교 한계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줄의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동남아 미포함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문구는 기존 칸이라 그대로 둠</t>
    </r>
    <r>
      <rPr>
        <sz val="11"/>
        <rFont val="Arial"/>
        <family val="0"/>
        <charset val="1"/>
      </rPr>
      <t xml:space="preserve">.</t>
    </r>
  </si>
  <si>
    <t xml:space="preserve">순위</t>
  </si>
  <si>
    <t xml:space="preserve">게임명</t>
  </si>
  <si>
    <t xml:space="preserve">퍼블리셔</t>
  </si>
  <si>
    <t xml:space="preserve">대분류</t>
  </si>
  <si>
    <t xml:space="preserve">세부 장르</t>
  </si>
  <si>
    <t xml:space="preserve">Meowdoku!</t>
  </si>
  <si>
    <t xml:space="preserve">Oakever Games</t>
  </si>
  <si>
    <t xml:space="preserve">퍼즐</t>
  </si>
  <si>
    <r>
      <rPr>
        <sz val="11"/>
        <rFont val="Noto Sans CJK SC"/>
        <family val="2"/>
      </rPr>
      <t xml:space="preserve">로직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두뇌 트릭</t>
    </r>
  </si>
  <si>
    <t xml:space="preserve">스도쿠류</t>
  </si>
  <si>
    <t xml:space="preserve">Block Out! - Color Sort Puzzle</t>
  </si>
  <si>
    <t xml:space="preserve">Grand Games</t>
  </si>
  <si>
    <r>
      <rPr>
        <sz val="11"/>
        <rFont val="Noto Sans CJK SC"/>
        <family val="2"/>
      </rPr>
      <t xml:space="preserve">정렬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잼</t>
    </r>
  </si>
  <si>
    <t xml:space="preserve">Rotate Rings</t>
  </si>
  <si>
    <t xml:space="preserve">Nebula Studio</t>
  </si>
  <si>
    <t xml:space="preserve">Magic Sort!</t>
  </si>
  <si>
    <t xml:space="preserve">Colony Flow!</t>
  </si>
  <si>
    <t xml:space="preserve">ABI Global</t>
  </si>
  <si>
    <t xml:space="preserve">확인 필요</t>
  </si>
  <si>
    <t xml:space="preserve">Smash Fest!</t>
  </si>
  <si>
    <t xml:space="preserve">Flow Games</t>
  </si>
  <si>
    <r>
      <rPr>
        <sz val="11"/>
        <rFont val="Noto Sans CJK SC"/>
        <family val="2"/>
      </rPr>
      <t xml:space="preserve">하이퍼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하이브리드 캐주얼</t>
    </r>
  </si>
  <si>
    <t xml:space="preserve">물리 파괴</t>
  </si>
  <si>
    <t xml:space="preserve">CubeAway - 3DPuzzle</t>
  </si>
  <si>
    <t xml:space="preserve">GOODROID</t>
  </si>
  <si>
    <t xml:space="preserve">탭 탈출</t>
  </si>
  <si>
    <t xml:space="preserve">Roblox</t>
  </si>
  <si>
    <t xml:space="preserve">Roblox Corporation</t>
  </si>
  <si>
    <r>
      <rPr>
        <sz val="11"/>
        <rFont val="Noto Sans CJK SC"/>
        <family val="2"/>
      </rPr>
      <t xml:space="preserve">기타</t>
    </r>
    <r>
      <rPr>
        <sz val="11"/>
        <rFont val="Arial"/>
        <family val="0"/>
        <charset val="1"/>
      </rPr>
      <t xml:space="preserve">(UGC·</t>
    </r>
    <r>
      <rPr>
        <sz val="11"/>
        <rFont val="Noto Sans CJK SC"/>
        <family val="2"/>
      </rPr>
      <t xml:space="preserve">리워드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</si>
  <si>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UGC </t>
    </r>
    <r>
      <rPr>
        <sz val="11"/>
        <rFont val="Noto Sans CJK SC"/>
        <family val="2"/>
      </rPr>
      <t xml:space="preserve">플랫폼</t>
    </r>
  </si>
  <si>
    <t xml:space="preserve">Vita Mahjong</t>
  </si>
  <si>
    <t xml:space="preserve">Vita Studio</t>
  </si>
  <si>
    <r>
      <rPr>
        <sz val="11"/>
        <rFont val="Noto Sans CJK SC"/>
        <family val="2"/>
      </rPr>
      <t xml:space="preserve">타일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마작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트리플 매치</t>
    </r>
  </si>
  <si>
    <t xml:space="preserve">Brain Puzzle 3: Crazy Mind</t>
  </si>
  <si>
    <t xml:space="preserve">SmallStep Dev Team</t>
  </si>
  <si>
    <t xml:space="preserve">Woodoku Blast: Block Puzzle</t>
  </si>
  <si>
    <t xml:space="preserve">Tripledot Studios</t>
  </si>
  <si>
    <t xml:space="preserve">블록</t>
  </si>
  <si>
    <t xml:space="preserve">Bus Fever Party!</t>
  </si>
  <si>
    <t xml:space="preserve">Lumi Games</t>
  </si>
  <si>
    <t xml:space="preserve">버스잼</t>
  </si>
  <si>
    <t xml:space="preserve">Block Blast!</t>
  </si>
  <si>
    <t xml:space="preserve">Hungry Studio</t>
  </si>
  <si>
    <t xml:space="preserve">Bus Traffic Fever!</t>
  </si>
  <si>
    <t xml:space="preserve">Amaze GO!</t>
  </si>
  <si>
    <t xml:space="preserve">Colorever: Gem Art Puzzle</t>
  </si>
  <si>
    <r>
      <rPr>
        <sz val="11"/>
        <rFont val="Noto Sans CJK SC"/>
        <family val="2"/>
      </rPr>
      <t xml:space="preserve">픽셀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컬러 아트</t>
    </r>
  </si>
  <si>
    <t xml:space="preserve">Township</t>
  </si>
  <si>
    <t xml:space="preserve">Playrix</t>
  </si>
  <si>
    <t xml:space="preserve">시뮬레이션</t>
  </si>
  <si>
    <r>
      <rPr>
        <sz val="11"/>
        <rFont val="Noto Sans CJK SC"/>
        <family val="2"/>
      </rPr>
      <t xml:space="preserve">농장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타운 빌딩</t>
    </r>
  </si>
  <si>
    <t xml:space="preserve">Fortnite</t>
  </si>
  <si>
    <t xml:space="preserve">Epic Games</t>
  </si>
  <si>
    <r>
      <rPr>
        <sz val="11"/>
        <rFont val="Noto Sans CJK SC"/>
        <family val="2"/>
      </rPr>
      <t xml:space="preserve">액션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슈팅</t>
    </r>
  </si>
  <si>
    <t xml:space="preserve">배틀로얄</t>
  </si>
  <si>
    <t xml:space="preserve">Royal Match</t>
  </si>
  <si>
    <t xml:space="preserve">Dream Games</t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</si>
  <si>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</t>
    </r>
  </si>
  <si>
    <t xml:space="preserve">Mahjong Blast</t>
  </si>
  <si>
    <t xml:space="preserve">Royal Smash! - Physics Puzzle</t>
  </si>
  <si>
    <t xml:space="preserve">Cypher Games</t>
  </si>
  <si>
    <t xml:space="preserve">MONOPOLY GO!</t>
  </si>
  <si>
    <t xml:space="preserve">Scopely</t>
  </si>
  <si>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</t>
    </r>
  </si>
  <si>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주사위 소셜캐주얼</t>
    </r>
  </si>
  <si>
    <t xml:space="preserve">Whiteout Survival</t>
  </si>
  <si>
    <t xml:space="preserve">Century Games</t>
  </si>
  <si>
    <t xml:space="preserve">전략</t>
  </si>
  <si>
    <t xml:space="preserve">4X·SLG</t>
  </si>
  <si>
    <t xml:space="preserve">Gossip Harbor: Merge &amp; Story</t>
  </si>
  <si>
    <t xml:space="preserve">Microfun</t>
  </si>
  <si>
    <t xml:space="preserve">머지</t>
  </si>
  <si>
    <t xml:space="preserve">스토리 결합</t>
  </si>
  <si>
    <t xml:space="preserve">Solitaire Associations Journey</t>
  </si>
  <si>
    <t xml:space="preserve">Hitapps Games</t>
  </si>
  <si>
    <t xml:space="preserve">워드</t>
  </si>
  <si>
    <t xml:space="preserve">연상 퍼즐</t>
  </si>
  <si>
    <t xml:space="preserve">Magic Tiles 3: Piano Game</t>
  </si>
  <si>
    <t xml:space="preserve">Amanotes</t>
  </si>
  <si>
    <r>
      <rPr>
        <sz val="11"/>
        <rFont val="Noto Sans CJK SC"/>
        <family val="2"/>
      </rPr>
      <t xml:space="preserve">파티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음악</t>
    </r>
  </si>
  <si>
    <t xml:space="preserve">리듬</t>
  </si>
  <si>
    <t xml:space="preserve">CrownCards - Trading Cards</t>
  </si>
  <si>
    <t xml:space="preserve">CrownCards</t>
  </si>
  <si>
    <t xml:space="preserve">트레이딩 카드</t>
  </si>
  <si>
    <t xml:space="preserve">Food Hunt: Pixel Puzzle</t>
  </si>
  <si>
    <t xml:space="preserve">Funfinity</t>
  </si>
  <si>
    <t xml:space="preserve">Tasty Travels: Merge Game</t>
  </si>
  <si>
    <t xml:space="preserve">Subway Surfers</t>
  </si>
  <si>
    <t xml:space="preserve">SYBO Games</t>
  </si>
  <si>
    <t xml:space="preserve">러너</t>
  </si>
  <si>
    <t xml:space="preserve">Castle Busters</t>
  </si>
  <si>
    <t xml:space="preserve">Voodoo</t>
  </si>
  <si>
    <t xml:space="preserve">하이브리드 캐주얼</t>
  </si>
  <si>
    <t xml:space="preserve">Sled Surfers</t>
  </si>
  <si>
    <t xml:space="preserve">CrazyLabs</t>
  </si>
  <si>
    <t xml:space="preserve">Tang Luck: Casino Slots</t>
  </si>
  <si>
    <t xml:space="preserve">SpinShift</t>
  </si>
  <si>
    <t xml:space="preserve">소셜 카지노</t>
  </si>
  <si>
    <t xml:space="preserve">Triumph Arcade</t>
  </si>
  <si>
    <t xml:space="preserve">리얼머니 스킬게임</t>
  </si>
  <si>
    <t xml:space="preserve">Royal Kingdom</t>
  </si>
  <si>
    <t xml:space="preserve">Arrows – Puzzle Escape</t>
  </si>
  <si>
    <t xml:space="preserve">Lessmore</t>
  </si>
  <si>
    <t xml:space="preserve">Car Evolve</t>
  </si>
  <si>
    <t xml:space="preserve">Heseri Games</t>
  </si>
  <si>
    <t xml:space="preserve">진화 러너</t>
  </si>
  <si>
    <t xml:space="preserve">Disney Solitaire</t>
  </si>
  <si>
    <t xml:space="preserve">SuperPlay</t>
  </si>
  <si>
    <t xml:space="preserve">솔리테어</t>
  </si>
  <si>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활용</t>
    </r>
  </si>
  <si>
    <t xml:space="preserve">PlayCash Rewards</t>
  </si>
  <si>
    <t xml:space="preserve">확인 불가</t>
  </si>
  <si>
    <t xml:space="preserve">리워드 앱</t>
  </si>
  <si>
    <t xml:space="preserve">퍼블리셔 확인 필요</t>
  </si>
  <si>
    <t xml:space="preserve">Kingshot</t>
  </si>
  <si>
    <t xml:space="preserve">Warline: Sniper Strike</t>
  </si>
  <si>
    <t xml:space="preserve">Powerfantasy</t>
  </si>
  <si>
    <t xml:space="preserve">스나이퍼</t>
  </si>
  <si>
    <r>
      <rPr>
        <sz val="11"/>
        <rFont val="Noto Sans CJK SC"/>
        <family val="2"/>
      </rPr>
      <t xml:space="preserve">스토어 분류는 </t>
    </r>
    <r>
      <rPr>
        <sz val="11"/>
        <rFont val="Arial"/>
        <family val="0"/>
        <charset val="1"/>
      </rPr>
      <t xml:space="preserve">Strategy</t>
    </r>
  </si>
  <si>
    <t xml:space="preserve">Paper.io 2</t>
  </si>
  <si>
    <t xml:space="preserve">io</t>
  </si>
  <si>
    <t xml:space="preserve">Candy Crush Saga</t>
  </si>
  <si>
    <t xml:space="preserve">King</t>
  </si>
  <si>
    <t xml:space="preserve">Call of Duty: Mobile</t>
  </si>
  <si>
    <t xml:space="preserve">Activision</t>
  </si>
  <si>
    <t xml:space="preserve">FPS</t>
  </si>
  <si>
    <t xml:space="preserve">Jackpot Nights</t>
  </si>
  <si>
    <t xml:space="preserve">Lucky Link</t>
  </si>
  <si>
    <t xml:space="preserve">NoomiClone</t>
  </si>
  <si>
    <t xml:space="preserve">Matthew Jones</t>
  </si>
  <si>
    <t xml:space="preserve">기타</t>
  </si>
  <si>
    <t xml:space="preserve">Word Search Explorer</t>
  </si>
  <si>
    <t xml:space="preserve">PlaySimple</t>
  </si>
  <si>
    <t xml:space="preserve">Brain Puzzle 2: Logic Twist</t>
  </si>
  <si>
    <t xml:space="preserve">Sudoku.com - Number Games</t>
  </si>
  <si>
    <t xml:space="preserve">Easybrain</t>
  </si>
  <si>
    <t xml:space="preserve">스도쿠</t>
  </si>
  <si>
    <t xml:space="preserve">Chess.com - Play and Learn</t>
  </si>
  <si>
    <t xml:space="preserve">Chess.com</t>
  </si>
  <si>
    <t xml:space="preserve">클래식 보드</t>
  </si>
  <si>
    <t xml:space="preserve">체스</t>
  </si>
  <si>
    <t xml:space="preserve">Among Us!</t>
  </si>
  <si>
    <t xml:space="preserve">InnerSloth</t>
  </si>
  <si>
    <t xml:space="preserve">소셜 디덕션</t>
  </si>
  <si>
    <t xml:space="preserve">8 Ball Pool</t>
  </si>
  <si>
    <t xml:space="preserve">Miniclip</t>
  </si>
  <si>
    <t xml:space="preserve">스포츠</t>
  </si>
  <si>
    <r>
      <rPr>
        <sz val="11"/>
        <rFont val="Noto Sans CJK SC"/>
        <family val="2"/>
      </rPr>
      <t xml:space="preserve">당구 </t>
    </r>
    <r>
      <rPr>
        <sz val="11"/>
        <rFont val="Arial"/>
        <family val="0"/>
        <charset val="1"/>
      </rPr>
      <t xml:space="preserve">PvP</t>
    </r>
  </si>
  <si>
    <t xml:space="preserve">Mahjong Rumble: Win Real Cash</t>
  </si>
  <si>
    <t xml:space="preserve">Aviagames</t>
  </si>
  <si>
    <t xml:space="preserve">Mob Control</t>
  </si>
  <si>
    <r>
      <rPr>
        <sz val="11"/>
        <rFont val="Noto Sans CJK SC"/>
        <family val="2"/>
      </rPr>
      <t xml:space="preserve">군중 러너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디펜스</t>
    </r>
  </si>
  <si>
    <t xml:space="preserve">Songless: Guess the Song!</t>
  </si>
  <si>
    <t xml:space="preserve">Calico Studio</t>
  </si>
  <si>
    <t xml:space="preserve">음악 퀴즈</t>
  </si>
  <si>
    <t xml:space="preserve">Yarn Loop: Knit Puzzle</t>
  </si>
  <si>
    <t xml:space="preserve">Combo Games</t>
  </si>
  <si>
    <t xml:space="preserve">Match Factory!</t>
  </si>
  <si>
    <t xml:space="preserve">Peak Games</t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</si>
  <si>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트리플 매치</t>
    </r>
  </si>
  <si>
    <t xml:space="preserve">Jigsaw Drop: Solitaire Puzzle</t>
  </si>
  <si>
    <t xml:space="preserve">Runyou Game</t>
  </si>
  <si>
    <r>
      <rPr>
        <sz val="11"/>
        <rFont val="Noto Sans CJK SC"/>
        <family val="2"/>
      </rPr>
      <t xml:space="preserve">직소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솔리테어 하이브리드</t>
    </r>
  </si>
  <si>
    <t xml:space="preserve">Pixel Flow!</t>
  </si>
  <si>
    <t xml:space="preserve">Loom Games</t>
  </si>
  <si>
    <t xml:space="preserve">Hotel Legacy: Merge Game</t>
  </si>
  <si>
    <t xml:space="preserve">Fish Sort Puzzle - Bubble Jam</t>
  </si>
  <si>
    <t xml:space="preserve">Shycheese</t>
  </si>
  <si>
    <t xml:space="preserve">Block Crush!</t>
  </si>
  <si>
    <t xml:space="preserve">Wonderful Studio</t>
  </si>
  <si>
    <t xml:space="preserve">Sand Blocks: Drop Puzzle</t>
  </si>
  <si>
    <t xml:space="preserve">Rollic Games</t>
  </si>
  <si>
    <t xml:space="preserve">샌드 블록</t>
  </si>
  <si>
    <t xml:space="preserve">EA SPORTS FC Soccer Mobile 27</t>
  </si>
  <si>
    <t xml:space="preserve">Electronic Arts</t>
  </si>
  <si>
    <t xml:space="preserve">축구</t>
  </si>
  <si>
    <t xml:space="preserve">Solitaire Cash: Win Real Money</t>
  </si>
  <si>
    <t xml:space="preserve">Papaya Gaming</t>
  </si>
  <si>
    <t xml:space="preserve">Brawl Stars</t>
  </si>
  <si>
    <t xml:space="preserve">Supercell</t>
  </si>
  <si>
    <t xml:space="preserve">팀 대전 슈터</t>
  </si>
  <si>
    <t xml:space="preserve">Coin Master</t>
  </si>
  <si>
    <t xml:space="preserve">Moon Active</t>
  </si>
  <si>
    <t xml:space="preserve">82-0.com</t>
  </si>
  <si>
    <t xml:space="preserve">Vaulty Studios</t>
  </si>
  <si>
    <t xml:space="preserve">Z Route: Redemption</t>
  </si>
  <si>
    <t xml:space="preserve">Building-Blocks Network</t>
  </si>
  <si>
    <t xml:space="preserve">좀비 테마</t>
  </si>
  <si>
    <t xml:space="preserve">Glow Fashion Idol</t>
  </si>
  <si>
    <r>
      <rPr>
        <sz val="11"/>
        <rFont val="Noto Sans CJK SC"/>
        <family val="2"/>
      </rPr>
      <t xml:space="preserve">패션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꾸미기</t>
    </r>
  </si>
  <si>
    <t xml:space="preserve">Bloons Blitz</t>
  </si>
  <si>
    <t xml:space="preserve">Ninja Kiwi</t>
  </si>
  <si>
    <t xml:space="preserve">아케이드</t>
  </si>
  <si>
    <t xml:space="preserve">Hole Stars: Puzzle Game</t>
  </si>
  <si>
    <t xml:space="preserve">기타 퍼즐</t>
  </si>
  <si>
    <t xml:space="preserve">홀 수집</t>
  </si>
  <si>
    <t xml:space="preserve">Dice Dreams</t>
  </si>
  <si>
    <t xml:space="preserve">Word Tiles - Relaxing Puzzle</t>
  </si>
  <si>
    <t xml:space="preserve">Agave Games</t>
  </si>
  <si>
    <t xml:space="preserve">Jam Bus: Sandfall</t>
  </si>
  <si>
    <t xml:space="preserve">Nova Games</t>
  </si>
  <si>
    <t xml:space="preserve">Pokémon GO</t>
  </si>
  <si>
    <t xml:space="preserve">RPG</t>
  </si>
  <si>
    <t xml:space="preserve">위치기반 수집</t>
  </si>
  <si>
    <t xml:space="preserve">Toon Blast</t>
  </si>
  <si>
    <t xml:space="preserve">블라스트</t>
  </si>
  <si>
    <t xml:space="preserve">NYT Games: Wordle &amp; Crossword</t>
  </si>
  <si>
    <t xml:space="preserve">The New York Times</t>
  </si>
  <si>
    <t xml:space="preserve">데일리 퍼즐</t>
  </si>
  <si>
    <t xml:space="preserve">Grand Fortune Club</t>
  </si>
  <si>
    <t xml:space="preserve">EverPrime Futures</t>
  </si>
  <si>
    <t xml:space="preserve">Clash Royale</t>
  </si>
  <si>
    <t xml:space="preserve">실시간 카드 배틀</t>
  </si>
  <si>
    <t xml:space="preserve">Jigsawcard Solitaire Puzzle</t>
  </si>
  <si>
    <t xml:space="preserve">Playtest Pro by BestPlay</t>
  </si>
  <si>
    <t xml:space="preserve">Bestplay Systems</t>
  </si>
  <si>
    <t xml:space="preserve">Mahjong Clash: Win Real Cash</t>
  </si>
  <si>
    <t xml:space="preserve">Find Hidden Objects - Spot It!</t>
  </si>
  <si>
    <t xml:space="preserve">Yolo Game Studios</t>
  </si>
  <si>
    <t xml:space="preserve">숨은그림</t>
  </si>
  <si>
    <t xml:space="preserve">Double Tile!</t>
  </si>
  <si>
    <t xml:space="preserve">Cube Land Puzzle Game</t>
  </si>
  <si>
    <t xml:space="preserve">Rotatelab</t>
  </si>
  <si>
    <t xml:space="preserve">Goods Puzzle: Sort Challenge</t>
  </si>
  <si>
    <t xml:space="preserve">Falcon Games</t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</si>
  <si>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매치 정렬</t>
    </r>
  </si>
  <si>
    <t xml:space="preserve">Cider Casino - Real Money</t>
  </si>
  <si>
    <t xml:space="preserve">Mystic Mirror Studio</t>
  </si>
  <si>
    <t xml:space="preserve">리얼머니 카지노</t>
  </si>
  <si>
    <t xml:space="preserve">Hole.io</t>
  </si>
  <si>
    <t xml:space="preserve">Color Slide - Hexa Puzzle</t>
  </si>
  <si>
    <t xml:space="preserve">SayGames</t>
  </si>
  <si>
    <t xml:space="preserve">헥사</t>
  </si>
  <si>
    <t xml:space="preserve">Geometry Dash Lite</t>
  </si>
  <si>
    <t xml:space="preserve">RobTop Games</t>
  </si>
  <si>
    <t xml:space="preserve">플랫포머</t>
  </si>
  <si>
    <t xml:space="preserve">Bingo Cash - Win Real Money</t>
  </si>
  <si>
    <t xml:space="preserve">EA College Football Mobile 27</t>
  </si>
  <si>
    <t xml:space="preserve">미식축구</t>
  </si>
  <si>
    <t xml:space="preserve">Victory Blast Casino</t>
  </si>
  <si>
    <t xml:space="preserve">Luma Field</t>
  </si>
  <si>
    <t xml:space="preserve">Retro Bowl</t>
  </si>
  <si>
    <t xml:space="preserve">New Star Games</t>
  </si>
  <si>
    <t xml:space="preserve">Aniimo</t>
  </si>
  <si>
    <t xml:space="preserve">Pawprint</t>
  </si>
  <si>
    <t xml:space="preserve">수집형 오픈월드</t>
  </si>
  <si>
    <t xml:space="preserve">Foodstars: Merge &amp; Cook</t>
  </si>
  <si>
    <t xml:space="preserve">Happibits</t>
  </si>
  <si>
    <t xml:space="preserve">요리 테마</t>
  </si>
  <si>
    <t xml:space="preserve">Wordscapes - Word Game</t>
  </si>
  <si>
    <t xml:space="preserve">PeopleFun</t>
  </si>
  <si>
    <t xml:space="preserve">Imposter Game - Party Edition</t>
  </si>
  <si>
    <t xml:space="preserve">Offline Games - No Wifi Games</t>
  </si>
  <si>
    <t xml:space="preserve">Moreno Maio</t>
  </si>
  <si>
    <t xml:space="preserve">미니게임 모음</t>
  </si>
  <si>
    <t xml:space="preserve">Meowdoku: Brain Puzzle Games</t>
  </si>
  <si>
    <t xml:space="preserve">Angry Birds 2</t>
  </si>
  <si>
    <t xml:space="preserve">Rovio</t>
  </si>
  <si>
    <t xml:space="preserve">Smash Land!</t>
  </si>
  <si>
    <t xml:space="preserve">MemeMix Challenge: Funny Party</t>
  </si>
  <si>
    <t xml:space="preserve">Amobear VN</t>
  </si>
  <si>
    <t xml:space="preserve">밈 챌린지</t>
  </si>
  <si>
    <t xml:space="preserve">JoyGame Studio</t>
  </si>
  <si>
    <t xml:space="preserve">Woodoku Blast</t>
  </si>
  <si>
    <t xml:space="preserve">Block Craft 3D: Building Game</t>
  </si>
  <si>
    <t xml:space="preserve">Wildlife Studios</t>
  </si>
  <si>
    <t xml:space="preserve">샌드박스</t>
  </si>
  <si>
    <t xml:space="preserve">건설</t>
  </si>
  <si>
    <t xml:space="preserve">Fish Sort Puzzle</t>
  </si>
  <si>
    <t xml:space="preserve">Pocket Sort: Coin Merge Puzzle</t>
  </si>
  <si>
    <t xml:space="preserve">머지 요소</t>
  </si>
  <si>
    <t xml:space="preserve">ABI Games</t>
  </si>
  <si>
    <t xml:space="preserve">Arrow Puzzle: Tap Puzzle Games</t>
  </si>
  <si>
    <t xml:space="preserve">Loop Sort</t>
  </si>
  <si>
    <t xml:space="preserve">Bulldozer Master: Crush &amp; Mine</t>
  </si>
  <si>
    <t xml:space="preserve">Supercent</t>
  </si>
  <si>
    <r>
      <rPr>
        <sz val="11"/>
        <rFont val="Noto Sans CJK SC"/>
        <family val="2"/>
      </rPr>
      <t xml:space="preserve">파괴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채굴</t>
    </r>
  </si>
  <si>
    <t xml:space="preserve">Magic Tiles 3 - Piano Game</t>
  </si>
  <si>
    <t xml:space="preserve">Color Block Jam</t>
  </si>
  <si>
    <t xml:space="preserve">Color by Number: Coloring Games</t>
  </si>
  <si>
    <t xml:space="preserve">Yarn Loop</t>
  </si>
  <si>
    <t xml:space="preserve">Combo Game</t>
  </si>
  <si>
    <t xml:space="preserve">Color Block: Combo Blast</t>
  </si>
  <si>
    <t xml:space="preserve">Ivy</t>
  </si>
  <si>
    <t xml:space="preserve">Brainy Escape Quest</t>
  </si>
  <si>
    <t xml:space="preserve">Metagame</t>
  </si>
  <si>
    <t xml:space="preserve">CarLoop</t>
  </si>
  <si>
    <t xml:space="preserve">UUTEAM</t>
  </si>
  <si>
    <t xml:space="preserve">Solitaire - Classic Card Games</t>
  </si>
  <si>
    <t xml:space="preserve">Guru Puzzle Game</t>
  </si>
  <si>
    <t xml:space="preserve">Slow Mo Strike: Knives in Time</t>
  </si>
  <si>
    <t xml:space="preserve">KAYAC</t>
  </si>
  <si>
    <t xml:space="preserve">액션</t>
  </si>
  <si>
    <t xml:space="preserve">Idle Cat Gunner: Shooter RPG</t>
  </si>
  <si>
    <t xml:space="preserve">Neptune(Treeplla)</t>
  </si>
  <si>
    <t xml:space="preserve">방치형 슈터</t>
  </si>
  <si>
    <t xml:space="preserve">Mahjong Master: Daily Match</t>
  </si>
  <si>
    <t xml:space="preserve">Mindful Daily Puzzles</t>
  </si>
  <si>
    <t xml:space="preserve">Search It - Hidden Objects</t>
  </si>
  <si>
    <t xml:space="preserve">Leap Game Studios</t>
  </si>
  <si>
    <t xml:space="preserve">Happy Color: Color by Number</t>
  </si>
  <si>
    <t xml:space="preserve">X-Flow</t>
  </si>
  <si>
    <t xml:space="preserve">Apex Sniper: Animal Hunt</t>
  </si>
  <si>
    <t xml:space="preserve">CozyCraft</t>
  </si>
  <si>
    <t xml:space="preserve">헌팅</t>
  </si>
  <si>
    <t xml:space="preserve">Toca Boca World</t>
  </si>
  <si>
    <t xml:space="preserve">Toca Boca</t>
  </si>
  <si>
    <t xml:space="preserve">키즈 라이프</t>
  </si>
  <si>
    <t xml:space="preserve">Among Us</t>
  </si>
  <si>
    <t xml:space="preserve">Innersloth</t>
  </si>
  <si>
    <t xml:space="preserve">Ball Sort Puzzle - Color Game</t>
  </si>
  <si>
    <t xml:space="preserve">Hidden Object Games: Seek It</t>
  </si>
  <si>
    <t xml:space="preserve">NimbleMind</t>
  </si>
  <si>
    <t xml:space="preserve">Pawprint Studio</t>
  </si>
  <si>
    <t xml:space="preserve">37GAMES</t>
  </si>
  <si>
    <t xml:space="preserve">Pokémon TCG Pocket</t>
  </si>
  <si>
    <t xml:space="preserve">The Pokémon Company</t>
  </si>
  <si>
    <r>
      <rPr>
        <sz val="11"/>
        <rFont val="Noto Sans CJK SC"/>
        <family val="2"/>
      </rPr>
      <t xml:space="preserve">디지털 </t>
    </r>
    <r>
      <rPr>
        <sz val="11"/>
        <rFont val="Arial"/>
        <family val="0"/>
        <charset val="1"/>
      </rPr>
      <t xml:space="preserve">TCG</t>
    </r>
  </si>
  <si>
    <t xml:space="preserve">Tiki Smash!</t>
  </si>
  <si>
    <t xml:space="preserve">Word Connect Association</t>
  </si>
  <si>
    <t xml:space="preserve">Melon Sandbox</t>
  </si>
  <si>
    <t xml:space="preserve">playducky.com</t>
  </si>
  <si>
    <t xml:space="preserve">물리 샌드박스</t>
  </si>
  <si>
    <t xml:space="preserve">Frost Valley: Merge &amp; Story</t>
  </si>
  <si>
    <t xml:space="preserve">Tuyoo Games</t>
  </si>
  <si>
    <t xml:space="preserve">Solitaire</t>
  </si>
  <si>
    <t xml:space="preserve">Mouse Games</t>
  </si>
  <si>
    <t xml:space="preserve">EVERFUN</t>
  </si>
  <si>
    <t xml:space="preserve">Angry Smash</t>
  </si>
  <si>
    <t xml:space="preserve">-</t>
  </si>
  <si>
    <t xml:space="preserve">출처 페이지에서 해당 순위 누락</t>
  </si>
  <si>
    <t xml:space="preserve">Screw Out 3D: Nut Sort Jam</t>
  </si>
  <si>
    <t xml:space="preserve">Unico Studio</t>
  </si>
  <si>
    <t xml:space="preserve">Crossword Go!</t>
  </si>
  <si>
    <t xml:space="preserve">Peak</t>
  </si>
  <si>
    <t xml:space="preserve">Treasure Master</t>
  </si>
  <si>
    <t xml:space="preserve">Gimica</t>
  </si>
  <si>
    <t xml:space="preserve">채굴</t>
  </si>
  <si>
    <t xml:space="preserve">JindoBlu</t>
  </si>
  <si>
    <t xml:space="preserve">Lordrush</t>
  </si>
  <si>
    <t xml:space="preserve">Loop Master: Color Jam Sort</t>
  </si>
  <si>
    <t xml:space="preserve">Pleasure City</t>
  </si>
  <si>
    <t xml:space="preserve">Freddy Playground Sandbox</t>
  </si>
  <si>
    <t xml:space="preserve">Big Host Africa</t>
  </si>
  <si>
    <t xml:space="preserve">Wordscapes Search: Word Games</t>
  </si>
  <si>
    <t xml:space="preserve">Last Extract</t>
  </si>
  <si>
    <t xml:space="preserve">익스트랙션 슈터</t>
  </si>
  <si>
    <t xml:space="preserve">Vigor Mahjong</t>
  </si>
  <si>
    <t xml:space="preserve">CanaryDroid</t>
  </si>
  <si>
    <t xml:space="preserve">Solar Smash</t>
  </si>
  <si>
    <t xml:space="preserve">Paradyme Games</t>
  </si>
  <si>
    <t xml:space="preserve">파괴 샌드박스</t>
  </si>
  <si>
    <t xml:space="preserve">GOGO! Blast</t>
  </si>
  <si>
    <t xml:space="preserve">Annoying Uncle Punch Game</t>
  </si>
  <si>
    <t xml:space="preserve">Game District</t>
  </si>
  <si>
    <t xml:space="preserve">스트레스 해소</t>
  </si>
  <si>
    <t xml:space="preserve">Food Sort: Puzzle Game</t>
  </si>
  <si>
    <t xml:space="preserve">Playdayy</t>
  </si>
  <si>
    <t xml:space="preserve">Free Fire x NARUTO SHIPPUDEN</t>
  </si>
  <si>
    <t xml:space="preserve">Garena</t>
  </si>
  <si>
    <t xml:space="preserve">Fast Cash Farkle</t>
  </si>
  <si>
    <t xml:space="preserve">GreatPlay</t>
  </si>
  <si>
    <t xml:space="preserve">주사위</t>
  </si>
  <si>
    <r>
      <rPr>
        <b val="true"/>
        <sz val="11"/>
        <color rgb="FFFFFFFF"/>
        <rFont val="Arial"/>
        <family val="0"/>
        <charset val="1"/>
      </rPr>
      <t xml:space="preserve">App Store </t>
    </r>
    <r>
      <rPr>
        <b val="true"/>
        <sz val="11"/>
        <color rgb="FFFFFFFF"/>
        <rFont val="Noto Sans CJK SC"/>
        <family val="2"/>
      </rPr>
      <t xml:space="preserve">수</t>
    </r>
  </si>
  <si>
    <r>
      <rPr>
        <b val="true"/>
        <sz val="11"/>
        <color rgb="FFFFFFFF"/>
        <rFont val="Arial"/>
        <family val="0"/>
        <charset val="1"/>
      </rPr>
      <t xml:space="preserve">App Store </t>
    </r>
    <r>
      <rPr>
        <b val="true"/>
        <sz val="11"/>
        <color rgb="FFFFFFFF"/>
        <rFont val="Noto Sans CJK SC"/>
        <family val="2"/>
      </rPr>
      <t xml:space="preserve">비율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</si>
  <si>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수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</si>
  <si>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비율</t>
    </r>
  </si>
  <si>
    <t xml:space="preserve">합계</t>
  </si>
  <si>
    <t xml:space="preserve">대표 게임</t>
  </si>
  <si>
    <t xml:space="preserve">Meowdoku, Block Blast, Royal Match</t>
  </si>
  <si>
    <t xml:space="preserve">Royal Smash, Mob Control, Subway Surfers</t>
  </si>
  <si>
    <t xml:space="preserve">MONOPOLY GO!, Solitaire Cash, Disney Solitaire</t>
  </si>
  <si>
    <t xml:space="preserve">Township, Melon Sandbox, Block Craft 3D</t>
  </si>
  <si>
    <t xml:space="preserve">Whiteout Survival, Kingshot, Clash Royale</t>
  </si>
  <si>
    <t xml:space="preserve">Fortnite, Call of Duty: Mobile, Free Fire</t>
  </si>
  <si>
    <t xml:space="preserve">EA FC Mobile 27, 8 Ball Pool, Retro Bowl</t>
  </si>
  <si>
    <t xml:space="preserve">Pokémon GO, Aniimo, Idle Cat Gunner</t>
  </si>
  <si>
    <t xml:space="preserve">Magic Tiles 3, Among Us</t>
  </si>
  <si>
    <t xml:space="preserve">Roblox, PlayCash Rewards</t>
  </si>
  <si>
    <t xml:space="preserve">인사이트</t>
  </si>
  <si>
    <r>
      <rPr>
        <b val="true"/>
        <sz val="11"/>
        <rFont val="Arial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미국 무료 차트는 사실상 퍼즐 시장</t>
    </r>
  </si>
  <si>
    <r>
      <rPr>
        <sz val="11"/>
        <rFont val="Noto Sans CJK SC"/>
        <family val="2"/>
      </rPr>
      <t xml:space="preserve">두 스토어 모두 절반 안팎이 퍼즐</t>
    </r>
    <r>
      <rPr>
        <sz val="11"/>
        <rFont val="Arial"/>
        <family val="0"/>
        <charset val="1"/>
      </rPr>
      <t xml:space="preserve">. App Store 1~20</t>
    </r>
    <r>
      <rPr>
        <sz val="11"/>
        <rFont val="Noto Sans CJK SC"/>
        <family val="2"/>
      </rPr>
      <t xml:space="preserve">위 중 </t>
    </r>
    <r>
      <rPr>
        <sz val="11"/>
        <rFont val="Arial"/>
        <family val="0"/>
        <charset val="1"/>
      </rPr>
      <t xml:space="preserve">16</t>
    </r>
    <r>
      <rPr>
        <sz val="11"/>
        <rFont val="Noto Sans CJK SC"/>
        <family val="2"/>
      </rPr>
      <t xml:space="preserve">개가 퍼즐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보다 정렬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버스잼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물고기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링 정렬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과 탭 탈출</t>
    </r>
    <r>
      <rPr>
        <sz val="11"/>
        <rFont val="Arial"/>
        <family val="0"/>
        <charset val="1"/>
      </rPr>
      <t xml:space="preserve">(Arrows</t>
    </r>
    <r>
      <rPr>
        <sz val="11"/>
        <rFont val="Noto Sans CJK SC"/>
        <family val="2"/>
      </rPr>
      <t xml:space="preserve">류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이 압도적이며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여러 회사가 같은 메커닉을 동시에 출시하는 패스트팔로우 경쟁이 치열함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</si>
  <si>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2. App Store</t>
    </r>
    <r>
      <rPr>
        <b val="true"/>
        <sz val="11"/>
        <rFont val="Noto Sans CJK SC"/>
        <family val="2"/>
      </rPr>
      <t xml:space="preserve">에만 리얼머니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카지노가 두드러짐</t>
    </r>
  </si>
  <si>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카지노가 </t>
    </r>
    <r>
      <rPr>
        <sz val="11"/>
        <rFont val="Arial"/>
        <family val="0"/>
        <charset val="1"/>
      </rPr>
      <t xml:space="preserve">App Store 16</t>
    </r>
    <r>
      <rPr>
        <sz val="11"/>
        <rFont val="Noto Sans CJK SC"/>
        <family val="2"/>
      </rPr>
      <t xml:space="preserve">개 </t>
    </r>
    <r>
      <rPr>
        <sz val="11"/>
        <rFont val="Arial"/>
        <family val="0"/>
        <charset val="1"/>
      </rPr>
      <t xml:space="preserve">vs Google Play 7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리얼머니 스킬게임은 </t>
    </r>
    <r>
      <rPr>
        <sz val="11"/>
        <rFont val="Arial"/>
        <family val="0"/>
        <charset val="1"/>
      </rPr>
      <t xml:space="preserve">App Store 6</t>
    </r>
    <r>
      <rPr>
        <sz val="11"/>
        <rFont val="Noto Sans CJK SC"/>
        <family val="2"/>
      </rPr>
      <t xml:space="preserve">개 </t>
    </r>
    <r>
      <rPr>
        <sz val="11"/>
        <rFont val="Arial"/>
        <family val="0"/>
        <charset val="1"/>
      </rPr>
      <t xml:space="preserve">vs Google Play 1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. Google Play</t>
    </r>
    <r>
      <rPr>
        <sz val="11"/>
        <rFont val="Noto Sans CJK SC"/>
        <family val="2"/>
      </rPr>
      <t xml:space="preserve">의 리얼머니 게임 정책과 </t>
    </r>
    <r>
      <rPr>
        <sz val="11"/>
        <rFont val="Arial"/>
        <family val="0"/>
        <charset val="1"/>
      </rPr>
      <t xml:space="preserve">iOS </t>
    </r>
    <r>
      <rPr>
        <sz val="11"/>
        <rFont val="Noto Sans CJK SC"/>
        <family val="2"/>
      </rPr>
      <t xml:space="preserve">고결제 유저 대상 </t>
    </r>
    <r>
      <rPr>
        <sz val="11"/>
        <rFont val="Arial"/>
        <family val="0"/>
        <charset val="1"/>
      </rPr>
      <t xml:space="preserve">UA </t>
    </r>
    <r>
      <rPr>
        <sz val="11"/>
        <rFont val="Noto Sans CJK SC"/>
        <family val="2"/>
      </rPr>
      <t xml:space="preserve">집중이 원인으로 추정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검증 필요</t>
    </r>
    <r>
      <rPr>
        <sz val="11"/>
        <rFont val="Arial"/>
        <family val="0"/>
        <charset val="1"/>
      </rPr>
      <t xml:space="preserve">).</t>
    </r>
  </si>
  <si>
    <r>
      <rPr>
        <b val="true"/>
        <sz val="11"/>
        <rFont val="Arial"/>
        <family val="0"/>
        <charset val="1"/>
      </rPr>
      <t xml:space="preserve">3. Google Play</t>
    </r>
    <r>
      <rPr>
        <b val="true"/>
        <sz val="11"/>
        <rFont val="Noto Sans CJK SC"/>
        <family val="2"/>
      </rPr>
      <t xml:space="preserve">는 더 어리고 가벼운 취향</t>
    </r>
  </si>
  <si>
    <r>
      <rPr>
        <sz val="11"/>
        <rFont val="Noto Sans CJK SC"/>
        <family val="2"/>
      </rPr>
      <t xml:space="preserve">하이퍼캐주얼</t>
    </r>
    <r>
      <rPr>
        <sz val="11"/>
        <rFont val="Arial"/>
        <family val="0"/>
        <charset val="1"/>
      </rPr>
      <t xml:space="preserve">(17 vs 12)</t>
    </r>
    <r>
      <rPr>
        <sz val="11"/>
        <rFont val="Noto Sans CJK SC"/>
        <family val="2"/>
      </rPr>
      <t xml:space="preserve">과 샌드박스 시뮬레이션</t>
    </r>
    <r>
      <rPr>
        <sz val="11"/>
        <rFont val="Arial"/>
        <family val="0"/>
        <charset val="1"/>
      </rPr>
      <t xml:space="preserve">(Melon Sandbox, Block Craft 3D, Toca Boca World, Solar Smash)</t>
    </r>
    <r>
      <rPr>
        <sz val="11"/>
        <rFont val="Noto Sans CJK SC"/>
        <family val="2"/>
      </rPr>
      <t xml:space="preserve">이 </t>
    </r>
    <r>
      <rPr>
        <sz val="11"/>
        <rFont val="Arial"/>
        <family val="0"/>
        <charset val="1"/>
      </rPr>
      <t xml:space="preserve">Google Play</t>
    </r>
    <r>
      <rPr>
        <sz val="11"/>
        <rFont val="Noto Sans CJK SC"/>
        <family val="2"/>
      </rPr>
      <t xml:space="preserve">에 더 많음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안드로이드 유저층이 상대적으로 어리다는 추정과 일치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</si>
  <si>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두 스토어 간 중복이 큼</t>
    </r>
  </si>
  <si>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54</t>
    </r>
    <r>
      <rPr>
        <sz val="11"/>
        <rFont val="Noto Sans CJK SC"/>
        <family val="2"/>
      </rPr>
      <t xml:space="preserve">개 게임이 양쪽 </t>
    </r>
    <r>
      <rPr>
        <sz val="11"/>
        <rFont val="Arial"/>
        <family val="0"/>
        <charset val="1"/>
      </rPr>
      <t xml:space="preserve">Top 100</t>
    </r>
    <r>
      <rPr>
        <sz val="11"/>
        <rFont val="Noto Sans CJK SC"/>
        <family val="2"/>
      </rPr>
      <t xml:space="preserve">에 동시 등장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동일 퍼블리셔가 양 플랫폼에 동시 </t>
    </r>
    <r>
      <rPr>
        <sz val="11"/>
        <rFont val="Arial"/>
        <family val="0"/>
        <charset val="1"/>
      </rPr>
      <t xml:space="preserve">UA</t>
    </r>
    <r>
      <rPr>
        <sz val="11"/>
        <rFont val="Noto Sans CJK SC"/>
        <family val="2"/>
      </rPr>
      <t xml:space="preserve">하는 구조로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이후 단계는 게임별 전략 중심 분석이 효율적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</si>
  <si>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상위권은 신작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중위권은 장수작</t>
    </r>
  </si>
  <si>
    <r>
      <rPr>
        <sz val="11"/>
        <rFont val="Arial"/>
        <family val="0"/>
        <charset val="1"/>
      </rPr>
      <t xml:space="preserve">1~20</t>
    </r>
    <r>
      <rPr>
        <sz val="11"/>
        <rFont val="Noto Sans CJK SC"/>
        <family val="2"/>
      </rPr>
      <t xml:space="preserve">위는 앱 </t>
    </r>
    <r>
      <rPr>
        <sz val="11"/>
        <rFont val="Arial"/>
        <family val="0"/>
        <charset val="1"/>
      </rPr>
      <t xml:space="preserve">ID</t>
    </r>
    <r>
      <rPr>
        <sz val="11"/>
        <rFont val="Noto Sans CJK SC"/>
        <family val="2"/>
      </rPr>
      <t xml:space="preserve">로 보아 </t>
    </r>
    <r>
      <rPr>
        <sz val="11"/>
        <rFont val="Arial"/>
        <family val="0"/>
        <charset val="1"/>
      </rPr>
      <t xml:space="preserve">2025~2026</t>
    </r>
    <r>
      <rPr>
        <sz val="11"/>
        <rFont val="Noto Sans CJK SC"/>
        <family val="2"/>
      </rPr>
      <t xml:space="preserve">년 출시로 추정되는 신작 위주</t>
    </r>
    <r>
      <rPr>
        <sz val="11"/>
        <rFont val="Arial"/>
        <family val="0"/>
        <charset val="1"/>
      </rPr>
      <t xml:space="preserve">(Meowdoku, Rotate Rings, CubeAway </t>
    </r>
    <r>
      <rPr>
        <sz val="11"/>
        <rFont val="Noto Sans CJK SC"/>
        <family val="2"/>
      </rPr>
      <t xml:space="preserve">등</t>
    </r>
    <r>
      <rPr>
        <sz val="11"/>
        <rFont val="Arial"/>
        <family val="0"/>
        <charset val="1"/>
      </rPr>
      <t xml:space="preserve">). Candy Crush, Subway Surfers, Royal Match </t>
    </r>
    <r>
      <rPr>
        <sz val="11"/>
        <rFont val="Noto Sans CJK SC"/>
        <family val="2"/>
      </rPr>
      <t xml:space="preserve">등 장수작은 </t>
    </r>
    <r>
      <rPr>
        <sz val="11"/>
        <rFont val="Arial"/>
        <family val="0"/>
        <charset val="1"/>
      </rPr>
      <t xml:space="preserve">20~50</t>
    </r>
    <r>
      <rPr>
        <sz val="11"/>
        <rFont val="Noto Sans CJK SC"/>
        <family val="2"/>
      </rPr>
      <t xml:space="preserve">위권 유지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신작 초기 대규모 </t>
    </r>
    <r>
      <rPr>
        <sz val="11"/>
        <rFont val="Arial"/>
        <family val="0"/>
        <charset val="1"/>
      </rPr>
      <t xml:space="preserve">UA vs </t>
    </r>
    <r>
      <rPr>
        <sz val="11"/>
        <rFont val="Noto Sans CJK SC"/>
        <family val="2"/>
      </rPr>
      <t xml:space="preserve">장수작 안정 유입 구조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</si>
  <si>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미드코어는 소수지만 </t>
    </r>
    <r>
      <rPr>
        <b val="true"/>
        <sz val="11"/>
        <rFont val="Arial"/>
        <family val="0"/>
        <charset val="1"/>
      </rPr>
      <t xml:space="preserve">4X</t>
    </r>
    <r>
      <rPr>
        <b val="true"/>
        <sz val="11"/>
        <rFont val="Noto Sans CJK SC"/>
        <family val="2"/>
      </rPr>
      <t xml:space="preserve">는 꾸준</t>
    </r>
  </si>
  <si>
    <r>
      <rPr>
        <sz val="11"/>
        <rFont val="Noto Sans CJK SC"/>
        <family val="2"/>
      </rPr>
      <t xml:space="preserve">전략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액션</t>
    </r>
    <r>
      <rPr>
        <sz val="11"/>
        <rFont val="Arial"/>
        <family val="0"/>
        <charset val="1"/>
      </rPr>
      <t xml:space="preserve">·RPG </t>
    </r>
    <r>
      <rPr>
        <sz val="11"/>
        <rFont val="Noto Sans CJK SC"/>
        <family val="2"/>
      </rPr>
      <t xml:space="preserve">합계 약 </t>
    </r>
    <r>
      <rPr>
        <sz val="11"/>
        <rFont val="Arial"/>
        <family val="0"/>
        <charset val="1"/>
      </rPr>
      <t xml:space="preserve">10%. Century Games(Whiteout Survival, Kingshot, Lordrush) </t>
    </r>
    <r>
      <rPr>
        <sz val="11"/>
        <rFont val="Noto Sans CJK SC"/>
        <family val="2"/>
      </rPr>
      <t xml:space="preserve">등 </t>
    </r>
    <r>
      <rPr>
        <sz val="11"/>
        <rFont val="Arial"/>
        <family val="0"/>
        <charset val="1"/>
      </rPr>
      <t xml:space="preserve">4X</t>
    </r>
    <r>
      <rPr>
        <sz val="11"/>
        <rFont val="Noto Sans CJK SC"/>
        <family val="2"/>
      </rPr>
      <t xml:space="preserve">는 공격적 </t>
    </r>
    <r>
      <rPr>
        <sz val="11"/>
        <rFont val="Arial"/>
        <family val="0"/>
        <charset val="1"/>
      </rPr>
      <t xml:space="preserve">UA</t>
    </r>
    <r>
      <rPr>
        <sz val="11"/>
        <rFont val="Noto Sans CJK SC"/>
        <family val="2"/>
      </rPr>
      <t xml:space="preserve">로 무료 차트에도 등장</t>
    </r>
    <r>
      <rPr>
        <sz val="11"/>
        <rFont val="Arial"/>
        <family val="0"/>
        <charset val="1"/>
      </rPr>
      <t xml:space="preserve">. BM </t>
    </r>
    <r>
      <rPr>
        <sz val="11"/>
        <rFont val="Noto Sans CJK SC"/>
        <family val="2"/>
      </rPr>
      <t xml:space="preserve">분석 시 </t>
    </r>
    <r>
      <rPr>
        <sz val="11"/>
        <rFont val="Arial"/>
        <family val="0"/>
        <charset val="1"/>
      </rPr>
      <t xml:space="preserve">Top Grossing </t>
    </r>
    <r>
      <rPr>
        <sz val="11"/>
        <rFont val="Noto Sans CJK SC"/>
        <family val="2"/>
      </rPr>
      <t xml:space="preserve">차트 병행 필요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</si>
  <si>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7. </t>
    </r>
    <r>
      <rPr>
        <b val="true"/>
        <sz val="11"/>
        <rFont val="Noto Sans CJK SC"/>
        <family val="2"/>
      </rPr>
      <t xml:space="preserve">주요 퍼블리셔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튀르키예 스튜디오 강세</t>
    </r>
  </si>
  <si>
    <r>
      <rPr>
        <sz val="11"/>
        <rFont val="Noto Sans CJK SC"/>
        <family val="2"/>
      </rPr>
      <t xml:space="preserve">다수 진입</t>
    </r>
    <r>
      <rPr>
        <sz val="11"/>
        <rFont val="Arial"/>
        <family val="0"/>
        <charset val="1"/>
      </rPr>
      <t xml:space="preserve">: Oakever Games, Voodoo, Century Games, Nebula Studio, PlaySimple, Dream Games, Hungry Studio, SuperPlay, Papaya·Aviagames. Dream Games, Peak, Grand Games, Flow Games, Loom Games, Rotatelab, Falcon </t>
    </r>
    <r>
      <rPr>
        <sz val="11"/>
        <rFont val="Noto Sans CJK SC"/>
        <family val="2"/>
      </rPr>
      <t xml:space="preserve">등 튀르키예 스튜디오가 퍼즐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캐주얼 상위권 다수 점유</t>
    </r>
    <r>
      <rPr>
        <sz val="11"/>
        <rFont val="Arial"/>
        <family val="0"/>
        <charset val="1"/>
      </rPr>
      <t xml:space="preserve">.</t>
    </r>
  </si>
  <si>
    <t xml:space="preserve">후보</t>
  </si>
  <si>
    <t xml:space="preserve">장르</t>
  </si>
  <si>
    <t xml:space="preserve">선정 이유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</si>
  <si>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로직</t>
    </r>
  </si>
  <si>
    <r>
      <rPr>
        <sz val="11"/>
        <rFont val="Noto Sans CJK SC"/>
        <family val="2"/>
      </rPr>
      <t xml:space="preserve">양쪽 스토어 </t>
    </r>
    <r>
      <rPr>
        <sz val="11"/>
        <rFont val="Arial"/>
        <family val="0"/>
        <charset val="1"/>
      </rPr>
      <t xml:space="preserve">1~2</t>
    </r>
    <r>
      <rPr>
        <sz val="11"/>
        <rFont val="Noto Sans CJK SC"/>
        <family val="2"/>
      </rPr>
      <t xml:space="preserve">위의 신작 로직 퍼즐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신작 </t>
    </r>
    <r>
      <rPr>
        <sz val="11"/>
        <rFont val="Arial"/>
        <family val="0"/>
        <charset val="1"/>
      </rPr>
      <t xml:space="preserve">UA </t>
    </r>
    <r>
      <rPr>
        <sz val="11"/>
        <rFont val="Noto Sans CJK SC"/>
        <family val="2"/>
      </rPr>
      <t xml:space="preserve">성공 사례</t>
    </r>
  </si>
  <si>
    <t xml:space="preserve">Rotate Rings / Arrows – Puzzle Escape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</si>
  <si>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정렬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탭 탈출</t>
    </r>
  </si>
  <si>
    <t xml:space="preserve">현재 최대 트렌드 메커닉의 대표작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</si>
  <si>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블록</t>
    </r>
  </si>
  <si>
    <r>
      <rPr>
        <sz val="11"/>
        <rFont val="Noto Sans CJK SC"/>
        <family val="2"/>
      </rPr>
      <t xml:space="preserve">장수 히트 블록 퍼즐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BM </t>
    </r>
    <r>
      <rPr>
        <sz val="11"/>
        <rFont val="Noto Sans CJK SC"/>
        <family val="2"/>
      </rPr>
      <t xml:space="preserve">중심 모델의 표본</t>
    </r>
  </si>
  <si>
    <t xml:space="preserve">Royal Match / Royal Kingdom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</si>
  <si>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</t>
    </r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</si>
  <si>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프리미엄 라이브옵스와 </t>
    </r>
    <r>
      <rPr>
        <sz val="11"/>
        <rFont val="Arial"/>
        <family val="0"/>
        <charset val="1"/>
      </rPr>
      <t xml:space="preserve">IAP</t>
    </r>
    <r>
      <rPr>
        <sz val="11"/>
        <rFont val="Noto Sans CJK SC"/>
        <family val="2"/>
      </rPr>
      <t xml:space="preserve">의 정석</t>
    </r>
  </si>
  <si>
    <t xml:space="preserve">Gossip Harbor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</si>
  <si>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머지</t>
    </r>
  </si>
  <si>
    <r>
      <rPr>
        <sz val="11"/>
        <rFont val="Noto Sans CJK SC"/>
        <family val="2"/>
      </rPr>
      <t xml:space="preserve">머지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스토리 결합 성공 공식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미국 여성 유저 타깃</t>
    </r>
  </si>
  <si>
    <t xml:space="preserve">MONOPOLY GO! / Dice Dreams</t>
  </si>
  <si>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주사위 소셜캐주얼</t>
    </r>
  </si>
  <si>
    <r>
      <rPr>
        <sz val="11"/>
        <rFont val="Arial"/>
        <family val="0"/>
        <charset val="1"/>
      </rPr>
      <t xml:space="preserve">IP·</t>
    </r>
    <r>
      <rPr>
        <sz val="11"/>
        <rFont val="Noto Sans CJK SC"/>
        <family val="2"/>
      </rPr>
      <t xml:space="preserve">주사위 소셜캐주얼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이벤트 기반 고매출 </t>
    </r>
    <r>
      <rPr>
        <sz val="11"/>
        <rFont val="Arial"/>
        <family val="0"/>
        <charset val="1"/>
      </rPr>
      <t xml:space="preserve">BM</t>
    </r>
  </si>
  <si>
    <t xml:space="preserve">Whiteout Survival / Kingshot</t>
  </si>
  <si>
    <r>
      <rPr>
        <sz val="11"/>
        <rFont val="Noto Sans CJK SC"/>
        <family val="2"/>
      </rPr>
      <t xml:space="preserve">전략 </t>
    </r>
    <r>
      <rPr>
        <sz val="11"/>
        <rFont val="Arial"/>
        <family val="0"/>
        <charset val="1"/>
      </rPr>
      <t xml:space="preserve">/ 4X·SLG</t>
    </r>
  </si>
  <si>
    <r>
      <rPr>
        <sz val="11"/>
        <rFont val="Arial"/>
        <family val="0"/>
        <charset val="1"/>
      </rPr>
      <t xml:space="preserve">4X UA </t>
    </r>
    <r>
      <rPr>
        <sz val="11"/>
        <rFont val="Noto Sans CJK SC"/>
        <family val="2"/>
      </rPr>
      <t xml:space="preserve">전략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광고 소재와 실제 게임의 괴리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과 고과금 구조</t>
    </r>
  </si>
  <si>
    <t xml:space="preserve">Royal Smash! / Smash Fest!</t>
  </si>
  <si>
    <r>
      <rPr>
        <sz val="11"/>
        <rFont val="Noto Sans CJK SC"/>
        <family val="2"/>
      </rPr>
      <t xml:space="preserve">하이퍼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하이브리드 캐주얼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물리 파괴</t>
    </r>
  </si>
  <si>
    <t xml:space="preserve">하이브리드 캐주얼 물리 파괴 장르의 급부상</t>
  </si>
  <si>
    <t xml:space="preserve">Solitaire Cash / Bingo Cash</t>
  </si>
  <si>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리얼머니 스킬게임</t>
    </r>
  </si>
  <si>
    <t xml:space="preserve">미국 특화 리얼머니 스킬게임 모델</t>
  </si>
  <si>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타일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마작</t>
    </r>
  </si>
  <si>
    <t xml:space="preserve">시니어 타깃 퍼즐로 양쪽 상위권 유지</t>
  </si>
  <si>
    <r>
      <rPr>
        <b val="true"/>
        <sz val="11"/>
        <color rgb="FFFFFFFF"/>
        <rFont val="Noto Sans CJK SC"/>
        <family val="2"/>
      </rPr>
      <t xml:space="preserve">미국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캐나다</t>
    </r>
  </si>
  <si>
    <r>
      <rPr>
        <b val="true"/>
        <sz val="11"/>
        <color rgb="FFFFFFFF"/>
        <rFont val="Noto Sans CJK SC"/>
        <family val="2"/>
      </rPr>
      <t xml:space="preserve">남미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브라질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멕시코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</si>
  <si>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아시아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일본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한국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</si>
  <si>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동남아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인도네시아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</si>
  <si>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한 줄 비유</t>
  </si>
  <si>
    <t xml:space="preserve">조용한 퍼즐 도서관</t>
  </si>
  <si>
    <t xml:space="preserve">시끌벅적한 운동장</t>
  </si>
  <si>
    <t xml:space="preserve">캐릭터 문구점</t>
  </si>
  <si>
    <r>
      <rPr>
        <sz val="11"/>
        <rFont val="Noto Sans CJK SC"/>
        <family val="2"/>
      </rPr>
      <t xml:space="preserve">모바일 </t>
    </r>
    <r>
      <rPr>
        <sz val="11"/>
        <rFont val="Arial"/>
        <family val="0"/>
        <charset val="1"/>
      </rPr>
      <t xml:space="preserve">PC</t>
    </r>
    <r>
      <rPr>
        <sz val="11"/>
        <rFont val="Noto Sans CJK SC"/>
        <family val="2"/>
      </rPr>
      <t xml:space="preserve">방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분석자 비유</t>
    </r>
    <r>
      <rPr>
        <sz val="11"/>
        <rFont val="Arial"/>
        <family val="0"/>
        <charset val="1"/>
      </rPr>
      <t xml:space="preserve">)</t>
    </r>
  </si>
  <si>
    <t xml:space="preserve">가장 좋아하는 것</t>
  </si>
  <si>
    <r>
      <rPr>
        <sz val="11"/>
        <rFont val="Noto Sans CJK SC"/>
        <family val="2"/>
      </rPr>
      <t xml:space="preserve">짧게 머리 쓰는 퍼즐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정렬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블록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탭 탈출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단어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</si>
  <si>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축구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총싸움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오토바이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블록 쌓기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가상 펫</t>
    </r>
  </si>
  <si>
    <r>
      <rPr>
        <sz val="11"/>
        <rFont val="Noto Sans CJK SC"/>
        <family val="2"/>
      </rPr>
      <t xml:space="preserve">캐릭터 </t>
    </r>
    <r>
      <rPr>
        <sz val="11"/>
        <rFont val="Arial"/>
        <family val="0"/>
        <charset val="1"/>
      </rPr>
      <t xml:space="preserve">RPG, </t>
    </r>
    <r>
      <rPr>
        <sz val="11"/>
        <rFont val="Noto Sans CJK SC"/>
        <family val="2"/>
      </rPr>
      <t xml:space="preserve">뽑기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가챠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유명 </t>
    </r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게임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</si>
  <si>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대전</t>
    </r>
    <r>
      <rPr>
        <sz val="11"/>
        <rFont val="Arial"/>
        <family val="0"/>
        <charset val="1"/>
      </rPr>
      <t xml:space="preserve">(MOBA)·</t>
    </r>
    <r>
      <rPr>
        <sz val="11"/>
        <rFont val="Noto Sans CJK SC"/>
        <family val="2"/>
      </rPr>
      <t xml:space="preserve">배틀로얄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블록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두뇌 퍼즐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악기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파티 미니게임</t>
    </r>
  </si>
  <si>
    <r>
      <rPr>
        <b val="true"/>
        <sz val="11"/>
        <rFont val="Noto Sans CJK SC"/>
        <family val="2"/>
      </rPr>
      <t xml:space="preserve">구글 플레이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위</t>
    </r>
  </si>
  <si>
    <r>
      <rPr>
        <sz val="11"/>
        <rFont val="Noto Sans CJK SC"/>
        <family val="2"/>
      </rPr>
      <t xml:space="preserve">캐나다 </t>
    </r>
    <r>
      <rPr>
        <sz val="11"/>
        <rFont val="Arial"/>
        <family val="0"/>
        <charset val="1"/>
      </rPr>
      <t xml:space="preserve">Meowdoku / 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Rotate Rings</t>
    </r>
  </si>
  <si>
    <r>
      <rPr>
        <sz val="11"/>
        <rFont val="Noto Sans CJK SC"/>
        <family val="2"/>
      </rPr>
      <t xml:space="preserve">브라질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멕시코 모두 </t>
    </r>
    <r>
      <rPr>
        <sz val="11"/>
        <rFont val="Arial"/>
        <family val="0"/>
        <charset val="1"/>
      </rPr>
      <t xml:space="preserve">Roblox</t>
    </r>
  </si>
  <si>
    <r>
      <rPr>
        <sz val="11"/>
        <rFont val="Noto Sans CJK SC"/>
        <family val="2"/>
      </rPr>
      <t xml:space="preserve">일본 </t>
    </r>
    <r>
      <rPr>
        <sz val="11"/>
        <rFont val="Arial"/>
        <family val="0"/>
        <charset val="1"/>
      </rPr>
      <t xml:space="preserve">Meowdoku / </t>
    </r>
    <r>
      <rPr>
        <sz val="11"/>
        <rFont val="Noto Sans CJK SC"/>
        <family val="2"/>
      </rPr>
      <t xml:space="preserve">한국 </t>
    </r>
    <r>
      <rPr>
        <sz val="11"/>
        <rFont val="Arial"/>
        <family val="0"/>
        <charset val="1"/>
      </rPr>
      <t xml:space="preserve">FORTBLOX</t>
    </r>
  </si>
  <si>
    <r>
      <rPr>
        <sz val="11"/>
        <rFont val="Noto Sans CJK SC"/>
        <family val="2"/>
      </rPr>
      <t xml:space="preserve">인도네시아 </t>
    </r>
    <r>
      <rPr>
        <sz val="11"/>
        <rFont val="Arial"/>
        <family val="0"/>
        <charset val="1"/>
      </rPr>
      <t xml:space="preserve">Roblox (2026-10-05)</t>
    </r>
  </si>
  <si>
    <t xml:space="preserve">우리만의 특징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</si>
  <si>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iOS</t>
    </r>
    <r>
      <rPr>
        <sz val="11"/>
        <rFont val="Noto Sans CJK SC"/>
        <family val="2"/>
      </rPr>
      <t xml:space="preserve">의 리얼머니 게임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캐나다 온라인 카지노 앱</t>
    </r>
  </si>
  <si>
    <r>
      <rPr>
        <sz val="11"/>
        <rFont val="Noto Sans CJK SC"/>
        <family val="2"/>
      </rPr>
      <t xml:space="preserve">브라질 오토바이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그라우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게임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축구 게임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멕시코 축구팀</t>
    </r>
    <r>
      <rPr>
        <sz val="11"/>
        <rFont val="Arial"/>
        <family val="0"/>
        <charset val="1"/>
      </rPr>
      <t xml:space="preserve">(Chivas) </t>
    </r>
    <r>
      <rPr>
        <sz val="11"/>
        <rFont val="Noto Sans CJK SC"/>
        <family val="2"/>
      </rPr>
      <t xml:space="preserve">게임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베팅 앱</t>
    </r>
  </si>
  <si>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만화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캐릭터 </t>
    </r>
    <r>
      <rPr>
        <sz val="11"/>
        <rFont val="Arial"/>
        <family val="0"/>
        <charset val="1"/>
      </rPr>
      <t xml:space="preserve">IP, </t>
    </r>
    <r>
      <rPr>
        <sz val="11"/>
        <rFont val="Noto Sans CJK SC"/>
        <family val="2"/>
      </rPr>
      <t xml:space="preserve">리듬 게임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포인트 적립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포이카츠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게임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고양이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한국</t>
    </r>
    <r>
      <rPr>
        <sz val="11"/>
        <rFont val="Arial"/>
        <family val="0"/>
        <charset val="1"/>
      </rPr>
      <t xml:space="preserve">: '</t>
    </r>
    <r>
      <rPr>
        <sz val="11"/>
        <rFont val="Noto Sans CJK SC"/>
        <family val="2"/>
      </rPr>
      <t xml:space="preserve">뽑기 증정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방치형 </t>
    </r>
    <r>
      <rPr>
        <sz val="11"/>
        <rFont val="Arial"/>
        <family val="0"/>
        <charset val="1"/>
      </rPr>
      <t xml:space="preserve">RPG, </t>
    </r>
    <r>
      <rPr>
        <sz val="11"/>
        <rFont val="Noto Sans CJK SC"/>
        <family val="2"/>
      </rPr>
      <t xml:space="preserve">고스톱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포커</t>
    </r>
  </si>
  <si>
    <r>
      <rPr>
        <sz val="11"/>
        <rFont val="Arial"/>
        <family val="0"/>
        <charset val="1"/>
      </rPr>
      <t xml:space="preserve">MOBA 2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(Mobile Legends 2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Honor of Kings 18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현지 시뮬레이터</t>
    </r>
    <r>
      <rPr>
        <sz val="11"/>
        <rFont val="Arial"/>
        <family val="0"/>
        <charset val="1"/>
      </rPr>
      <t xml:space="preserve">(Bus Simulator Indonesia 31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Ojol Life 65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드럼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피아노 앱</t>
    </r>
  </si>
  <si>
    <r>
      <rPr>
        <b val="true"/>
        <sz val="11"/>
        <rFont val="Noto Sans CJK SC"/>
        <family val="2"/>
      </rPr>
      <t xml:space="preserve">주로 하는 사람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추정</t>
    </r>
    <r>
      <rPr>
        <b val="true"/>
        <sz val="11"/>
        <rFont val="Arial"/>
        <family val="0"/>
        <charset val="1"/>
      </rPr>
      <t xml:space="preserve">)</t>
    </r>
  </si>
  <si>
    <t xml:space="preserve">쉬는 시간에 하는 어른</t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</si>
  <si>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친구 그룹</t>
    </r>
  </si>
  <si>
    <r>
      <rPr>
        <sz val="11"/>
        <rFont val="Noto Sans CJK SC"/>
        <family val="2"/>
      </rPr>
      <t xml:space="preserve">캐릭터 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수집가</t>
    </r>
  </si>
  <si>
    <r>
      <rPr>
        <sz val="11"/>
        <rFont val="Noto Sans CJK SC"/>
        <family val="2"/>
      </rPr>
      <t xml:space="preserve">확인 불가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연령 자료 없음</t>
    </r>
    <r>
      <rPr>
        <sz val="11"/>
        <rFont val="Arial"/>
        <family val="0"/>
        <charset val="1"/>
      </rPr>
      <t xml:space="preserve">)</t>
    </r>
  </si>
  <si>
    <t xml:space="preserve">휴대폰 환경</t>
  </si>
  <si>
    <t xml:space="preserve">아이폰 비중 높음</t>
  </si>
  <si>
    <r>
      <rPr>
        <sz val="11"/>
        <rFont val="Noto Sans CJK SC"/>
        <family val="2"/>
      </rPr>
      <t xml:space="preserve">가벼운 안드로이드 폰 많음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</si>
  <si>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일본은 게임 다운로드의 </t>
    </r>
    <r>
      <rPr>
        <sz val="11"/>
        <rFont val="Arial"/>
        <family val="0"/>
        <charset val="1"/>
      </rPr>
      <t xml:space="preserve">55%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iOS</t>
    </r>
  </si>
  <si>
    <r>
      <rPr>
        <sz val="11"/>
        <rFont val="Noto Sans CJK SC"/>
        <family val="2"/>
      </rPr>
      <t xml:space="preserve">안드로이드 </t>
    </r>
    <r>
      <rPr>
        <sz val="11"/>
        <rFont val="Arial"/>
        <family val="0"/>
        <charset val="1"/>
      </rPr>
      <t xml:space="preserve">79.16% (StatCounter 2026-09, </t>
    </r>
    <r>
      <rPr>
        <sz val="11"/>
        <rFont val="Noto Sans CJK SC"/>
        <family val="2"/>
      </rPr>
      <t xml:space="preserve">웹 방문 기준</t>
    </r>
    <r>
      <rPr>
        <sz val="11"/>
        <rFont val="Arial"/>
        <family val="0"/>
        <charset val="1"/>
      </rPr>
      <t xml:space="preserve">)</t>
    </r>
  </si>
  <si>
    <t xml:space="preserve">퍼즐 비중</t>
  </si>
  <si>
    <r>
      <rPr>
        <sz val="11"/>
        <rFont val="Noto Sans CJK SC"/>
        <family val="2"/>
      </rPr>
      <t xml:space="preserve">매우 높음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미국 구글 플레이 </t>
    </r>
    <r>
      <rPr>
        <sz val="11"/>
        <rFont val="Arial"/>
        <family val="0"/>
        <charset val="1"/>
      </rPr>
      <t xml:space="preserve">53%)</t>
    </r>
  </si>
  <si>
    <r>
      <rPr>
        <sz val="11"/>
        <rFont val="Noto Sans CJK SC"/>
        <family val="2"/>
      </rPr>
      <t xml:space="preserve">낮음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브라질 </t>
    </r>
    <r>
      <rPr>
        <sz val="11"/>
        <rFont val="Arial"/>
        <family val="0"/>
        <charset val="1"/>
      </rPr>
      <t xml:space="preserve">Top 20 </t>
    </r>
    <r>
      <rPr>
        <sz val="11"/>
        <rFont val="Noto Sans CJK SC"/>
        <family val="2"/>
      </rPr>
      <t xml:space="preserve">중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</si>
  <si>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상위권은 높음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중하위권은 </t>
    </r>
    <r>
      <rPr>
        <sz val="11"/>
        <rFont val="Arial"/>
        <family val="0"/>
        <charset val="1"/>
      </rPr>
      <t xml:space="preserve">IP·RPG</t>
    </r>
  </si>
  <si>
    <t xml:space="preserve">게임 개발 시사점</t>
  </si>
  <si>
    <r>
      <rPr>
        <sz val="11"/>
        <rFont val="Noto Sans CJK SC"/>
        <family val="2"/>
      </rPr>
      <t xml:space="preserve">말이 필요 없는 단순 퍼즐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빠른 신작 출시와 대규모 </t>
    </r>
    <r>
      <rPr>
        <sz val="11"/>
        <rFont val="Arial"/>
        <family val="0"/>
        <charset val="1"/>
      </rPr>
      <t xml:space="preserve">UA</t>
    </r>
  </si>
  <si>
    <r>
      <rPr>
        <sz val="11"/>
        <rFont val="Noto Sans CJK SC"/>
        <family val="2"/>
      </rPr>
      <t xml:space="preserve">가벼운 용량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친구와 함께하는 재미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축구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현지 문화 결합</t>
    </r>
  </si>
  <si>
    <r>
      <rPr>
        <sz val="11"/>
        <rFont val="Noto Sans CJK SC"/>
        <family val="2"/>
      </rPr>
      <t xml:space="preserve">귀여운 캐릭터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유명 </t>
    </r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협업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일본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방치형 성장과 초반 대량 뽑기 이벤트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한국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</si>
  <si>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가벼운 안드로이드 대응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친구와 짧게 겨루는 재미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현지 소재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오토바이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버스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배달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결합 — 분석자 제안</t>
    </r>
  </si>
  <si>
    <t xml:space="preserve">지역</t>
  </si>
  <si>
    <t xml:space="preserve">국가</t>
  </si>
  <si>
    <t xml:space="preserve">기준일</t>
  </si>
  <si>
    <t xml:space="preserve">출처</t>
  </si>
  <si>
    <r>
      <rPr>
        <sz val="11"/>
        <rFont val="Noto Sans CJK SC"/>
        <family val="2"/>
      </rPr>
      <t xml:space="preserve">미국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캐나다</t>
    </r>
  </si>
  <si>
    <t xml:space="preserve">캐나다</t>
  </si>
  <si>
    <t xml:space="preserve">AppBrain Google Play Top Free Games Canada https://www.appbrain.com/stats/google-play-rankings/top_free/game/ca</t>
  </si>
  <si>
    <t xml:space="preserve">Light Ignite - Laser Puzzle</t>
  </si>
  <si>
    <t xml:space="preserve">Branching Factor</t>
  </si>
  <si>
    <t xml:space="preserve">남미</t>
  </si>
  <si>
    <t xml:space="preserve">브라질</t>
  </si>
  <si>
    <t xml:space="preserve">AppBrain Google Play Top Free Games Brazil https://www.appbrain.com/stats/google-play-rankings/top_free/game/br</t>
  </si>
  <si>
    <t xml:space="preserve">Kumquat Hollow Fable</t>
  </si>
  <si>
    <t xml:space="preserve">Azam hussam</t>
  </si>
  <si>
    <t xml:space="preserve">BLACK RUSSIA</t>
  </si>
  <si>
    <t xml:space="preserve">BLACKHUB GAMES</t>
  </si>
  <si>
    <t xml:space="preserve">Football League 2026</t>
  </si>
  <si>
    <t xml:space="preserve">MOBILE SOCCER</t>
  </si>
  <si>
    <t xml:space="preserve">Twisty Snake Out</t>
  </si>
  <si>
    <t xml:space="preserve">NivaLogic</t>
  </si>
  <si>
    <t xml:space="preserve">Minecraft Trial</t>
  </si>
  <si>
    <t xml:space="preserve">Mojang</t>
  </si>
  <si>
    <t xml:space="preserve">Snake.io</t>
  </si>
  <si>
    <t xml:space="preserve">Kooapps</t>
  </si>
  <si>
    <t xml:space="preserve">Block World - Craft City</t>
  </si>
  <si>
    <t xml:space="preserve">Patane Global</t>
  </si>
  <si>
    <t xml:space="preserve">Police Chief</t>
  </si>
  <si>
    <t xml:space="preserve">VoyagerOne IE</t>
  </si>
  <si>
    <t xml:space="preserve">Craft World Block Building 3D</t>
  </si>
  <si>
    <t xml:space="preserve">멕시코</t>
  </si>
  <si>
    <t xml:space="preserve">2026-09-25</t>
  </si>
  <si>
    <r>
      <rPr>
        <sz val="11"/>
        <rFont val="Arial"/>
        <family val="0"/>
        <charset val="1"/>
      </rPr>
      <t xml:space="preserve">AppBrain Google Play Top Free Games Mexico https://www.appbrain.com/stats/google-play-rankings/top_free/game/mx (</t>
    </r>
    <r>
      <rPr>
        <sz val="11"/>
        <rFont val="Noto Sans CJK SC"/>
        <family val="2"/>
      </rPr>
      <t xml:space="preserve">조회 시점 최신이 </t>
    </r>
    <r>
      <rPr>
        <sz val="11"/>
        <rFont val="Arial"/>
        <family val="0"/>
        <charset val="1"/>
      </rPr>
      <t xml:space="preserve">9/25)</t>
    </r>
  </si>
  <si>
    <t xml:space="preserve">Chivas: Pa' La Cancha</t>
  </si>
  <si>
    <t xml:space="preserve">Grupo Omnilife - Chivas</t>
  </si>
  <si>
    <t xml:space="preserve">Block Craft 3D</t>
  </si>
  <si>
    <t xml:space="preserve">X-Clash</t>
  </si>
  <si>
    <t xml:space="preserve">Glaciers Game</t>
  </si>
  <si>
    <t xml:space="preserve">2 3 4 Player Mini Games</t>
  </si>
  <si>
    <t xml:space="preserve">Better World Games</t>
  </si>
  <si>
    <t xml:space="preserve">I Am Cat</t>
  </si>
  <si>
    <t xml:space="preserve">Estoty</t>
  </si>
  <si>
    <t xml:space="preserve">School Party Craft</t>
  </si>
  <si>
    <t xml:space="preserve">Candy Room Games</t>
  </si>
  <si>
    <t xml:space="preserve">아시아</t>
  </si>
  <si>
    <t xml:space="preserve">일본</t>
  </si>
  <si>
    <t xml:space="preserve">AppBrain Google Play Top Free Games Japan https://www.appbrain.com/stats/google-play-rankings/top_free/game/jp</t>
  </si>
  <si>
    <t xml:space="preserve">Top Lords</t>
  </si>
  <si>
    <t xml:space="preserve">GAME SPARK</t>
  </si>
  <si>
    <t xml:space="preserve">Fluffy Drop - No Timer</t>
  </si>
  <si>
    <t xml:space="preserve">UniRise Studio</t>
  </si>
  <si>
    <r>
      <rPr>
        <sz val="11"/>
        <rFont val="Noto Sans CJK SC"/>
        <family val="2"/>
      </rPr>
      <t xml:space="preserve">ちいかわぽけっと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치이카와 포켓</t>
    </r>
    <r>
      <rPr>
        <sz val="11"/>
        <rFont val="Arial"/>
        <family val="0"/>
        <charset val="1"/>
      </rPr>
      <t xml:space="preserve">)</t>
    </r>
  </si>
  <si>
    <t xml:space="preserve">Applibot</t>
  </si>
  <si>
    <t xml:space="preserve">한국</t>
  </si>
  <si>
    <t xml:space="preserve">FORTBLOX: Mobile Fortress GO!</t>
  </si>
  <si>
    <t xml:space="preserve">하이퍼라이즈</t>
  </si>
  <si>
    <t xml:space="preserve">AppBrain Google Play Top Free Games South Korea https://www.appbrain.com/stats/google-play-rankings/top_free/game/kr</t>
  </si>
  <si>
    <r>
      <rPr>
        <sz val="11"/>
        <rFont val="Noto Sans CJK SC"/>
        <family val="2"/>
      </rPr>
      <t xml:space="preserve">후더덕 서바이벌</t>
    </r>
    <r>
      <rPr>
        <sz val="11"/>
        <rFont val="Arial"/>
        <family val="0"/>
        <charset val="1"/>
      </rPr>
      <t xml:space="preserve">-777</t>
    </r>
    <r>
      <rPr>
        <sz val="11"/>
        <rFont val="Noto Sans CJK SC"/>
        <family val="2"/>
      </rPr>
      <t xml:space="preserve">뽑기 증정</t>
    </r>
  </si>
  <si>
    <t xml:space="preserve">Joy Nice Games</t>
  </si>
  <si>
    <r>
      <rPr>
        <sz val="11"/>
        <rFont val="Noto Sans CJK SC"/>
        <family val="2"/>
      </rPr>
      <t xml:space="preserve">고스톱</t>
    </r>
    <r>
      <rPr>
        <sz val="11"/>
        <rFont val="Arial"/>
        <family val="0"/>
        <charset val="1"/>
      </rPr>
      <t xml:space="preserve">M</t>
    </r>
  </si>
  <si>
    <t xml:space="preserve">Noriworks</t>
  </si>
  <si>
    <t xml:space="preserve">Sudoku</t>
  </si>
  <si>
    <t xml:space="preserve">Moca</t>
  </si>
  <si>
    <t xml:space="preserve">Tile King - Triple Match</t>
  </si>
  <si>
    <t xml:space="preserve">국민 고스톱</t>
  </si>
  <si>
    <t xml:space="preserve">Wild Water World</t>
  </si>
  <si>
    <t xml:space="preserve">HK Just Game Technology</t>
  </si>
  <si>
    <r>
      <rPr>
        <sz val="11"/>
        <rFont val="Noto Sans CJK SC"/>
        <family val="2"/>
      </rPr>
      <t xml:space="preserve">로그</t>
    </r>
    <r>
      <rPr>
        <sz val="11"/>
        <rFont val="Arial"/>
        <family val="0"/>
        <charset val="1"/>
      </rPr>
      <t xml:space="preserve">W: </t>
    </r>
    <r>
      <rPr>
        <sz val="11"/>
        <rFont val="Noto Sans CJK SC"/>
        <family val="2"/>
      </rPr>
      <t xml:space="preserve">리메인즈 오브 갓</t>
    </r>
  </si>
  <si>
    <t xml:space="preserve">Efun Company</t>
  </si>
  <si>
    <r>
      <rPr>
        <b val="true"/>
        <sz val="11"/>
        <color rgb="FFFFFFFF"/>
        <rFont val="Noto Sans CJK SC"/>
        <family val="2"/>
      </rPr>
      <t xml:space="preserve">대분류 </t>
    </r>
    <r>
      <rPr>
        <b val="true"/>
        <sz val="11"/>
        <color rgb="FFFFFFFF"/>
        <rFont val="Arial"/>
        <family val="0"/>
        <charset val="1"/>
      </rPr>
      <t xml:space="preserve">(Top 20 </t>
    </r>
    <r>
      <rPr>
        <b val="true"/>
        <sz val="11"/>
        <color rgb="FFFFFFFF"/>
        <rFont val="Noto Sans CJK SC"/>
        <family val="2"/>
      </rPr>
      <t xml:space="preserve">기준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</si>
  <si>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참고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각 국가 구글 플레이 </t>
    </r>
    <r>
      <rPr>
        <i val="true"/>
        <sz val="11"/>
        <color rgb="FF595959"/>
        <rFont val="Arial"/>
        <family val="0"/>
        <charset val="1"/>
      </rPr>
      <t xml:space="preserve">Top 20</t>
    </r>
    <r>
      <rPr>
        <i val="true"/>
        <sz val="11"/>
        <color rgb="FF595959"/>
        <rFont val="Noto Sans CJK SC"/>
        <family val="2"/>
      </rPr>
      <t xml:space="preserve">만 분류한 값입니다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미국 전체 </t>
    </r>
    <r>
      <rPr>
        <i val="true"/>
        <sz val="11"/>
        <color rgb="FF595959"/>
        <rFont val="Arial"/>
        <family val="0"/>
        <charset val="1"/>
      </rPr>
      <t xml:space="preserve">Top 100 </t>
    </r>
    <r>
      <rPr>
        <i val="true"/>
        <sz val="11"/>
        <color rgb="FF595959"/>
        <rFont val="Noto Sans CJK SC"/>
        <family val="2"/>
      </rPr>
      <t xml:space="preserve">분포는 </t>
    </r>
    <r>
      <rPr>
        <i val="true"/>
        <sz val="11"/>
        <color rgb="FF595959"/>
        <rFont val="Arial"/>
        <family val="0"/>
        <charset val="1"/>
      </rPr>
      <t xml:space="preserve">'1-3 </t>
    </r>
    <r>
      <rPr>
        <i val="true"/>
        <sz val="11"/>
        <color rgb="FF595959"/>
        <rFont val="Noto Sans CJK SC"/>
        <family val="2"/>
      </rPr>
      <t xml:space="preserve">장르 분포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시트를 보세요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</si>
  <si>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미국 </t>
    </r>
    <r>
      <rPr>
        <b val="true"/>
        <sz val="11"/>
        <color rgb="FFFFFFFF"/>
        <rFont val="Arial"/>
        <family val="0"/>
        <charset val="1"/>
      </rPr>
      <t xml:space="preserve">GP</t>
    </r>
  </si>
  <si>
    <r>
      <rPr>
        <b val="true"/>
        <sz val="11"/>
        <color rgb="FFFFFFFF"/>
        <rFont val="Noto Sans CJK SC"/>
        <family val="2"/>
      </rPr>
      <t xml:space="preserve">등장 국가 수 </t>
    </r>
    <r>
      <rPr>
        <b val="true"/>
        <sz val="11"/>
        <color rgb="FFFFFFFF"/>
        <rFont val="Arial"/>
        <family val="0"/>
        <charset val="1"/>
      </rPr>
      <t xml:space="preserve">(6</t>
    </r>
    <r>
      <rPr>
        <b val="true"/>
        <sz val="11"/>
        <color rgb="FFFFFFFF"/>
        <rFont val="Noto Sans CJK SC"/>
        <family val="2"/>
      </rPr>
      <t xml:space="preserve">개국 중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</si>
  <si>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Meowdoku</t>
  </si>
  <si>
    <r>
      <rPr>
        <i val="true"/>
        <sz val="11"/>
        <color rgb="FF595959"/>
        <rFont val="Noto Sans CJK SC"/>
        <family val="2"/>
      </rPr>
      <t xml:space="preserve">숫자는 각 국가 구글 플레이 </t>
    </r>
    <r>
      <rPr>
        <i val="true"/>
        <sz val="11"/>
        <color rgb="FF595959"/>
        <rFont val="Arial"/>
        <family val="0"/>
        <charset val="1"/>
      </rPr>
      <t xml:space="preserve">Top Free Games </t>
    </r>
    <r>
      <rPr>
        <i val="true"/>
        <sz val="11"/>
        <color rgb="FF595959"/>
        <rFont val="Noto Sans CJK SC"/>
        <family val="2"/>
      </rPr>
      <t xml:space="preserve">순위</t>
    </r>
    <r>
      <rPr>
        <i val="true"/>
        <sz val="11"/>
        <color rgb="FF595959"/>
        <rFont val="Arial"/>
        <family val="0"/>
        <charset val="1"/>
      </rPr>
      <t xml:space="preserve">, '-'</t>
    </r>
    <r>
      <rPr>
        <i val="true"/>
        <sz val="11"/>
        <color rgb="FF595959"/>
        <rFont val="Noto Sans CJK SC"/>
        <family val="2"/>
      </rPr>
      <t xml:space="preserve">는 </t>
    </r>
    <r>
      <rPr>
        <i val="true"/>
        <sz val="11"/>
        <color rgb="FF595959"/>
        <rFont val="Arial"/>
        <family val="0"/>
        <charset val="1"/>
      </rPr>
      <t xml:space="preserve">Top 100 </t>
    </r>
    <r>
      <rPr>
        <i val="true"/>
        <sz val="11"/>
        <color rgb="FF595959"/>
        <rFont val="Noto Sans CJK SC"/>
        <family val="2"/>
      </rPr>
      <t xml:space="preserve">밖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</si>
  <si>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Rotate Rings</t>
    </r>
    <r>
      <rPr>
        <i val="true"/>
        <sz val="11"/>
        <color rgb="FF595959"/>
        <rFont val="Noto Sans CJK SC"/>
        <family val="2"/>
      </rPr>
      <t xml:space="preserve">가 멕시코에 없는 것은 멕시코 자료가 </t>
    </r>
    <r>
      <rPr>
        <i val="true"/>
        <sz val="11"/>
        <color rgb="FF595959"/>
        <rFont val="Arial"/>
        <family val="0"/>
        <charset val="1"/>
      </rPr>
      <t xml:space="preserve">9/25 </t>
    </r>
    <r>
      <rPr>
        <i val="true"/>
        <sz val="11"/>
        <color rgb="FF595959"/>
        <rFont val="Noto Sans CJK SC"/>
        <family val="2"/>
      </rPr>
      <t xml:space="preserve">기준으로 더 오래됐기 때문일 수 있음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</si>
  <si>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정정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이전 답변에서 </t>
    </r>
    <r>
      <rPr>
        <i val="true"/>
        <sz val="11"/>
        <color rgb="FF595959"/>
        <rFont val="Arial"/>
        <family val="0"/>
        <charset val="1"/>
      </rPr>
      <t xml:space="preserve">Royal Match</t>
    </r>
    <r>
      <rPr>
        <i val="true"/>
        <sz val="11"/>
        <color rgb="FF595959"/>
        <rFont val="Noto Sans CJK SC"/>
        <family val="2"/>
      </rPr>
      <t xml:space="preserve">를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모든 지역 공통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으로 소개했으나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브라질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멕시코 </t>
    </r>
    <r>
      <rPr>
        <i val="true"/>
        <sz val="11"/>
        <color rgb="FF595959"/>
        <rFont val="Arial"/>
        <family val="0"/>
        <charset val="1"/>
      </rPr>
      <t xml:space="preserve">Top 100</t>
    </r>
    <r>
      <rPr>
        <i val="true"/>
        <sz val="11"/>
        <color rgb="FF595959"/>
        <rFont val="Noto Sans CJK SC"/>
        <family val="2"/>
      </rPr>
      <t xml:space="preserve">에는 없음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</si>
  <si>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특징</t>
  </si>
  <si>
    <r>
      <rPr>
        <b val="true"/>
        <sz val="11"/>
        <color rgb="FFFFFFFF"/>
        <rFont val="Noto Sans CJK SC"/>
        <family val="2"/>
      </rPr>
      <t xml:space="preserve">근거 게임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순위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</si>
  <si>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분류</t>
  </si>
  <si>
    <t xml:space="preserve">미국과 거의 동일한 퍼즐 중심 차트</t>
  </si>
  <si>
    <t xml:space="preserve">Meowdoku(1), Rotate Rings(2), Magic Sort(4), Amaze GO!(5), Block Blast(7)</t>
  </si>
  <si>
    <t xml:space="preserve">데이터</t>
  </si>
  <si>
    <t xml:space="preserve">온라인 카지노 앱 진입</t>
  </si>
  <si>
    <t xml:space="preserve">Jackpot City: Online Casino(33)</t>
  </si>
  <si>
    <t xml:space="preserve">단어 퍼즐 인기</t>
  </si>
  <si>
    <t xml:space="preserve">Word Tiles(20), Crossword Go!(44), Words of Wonders(60, 74)</t>
  </si>
  <si>
    <r>
      <rPr>
        <sz val="11"/>
        <rFont val="Arial"/>
        <family val="0"/>
        <charset val="1"/>
      </rPr>
      <t xml:space="preserve">Roblox·Free Fire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1·2</t>
    </r>
    <r>
      <rPr>
        <sz val="11"/>
        <rFont val="Noto Sans CJK SC"/>
        <family val="2"/>
      </rPr>
      <t xml:space="preserve">위</t>
    </r>
  </si>
  <si>
    <t xml:space="preserve">Roblox(1), Free Fire x NARUTO(2)</t>
  </si>
  <si>
    <r>
      <rPr>
        <sz val="11"/>
        <rFont val="Arial"/>
        <family val="0"/>
        <charset val="1"/>
      </rPr>
      <t xml:space="preserve">Free Fire</t>
    </r>
    <r>
      <rPr>
        <sz val="11"/>
        <rFont val="Noto Sans CJK SC"/>
        <family val="2"/>
      </rPr>
      <t xml:space="preserve">는 저사양 폰에서도 잘 돌아간다는 평가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브라질 투표 인기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위 수상 이력</t>
    </r>
  </si>
  <si>
    <r>
      <rPr>
        <sz val="11"/>
        <rFont val="Arial"/>
        <family val="0"/>
        <charset val="1"/>
      </rPr>
      <t xml:space="preserve">Wikipedia Free Fire </t>
    </r>
    <r>
      <rPr>
        <sz val="11"/>
        <rFont val="Noto Sans CJK SC"/>
        <family val="2"/>
      </rPr>
      <t xml:space="preserve">문서</t>
    </r>
  </si>
  <si>
    <t xml:space="preserve">외부 자료</t>
  </si>
  <si>
    <r>
      <rPr>
        <sz val="11"/>
        <rFont val="Noto Sans CJK SC"/>
        <family val="2"/>
      </rPr>
      <t xml:space="preserve">축구 게임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</t>
    </r>
  </si>
  <si>
    <t xml:space="preserve">Football League 2026(10), eFootball(27), EA FC 27(34), Soccer Superstar(40), Mini Soccer(60), Dream League Soccer(94)</t>
  </si>
  <si>
    <r>
      <rPr>
        <sz val="11"/>
        <rFont val="Noto Sans CJK SC"/>
        <family val="2"/>
      </rPr>
      <t xml:space="preserve">오토바이 앞바퀴 들기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그라우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게임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</t>
    </r>
  </si>
  <si>
    <t xml:space="preserve">Moto Wheelie 3D(28), Elite Auto Brazil(31), Wheelie Master(43), Wheelie Life(46), Moto Wheelie Traffic(55), Projeto Grau(100)</t>
  </si>
  <si>
    <r>
      <rPr>
        <sz val="11"/>
        <rFont val="Noto Sans CJK SC"/>
        <family val="2"/>
      </rPr>
      <t xml:space="preserve">블록 쌓기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샌드박스</t>
    </r>
  </si>
  <si>
    <t xml:space="preserve">Minecraft Trial(12), Block World(15), Craft World(19), School Party Craft(21), Block Craft 3D(26)</t>
  </si>
  <si>
    <r>
      <rPr>
        <sz val="11"/>
        <rFont val="Noto Sans CJK SC"/>
        <family val="2"/>
      </rPr>
      <t xml:space="preserve">가상 펫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키즈 게임</t>
    </r>
  </si>
  <si>
    <t xml:space="preserve">Pou(24), My Talking Tom 2(37), My Talking Angela 2(42), Piano Kids(32), Bluey(76), BabyBus(82)</t>
  </si>
  <si>
    <t xml:space="preserve">온라인 롤플레이 라이프 시뮬</t>
  </si>
  <si>
    <t xml:space="preserve">BLACK RUSSIA(7), Rio Rise(83)</t>
  </si>
  <si>
    <r>
      <rPr>
        <sz val="11"/>
        <rFont val="Noto Sans CJK SC"/>
        <family val="2"/>
      </rPr>
      <t xml:space="preserve">미국식 퍼즐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남미식 축구</t>
    </r>
    <r>
      <rPr>
        <sz val="11"/>
        <rFont val="Arial"/>
        <family val="0"/>
        <charset val="1"/>
      </rPr>
      <t xml:space="preserve">·Free Fire </t>
    </r>
    <r>
      <rPr>
        <sz val="11"/>
        <rFont val="Noto Sans CJK SC"/>
        <family val="2"/>
      </rPr>
      <t xml:space="preserve">혼합</t>
    </r>
  </si>
  <si>
    <t xml:space="preserve">Bus Fever Party(2), Block Blast(4), Free Fire(3), Chivas(6), EA FC 27(12)</t>
  </si>
  <si>
    <t xml:space="preserve">현지 축구팀 공식 게임</t>
  </si>
  <si>
    <t xml:space="preserve">Chivas: Pa' La Cancha(6)</t>
  </si>
  <si>
    <r>
      <rPr>
        <sz val="11"/>
        <rFont val="Noto Sans CJK SC"/>
        <family val="2"/>
      </rPr>
      <t xml:space="preserve">리얼머니 카지노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베팅 앱</t>
    </r>
  </si>
  <si>
    <t xml:space="preserve">AFUN Lite(26), Afun.MX(44), Betmaster(63), betmexico.mx(71)</t>
  </si>
  <si>
    <r>
      <rPr>
        <sz val="11"/>
        <rFont val="Noto Sans CJK SC"/>
        <family val="2"/>
      </rPr>
      <t xml:space="preserve">여럿이 하는 미니게임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오프라인 게임</t>
    </r>
  </si>
  <si>
    <t xml:space="preserve">2 3 4 Player Mini Games(17), Offline Games FunOn(45)</t>
  </si>
  <si>
    <t xml:space="preserve">상위권은 글로벌 퍼즐</t>
  </si>
  <si>
    <t xml:space="preserve">Meowdoku(1), Rotate Rings(2), Block Blast(3), Fish Sort(4), Royal Kingdom(5)</t>
  </si>
  <si>
    <r>
      <rPr>
        <sz val="11"/>
        <rFont val="Noto Sans CJK SC"/>
        <family val="2"/>
      </rPr>
      <t xml:space="preserve">만화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캐릭터 </t>
    </r>
    <r>
      <rPr>
        <sz val="11"/>
        <rFont val="Arial"/>
        <family val="0"/>
        <charset val="1"/>
      </rPr>
      <t xml:space="preserve">IP </t>
    </r>
    <r>
      <rPr>
        <sz val="11"/>
        <rFont val="Noto Sans CJK SC"/>
        <family val="2"/>
      </rPr>
      <t xml:space="preserve">게임 다수</t>
    </r>
  </si>
  <si>
    <r>
      <rPr>
        <sz val="11"/>
        <rFont val="Noto Sans CJK SC"/>
        <family val="2"/>
      </rPr>
      <t xml:space="preserve">치이카와 포켓</t>
    </r>
    <r>
      <rPr>
        <sz val="11"/>
        <rFont val="Arial"/>
        <family val="0"/>
        <charset val="1"/>
      </rPr>
      <t xml:space="preserve">(20), </t>
    </r>
    <r>
      <rPr>
        <sz val="11"/>
        <rFont val="Noto Sans CJK SC"/>
        <family val="2"/>
      </rPr>
      <t xml:space="preserve">도검난무 퍼즐</t>
    </r>
    <r>
      <rPr>
        <sz val="11"/>
        <rFont val="Arial"/>
        <family val="0"/>
        <charset val="1"/>
      </rPr>
      <t xml:space="preserve">(24), Pokémon TCG Pocket(30), Pokémon Sleep(41), </t>
    </r>
    <r>
      <rPr>
        <sz val="11"/>
        <rFont val="Noto Sans CJK SC"/>
        <family val="2"/>
      </rPr>
      <t xml:space="preserve">몬스터 스트라이크</t>
    </r>
    <r>
      <rPr>
        <sz val="11"/>
        <rFont val="Arial"/>
        <family val="0"/>
        <charset val="1"/>
      </rPr>
      <t xml:space="preserve">(44), </t>
    </r>
    <r>
      <rPr>
        <sz val="11"/>
        <rFont val="Noto Sans CJK SC"/>
        <family val="2"/>
      </rPr>
      <t xml:space="preserve">냥코 대전쟁</t>
    </r>
    <r>
      <rPr>
        <sz val="11"/>
        <rFont val="Arial"/>
        <family val="0"/>
        <charset val="1"/>
      </rPr>
      <t xml:space="preserve">(51), </t>
    </r>
    <r>
      <rPr>
        <sz val="11"/>
        <rFont val="Noto Sans CJK SC"/>
        <family val="2"/>
      </rPr>
      <t xml:space="preserve">뿌요뿌요 퀘스트</t>
    </r>
    <r>
      <rPr>
        <sz val="11"/>
        <rFont val="Arial"/>
        <family val="0"/>
        <charset val="1"/>
      </rPr>
      <t xml:space="preserve">(67), </t>
    </r>
    <r>
      <rPr>
        <sz val="11"/>
        <rFont val="Noto Sans CJK SC"/>
        <family val="2"/>
      </rPr>
      <t xml:space="preserve">디즈니 츠무츠무</t>
    </r>
    <r>
      <rPr>
        <sz val="11"/>
        <rFont val="Arial"/>
        <family val="0"/>
        <charset val="1"/>
      </rPr>
      <t xml:space="preserve">(71), Pokémon Champions(87)</t>
    </r>
  </si>
  <si>
    <t xml:space="preserve">리듬 게임</t>
  </si>
  <si>
    <r>
      <rPr>
        <sz val="11"/>
        <rFont val="Noto Sans CJK SC"/>
        <family val="2"/>
      </rPr>
      <t xml:space="preserve">뱅드림 아워노츠</t>
    </r>
    <r>
      <rPr>
        <sz val="11"/>
        <rFont val="Arial"/>
        <family val="0"/>
        <charset val="1"/>
      </rPr>
      <t xml:space="preserve">(48), </t>
    </r>
    <r>
      <rPr>
        <sz val="11"/>
        <rFont val="Noto Sans CJK SC"/>
        <family val="2"/>
      </rPr>
      <t xml:space="preserve">프로젝트 세카이</t>
    </r>
    <r>
      <rPr>
        <sz val="11"/>
        <rFont val="Arial"/>
        <family val="0"/>
        <charset val="1"/>
      </rPr>
      <t xml:space="preserve">(85)</t>
    </r>
  </si>
  <si>
    <r>
      <rPr>
        <sz val="11"/>
        <rFont val="Noto Sans CJK SC"/>
        <family val="2"/>
      </rPr>
      <t xml:space="preserve">포인트 적립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포이카츠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게임</t>
    </r>
  </si>
  <si>
    <r>
      <rPr>
        <sz val="11"/>
        <rFont val="Noto Sans CJK SC"/>
        <family val="2"/>
      </rPr>
      <t xml:space="preserve">ポイ活にゃんこのつり日和</t>
    </r>
    <r>
      <rPr>
        <sz val="11"/>
        <rFont val="Arial"/>
        <family val="0"/>
        <charset val="1"/>
      </rPr>
      <t xml:space="preserve">(61), </t>
    </r>
    <r>
      <rPr>
        <sz val="11"/>
        <rFont val="Noto Sans CJK SC"/>
        <family val="2"/>
      </rPr>
      <t xml:space="preserve">ポイムのはちうえ</t>
    </r>
    <r>
      <rPr>
        <sz val="11"/>
        <rFont val="Arial"/>
        <family val="0"/>
        <charset val="1"/>
      </rPr>
      <t xml:space="preserve">(64), </t>
    </r>
    <r>
      <rPr>
        <sz val="11"/>
        <rFont val="Noto Sans CJK SC"/>
        <family val="2"/>
      </rPr>
      <t xml:space="preserve">ねこ旅</t>
    </r>
    <r>
      <rPr>
        <sz val="11"/>
        <rFont val="Arial"/>
        <family val="0"/>
        <charset val="1"/>
      </rPr>
      <t xml:space="preserve">(74)</t>
    </r>
  </si>
  <si>
    <r>
      <rPr>
        <sz val="11"/>
        <rFont val="Noto Sans CJK SC"/>
        <family val="2"/>
      </rPr>
      <t xml:space="preserve">파칭코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메달 푸셔</t>
    </r>
  </si>
  <si>
    <r>
      <rPr>
        <sz val="11"/>
        <rFont val="Arial"/>
        <family val="0"/>
        <charset val="1"/>
      </rPr>
      <t xml:space="preserve">[7R]</t>
    </r>
    <r>
      <rPr>
        <sz val="11"/>
        <rFont val="Noto Sans CJK SC"/>
        <family val="2"/>
      </rPr>
      <t xml:space="preserve">ビッグドリーム </t>
    </r>
    <r>
      <rPr>
        <sz val="11"/>
        <rFont val="Arial"/>
        <family val="0"/>
        <charset val="1"/>
      </rPr>
      <t xml:space="preserve">THE GOLDEN PUSHER(42)</t>
    </r>
  </si>
  <si>
    <r>
      <rPr>
        <sz val="11"/>
        <rFont val="Noto Sans CJK SC"/>
        <family val="2"/>
      </rPr>
      <t xml:space="preserve">매출의 </t>
    </r>
    <r>
      <rPr>
        <sz val="11"/>
        <rFont val="Arial"/>
        <family val="0"/>
        <charset val="1"/>
      </rPr>
      <t xml:space="preserve">48.8%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RPG, </t>
    </r>
    <r>
      <rPr>
        <sz val="11"/>
        <rFont val="Noto Sans CJK SC"/>
        <family val="2"/>
      </rPr>
      <t xml:space="preserve">게임 다운로드의 </t>
    </r>
    <r>
      <rPr>
        <sz val="11"/>
        <rFont val="Arial"/>
        <family val="0"/>
        <charset val="1"/>
      </rPr>
      <t xml:space="preserve">55%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iOS, </t>
    </r>
    <r>
      <rPr>
        <sz val="11"/>
        <rFont val="Noto Sans CJK SC"/>
        <family val="2"/>
      </rPr>
      <t xml:space="preserve">게이머 </t>
    </r>
    <r>
      <rPr>
        <sz val="11"/>
        <rFont val="Arial"/>
        <family val="0"/>
        <charset val="1"/>
      </rPr>
      <t xml:space="preserve">63.6%</t>
    </r>
    <r>
      <rPr>
        <sz val="11"/>
        <rFont val="Noto Sans CJK SC"/>
        <family val="2"/>
      </rPr>
      <t xml:space="preserve">가 남성</t>
    </r>
  </si>
  <si>
    <r>
      <rPr>
        <sz val="11"/>
        <rFont val="Arial"/>
        <family val="0"/>
        <charset val="1"/>
      </rPr>
      <t xml:space="preserve">Sensor Tower &amp; Adjust </t>
    </r>
    <r>
      <rPr>
        <sz val="11"/>
        <rFont val="Noto Sans CJK SC"/>
        <family val="2"/>
      </rPr>
      <t xml:space="preserve">일본 시장 리포트</t>
    </r>
    <r>
      <rPr>
        <sz val="11"/>
        <rFont val="Arial"/>
        <family val="0"/>
        <charset val="1"/>
      </rPr>
      <t xml:space="preserve">(2024)</t>
    </r>
  </si>
  <si>
    <r>
      <rPr>
        <sz val="11"/>
        <rFont val="Noto Sans CJK SC"/>
        <family val="2"/>
      </rPr>
      <t xml:space="preserve">게임명에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뽑기 증정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을 넣는 방치형 </t>
    </r>
    <r>
      <rPr>
        <sz val="11"/>
        <rFont val="Arial"/>
        <family val="0"/>
        <charset val="1"/>
      </rPr>
      <t xml:space="preserve">RPG</t>
    </r>
  </si>
  <si>
    <r>
      <rPr>
        <sz val="11"/>
        <rFont val="Noto Sans CJK SC"/>
        <family val="2"/>
      </rPr>
      <t xml:space="preserve">후더덕 서바이벌</t>
    </r>
    <r>
      <rPr>
        <sz val="11"/>
        <rFont val="Arial"/>
        <family val="0"/>
        <charset val="1"/>
      </rPr>
      <t xml:space="preserve">-777</t>
    </r>
    <r>
      <rPr>
        <sz val="11"/>
        <rFont val="Noto Sans CJK SC"/>
        <family val="2"/>
      </rPr>
      <t xml:space="preserve">뽑기 증정</t>
    </r>
    <r>
      <rPr>
        <sz val="11"/>
        <rFont val="Arial"/>
        <family val="0"/>
        <charset val="1"/>
      </rPr>
      <t xml:space="preserve">(2), </t>
    </r>
    <r>
      <rPr>
        <sz val="11"/>
        <rFont val="Noto Sans CJK SC"/>
        <family val="2"/>
      </rPr>
      <t xml:space="preserve">트릭컬 리바이브</t>
    </r>
    <r>
      <rPr>
        <sz val="11"/>
        <rFont val="Arial"/>
        <family val="0"/>
        <charset val="1"/>
      </rPr>
      <t xml:space="preserve">-600</t>
    </r>
    <r>
      <rPr>
        <sz val="11"/>
        <rFont val="Noto Sans CJK SC"/>
        <family val="2"/>
      </rPr>
      <t xml:space="preserve">뽑기 증정</t>
    </r>
    <r>
      <rPr>
        <sz val="11"/>
        <rFont val="Arial"/>
        <family val="0"/>
        <charset val="1"/>
      </rPr>
      <t xml:space="preserve">(44), </t>
    </r>
    <r>
      <rPr>
        <sz val="11"/>
        <rFont val="Noto Sans CJK SC"/>
        <family val="2"/>
      </rPr>
      <t xml:space="preserve">토이 신선</t>
    </r>
    <r>
      <rPr>
        <sz val="11"/>
        <rFont val="Arial"/>
        <family val="0"/>
        <charset val="1"/>
      </rPr>
      <t xml:space="preserve">-</t>
    </r>
    <r>
      <rPr>
        <sz val="11"/>
        <rFont val="Noto Sans CJK SC"/>
        <family val="2"/>
      </rPr>
      <t xml:space="preserve">모든 영웅 증정</t>
    </r>
    <r>
      <rPr>
        <sz val="11"/>
        <rFont val="Arial"/>
        <family val="0"/>
        <charset val="1"/>
      </rPr>
      <t xml:space="preserve">(59)</t>
    </r>
  </si>
  <si>
    <r>
      <rPr>
        <sz val="11"/>
        <rFont val="Noto Sans CJK SC"/>
        <family val="2"/>
      </rPr>
      <t xml:space="preserve">방치형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키우기 </t>
    </r>
    <r>
      <rPr>
        <sz val="11"/>
        <rFont val="Arial"/>
        <family val="0"/>
        <charset val="1"/>
      </rPr>
      <t xml:space="preserve">RPG </t>
    </r>
    <r>
      <rPr>
        <sz val="11"/>
        <rFont val="Noto Sans CJK SC"/>
        <family val="2"/>
      </rPr>
      <t xml:space="preserve">다수</t>
    </r>
  </si>
  <si>
    <r>
      <rPr>
        <sz val="11"/>
        <rFont val="Noto Sans CJK SC"/>
        <family val="2"/>
      </rPr>
      <t xml:space="preserve">아가타 키우기</t>
    </r>
    <r>
      <rPr>
        <sz val="11"/>
        <rFont val="Arial"/>
        <family val="0"/>
        <charset val="1"/>
      </rPr>
      <t xml:space="preserve">(22), </t>
    </r>
    <r>
      <rPr>
        <sz val="11"/>
        <rFont val="Noto Sans CJK SC"/>
        <family val="2"/>
      </rPr>
      <t xml:space="preserve">나만 </t>
    </r>
    <r>
      <rPr>
        <sz val="11"/>
        <rFont val="Arial"/>
        <family val="0"/>
        <charset val="1"/>
      </rPr>
      <t xml:space="preserve">SSS</t>
    </r>
    <r>
      <rPr>
        <sz val="11"/>
        <rFont val="Noto Sans CJK SC"/>
        <family val="2"/>
      </rPr>
      <t xml:space="preserve">급 퇴마사</t>
    </r>
    <r>
      <rPr>
        <sz val="11"/>
        <rFont val="Arial"/>
        <family val="0"/>
        <charset val="1"/>
      </rPr>
      <t xml:space="preserve">(34), MapleStory Idle RPG(54), </t>
    </r>
    <r>
      <rPr>
        <sz val="11"/>
        <rFont val="Noto Sans CJK SC"/>
        <family val="2"/>
      </rPr>
      <t xml:space="preserve">오늘도 환생 </t>
    </r>
    <r>
      <rPr>
        <sz val="11"/>
        <rFont val="Arial"/>
        <family val="0"/>
        <charset val="1"/>
      </rPr>
      <t xml:space="preserve">2(84)</t>
    </r>
  </si>
  <si>
    <r>
      <rPr>
        <sz val="11"/>
        <rFont val="Noto Sans CJK SC"/>
        <family val="2"/>
      </rPr>
      <t xml:space="preserve">고스톱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포커</t>
    </r>
  </si>
  <si>
    <r>
      <rPr>
        <sz val="11"/>
        <rFont val="Noto Sans CJK SC"/>
        <family val="2"/>
      </rPr>
      <t xml:space="preserve">고스톱</t>
    </r>
    <r>
      <rPr>
        <sz val="11"/>
        <rFont val="Arial"/>
        <family val="0"/>
        <charset val="1"/>
      </rPr>
      <t xml:space="preserve">M(4), </t>
    </r>
    <r>
      <rPr>
        <sz val="11"/>
        <rFont val="Noto Sans CJK SC"/>
        <family val="2"/>
      </rPr>
      <t xml:space="preserve">국민 고스톱</t>
    </r>
    <r>
      <rPr>
        <sz val="11"/>
        <rFont val="Arial"/>
        <family val="0"/>
        <charset val="1"/>
      </rPr>
      <t xml:space="preserve">(11), </t>
    </r>
    <r>
      <rPr>
        <sz val="11"/>
        <rFont val="Noto Sans CJK SC"/>
        <family val="2"/>
      </rPr>
      <t xml:space="preserve">한게임 포커 클래식</t>
    </r>
    <r>
      <rPr>
        <sz val="11"/>
        <rFont val="Arial"/>
        <family val="0"/>
        <charset val="1"/>
      </rPr>
      <t xml:space="preserve">(86)</t>
    </r>
  </si>
  <si>
    <r>
      <rPr>
        <sz val="11"/>
        <rFont val="Noto Sans CJK SC"/>
        <family val="2"/>
      </rPr>
      <t xml:space="preserve">과일 합치기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수박 게임류</t>
    </r>
    <r>
      <rPr>
        <sz val="11"/>
        <rFont val="Arial"/>
        <family val="0"/>
        <charset val="1"/>
      </rPr>
      <t xml:space="preserve">)</t>
    </r>
  </si>
  <si>
    <t xml:space="preserve">Watermelon Maker 2048(57), Melon Maker(81)</t>
  </si>
  <si>
    <t xml:space="preserve">국산 주사위 디펜스</t>
  </si>
  <si>
    <t xml:space="preserve">Random Dice 2(63)</t>
  </si>
  <si>
    <r>
      <rPr>
        <sz val="11"/>
        <rFont val="Noto Sans CJK SC"/>
        <family val="2"/>
      </rPr>
      <t xml:space="preserve">해외 </t>
    </r>
    <r>
      <rPr>
        <sz val="11"/>
        <rFont val="Arial"/>
        <family val="0"/>
        <charset val="1"/>
      </rPr>
      <t xml:space="preserve">SLG/RPG</t>
    </r>
    <r>
      <rPr>
        <sz val="11"/>
        <rFont val="Noto Sans CJK SC"/>
        <family val="2"/>
      </rPr>
      <t xml:space="preserve">의 한국어 현지화 출시</t>
    </r>
  </si>
  <si>
    <r>
      <rPr>
        <sz val="11"/>
        <rFont val="Arial"/>
        <family val="0"/>
        <charset val="1"/>
      </rPr>
      <t xml:space="preserve">X </t>
    </r>
    <r>
      <rPr>
        <sz val="11"/>
        <rFont val="Noto Sans CJK SC"/>
        <family val="2"/>
      </rPr>
      <t xml:space="preserve">클래시</t>
    </r>
    <r>
      <rPr>
        <sz val="11"/>
        <rFont val="Arial"/>
        <family val="0"/>
        <charset val="1"/>
      </rPr>
      <t xml:space="preserve">(66), </t>
    </r>
    <r>
      <rPr>
        <sz val="11"/>
        <rFont val="Noto Sans CJK SC"/>
        <family val="2"/>
      </rPr>
      <t xml:space="preserve">라스트 에코</t>
    </r>
    <r>
      <rPr>
        <sz val="11"/>
        <rFont val="Arial"/>
        <family val="0"/>
        <charset val="1"/>
      </rPr>
      <t xml:space="preserve">(93), </t>
    </r>
    <r>
      <rPr>
        <sz val="11"/>
        <rFont val="Noto Sans CJK SC"/>
        <family val="2"/>
      </rPr>
      <t xml:space="preserve">삼국지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제후의 전쟁</t>
    </r>
    <r>
      <rPr>
        <sz val="11"/>
        <rFont val="Arial"/>
        <family val="0"/>
        <charset val="1"/>
      </rPr>
      <t xml:space="preserve">(42)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</si>
  <si>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A. </t>
    </r>
    <r>
      <rPr>
        <b val="true"/>
        <sz val="12"/>
        <rFont val="Noto Sans CJK SC"/>
        <family val="2"/>
      </rPr>
      <t xml:space="preserve">모바일 </t>
    </r>
    <r>
      <rPr>
        <b val="true"/>
        <sz val="12"/>
        <rFont val="Arial"/>
        <family val="0"/>
        <charset val="1"/>
      </rPr>
      <t xml:space="preserve">OS </t>
    </r>
    <r>
      <rPr>
        <b val="true"/>
        <sz val="12"/>
        <rFont val="Noto Sans CJK SC"/>
        <family val="2"/>
      </rPr>
      <t xml:space="preserve">사용 점유율 — </t>
    </r>
    <r>
      <rPr>
        <b val="true"/>
        <sz val="12"/>
        <rFont val="Arial"/>
        <family val="0"/>
        <charset val="1"/>
      </rPr>
      <t xml:space="preserve">StatCounter (</t>
    </r>
    <r>
      <rPr>
        <b val="true"/>
        <sz val="12"/>
        <rFont val="Noto Sans CJK SC"/>
        <family val="2"/>
      </rPr>
      <t xml:space="preserve">웹사이트 방문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페이지뷰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기준이라 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기기 대수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와 다를 수 있음</t>
    </r>
    <r>
      <rPr>
        <b val="true"/>
        <sz val="12"/>
        <rFont val="Arial"/>
        <family val="0"/>
        <charset val="1"/>
      </rPr>
      <t xml:space="preserve">)</t>
    </r>
  </si>
  <si>
    <t xml:space="preserve">구분</t>
  </si>
  <si>
    <t xml:space="preserve">Android</t>
  </si>
  <si>
    <t xml:space="preserve">iOS</t>
  </si>
  <si>
    <r>
      <rPr>
        <b val="true"/>
        <sz val="11"/>
        <color rgb="FFFFFFFF"/>
        <rFont val="Noto Sans CJK SC"/>
        <family val="2"/>
      </rPr>
      <t xml:space="preserve">기타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</si>
  <si>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더 많은 </t>
    </r>
    <r>
      <rPr>
        <b val="true"/>
        <sz val="11"/>
        <color rgb="FFFFFFFF"/>
        <rFont val="Arial"/>
        <family val="0"/>
        <charset val="1"/>
      </rPr>
      <t xml:space="preserve">OS 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</si>
  <si>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기준 월</t>
  </si>
  <si>
    <t xml:space="preserve">세계</t>
  </si>
  <si>
    <t xml:space="preserve">2026-09</t>
  </si>
  <si>
    <t xml:space="preserve">https://gs.statcounter.com/os-market-share/mobile/worldwide</t>
  </si>
  <si>
    <t xml:space="preserve">대륙</t>
  </si>
  <si>
    <t xml:space="preserve">북미</t>
  </si>
  <si>
    <t xml:space="preserve">https://gs.statcounter.com/os-market-share/mobile/north-america</t>
  </si>
  <si>
    <r>
      <rPr>
        <sz val="11"/>
        <rFont val="Arial"/>
        <family val="0"/>
        <charset val="1"/>
      </rPr>
      <t xml:space="preserve">StatCounter</t>
    </r>
    <r>
      <rPr>
        <sz val="11"/>
        <rFont val="Noto Sans CJK SC"/>
        <family val="2"/>
      </rPr>
      <t xml:space="preserve">는 멕시코를 북미에 포함</t>
    </r>
  </si>
  <si>
    <t xml:space="preserve">https://gs.statcounter.com/os-market-share/mobile/south-america</t>
  </si>
  <si>
    <t xml:space="preserve">유럽</t>
  </si>
  <si>
    <t xml:space="preserve">https://gs.statcounter.com/os-market-share/mobile/europe</t>
  </si>
  <si>
    <t xml:space="preserve">https://gs.statcounter.com/os-market-share/mobile/asia</t>
  </si>
  <si>
    <t xml:space="preserve">오세아니아</t>
  </si>
  <si>
    <t xml:space="preserve">2026-08</t>
  </si>
  <si>
    <t xml:space="preserve">https://gs.statcounter.com/os-market-share/mobile/oceania</t>
  </si>
  <si>
    <r>
      <rPr>
        <sz val="11"/>
        <rFont val="Noto Sans CJK SC"/>
        <family val="2"/>
      </rPr>
      <t xml:space="preserve">조회 시점 페이지에 </t>
    </r>
    <r>
      <rPr>
        <sz val="11"/>
        <rFont val="Arial"/>
        <family val="0"/>
        <charset val="1"/>
      </rPr>
      <t xml:space="preserve">9</t>
    </r>
    <r>
      <rPr>
        <sz val="11"/>
        <rFont val="Noto Sans CJK SC"/>
        <family val="2"/>
      </rPr>
      <t xml:space="preserve">월 값이 아직 없어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월 값 사용</t>
    </r>
  </si>
  <si>
    <t xml:space="preserve">아프리카</t>
  </si>
  <si>
    <t xml:space="preserve">https://gs.statcounter.com/os-market-share/mobile/africa</t>
  </si>
  <si>
    <t xml:space="preserve">미국</t>
  </si>
  <si>
    <t xml:space="preserve">https://gs.statcounter.com/os-market-share/mobile/united-states-of-america</t>
  </si>
  <si>
    <t xml:space="preserve">https://gs.statcounter.com/os-market-share/mobile/canada</t>
  </si>
  <si>
    <t xml:space="preserve">https://gs.statcounter.com/os-market-share/mobile/brazil</t>
  </si>
  <si>
    <t xml:space="preserve">https://gs.statcounter.com/os-market-share/mobile/mexico</t>
  </si>
  <si>
    <t xml:space="preserve">https://gs.statcounter.com/os-market-share/mobile/japan</t>
  </si>
  <si>
    <r>
      <rPr>
        <sz val="11"/>
        <rFont val="Noto Sans CJK SC"/>
        <family val="2"/>
      </rPr>
      <t xml:space="preserve">아시아 평균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안드로이드 </t>
    </r>
    <r>
      <rPr>
        <sz val="11"/>
        <rFont val="Arial"/>
        <family val="0"/>
        <charset val="1"/>
      </rPr>
      <t xml:space="preserve">78%)</t>
    </r>
    <r>
      <rPr>
        <sz val="11"/>
        <rFont val="Noto Sans CJK SC"/>
        <family val="2"/>
      </rPr>
      <t xml:space="preserve">과 반대로 아이폰이 더 많음</t>
    </r>
  </si>
  <si>
    <t xml:space="preserve">https://gs.statcounter.com/os-market-share/mobile/south-korea</t>
  </si>
  <si>
    <t xml:space="preserve">인도네시아</t>
  </si>
  <si>
    <t xml:space="preserve">https://gs.statcounter.com/os-market-share/mobile/indonesia</t>
  </si>
  <si>
    <t xml:space="preserve">태국</t>
  </si>
  <si>
    <t xml:space="preserve">https://gs.statcounter.com/os-market-share/mobile/thailand</t>
  </si>
  <si>
    <t xml:space="preserve">베트남</t>
  </si>
  <si>
    <t xml:space="preserve">https://gs.statcounter.com/os-market-share/mobile/viet-nam</t>
  </si>
  <si>
    <t xml:space="preserve">필리핀</t>
  </si>
  <si>
    <t xml:space="preserve">https://gs.statcounter.com/os-market-share/mobile/philippines</t>
  </si>
  <si>
    <t xml:space="preserve">말레이시아</t>
  </si>
  <si>
    <t xml:space="preserve">https://gs.statcounter.com/os-market-share/mobile/malaysia</t>
  </si>
  <si>
    <r>
      <rPr>
        <sz val="11"/>
        <rFont val="Noto Sans CJK SC"/>
        <family val="2"/>
      </rPr>
      <t xml:space="preserve">국가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참고</t>
    </r>
    <r>
      <rPr>
        <sz val="11"/>
        <rFont val="Arial"/>
        <family val="0"/>
        <charset val="1"/>
      </rPr>
      <t xml:space="preserve">)</t>
    </r>
  </si>
  <si>
    <t xml:space="preserve">싱가포르</t>
  </si>
  <si>
    <t xml:space="preserve">https://gs.statcounter.com/os-market-share/mobile/singapore</t>
  </si>
  <si>
    <r>
      <rPr>
        <sz val="11"/>
        <rFont val="Arial"/>
        <family val="0"/>
        <charset val="1"/>
      </rPr>
      <t xml:space="preserve">Top20 </t>
    </r>
    <r>
      <rPr>
        <sz val="11"/>
        <rFont val="Noto Sans CJK SC"/>
        <family val="2"/>
      </rPr>
      <t xml:space="preserve">조사에서는 제외</t>
    </r>
    <r>
      <rPr>
        <sz val="11"/>
        <rFont val="Arial"/>
        <family val="0"/>
        <charset val="1"/>
      </rPr>
      <t xml:space="preserve">, OS</t>
    </r>
    <r>
      <rPr>
        <sz val="11"/>
        <rFont val="Noto Sans CJK SC"/>
        <family val="2"/>
      </rPr>
      <t xml:space="preserve">만 참고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</si>
  <si>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B. </t>
    </r>
    <r>
      <rPr>
        <b val="true"/>
        <sz val="12"/>
        <rFont val="Noto Sans CJK SC"/>
        <family val="2"/>
      </rPr>
      <t xml:space="preserve">게임 이용자 중 </t>
    </r>
    <r>
      <rPr>
        <b val="true"/>
        <sz val="12"/>
        <rFont val="Arial"/>
        <family val="0"/>
        <charset val="1"/>
      </rPr>
      <t xml:space="preserve">OS</t>
    </r>
    <r>
      <rPr>
        <b val="true"/>
        <sz val="12"/>
        <rFont val="Noto Sans CJK SC"/>
        <family val="2"/>
      </rPr>
      <t xml:space="preserve">별 비율</t>
    </r>
  </si>
  <si>
    <r>
      <rPr>
        <sz val="11"/>
        <rFont val="Noto Sans CJK SC"/>
        <family val="2"/>
      </rPr>
      <t xml:space="preserve">공개 자료를 찾지 못함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표 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의 웹 점유율과 다른 숫자라 대신 쓰지 않음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</si>
  <si>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C. OS(</t>
    </r>
    <r>
      <rPr>
        <b val="true"/>
        <sz val="12"/>
        <rFont val="Noto Sans CJK SC"/>
        <family val="2"/>
      </rPr>
      <t xml:space="preserve">스토어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별 모바일 게임 매출 — </t>
    </r>
    <r>
      <rPr>
        <b val="true"/>
        <sz val="12"/>
        <rFont val="Arial"/>
        <family val="0"/>
        <charset val="1"/>
      </rPr>
      <t xml:space="preserve">2025</t>
    </r>
    <r>
      <rPr>
        <b val="true"/>
        <sz val="12"/>
        <rFont val="Noto Sans CJK SC"/>
        <family val="2"/>
      </rPr>
      <t xml:space="preserve">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세계</t>
    </r>
  </si>
  <si>
    <r>
      <rPr>
        <b val="true"/>
        <sz val="11"/>
        <color rgb="FFFFFFFF"/>
        <rFont val="Arial"/>
        <family val="0"/>
        <charset val="1"/>
      </rPr>
      <t xml:space="preserve">App Store </t>
    </r>
    <r>
      <rPr>
        <b val="true"/>
        <sz val="11"/>
        <color rgb="FFFFFFFF"/>
        <rFont val="Noto Sans CJK SC"/>
        <family val="2"/>
      </rPr>
      <t xml:space="preserve">매출 </t>
    </r>
    <r>
      <rPr>
        <b val="true"/>
        <sz val="11"/>
        <color rgb="FFFFFFFF"/>
        <rFont val="Arial"/>
        <family val="0"/>
        <charset val="1"/>
      </rPr>
      <t xml:space="preserve">($B)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</si>
  <si>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매출 </t>
    </r>
    <r>
      <rPr>
        <b val="true"/>
        <sz val="11"/>
        <color rgb="FFFFFFFF"/>
        <rFont val="Arial"/>
        <family val="0"/>
        <charset val="1"/>
      </rPr>
      <t xml:space="preserve">($B)</t>
    </r>
  </si>
  <si>
    <r>
      <rPr>
        <b val="true"/>
        <sz val="11"/>
        <color rgb="FFFFFFFF"/>
        <rFont val="Arial"/>
        <family val="0"/>
        <charset val="1"/>
      </rPr>
      <t xml:space="preserve">App Store </t>
    </r>
    <r>
      <rPr>
        <b val="true"/>
        <sz val="11"/>
        <color rgb="FFFFFFFF"/>
        <rFont val="Noto Sans CJK SC"/>
        <family val="2"/>
      </rPr>
      <t xml:space="preserve">비율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</si>
  <si>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비율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</si>
  <si>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Sensor Tower State of Gaming 2026 (2025</t>
    </r>
    <r>
      <rPr>
        <sz val="11"/>
        <rFont val="Noto Sans CJK SC"/>
        <family val="2"/>
      </rPr>
      <t xml:space="preserve">년 데이터</t>
    </r>
    <r>
      <rPr>
        <sz val="11"/>
        <rFont val="Arial"/>
        <family val="0"/>
        <charset val="1"/>
      </rPr>
      <t xml:space="preserve">) — 9to5Mac </t>
    </r>
    <r>
      <rPr>
        <sz val="11"/>
        <rFont val="Noto Sans CJK SC"/>
        <family val="2"/>
      </rPr>
      <t xml:space="preserve">보도 </t>
    </r>
    <r>
      <rPr>
        <sz val="11"/>
        <rFont val="Arial"/>
        <family val="0"/>
        <charset val="1"/>
      </rPr>
      <t xml:space="preserve">https://9to5mac.com/?p=1040750</t>
    </r>
  </si>
  <si>
    <r>
      <rPr>
        <sz val="11"/>
        <rFont val="Noto Sans CJK SC"/>
        <family val="2"/>
      </rPr>
      <t xml:space="preserve">대륙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국가별</t>
    </r>
  </si>
  <si>
    <t xml:space="preserve">공개 자료를 찾지 못함</t>
  </si>
  <si>
    <r>
      <rPr>
        <i val="true"/>
        <sz val="11"/>
        <color rgb="FF595959"/>
        <rFont val="Arial"/>
        <family val="0"/>
        <charset val="1"/>
      </rPr>
      <t xml:space="preserve">Google Play </t>
    </r>
    <r>
      <rPr>
        <i val="true"/>
        <sz val="11"/>
        <color rgb="FF595959"/>
        <rFont val="Noto Sans CJK SC"/>
        <family val="2"/>
      </rPr>
      <t xml:space="preserve">매출에는 중국 안드로이드 마켓이 포함되지 않음</t>
    </r>
    <r>
      <rPr>
        <i val="true"/>
        <sz val="11"/>
        <color rgb="FF595959"/>
        <rFont val="Arial"/>
        <family val="0"/>
        <charset val="1"/>
      </rPr>
      <t xml:space="preserve">(Google Play</t>
    </r>
    <r>
      <rPr>
        <i val="true"/>
        <sz val="11"/>
        <color rgb="FF595959"/>
        <rFont val="Noto Sans CJK SC"/>
        <family val="2"/>
      </rPr>
      <t xml:space="preserve">만 집계</t>
    </r>
    <r>
      <rPr>
        <i val="true"/>
        <sz val="11"/>
        <color rgb="FF595959"/>
        <rFont val="Arial"/>
        <family val="0"/>
        <charset val="1"/>
      </rPr>
      <t xml:space="preserve">). App Store </t>
    </r>
    <r>
      <rPr>
        <i val="true"/>
        <sz val="11"/>
        <color rgb="FF595959"/>
        <rFont val="Noto Sans CJK SC"/>
        <family val="2"/>
      </rPr>
      <t xml:space="preserve">매출은 중국 포함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</si>
  <si>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D (</t>
    </r>
    <r>
      <rPr>
        <b val="true"/>
        <sz val="12"/>
        <rFont val="Noto Sans CJK SC"/>
        <family val="2"/>
      </rPr>
      <t xml:space="preserve">참고</t>
    </r>
    <r>
      <rPr>
        <b val="true"/>
        <sz val="12"/>
        <rFont val="Arial"/>
        <family val="0"/>
        <charset val="1"/>
      </rPr>
      <t xml:space="preserve">). OS(</t>
    </r>
    <r>
      <rPr>
        <b val="true"/>
        <sz val="12"/>
        <rFont val="Noto Sans CJK SC"/>
        <family val="2"/>
      </rPr>
      <t xml:space="preserve">스토어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별 모바일 게임 다운로드 — </t>
    </r>
    <r>
      <rPr>
        <b val="true"/>
        <sz val="12"/>
        <rFont val="Arial"/>
        <family val="0"/>
        <charset val="1"/>
      </rPr>
      <t xml:space="preserve">2025</t>
    </r>
    <r>
      <rPr>
        <b val="true"/>
        <sz val="12"/>
        <rFont val="Noto Sans CJK SC"/>
        <family val="2"/>
      </rPr>
      <t xml:space="preserve">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세계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A·B·C</t>
    </r>
    <r>
      <rPr>
        <b val="true"/>
        <sz val="12"/>
        <rFont val="Noto Sans CJK SC"/>
        <family val="2"/>
      </rPr>
      <t xml:space="preserve">와 또 다른 숫자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</si>
  <si>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App Store </t>
    </r>
    <r>
      <rPr>
        <b val="true"/>
        <sz val="11"/>
        <color rgb="FFFFFFFF"/>
        <rFont val="Noto Sans CJK SC"/>
        <family val="2"/>
      </rPr>
      <t xml:space="preserve">다운로드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억 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</si>
  <si>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다운로드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억 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</si>
  <si>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Sensor Tower State of Gaming 2026 — 9to5Mac </t>
    </r>
    <r>
      <rPr>
        <sz val="11"/>
        <rFont val="Noto Sans CJK SC"/>
        <family val="2"/>
      </rPr>
      <t xml:space="preserve">보도 </t>
    </r>
    <r>
      <rPr>
        <sz val="11"/>
        <rFont val="Arial"/>
        <family val="0"/>
        <charset val="1"/>
      </rPr>
      <t xml:space="preserve">(App Store 7.8B, Google Play 42.4B)</t>
    </r>
  </si>
  <si>
    <r>
      <rPr>
        <b val="true"/>
        <sz val="12"/>
        <rFont val="Arial"/>
        <family val="0"/>
        <charset val="1"/>
      </rPr>
      <t xml:space="preserve">OS </t>
    </r>
    <r>
      <rPr>
        <b val="true"/>
        <sz val="12"/>
        <rFont val="Noto Sans CJK SC"/>
        <family val="2"/>
      </rPr>
      <t xml:space="preserve">출시 우선순위 — 분석자 제안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사실이 아닌 판단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</si>
  <si>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iOS </t>
    </r>
    <r>
      <rPr>
        <b val="true"/>
        <sz val="11"/>
        <rFont val="Noto Sans CJK SC"/>
        <family val="2"/>
      </rPr>
      <t xml:space="preserve">먼저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또는 동시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기준</t>
    </r>
    <r>
      <rPr>
        <b val="true"/>
        <sz val="11"/>
        <rFont val="Arial"/>
        <family val="0"/>
        <charset val="1"/>
      </rPr>
      <t xml:space="preserve">: iOS </t>
    </r>
    <r>
      <rPr>
        <b val="true"/>
        <sz val="11"/>
        <rFont val="Noto Sans CJK SC"/>
        <family val="2"/>
      </rPr>
      <t xml:space="preserve">점유율이 이 값 이상</t>
    </r>
  </si>
  <si>
    <r>
      <rPr>
        <i val="true"/>
        <sz val="11"/>
        <color rgb="FF595959"/>
        <rFont val="Noto Sans CJK SC"/>
        <family val="2"/>
      </rPr>
      <t xml:space="preserve">← 가정값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바꾸면 아래 판단이 자동으로 바뀜</t>
    </r>
  </si>
  <si>
    <r>
      <rPr>
        <b val="true"/>
        <sz val="11"/>
        <color rgb="FFFFFFFF"/>
        <rFont val="Arial"/>
        <family val="0"/>
        <charset val="1"/>
      </rPr>
      <t xml:space="preserve">iOS </t>
    </r>
    <r>
      <rPr>
        <b val="true"/>
        <sz val="11"/>
        <color rgb="FFFFFFFF"/>
        <rFont val="Noto Sans CJK SC"/>
        <family val="2"/>
      </rPr>
      <t xml:space="preserve">점유율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표 </t>
    </r>
    <r>
      <rPr>
        <b val="true"/>
        <sz val="11"/>
        <color rgb="FFFFFFFF"/>
        <rFont val="Arial"/>
        <family val="0"/>
        <charset val="1"/>
      </rPr>
      <t xml:space="preserve">A)</t>
    </r>
  </si>
  <si>
    <r>
      <rPr>
        <b val="true"/>
        <sz val="11"/>
        <color rgb="FFFFFFFF"/>
        <rFont val="Noto Sans CJK SC"/>
        <family val="2"/>
      </rPr>
      <t xml:space="preserve">먼저 낼 </t>
    </r>
    <r>
      <rPr>
        <b val="true"/>
        <sz val="11"/>
        <color rgb="FFFFFFFF"/>
        <rFont val="Arial"/>
        <family val="0"/>
        <charset val="1"/>
      </rPr>
      <t xml:space="preserve">OS 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</si>
  <si>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쉬운 이유</t>
  </si>
  <si>
    <r>
      <rPr>
        <sz val="11"/>
        <rFont val="Noto Sans CJK SC"/>
        <family val="2"/>
      </rPr>
      <t xml:space="preserve">아이폰 쓰는 사람이 절반 넘음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세계 게임 매출도 </t>
    </r>
    <r>
      <rPr>
        <sz val="11"/>
        <rFont val="Arial"/>
        <family val="0"/>
        <charset val="1"/>
      </rPr>
      <t xml:space="preserve">App Store</t>
    </r>
    <r>
      <rPr>
        <sz val="11"/>
        <rFont val="Noto Sans CJK SC"/>
        <family val="2"/>
      </rPr>
      <t xml:space="preserve">가 더 큼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표 </t>
    </r>
    <r>
      <rPr>
        <sz val="11"/>
        <rFont val="Arial"/>
        <family val="0"/>
        <charset val="1"/>
      </rPr>
      <t xml:space="preserve">C)</t>
    </r>
  </si>
  <si>
    <r>
      <rPr>
        <sz val="11"/>
        <rFont val="Noto Sans CJK SC"/>
        <family val="2"/>
      </rPr>
      <t xml:space="preserve">아이폰이 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명</t>
    </r>
  </si>
  <si>
    <r>
      <rPr>
        <sz val="11"/>
        <rFont val="Noto Sans CJK SC"/>
        <family val="2"/>
      </rPr>
      <t xml:space="preserve">안드로이드가 많지만 아이폰도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명 — 둘 다 준비 권장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</si>
  <si>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명 넘게 안드로이드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</si>
  <si>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명 가까이 안드로이드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일본은 아이폰이 더 많음 — 아래 일본 줄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</si>
  <si>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명 중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명 가까이 안드로이드</t>
    </r>
  </si>
  <si>
    <r>
      <rPr>
        <i val="true"/>
        <sz val="11"/>
        <color rgb="FF595959"/>
        <rFont val="Noto Sans CJK SC"/>
        <family val="2"/>
      </rPr>
      <t xml:space="preserve">쉬운 요약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): 2</t>
    </r>
    <r>
      <rPr>
        <i val="true"/>
        <sz val="11"/>
        <color rgb="FF595959"/>
        <rFont val="Noto Sans CJK SC"/>
        <family val="2"/>
      </rPr>
      <t xml:space="preserve">인 팀이라면 ① 안드로이드로 먼저 만들어 동남아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남미에서 작게 시험 출시 → ② 숫자가 좋으면 </t>
    </r>
    <r>
      <rPr>
        <i val="true"/>
        <sz val="11"/>
        <color rgb="FF595959"/>
        <rFont val="Arial"/>
        <family val="0"/>
        <charset val="1"/>
      </rPr>
      <t xml:space="preserve">iOS</t>
    </r>
    <r>
      <rPr>
        <i val="true"/>
        <sz val="11"/>
        <color rgb="FF595959"/>
        <rFont val="Noto Sans CJK SC"/>
        <family val="2"/>
      </rPr>
      <t xml:space="preserve">를 붙여 북미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오세아니아로 넓히는 순서가 부담이 적음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</si>
  <si>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이유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안드로이드 사용자가 많은 지역은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많이 받아 보기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에 좋고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아이폰이 많은 북미는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돈을 버는 곳</t>
    </r>
    <r>
      <rPr>
        <i val="true"/>
        <sz val="11"/>
        <color rgb="FF595959"/>
        <rFont val="Arial"/>
        <family val="0"/>
        <charset val="1"/>
      </rPr>
      <t xml:space="preserve">'(</t>
    </r>
    <r>
      <rPr>
        <i val="true"/>
        <sz val="11"/>
        <color rgb="FF595959"/>
        <rFont val="Noto Sans CJK SC"/>
        <family val="2"/>
      </rPr>
      <t xml:space="preserve">세계 게임 매출 중 </t>
    </r>
    <r>
      <rPr>
        <i val="true"/>
        <sz val="11"/>
        <color rgb="FF595959"/>
        <rFont val="Arial"/>
        <family val="0"/>
        <charset val="1"/>
      </rPr>
      <t xml:space="preserve">App Store </t>
    </r>
    <r>
      <rPr>
        <i val="true"/>
        <sz val="11"/>
        <color rgb="FF595959"/>
        <rFont val="Noto Sans CJK SC"/>
        <family val="2"/>
      </rPr>
      <t xml:space="preserve">약 </t>
    </r>
    <r>
      <rPr>
        <i val="true"/>
        <sz val="11"/>
        <color rgb="FF595959"/>
        <rFont val="Arial"/>
        <family val="0"/>
        <charset val="1"/>
      </rPr>
      <t xml:space="preserve">64%, </t>
    </r>
    <r>
      <rPr>
        <i val="true"/>
        <sz val="11"/>
        <color rgb="FF595959"/>
        <rFont val="Noto Sans CJK SC"/>
        <family val="2"/>
      </rPr>
      <t xml:space="preserve">표 </t>
    </r>
    <r>
      <rPr>
        <i val="true"/>
        <sz val="11"/>
        <color rgb="FF595959"/>
        <rFont val="Arial"/>
        <family val="0"/>
        <charset val="1"/>
      </rPr>
      <t xml:space="preserve">C).</t>
    </r>
  </si>
  <si>
    <r>
      <rPr>
        <i val="true"/>
        <sz val="11"/>
        <color rgb="FF595959"/>
        <rFont val="Noto Sans CJK SC"/>
        <family val="2"/>
      </rPr>
      <t xml:space="preserve">나라별로 보면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미국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캐나다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일본은 아이폰이 더 많음</t>
    </r>
    <r>
      <rPr>
        <i val="true"/>
        <sz val="11"/>
        <color rgb="FF595959"/>
        <rFont val="Arial"/>
        <family val="0"/>
        <charset val="1"/>
      </rPr>
      <t xml:space="preserve">(iOS </t>
    </r>
    <r>
      <rPr>
        <i val="true"/>
        <sz val="11"/>
        <color rgb="FF595959"/>
        <rFont val="Noto Sans CJK SC"/>
        <family val="2"/>
      </rPr>
      <t xml:space="preserve">먼저 또는 동시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필리핀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안드로이드 </t>
    </r>
    <r>
      <rPr>
        <i val="true"/>
        <sz val="11"/>
        <color rgb="FF595959"/>
        <rFont val="Arial"/>
        <family val="0"/>
        <charset val="1"/>
      </rPr>
      <t xml:space="preserve">86.5%)·</t>
    </r>
    <r>
      <rPr>
        <i val="true"/>
        <sz val="11"/>
        <color rgb="FF595959"/>
        <rFont val="Noto Sans CJK SC"/>
        <family val="2"/>
      </rPr>
      <t xml:space="preserve">브라질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인도네시아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태국은 안드로이드가 압도적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베트남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말레이시아는 아이폰도 </t>
    </r>
    <r>
      <rPr>
        <i val="true"/>
        <sz val="11"/>
        <color rgb="FF595959"/>
        <rFont val="Arial"/>
        <family val="0"/>
        <charset val="1"/>
      </rPr>
      <t xml:space="preserve">40% </t>
    </r>
    <r>
      <rPr>
        <i val="true"/>
        <sz val="11"/>
        <color rgb="FF595959"/>
        <rFont val="Noto Sans CJK SC"/>
        <family val="2"/>
      </rPr>
      <t xml:space="preserve">이상이라 둘 다 준비 권장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</si>
  <si>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주의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표 </t>
    </r>
    <r>
      <rPr>
        <i val="true"/>
        <sz val="11"/>
        <color rgb="FF595959"/>
        <rFont val="Arial"/>
        <family val="0"/>
        <charset val="1"/>
      </rPr>
      <t xml:space="preserve">A</t>
    </r>
    <r>
      <rPr>
        <i val="true"/>
        <sz val="11"/>
        <color rgb="FF595959"/>
        <rFont val="Noto Sans CJK SC"/>
        <family val="2"/>
      </rPr>
      <t xml:space="preserve">는 웹 방문 기준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표 </t>
    </r>
    <r>
      <rPr>
        <i val="true"/>
        <sz val="11"/>
        <color rgb="FF595959"/>
        <rFont val="Arial"/>
        <family val="0"/>
        <charset val="1"/>
      </rPr>
      <t xml:space="preserve">C·D</t>
    </r>
    <r>
      <rPr>
        <i val="true"/>
        <sz val="11"/>
        <color rgb="FF595959"/>
        <rFont val="Noto Sans CJK SC"/>
        <family val="2"/>
      </rPr>
      <t xml:space="preserve">는 세계 합계라서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대륙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나라별 게임 매출 비율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아직 모름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확인 불가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</si>
  <si>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b val="true"/>
        <sz val="12"/>
        <rFont val="Noto Sans CJK SC"/>
        <family val="2"/>
      </rPr>
      <t xml:space="preserve">① 인도네시아 구글 플레이 무료 게임 </t>
    </r>
    <r>
      <rPr>
        <b val="true"/>
        <sz val="12"/>
        <rFont val="Arial"/>
        <family val="0"/>
        <charset val="1"/>
      </rPr>
      <t xml:space="preserve">Top20</t>
    </r>
  </si>
  <si>
    <t xml:space="preserve">동남아</t>
  </si>
  <si>
    <t xml:space="preserve">2026-10-05</t>
  </si>
  <si>
    <t xml:space="preserve">AppBrain Google Play Top Free Games Indonesia https://www.appbrain.com/stats/google-play-rankings/top_free/game/id</t>
  </si>
  <si>
    <t xml:space="preserve">Mobile Legends: Bang Bang</t>
  </si>
  <si>
    <t xml:space="preserve">MOONTON</t>
  </si>
  <si>
    <r>
      <rPr>
        <sz val="11"/>
        <rFont val="Arial"/>
        <family val="0"/>
        <charset val="1"/>
      </rPr>
      <t xml:space="preserve">MOBA — </t>
    </r>
    <r>
      <rPr>
        <sz val="11"/>
        <rFont val="Noto Sans CJK SC"/>
        <family val="2"/>
      </rPr>
      <t xml:space="preserve">기존 분류표에 </t>
    </r>
    <r>
      <rPr>
        <sz val="11"/>
        <rFont val="Arial"/>
        <family val="0"/>
        <charset val="1"/>
      </rPr>
      <t xml:space="preserve">MOBA </t>
    </r>
    <r>
      <rPr>
        <sz val="11"/>
        <rFont val="Noto Sans CJK SC"/>
        <family val="2"/>
      </rPr>
      <t xml:space="preserve">칸이 없어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액션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슈팅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에 넣음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분석자 판단</t>
    </r>
    <r>
      <rPr>
        <sz val="11"/>
        <rFont val="Arial"/>
        <family val="0"/>
        <charset val="1"/>
      </rPr>
      <t xml:space="preserve">)</t>
    </r>
  </si>
  <si>
    <t xml:space="preserve">HungryStudio</t>
  </si>
  <si>
    <t xml:space="preserve">Easy Drum - Real Music Drum</t>
  </si>
  <si>
    <t xml:space="preserve">AVA GAMES</t>
  </si>
  <si>
    <t xml:space="preserve">확인 필요 — 악기 연주 앱</t>
  </si>
  <si>
    <t xml:space="preserve">Fruit Wins</t>
  </si>
  <si>
    <t xml:space="preserve">Buddyplay Limited</t>
  </si>
  <si>
    <t xml:space="preserve">확인 필요 — 게임 방식 확인 안 됨</t>
  </si>
  <si>
    <t xml:space="preserve">Water Go</t>
  </si>
  <si>
    <t xml:space="preserve">MicroSurge</t>
  </si>
  <si>
    <t xml:space="preserve">Stickman Party 234 MiniGames</t>
  </si>
  <si>
    <t xml:space="preserve">PlayMax Game Studio</t>
  </si>
  <si>
    <t xml:space="preserve">로컬 멀티 미니게임</t>
  </si>
  <si>
    <t xml:space="preserve">Candy Room Games &amp; RabbitCo</t>
  </si>
  <si>
    <t xml:space="preserve">Amobear VN Game Global</t>
  </si>
  <si>
    <t xml:space="preserve">My Talking Tom 2: Pet Game</t>
  </si>
  <si>
    <t xml:space="preserve">Outfit7</t>
  </si>
  <si>
    <t xml:space="preserve">가상 펫</t>
  </si>
  <si>
    <t xml:space="preserve">Honor of Kings</t>
  </si>
  <si>
    <t xml:space="preserve">Level Infinite</t>
  </si>
  <si>
    <r>
      <rPr>
        <sz val="11"/>
        <rFont val="Arial"/>
        <family val="0"/>
        <charset val="1"/>
      </rPr>
      <t xml:space="preserve">MOBA — </t>
    </r>
    <r>
      <rPr>
        <sz val="11"/>
        <rFont val="Noto Sans CJK SC"/>
        <family val="2"/>
      </rPr>
      <t xml:space="preserve">위 </t>
    </r>
    <r>
      <rPr>
        <sz val="11"/>
        <rFont val="Arial"/>
        <family val="0"/>
        <charset val="1"/>
      </rPr>
      <t xml:space="preserve">Mobile Legends</t>
    </r>
    <r>
      <rPr>
        <sz val="11"/>
        <rFont val="Noto Sans CJK SC"/>
        <family val="2"/>
      </rPr>
      <t xml:space="preserve">와 같은 기준</t>
    </r>
  </si>
  <si>
    <t xml:space="preserve">Super Bear Adventure</t>
  </si>
  <si>
    <t xml:space="preserve">Earthkwak Games</t>
  </si>
  <si>
    <r>
      <rPr>
        <sz val="11"/>
        <rFont val="Arial"/>
        <family val="0"/>
        <charset val="1"/>
      </rPr>
      <t xml:space="preserve">3D </t>
    </r>
    <r>
      <rPr>
        <sz val="11"/>
        <rFont val="Noto Sans CJK SC"/>
        <family val="2"/>
      </rPr>
      <t xml:space="preserve">플랫포머 </t>
    </r>
    <r>
      <rPr>
        <sz val="11"/>
        <rFont val="Arial"/>
        <family val="0"/>
        <charset val="1"/>
      </rPr>
      <t xml:space="preserve">(1-2</t>
    </r>
    <r>
      <rPr>
        <sz val="11"/>
        <rFont val="Noto Sans CJK SC"/>
        <family val="2"/>
      </rPr>
      <t xml:space="preserve">의 플랫포머 분류 기준을 따름</t>
    </r>
    <r>
      <rPr>
        <sz val="11"/>
        <rFont val="Arial"/>
        <family val="0"/>
        <charset val="1"/>
      </rPr>
      <t xml:space="preserve">)</t>
    </r>
  </si>
  <si>
    <t xml:space="preserve">Miniclip.com</t>
  </si>
  <si>
    <r>
      <rPr>
        <i val="true"/>
        <sz val="11"/>
        <color rgb="FF595959"/>
        <rFont val="Noto Sans CJK SC"/>
        <family val="2"/>
      </rPr>
      <t xml:space="preserve">태국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베트남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필리핀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말레이시아 </t>
    </r>
    <r>
      <rPr>
        <i val="true"/>
        <sz val="11"/>
        <color rgb="FF595959"/>
        <rFont val="Arial"/>
        <family val="0"/>
        <charset val="1"/>
      </rPr>
      <t xml:space="preserve">Top20: </t>
    </r>
    <r>
      <rPr>
        <i val="true"/>
        <sz val="11"/>
        <color rgb="FF595959"/>
        <rFont val="Noto Sans CJK SC"/>
        <family val="2"/>
      </rPr>
      <t xml:space="preserve">확인 불가 — </t>
    </r>
    <r>
      <rPr>
        <i val="true"/>
        <sz val="11"/>
        <color rgb="FF595959"/>
        <rFont val="Arial"/>
        <family val="0"/>
        <charset val="1"/>
      </rPr>
      <t xml:space="preserve">AppBrain </t>
    </r>
    <r>
      <rPr>
        <i val="true"/>
        <sz val="11"/>
        <color rgb="FF595959"/>
        <rFont val="Noto Sans CJK SC"/>
        <family val="2"/>
      </rPr>
      <t xml:space="preserve">국가 목록</t>
    </r>
    <r>
      <rPr>
        <i val="true"/>
        <sz val="11"/>
        <color rgb="FF595959"/>
        <rFont val="Arial"/>
        <family val="0"/>
        <charset val="1"/>
      </rPr>
      <t xml:space="preserve">(30</t>
    </r>
    <r>
      <rPr>
        <i val="true"/>
        <sz val="11"/>
        <color rgb="FF595959"/>
        <rFont val="Noto Sans CJK SC"/>
        <family val="2"/>
      </rPr>
      <t xml:space="preserve">개국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에 이 </t>
    </r>
    <r>
      <rPr>
        <i val="true"/>
        <sz val="11"/>
        <color rgb="FF595959"/>
        <rFont val="Arial"/>
        <family val="0"/>
        <charset val="1"/>
      </rPr>
      <t xml:space="preserve">4</t>
    </r>
    <r>
      <rPr>
        <i val="true"/>
        <sz val="11"/>
        <color rgb="FF595959"/>
        <rFont val="Noto Sans CJK SC"/>
        <family val="2"/>
      </rPr>
      <t xml:space="preserve">개국이 없음</t>
    </r>
    <r>
      <rPr>
        <i val="true"/>
        <sz val="11"/>
        <color rgb="FF595959"/>
        <rFont val="Arial"/>
        <family val="0"/>
        <charset val="1"/>
      </rPr>
      <t xml:space="preserve">(2026-10-05 </t>
    </r>
    <r>
      <rPr>
        <i val="true"/>
        <sz val="11"/>
        <color rgb="FF595959"/>
        <rFont val="Noto Sans CJK SC"/>
        <family val="2"/>
      </rPr>
      <t xml:space="preserve">확인</t>
    </r>
    <r>
      <rPr>
        <i val="true"/>
        <sz val="11"/>
        <color rgb="FF595959"/>
        <rFont val="Arial"/>
        <family val="0"/>
        <charset val="1"/>
      </rPr>
      <t xml:space="preserve">). 42matters </t>
    </r>
    <r>
      <rPr>
        <i val="true"/>
        <sz val="11"/>
        <color rgb="FF595959"/>
        <rFont val="Noto Sans CJK SC"/>
        <family val="2"/>
      </rPr>
      <t xml:space="preserve">공개 페이지는 </t>
    </r>
    <r>
      <rPr>
        <i val="true"/>
        <sz val="11"/>
        <color rgb="FF595959"/>
        <rFont val="Arial"/>
        <family val="0"/>
        <charset val="1"/>
      </rPr>
      <t xml:space="preserve">'Last update 16 Feb 2025'</t>
    </r>
    <r>
      <rPr>
        <i val="true"/>
        <sz val="11"/>
        <color rgb="FF595959"/>
        <rFont val="Noto Sans CJK SC"/>
        <family val="2"/>
      </rPr>
      <t xml:space="preserve">에 </t>
    </r>
    <r>
      <rPr>
        <i val="true"/>
        <sz val="11"/>
        <color rgb="FF595959"/>
        <rFont val="Arial"/>
        <family val="0"/>
        <charset val="1"/>
      </rPr>
      <t xml:space="preserve">Top10</t>
    </r>
    <r>
      <rPr>
        <i val="true"/>
        <sz val="11"/>
        <color rgb="FF595959"/>
        <rFont val="Noto Sans CJK SC"/>
        <family val="2"/>
      </rPr>
      <t xml:space="preserve">만 있음</t>
    </r>
    <r>
      <rPr>
        <i val="true"/>
        <sz val="11"/>
        <color rgb="FF595959"/>
        <rFont val="Arial"/>
        <family val="0"/>
        <charset val="1"/>
      </rPr>
      <t xml:space="preserve">, appfigures·FoxData</t>
    </r>
    <r>
      <rPr>
        <i val="true"/>
        <sz val="11"/>
        <color rgb="FF595959"/>
        <rFont val="Noto Sans CJK SC"/>
        <family val="2"/>
      </rPr>
      <t xml:space="preserve">는 로그인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Noto Sans CJK SC"/>
        <family val="2"/>
      </rPr>
      <t xml:space="preserve">스크립트가 필요해 읽지 못함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싱가포르는 제외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제안대로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</si>
  <si>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b val="true"/>
        <sz val="12"/>
        <rFont val="Noto Sans CJK SC"/>
        <family val="2"/>
      </rPr>
      <t xml:space="preserve">② 장르 집계 </t>
    </r>
    <r>
      <rPr>
        <b val="true"/>
        <sz val="12"/>
        <rFont val="Arial"/>
        <family val="0"/>
        <charset val="1"/>
      </rPr>
      <t xml:space="preserve">(Top 20 </t>
    </r>
    <r>
      <rPr>
        <b val="true"/>
        <sz val="12"/>
        <rFont val="Noto Sans CJK SC"/>
        <family val="2"/>
      </rPr>
      <t xml:space="preserve">기준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수식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</si>
  <si>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하이퍼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하이브리드 캐주얼</t>
    </r>
  </si>
  <si>
    <r>
      <rPr>
        <b val="true"/>
        <sz val="11"/>
        <rFont val="Noto Sans CJK SC"/>
        <family val="2"/>
      </rPr>
      <t xml:space="preserve">카드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보드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카지노</t>
    </r>
  </si>
  <si>
    <r>
      <rPr>
        <b val="true"/>
        <sz val="11"/>
        <rFont val="Noto Sans CJK SC"/>
        <family val="2"/>
      </rPr>
      <t xml:space="preserve">액션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슈팅</t>
    </r>
  </si>
  <si>
    <r>
      <rPr>
        <b val="true"/>
        <sz val="11"/>
        <rFont val="Noto Sans CJK SC"/>
        <family val="2"/>
      </rPr>
      <t xml:space="preserve">파티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음악</t>
    </r>
  </si>
  <si>
    <r>
      <rPr>
        <b val="true"/>
        <sz val="11"/>
        <rFont val="Noto Sans CJK SC"/>
        <family val="2"/>
      </rPr>
      <t xml:space="preserve">기타</t>
    </r>
    <r>
      <rPr>
        <b val="true"/>
        <sz val="11"/>
        <rFont val="Arial"/>
        <family val="0"/>
        <charset val="1"/>
      </rPr>
      <t xml:space="preserve">(UGC·</t>
    </r>
    <r>
      <rPr>
        <b val="true"/>
        <sz val="11"/>
        <rFont val="Noto Sans CJK SC"/>
        <family val="2"/>
      </rPr>
      <t xml:space="preserve">리워드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</si>
  <si>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③ 공통 인기 게임 — 기존 </t>
    </r>
    <r>
      <rPr>
        <b val="true"/>
        <sz val="12"/>
        <rFont val="Arial"/>
        <family val="0"/>
        <charset val="1"/>
      </rPr>
      <t xml:space="preserve">6</t>
    </r>
    <r>
      <rPr>
        <b val="true"/>
        <sz val="12"/>
        <rFont val="Noto Sans CJK SC"/>
        <family val="2"/>
      </rPr>
      <t xml:space="preserve">개국 공통 게임이 인도네시아에서는 몇 위인가</t>
    </r>
  </si>
  <si>
    <r>
      <rPr>
        <b val="true"/>
        <sz val="11"/>
        <color rgb="FFFFFFFF"/>
        <rFont val="Noto Sans CJK SC"/>
        <family val="2"/>
      </rPr>
      <t xml:space="preserve">기존 </t>
    </r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개국 등장 수 </t>
    </r>
    <r>
      <rPr>
        <b val="true"/>
        <sz val="11"/>
        <color rgb="FFFFFFFF"/>
        <rFont val="Arial"/>
        <family val="0"/>
        <charset val="1"/>
      </rPr>
      <t xml:space="preserve">(2-4</t>
    </r>
    <r>
      <rPr>
        <b val="true"/>
        <sz val="11"/>
        <color rgb="FFFFFFFF"/>
        <rFont val="Noto Sans CJK SC"/>
        <family val="2"/>
      </rPr>
      <t xml:space="preserve">에서 가져옴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</si>
  <si>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인도네시아 순위 </t>
    </r>
    <r>
      <rPr>
        <b val="true"/>
        <sz val="11"/>
        <color rgb="FFFFFFFF"/>
        <rFont val="Arial"/>
        <family val="0"/>
        <charset val="1"/>
      </rPr>
      <t xml:space="preserve">(Top100)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</si>
  <si>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개국 등장 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</si>
  <si>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인도네시아 순위</t>
    </r>
    <r>
      <rPr>
        <i val="true"/>
        <sz val="11"/>
        <color rgb="FF595959"/>
        <rFont val="Arial"/>
        <family val="0"/>
        <charset val="1"/>
      </rPr>
      <t xml:space="preserve">: AppBrain Google Play Top Free Games Indonesia https://www.appbrain.com/stats/google-play-rankings/top_free/game/id (2026-10-05, Top100 </t>
    </r>
    <r>
      <rPr>
        <i val="true"/>
        <sz val="11"/>
        <color rgb="FF595959"/>
        <rFont val="Noto Sans CJK SC"/>
        <family val="2"/>
      </rPr>
      <t xml:space="preserve">확인</t>
    </r>
    <r>
      <rPr>
        <i val="true"/>
        <sz val="11"/>
        <color rgb="FF595959"/>
        <rFont val="Arial"/>
        <family val="0"/>
        <charset val="1"/>
      </rPr>
      <t xml:space="preserve">). '-' = Top100 </t>
    </r>
    <r>
      <rPr>
        <i val="true"/>
        <sz val="11"/>
        <color rgb="FF595959"/>
        <rFont val="Noto Sans CJK SC"/>
        <family val="2"/>
      </rPr>
      <t xml:space="preserve">밖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동남아 다른 </t>
    </r>
    <r>
      <rPr>
        <i val="true"/>
        <sz val="11"/>
        <color rgb="FF595959"/>
        <rFont val="Arial"/>
        <family val="0"/>
        <charset val="1"/>
      </rPr>
      <t xml:space="preserve">4</t>
    </r>
    <r>
      <rPr>
        <i val="true"/>
        <sz val="11"/>
        <color rgb="FF595959"/>
        <rFont val="Noto Sans CJK SC"/>
        <family val="2"/>
      </rPr>
      <t xml:space="preserve">개국은 순위 자료가 없어 비교 불가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</si>
  <si>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④ 지역 특징 — 인도네시아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근거는 </t>
    </r>
    <r>
      <rPr>
        <b val="true"/>
        <sz val="12"/>
        <rFont val="Arial"/>
        <family val="0"/>
        <charset val="1"/>
      </rPr>
      <t xml:space="preserve">2026-10-05 </t>
    </r>
    <r>
      <rPr>
        <b val="true"/>
        <sz val="12"/>
        <rFont val="Noto Sans CJK SC"/>
        <family val="2"/>
      </rPr>
      <t xml:space="preserve">무료 </t>
    </r>
    <r>
      <rPr>
        <b val="true"/>
        <sz val="12"/>
        <rFont val="Arial"/>
        <family val="0"/>
        <charset val="1"/>
      </rPr>
      <t xml:space="preserve">Top100 </t>
    </r>
    <r>
      <rPr>
        <b val="true"/>
        <sz val="12"/>
        <rFont val="Noto Sans CJK SC"/>
        <family val="2"/>
      </rPr>
      <t xml:space="preserve">순위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</si>
  <si>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특징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쉬운 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</si>
  <si>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대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팀 대전</t>
    </r>
    <r>
      <rPr>
        <sz val="11"/>
        <rFont val="Arial"/>
        <family val="0"/>
        <charset val="1"/>
      </rPr>
      <t xml:space="preserve">(MOBA)</t>
    </r>
    <r>
      <rPr>
        <sz val="11"/>
        <rFont val="Noto Sans CJK SC"/>
        <family val="2"/>
      </rPr>
      <t xml:space="preserve">이 아주 인기</t>
    </r>
  </si>
  <si>
    <t xml:space="preserve">Mobile Legends: Bang Bang (2), Honor of Kings (18)</t>
  </si>
  <si>
    <r>
      <rPr>
        <sz val="11"/>
        <rFont val="Noto Sans CJK SC"/>
        <family val="2"/>
      </rPr>
      <t xml:space="preserve">사실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순위</t>
    </r>
    <r>
      <rPr>
        <sz val="11"/>
        <rFont val="Arial"/>
        <family val="0"/>
        <charset val="1"/>
      </rPr>
      <t xml:space="preserve">)</t>
    </r>
  </si>
  <si>
    <t xml:space="preserve">총싸움 배틀로얄도 상위</t>
  </si>
  <si>
    <t xml:space="preserve">Free Fire x NARUTO (4), Free Fire MAX x NARUTO (23)</t>
  </si>
  <si>
    <t xml:space="preserve">우리 동네 소재 시뮬레이터가 인기</t>
  </si>
  <si>
    <t xml:space="preserve">Bus Simulator Indonesia (31), Ojol Life: Food Delivery Game (65), Herex Simulator: Bike Racing (87)</t>
  </si>
  <si>
    <r>
      <rPr>
        <sz val="11"/>
        <rFont val="Noto Sans CJK SC"/>
        <family val="2"/>
      </rPr>
      <t xml:space="preserve">드럼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피아노 같은 악기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리듬 앱이 많음</t>
    </r>
  </si>
  <si>
    <t xml:space="preserve">Easy Drum (5), Beat Piano (22), Magic Tiles 3 (38), Real Drum (45), Tiles Hop (55)</t>
  </si>
  <si>
    <r>
      <rPr>
        <sz val="11"/>
        <rFont val="Noto Sans CJK SC"/>
        <family val="2"/>
      </rPr>
      <t xml:space="preserve">글로벌 두뇌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블록 퍼즐도 상위권</t>
    </r>
  </si>
  <si>
    <t xml:space="preserve">Block Blast! (3), Brain Puzzle 2 (6), Color Block (7), Brain Puzzle 3 (9)</t>
  </si>
  <si>
    <r>
      <rPr>
        <sz val="11"/>
        <rFont val="Noto Sans CJK SC"/>
        <family val="2"/>
      </rPr>
      <t xml:space="preserve">미국형 결제 퍼즐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3·</t>
    </r>
    <r>
      <rPr>
        <sz val="11"/>
        <rFont val="Noto Sans CJK SC"/>
        <family val="2"/>
      </rPr>
      <t xml:space="preserve">머지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</t>
    </r>
    <r>
      <rPr>
        <sz val="11"/>
        <rFont val="Arial"/>
        <family val="0"/>
        <charset val="1"/>
      </rPr>
      <t xml:space="preserve">Top20</t>
    </r>
    <r>
      <rPr>
        <sz val="11"/>
        <rFont val="Noto Sans CJK SC"/>
        <family val="2"/>
      </rPr>
      <t xml:space="preserve">에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개뿐</t>
    </r>
  </si>
  <si>
    <t xml:space="preserve">Gossip Harbor (10)</t>
  </si>
  <si>
    <r>
      <rPr>
        <sz val="11"/>
        <rFont val="Noto Sans CJK SC"/>
        <family val="2"/>
      </rPr>
      <t xml:space="preserve">이름이 </t>
    </r>
    <r>
      <rPr>
        <sz val="11"/>
        <rFont val="Arial"/>
        <family val="0"/>
        <charset val="1"/>
      </rPr>
      <t xml:space="preserve">'888XH…', '77RT…'</t>
    </r>
    <r>
      <rPr>
        <sz val="11"/>
        <rFont val="Noto Sans CJK SC"/>
        <family val="2"/>
      </rPr>
      <t xml:space="preserve">인 앱 여러 개가 </t>
    </r>
    <r>
      <rPr>
        <sz val="11"/>
        <rFont val="Arial"/>
        <family val="0"/>
        <charset val="1"/>
      </rPr>
      <t xml:space="preserve">Top100</t>
    </r>
    <r>
      <rPr>
        <sz val="11"/>
        <rFont val="Noto Sans CJK SC"/>
        <family val="2"/>
      </rPr>
      <t xml:space="preserve">에 있음</t>
    </r>
  </si>
  <si>
    <t xml:space="preserve">77RTPabu (49), 888XHSukari (51), 888XHPearl (57), 888XHCrown (58)</t>
  </si>
  <si>
    <t xml:space="preserve">확인 필요 — 무엇을 하는 앱인지 확인 안 됨</t>
  </si>
  <si>
    <r>
      <rPr>
        <sz val="11"/>
        <rFont val="Noto Sans CJK SC"/>
        <family val="2"/>
      </rPr>
      <t xml:space="preserve">시사점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가벼운 안드로이드 대응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친구와 짧게 겨루는 재미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현지 소재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오토바이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버스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배달</t>
    </r>
    <r>
      <rPr>
        <sz val="11"/>
        <rFont val="Arial"/>
        <family val="0"/>
        <charset val="1"/>
      </rPr>
      <t xml:space="preserve">)</t>
    </r>
  </si>
  <si>
    <t xml:space="preserve">위 특징들</t>
  </si>
  <si>
    <t xml:space="preserve">분석자 제안</t>
  </si>
  <si>
    <r>
      <rPr>
        <b val="true"/>
        <sz val="12"/>
        <rFont val="Noto Sans CJK SC"/>
        <family val="2"/>
      </rPr>
      <t xml:space="preserve">⑤ 동남아 벤치마크 — </t>
    </r>
    <r>
      <rPr>
        <b val="true"/>
        <sz val="12"/>
        <rFont val="Arial"/>
        <family val="0"/>
        <charset val="1"/>
      </rPr>
      <t xml:space="preserve">GameAnalytics 2025 </t>
    </r>
    <r>
      <rPr>
        <b val="true"/>
        <sz val="12"/>
        <rFont val="Noto Sans CJK SC"/>
        <family val="2"/>
      </rPr>
      <t xml:space="preserve">보고서 </t>
    </r>
    <r>
      <rPr>
        <b val="true"/>
        <sz val="12"/>
        <rFont val="Arial"/>
        <family val="0"/>
        <charset val="1"/>
      </rPr>
      <t xml:space="preserve">(2024</t>
    </r>
    <r>
      <rPr>
        <b val="true"/>
        <sz val="12"/>
        <rFont val="Noto Sans CJK SC"/>
        <family val="2"/>
      </rPr>
      <t xml:space="preserve">년 데이터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지역별 중앙값</t>
    </r>
    <r>
      <rPr>
        <b val="true"/>
        <sz val="12"/>
        <rFont val="Arial"/>
        <family val="0"/>
        <charset val="1"/>
      </rPr>
      <t xml:space="preserve">)</t>
    </r>
  </si>
  <si>
    <t xml:space="preserve">지표</t>
  </si>
  <si>
    <t xml:space="preserve">단위</t>
  </si>
  <si>
    <r>
      <rPr>
        <b val="true"/>
        <sz val="11"/>
        <color rgb="FFFFFFFF"/>
        <rFont val="Noto Sans CJK SC"/>
        <family val="2"/>
      </rPr>
      <t xml:space="preserve">출처 </t>
    </r>
    <r>
      <rPr>
        <b val="true"/>
        <sz val="11"/>
        <color rgb="FFFFFFFF"/>
        <rFont val="Arial"/>
        <family val="0"/>
        <charset val="1"/>
      </rPr>
      <t xml:space="preserve">(2025 </t>
    </r>
    <r>
      <rPr>
        <b val="true"/>
        <sz val="11"/>
        <color rgb="FFFFFFFF"/>
        <rFont val="Noto Sans CJK SC"/>
        <family val="2"/>
      </rPr>
      <t xml:space="preserve">보고서 쪽수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</si>
  <si>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D1 </t>
    </r>
    <r>
      <rPr>
        <sz val="11"/>
        <rFont val="Noto Sans CJK SC"/>
        <family val="2"/>
      </rPr>
      <t xml:space="preserve">리텐션</t>
    </r>
  </si>
  <si>
    <t xml:space="preserve">%</t>
  </si>
  <si>
    <r>
      <rPr>
        <sz val="11"/>
        <rFont val="Arial"/>
        <family val="0"/>
        <charset val="1"/>
      </rPr>
      <t xml:space="preserve">GameAnalytics 2025 Mobile Gaming Benchmarks p.13 </t>
    </r>
    <r>
      <rPr>
        <sz val="11"/>
        <rFont val="Noto Sans CJK SC"/>
        <family val="2"/>
      </rPr>
      <t xml:space="preserve">지역별 리텐션 표</t>
    </r>
  </si>
  <si>
    <r>
      <rPr>
        <sz val="11"/>
        <rFont val="Arial"/>
        <family val="0"/>
        <charset val="1"/>
      </rPr>
      <t xml:space="preserve">D7 </t>
    </r>
    <r>
      <rPr>
        <sz val="11"/>
        <rFont val="Noto Sans CJK SC"/>
        <family val="2"/>
      </rPr>
      <t xml:space="preserve">리텐션</t>
    </r>
  </si>
  <si>
    <r>
      <rPr>
        <sz val="11"/>
        <rFont val="Arial"/>
        <family val="0"/>
        <charset val="1"/>
      </rPr>
      <t xml:space="preserve">D28 </t>
    </r>
    <r>
      <rPr>
        <sz val="11"/>
        <rFont val="Noto Sans CJK SC"/>
        <family val="2"/>
      </rPr>
      <t xml:space="preserve">리텐션</t>
    </r>
  </si>
  <si>
    <r>
      <rPr>
        <sz val="11"/>
        <rFont val="Arial"/>
        <family val="0"/>
        <charset val="1"/>
      </rPr>
      <t xml:space="preserve">GameAnalytics 2025 Mobile Gaming Benchmarks p.13 </t>
    </r>
    <r>
      <rPr>
        <sz val="11"/>
        <rFont val="Noto Sans CJK SC"/>
        <family val="2"/>
      </rPr>
      <t xml:space="preserve">지역별 리텐션 표 </t>
    </r>
    <r>
      <rPr>
        <sz val="11"/>
        <rFont val="Arial"/>
        <family val="0"/>
        <charset val="1"/>
      </rPr>
      <t xml:space="preserve">(D30 </t>
    </r>
    <r>
      <rPr>
        <sz val="11"/>
        <rFont val="Noto Sans CJK SC"/>
        <family val="2"/>
      </rPr>
      <t xml:space="preserve">아님</t>
    </r>
    <r>
      <rPr>
        <sz val="11"/>
        <rFont val="Arial"/>
        <family val="0"/>
        <charset val="1"/>
      </rPr>
      <t xml:space="preserve">)</t>
    </r>
  </si>
  <si>
    <t xml:space="preserve">하루 플레이 시간</t>
  </si>
  <si>
    <t xml:space="preserve">분</t>
  </si>
  <si>
    <r>
      <rPr>
        <sz val="11"/>
        <rFont val="Arial"/>
        <family val="0"/>
        <charset val="1"/>
      </rPr>
      <t xml:space="preserve">GameAnalytics 2025 Mobile Gaming Benchmarks p.14 Playtime </t>
    </r>
    <r>
      <rPr>
        <sz val="11"/>
        <rFont val="Noto Sans CJK SC"/>
        <family val="2"/>
      </rPr>
      <t xml:space="preserve">표</t>
    </r>
  </si>
  <si>
    <t xml:space="preserve">세션 길이</t>
  </si>
  <si>
    <r>
      <rPr>
        <sz val="11"/>
        <rFont val="Arial"/>
        <family val="0"/>
        <charset val="1"/>
      </rPr>
      <t xml:space="preserve">GameAnalytics 2025 Mobile Gaming Benchmarks p.15 Session length </t>
    </r>
    <r>
      <rPr>
        <sz val="11"/>
        <rFont val="Noto Sans CJK SC"/>
        <family val="2"/>
      </rPr>
      <t xml:space="preserve">표</t>
    </r>
  </si>
  <si>
    <t xml:space="preserve">하루 세션 수</t>
  </si>
  <si>
    <t xml:space="preserve">회</t>
  </si>
  <si>
    <r>
      <rPr>
        <sz val="11"/>
        <rFont val="Arial"/>
        <family val="0"/>
        <charset val="1"/>
      </rPr>
      <t xml:space="preserve">GameAnalytics 2025 Mobile Gaming Benchmarks p.16 Session count </t>
    </r>
    <r>
      <rPr>
        <sz val="11"/>
        <rFont val="Noto Sans CJK SC"/>
        <family val="2"/>
      </rPr>
      <t xml:space="preserve">표</t>
    </r>
  </si>
  <si>
    <r>
      <rPr>
        <i val="true"/>
        <sz val="11"/>
        <color rgb="FF595959"/>
        <rFont val="Arial"/>
        <family val="0"/>
        <charset val="1"/>
      </rPr>
      <t xml:space="preserve">2026 </t>
    </r>
    <r>
      <rPr>
        <i val="true"/>
        <sz val="11"/>
        <color rgb="FF595959"/>
        <rFont val="Noto Sans CJK SC"/>
        <family val="2"/>
      </rPr>
      <t xml:space="preserve">보고서</t>
    </r>
    <r>
      <rPr>
        <i val="true"/>
        <sz val="11"/>
        <color rgb="FF595959"/>
        <rFont val="Arial"/>
        <family val="0"/>
        <charset val="1"/>
      </rPr>
      <t xml:space="preserve">(2025</t>
    </r>
    <r>
      <rPr>
        <i val="true"/>
        <sz val="11"/>
        <color rgb="FF595959"/>
        <rFont val="Noto Sans CJK SC"/>
        <family val="2"/>
      </rPr>
      <t xml:space="preserve">년 데이터</t>
    </r>
    <r>
      <rPr>
        <i val="true"/>
        <sz val="11"/>
        <color rgb="FF595959"/>
        <rFont val="Arial"/>
        <family val="0"/>
        <charset val="1"/>
      </rPr>
      <t xml:space="preserve">): </t>
    </r>
    <r>
      <rPr>
        <i val="true"/>
        <sz val="11"/>
        <color rgb="FF595959"/>
        <rFont val="Noto Sans CJK SC"/>
        <family val="2"/>
      </rPr>
      <t xml:space="preserve">지역 표에 동남아 없음 — 아프리카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아시아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유럽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중동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북미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중미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남미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오세아니아 </t>
    </r>
    <r>
      <rPr>
        <i val="true"/>
        <sz val="11"/>
        <color rgb="FF595959"/>
        <rFont val="Arial"/>
        <family val="0"/>
        <charset val="1"/>
      </rPr>
      <t xml:space="preserve">8</t>
    </r>
    <r>
      <rPr>
        <i val="true"/>
        <sz val="11"/>
        <color rgb="FF595959"/>
        <rFont val="Noto Sans CJK SC"/>
        <family val="2"/>
      </rPr>
      <t xml:space="preserve">개 지역만 있음 </t>
    </r>
    <r>
      <rPr>
        <i val="true"/>
        <sz val="11"/>
        <color rgb="FF595959"/>
        <rFont val="Arial"/>
        <family val="0"/>
        <charset val="1"/>
      </rPr>
      <t xml:space="preserve">(2026 Mobile &amp; PC Gaming Benchmarks p.15~19, investgame.net </t>
    </r>
    <r>
      <rPr>
        <i val="true"/>
        <sz val="11"/>
        <color rgb="FF595959"/>
        <rFont val="Noto Sans CJK SC"/>
        <family val="2"/>
      </rPr>
      <t xml:space="preserve">공개 </t>
    </r>
    <r>
      <rPr>
        <i val="true"/>
        <sz val="11"/>
        <color rgb="FF595959"/>
        <rFont val="Arial"/>
        <family val="0"/>
        <charset val="1"/>
      </rPr>
      <t xml:space="preserve">PDF</t>
    </r>
    <r>
      <rPr>
        <i val="true"/>
        <sz val="11"/>
        <color rgb="FF595959"/>
        <rFont val="Noto Sans CJK SC"/>
        <family val="2"/>
      </rPr>
      <t xml:space="preserve">로 확인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</si>
  <si>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주의</t>
    </r>
    <r>
      <rPr>
        <i val="true"/>
        <sz val="11"/>
        <color rgb="FF595959"/>
        <rFont val="Arial"/>
        <family val="0"/>
        <charset val="1"/>
      </rPr>
      <t xml:space="preserve">: 2025 </t>
    </r>
    <r>
      <rPr>
        <i val="true"/>
        <sz val="11"/>
        <color rgb="FF595959"/>
        <rFont val="Noto Sans CJK SC"/>
        <family val="2"/>
      </rPr>
      <t xml:space="preserve">보고서와 </t>
    </r>
    <r>
      <rPr>
        <i val="true"/>
        <sz val="11"/>
        <color rgb="FF595959"/>
        <rFont val="Arial"/>
        <family val="0"/>
        <charset val="1"/>
      </rPr>
      <t xml:space="preserve">2026 </t>
    </r>
    <r>
      <rPr>
        <i val="true"/>
        <sz val="11"/>
        <color rgb="FF595959"/>
        <rFont val="Noto Sans CJK SC"/>
        <family val="2"/>
      </rPr>
      <t xml:space="preserve">보고서는 같은 지표도 값 차이가 큼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예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아시아 하루 플레이 시간 </t>
    </r>
    <r>
      <rPr>
        <i val="true"/>
        <sz val="11"/>
        <color rgb="FF595959"/>
        <rFont val="Arial"/>
        <family val="0"/>
        <charset val="1"/>
      </rPr>
      <t xml:space="preserve">2025 </t>
    </r>
    <r>
      <rPr>
        <i val="true"/>
        <sz val="11"/>
        <color rgb="FF595959"/>
        <rFont val="Noto Sans CJK SC"/>
        <family val="2"/>
      </rPr>
      <t xml:space="preserve">보고서 </t>
    </r>
    <r>
      <rPr>
        <i val="true"/>
        <sz val="11"/>
        <color rgb="FF595959"/>
        <rFont val="Arial"/>
        <family val="0"/>
        <charset val="1"/>
      </rPr>
      <t xml:space="preserve">22.15</t>
    </r>
    <r>
      <rPr>
        <i val="true"/>
        <sz val="11"/>
        <color rgb="FF595959"/>
        <rFont val="Noto Sans CJK SC"/>
        <family val="2"/>
      </rPr>
      <t xml:space="preserve">분 </t>
    </r>
    <r>
      <rPr>
        <i val="true"/>
        <sz val="11"/>
        <color rgb="FF595959"/>
        <rFont val="Arial"/>
        <family val="0"/>
        <charset val="1"/>
      </rPr>
      <t xml:space="preserve">vs 2026 </t>
    </r>
    <r>
      <rPr>
        <i val="true"/>
        <sz val="11"/>
        <color rgb="FF595959"/>
        <rFont val="Noto Sans CJK SC"/>
        <family val="2"/>
      </rPr>
      <t xml:space="preserve">보고서 </t>
    </r>
    <r>
      <rPr>
        <i val="true"/>
        <sz val="11"/>
        <color rgb="FF595959"/>
        <rFont val="Arial"/>
        <family val="0"/>
        <charset val="1"/>
      </rPr>
      <t xml:space="preserve">11.79</t>
    </r>
    <r>
      <rPr>
        <i val="true"/>
        <sz val="11"/>
        <color rgb="FF595959"/>
        <rFont val="Noto Sans CJK SC"/>
        <family val="2"/>
      </rPr>
      <t xml:space="preserve">분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연도끼리 직접 비교하지 말 것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</si>
  <si>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그래서 </t>
    </r>
    <r>
      <rPr>
        <i val="true"/>
        <sz val="11"/>
        <color rgb="FF595959"/>
        <rFont val="Arial"/>
        <family val="0"/>
        <charset val="1"/>
      </rPr>
      <t xml:space="preserve">'4-2 </t>
    </r>
    <r>
      <rPr>
        <i val="true"/>
        <sz val="11"/>
        <color rgb="FF595959"/>
        <rFont val="Noto Sans CJK SC"/>
        <family val="2"/>
      </rPr>
      <t xml:space="preserve">지역 벤치마크</t>
    </r>
    <r>
      <rPr>
        <i val="true"/>
        <sz val="11"/>
        <color rgb="FF595959"/>
        <rFont val="Arial"/>
        <family val="0"/>
        <charset val="1"/>
      </rPr>
      <t xml:space="preserve">'(2026 </t>
    </r>
    <r>
      <rPr>
        <i val="true"/>
        <sz val="11"/>
        <color rgb="FF595959"/>
        <rFont val="Noto Sans CJK SC"/>
        <family val="2"/>
      </rPr>
      <t xml:space="preserve">보고서 표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와 게임전략 파일 </t>
    </r>
    <r>
      <rPr>
        <i val="true"/>
        <sz val="11"/>
        <color rgb="FF595959"/>
        <rFont val="Arial"/>
        <family val="0"/>
        <charset val="1"/>
      </rPr>
      <t xml:space="preserve">2-2 MVP </t>
    </r>
    <r>
      <rPr>
        <i val="true"/>
        <sz val="11"/>
        <color rgb="FF595959"/>
        <rFont val="Noto Sans CJK SC"/>
        <family val="2"/>
      </rPr>
      <t xml:space="preserve">검증 목표 수식에는 이 값을 넣지 않고 여기에 따로 둠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</si>
  <si>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사용자가 첨부한 </t>
    </r>
    <r>
      <rPr>
        <i val="true"/>
        <sz val="11"/>
        <color rgb="FF595959"/>
        <rFont val="Arial"/>
        <family val="0"/>
        <charset val="1"/>
      </rPr>
      <t xml:space="preserve">GameAnalytics 2025 Mobile Gaming Benchmarks PDF (files.gameindustrylibrary.com) — </t>
    </r>
    <r>
      <rPr>
        <i val="true"/>
        <sz val="11"/>
        <color rgb="FF595959"/>
        <rFont val="Noto Sans CJK SC"/>
        <family val="2"/>
      </rPr>
      <t xml:space="preserve">값은 표의 글자를 그대로 옮김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판독값 아님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</si>
  <si>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b val="true"/>
        <sz val="11"/>
        <color rgb="FFFFFFFF"/>
        <rFont val="Arial"/>
        <family val="0"/>
        <charset val="1"/>
      </rPr>
      <t xml:space="preserve">Top 10 (</t>
    </r>
    <r>
      <rPr>
        <b val="true"/>
        <sz val="11"/>
        <color rgb="FFFFFFFF"/>
        <rFont val="Noto Sans CJK SC"/>
        <family val="2"/>
      </rPr>
      <t xml:space="preserve">구글 플레이 매출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</si>
  <si>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https://www.appbrain.com/stats/google-play-rankings/top_grossing/game/us</t>
  </si>
  <si>
    <t xml:space="preserve">1 MONOPOLY GO!, 2 Roblox, 3 Candy Crush Saga, 4 Royal Match, 5 Gossip Harbor, 6 Township, 7 Coin Master, 8 Royal Kingdom, 9 Kingshot, 10 Whiteout Survival</t>
  </si>
  <si>
    <t xml:space="preserve">2026-10-01</t>
  </si>
  <si>
    <t xml:space="preserve">https://www.appbrain.com/stats/google-play-rankings/top_grossing/game/br</t>
  </si>
  <si>
    <t xml:space="preserve">1 Free Fire, 2 Roblox, 3 Coin Master, 4 Gossip Harbor, 5 Candy Crush Saga, 6 eFootball, 7 Royal Match, 8 Minecraft, 9 Brawl Stars, 11 Gardenscapes</t>
  </si>
  <si>
    <t xml:space="preserve">https://www.appbrain.com/stats/google-play-rankings/top_grossing/game/jp</t>
  </si>
  <si>
    <r>
      <rPr>
        <sz val="11"/>
        <rFont val="Arial"/>
        <family val="0"/>
        <charset val="1"/>
      </rPr>
      <t xml:space="preserve">1 SD</t>
    </r>
    <r>
      <rPr>
        <sz val="11"/>
        <rFont val="Noto Sans CJK SC"/>
        <family val="2"/>
      </rPr>
      <t xml:space="preserve">건담 </t>
    </r>
    <r>
      <rPr>
        <sz val="11"/>
        <rFont val="Arial"/>
        <family val="0"/>
        <charset val="1"/>
      </rPr>
      <t xml:space="preserve">G</t>
    </r>
    <r>
      <rPr>
        <sz val="11"/>
        <rFont val="Noto Sans CJK SC"/>
        <family val="2"/>
      </rPr>
      <t xml:space="preserve">제네레이션 이터널</t>
    </r>
    <r>
      <rPr>
        <sz val="11"/>
        <rFont val="Arial"/>
        <family val="0"/>
        <charset val="1"/>
      </rPr>
      <t xml:space="preserve">, 2 Wuthering Waves, 3 Honkai: Star Rail, 4 </t>
    </r>
    <r>
      <rPr>
        <sz val="11"/>
        <rFont val="Noto Sans CJK SC"/>
        <family val="2"/>
      </rPr>
      <t xml:space="preserve">홀로라이브 드림즈</t>
    </r>
    <r>
      <rPr>
        <sz val="11"/>
        <rFont val="Arial"/>
        <family val="0"/>
        <charset val="1"/>
      </rPr>
      <t xml:space="preserve">, 5 </t>
    </r>
    <r>
      <rPr>
        <sz val="11"/>
        <rFont val="Noto Sans CJK SC"/>
        <family val="2"/>
      </rPr>
      <t xml:space="preserve">몬스터 스트라이크</t>
    </r>
    <r>
      <rPr>
        <sz val="11"/>
        <rFont val="Arial"/>
        <family val="0"/>
        <charset val="1"/>
      </rPr>
      <t xml:space="preserve">, 6 </t>
    </r>
    <r>
      <rPr>
        <sz val="11"/>
        <rFont val="Noto Sans CJK SC"/>
        <family val="2"/>
      </rPr>
      <t xml:space="preserve">드래곤볼</t>
    </r>
    <r>
      <rPr>
        <sz val="11"/>
        <rFont val="Arial"/>
        <family val="0"/>
        <charset val="1"/>
      </rPr>
      <t xml:space="preserve">Z </t>
    </r>
    <r>
      <rPr>
        <sz val="11"/>
        <rFont val="Noto Sans CJK SC"/>
        <family val="2"/>
      </rPr>
      <t xml:space="preserve">돗칸배틀</t>
    </r>
    <r>
      <rPr>
        <sz val="11"/>
        <rFont val="Arial"/>
        <family val="0"/>
        <charset val="1"/>
      </rPr>
      <t xml:space="preserve">, 7 </t>
    </r>
    <r>
      <rPr>
        <sz val="11"/>
        <rFont val="Noto Sans CJK SC"/>
        <family val="2"/>
      </rPr>
      <t xml:space="preserve">우마무스메</t>
    </r>
    <r>
      <rPr>
        <sz val="11"/>
        <rFont val="Arial"/>
        <family val="0"/>
        <charset val="1"/>
      </rPr>
      <t xml:space="preserve">, 8 </t>
    </r>
    <r>
      <rPr>
        <sz val="11"/>
        <rFont val="Noto Sans CJK SC"/>
        <family val="2"/>
      </rPr>
      <t xml:space="preserve">원신</t>
    </r>
    <r>
      <rPr>
        <sz val="11"/>
        <rFont val="Arial"/>
        <family val="0"/>
        <charset val="1"/>
      </rPr>
      <t xml:space="preserve">, 9 Whiteout Survival, 10 </t>
    </r>
    <r>
      <rPr>
        <sz val="11"/>
        <rFont val="Noto Sans CJK SC"/>
        <family val="2"/>
      </rPr>
      <t xml:space="preserve">디즈니 츠무츠무</t>
    </r>
  </si>
  <si>
    <t xml:space="preserve">https://www.appbrain.com/stats/google-play-rankings/top_grossing/game/kr</t>
  </si>
  <si>
    <r>
      <rPr>
        <sz val="11"/>
        <rFont val="Arial"/>
        <family val="0"/>
        <charset val="1"/>
      </rPr>
      <t xml:space="preserve">1 </t>
    </r>
    <r>
      <rPr>
        <sz val="11"/>
        <rFont val="Noto Sans CJK SC"/>
        <family val="2"/>
      </rPr>
      <t xml:space="preserve">제우스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오만의 신</t>
    </r>
    <r>
      <rPr>
        <sz val="11"/>
        <rFont val="Arial"/>
        <family val="0"/>
        <charset val="1"/>
      </rPr>
      <t xml:space="preserve">, 2 </t>
    </r>
    <r>
      <rPr>
        <sz val="11"/>
        <rFont val="Noto Sans CJK SC"/>
        <family val="2"/>
      </rPr>
      <t xml:space="preserve">리니지</t>
    </r>
    <r>
      <rPr>
        <sz val="11"/>
        <rFont val="Arial"/>
        <family val="0"/>
        <charset val="1"/>
      </rPr>
      <t xml:space="preserve">M, 3 Wuthering Waves, 4 </t>
    </r>
    <r>
      <rPr>
        <sz val="11"/>
        <rFont val="Noto Sans CJK SC"/>
        <family val="2"/>
      </rPr>
      <t xml:space="preserve">이클립스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더 어웨이크닝</t>
    </r>
    <r>
      <rPr>
        <sz val="11"/>
        <rFont val="Arial"/>
        <family val="0"/>
        <charset val="1"/>
      </rPr>
      <t xml:space="preserve">, 5 </t>
    </r>
    <r>
      <rPr>
        <sz val="11"/>
        <rFont val="Noto Sans CJK SC"/>
        <family val="2"/>
      </rPr>
      <t xml:space="preserve">오딘</t>
    </r>
    <r>
      <rPr>
        <sz val="11"/>
        <rFont val="Arial"/>
        <family val="0"/>
        <charset val="1"/>
      </rPr>
      <t xml:space="preserve">, 6 Whiteout Survival, 7 </t>
    </r>
    <r>
      <rPr>
        <sz val="11"/>
        <rFont val="Noto Sans CJK SC"/>
        <family val="2"/>
      </rPr>
      <t xml:space="preserve">트릭컬 리바이브</t>
    </r>
    <r>
      <rPr>
        <sz val="11"/>
        <rFont val="Arial"/>
        <family val="0"/>
        <charset val="1"/>
      </rPr>
      <t xml:space="preserve">, 8 </t>
    </r>
    <r>
      <rPr>
        <sz val="11"/>
        <rFont val="Noto Sans CJK SC"/>
        <family val="2"/>
      </rPr>
      <t xml:space="preserve">메이플스토리 방치형 </t>
    </r>
    <r>
      <rPr>
        <sz val="11"/>
        <rFont val="Arial"/>
        <family val="0"/>
        <charset val="1"/>
      </rPr>
      <t xml:space="preserve">RPG, 9 Roblox, 10 SOL: enchant</t>
    </r>
  </si>
  <si>
    <r>
      <rPr>
        <b val="true"/>
        <sz val="11"/>
        <color rgb="FFFFFFFF"/>
        <rFont val="Noto Sans CJK SC"/>
        <family val="2"/>
      </rPr>
      <t xml:space="preserve">매출 </t>
    </r>
    <r>
      <rPr>
        <b val="true"/>
        <sz val="11"/>
        <color rgb="FFFFFFFF"/>
        <rFont val="Arial"/>
        <family val="0"/>
        <charset val="1"/>
      </rPr>
      <t xml:space="preserve">Top100 </t>
    </r>
    <r>
      <rPr>
        <b val="true"/>
        <sz val="11"/>
        <color rgb="FFFFFFFF"/>
        <rFont val="Noto Sans CJK SC"/>
        <family val="2"/>
      </rPr>
      <t xml:space="preserve">수</t>
    </r>
  </si>
  <si>
    <t xml:space="preserve">매출 비율</t>
  </si>
  <si>
    <r>
      <rPr>
        <b val="true"/>
        <sz val="11"/>
        <color rgb="FFFFFFFF"/>
        <rFont val="Noto Sans CJK SC"/>
        <family val="2"/>
      </rPr>
      <t xml:space="preserve">무료 </t>
    </r>
    <r>
      <rPr>
        <b val="true"/>
        <sz val="11"/>
        <color rgb="FFFFFFFF"/>
        <rFont val="Arial"/>
        <family val="0"/>
        <charset val="1"/>
      </rPr>
      <t xml:space="preserve">Top100 </t>
    </r>
    <r>
      <rPr>
        <b val="true"/>
        <sz val="11"/>
        <color rgb="FFFFFFFF"/>
        <rFont val="Noto Sans CJK SC"/>
        <family val="2"/>
      </rPr>
      <t xml:space="preserve">수 </t>
    </r>
    <r>
      <rPr>
        <b val="true"/>
        <sz val="11"/>
        <color rgb="FFFFFFFF"/>
        <rFont val="Arial"/>
        <family val="0"/>
        <charset val="1"/>
      </rPr>
      <t xml:space="preserve">(1-2)</t>
    </r>
  </si>
  <si>
    <t xml:space="preserve">무료 비율</t>
  </si>
  <si>
    <r>
      <rPr>
        <b val="true"/>
        <sz val="11"/>
        <color rgb="FFFFFFFF"/>
        <rFont val="Noto Sans CJK SC"/>
        <family val="2"/>
      </rPr>
      <t xml:space="preserve">차이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매출</t>
    </r>
    <r>
      <rPr>
        <b val="true"/>
        <sz val="11"/>
        <color rgb="FFFFFFFF"/>
        <rFont val="Arial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무료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</si>
  <si>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Scopely Explore</t>
  </si>
  <si>
    <t xml:space="preserve">Last War:Survival Game</t>
  </si>
  <si>
    <t xml:space="preserve">FUNFLY</t>
  </si>
  <si>
    <t xml:space="preserve">DRAGON BALL Z DOKKAN BATTLE</t>
  </si>
  <si>
    <t xml:space="preserve">Bandai Namco</t>
  </si>
  <si>
    <r>
      <rPr>
        <sz val="11"/>
        <rFont val="Noto Sans CJK SC"/>
        <family val="2"/>
      </rPr>
      <t xml:space="preserve">수집형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가챠</t>
    </r>
    <r>
      <rPr>
        <sz val="11"/>
        <rFont val="Arial"/>
        <family val="0"/>
        <charset val="1"/>
      </rPr>
      <t xml:space="preserve">) RPG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</si>
  <si>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AppBrain Google Play Top Grossing Games United States https://www.appbrain.com/stats/google-play-rankings/top_grossing/game/us  ·  </t>
    </r>
    <r>
      <rPr>
        <i val="true"/>
        <sz val="11"/>
        <color rgb="FF595959"/>
        <rFont val="Noto Sans CJK SC"/>
        <family val="2"/>
      </rPr>
      <t xml:space="preserve">기준일 </t>
    </r>
    <r>
      <rPr>
        <i val="true"/>
        <sz val="11"/>
        <color rgb="FF595959"/>
        <rFont val="Arial"/>
        <family val="0"/>
        <charset val="1"/>
      </rPr>
      <t xml:space="preserve">2026-10-04 (AppBrain </t>
    </r>
    <r>
      <rPr>
        <i val="true"/>
        <sz val="11"/>
        <color rgb="FF595959"/>
        <rFont val="Noto Sans CJK SC"/>
        <family val="2"/>
      </rPr>
      <t xml:space="preserve">페이지 </t>
    </r>
    <r>
      <rPr>
        <i val="true"/>
        <sz val="11"/>
        <color rgb="FF595959"/>
        <rFont val="Arial"/>
        <family val="0"/>
        <charset val="1"/>
      </rPr>
      <t xml:space="preserve">'Last updated: October 4, 2026', 2026-10-05 </t>
    </r>
    <r>
      <rPr>
        <i val="true"/>
        <sz val="11"/>
        <color rgb="FF595959"/>
        <rFont val="Noto Sans CJK SC"/>
        <family val="2"/>
      </rPr>
      <t xml:space="preserve">조회</t>
    </r>
    <r>
      <rPr>
        <i val="true"/>
        <sz val="11"/>
        <color rgb="FF595959"/>
        <rFont val="Arial"/>
        <family val="0"/>
        <charset val="1"/>
      </rPr>
      <t xml:space="preserve">)</t>
    </r>
  </si>
  <si>
    <t xml:space="preserve">Total Battle: War Strategy</t>
  </si>
  <si>
    <t xml:space="preserve">Scorewarrior</t>
  </si>
  <si>
    <r>
      <rPr>
        <i val="true"/>
        <sz val="11"/>
        <color rgb="FF595959"/>
        <rFont val="Arial"/>
        <family val="0"/>
        <charset val="1"/>
      </rPr>
      <t xml:space="preserve">26</t>
    </r>
    <r>
      <rPr>
        <i val="true"/>
        <sz val="11"/>
        <color rgb="FF595959"/>
        <rFont val="Noto Sans CJK SC"/>
        <family val="2"/>
      </rPr>
      <t xml:space="preserve">위</t>
    </r>
    <r>
      <rPr>
        <i val="true"/>
        <sz val="11"/>
        <color rgb="FF595959"/>
        <rFont val="Arial"/>
        <family val="0"/>
        <charset val="1"/>
      </rPr>
      <t xml:space="preserve">·65</t>
    </r>
    <r>
      <rPr>
        <i val="true"/>
        <sz val="11"/>
        <color rgb="FF595959"/>
        <rFont val="Noto Sans CJK SC"/>
        <family val="2"/>
      </rPr>
      <t xml:space="preserve">위는 </t>
    </r>
    <r>
      <rPr>
        <i val="true"/>
        <sz val="11"/>
        <color rgb="FF595959"/>
        <rFont val="Arial"/>
        <family val="0"/>
        <charset val="1"/>
      </rPr>
      <t xml:space="preserve">AppBrain </t>
    </r>
    <r>
      <rPr>
        <i val="true"/>
        <sz val="11"/>
        <color rgb="FF595959"/>
        <rFont val="Noto Sans CJK SC"/>
        <family val="2"/>
      </rPr>
      <t xml:space="preserve">목록에 줄이 없어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확인 불가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로 둠 </t>
    </r>
    <r>
      <rPr>
        <i val="true"/>
        <sz val="11"/>
        <color rgb="FF595959"/>
        <rFont val="Arial"/>
        <family val="0"/>
        <charset val="1"/>
      </rPr>
      <t xml:space="preserve">(1-2 Google Play Top100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80</t>
    </r>
    <r>
      <rPr>
        <i val="true"/>
        <sz val="11"/>
        <color rgb="FF595959"/>
        <rFont val="Noto Sans CJK SC"/>
        <family val="2"/>
      </rPr>
      <t xml:space="preserve">위와 같은 현상</t>
    </r>
    <r>
      <rPr>
        <i val="true"/>
        <sz val="11"/>
        <color rgb="FF595959"/>
        <rFont val="Arial"/>
        <family val="0"/>
        <charset val="1"/>
      </rPr>
      <t xml:space="preserve">).</t>
    </r>
  </si>
  <si>
    <t xml:space="preserve">Last Z: Survival Shooter</t>
  </si>
  <si>
    <t xml:space="preserve">Omnilojo</t>
  </si>
  <si>
    <r>
      <rPr>
        <i val="true"/>
        <sz val="11"/>
        <color rgb="FF595959"/>
        <rFont val="Noto Sans CJK SC"/>
        <family val="2"/>
      </rPr>
      <t xml:space="preserve">장르 분류</t>
    </r>
    <r>
      <rPr>
        <i val="true"/>
        <sz val="11"/>
        <color rgb="FF595959"/>
        <rFont val="Arial"/>
        <family val="0"/>
        <charset val="1"/>
      </rPr>
      <t xml:space="preserve">: 1-1·1-2</t>
    </r>
    <r>
      <rPr>
        <i val="true"/>
        <sz val="11"/>
        <color rgb="FF595959"/>
        <rFont val="Noto Sans CJK SC"/>
        <family val="2"/>
      </rPr>
      <t xml:space="preserve">에 이미 있는 게임은 같은 분류를 그대로 씀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새 게임은 게임명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스토어 카테고리 기반 분석자 판단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확신이 낮으면 비고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확인 필요</t>
    </r>
    <r>
      <rPr>
        <i val="true"/>
        <sz val="11"/>
        <color rgb="FF595959"/>
        <rFont val="Arial"/>
        <family val="0"/>
        <charset val="1"/>
      </rPr>
      <t xml:space="preserve">' + </t>
    </r>
    <r>
      <rPr>
        <i val="true"/>
        <sz val="11"/>
        <color rgb="FF595959"/>
        <rFont val="Noto Sans CJK SC"/>
        <family val="2"/>
      </rPr>
      <t xml:space="preserve">노란 칸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</si>
  <si>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Evony: The King's Return</t>
  </si>
  <si>
    <t xml:space="preserve">TG Inc.</t>
  </si>
  <si>
    <r>
      <rPr>
        <i val="true"/>
        <sz val="11"/>
        <color rgb="FF595959"/>
        <rFont val="Noto Sans CJK SC"/>
        <family val="2"/>
      </rPr>
      <t xml:space="preserve">새로 생긴 세부 장르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수집형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가챠</t>
    </r>
    <r>
      <rPr>
        <i val="true"/>
        <sz val="11"/>
        <color rgb="FF595959"/>
        <rFont val="Arial"/>
        <family val="0"/>
        <charset val="1"/>
      </rPr>
      <t xml:space="preserve">) RPG · </t>
    </r>
    <r>
      <rPr>
        <i val="true"/>
        <sz val="11"/>
        <color rgb="FF595959"/>
        <rFont val="Noto Sans CJK SC"/>
        <family val="2"/>
      </rPr>
      <t xml:space="preserve">방치형 </t>
    </r>
    <r>
      <rPr>
        <i val="true"/>
        <sz val="11"/>
        <color rgb="FF595959"/>
        <rFont val="Arial"/>
        <family val="0"/>
        <charset val="1"/>
      </rPr>
      <t xml:space="preserve">RPG · </t>
    </r>
    <r>
      <rPr>
        <i val="true"/>
        <sz val="11"/>
        <color rgb="FF595959"/>
        <rFont val="Noto Sans CJK SC"/>
        <family val="2"/>
      </rPr>
      <t xml:space="preserve">빙고 </t>
    </r>
    <r>
      <rPr>
        <i val="true"/>
        <sz val="11"/>
        <color rgb="FF595959"/>
        <rFont val="Arial"/>
        <family val="0"/>
        <charset val="1"/>
      </rPr>
      <t xml:space="preserve">· </t>
    </r>
    <r>
      <rPr>
        <i val="true"/>
        <sz val="11"/>
        <color rgb="FF595959"/>
        <rFont val="Noto Sans CJK SC"/>
        <family val="2"/>
      </rPr>
      <t xml:space="preserve">포커 </t>
    </r>
    <r>
      <rPr>
        <i val="true"/>
        <sz val="11"/>
        <color rgb="FF595959"/>
        <rFont val="Arial"/>
        <family val="0"/>
        <charset val="1"/>
      </rPr>
      <t xml:space="preserve">· </t>
    </r>
    <r>
      <rPr>
        <i val="true"/>
        <sz val="11"/>
        <color rgb="FF595959"/>
        <rFont val="Noto Sans CJK SC"/>
        <family val="2"/>
      </rPr>
      <t xml:space="preserve">골프 </t>
    </r>
    <r>
      <rPr>
        <i val="true"/>
        <sz val="11"/>
        <color rgb="FF595959"/>
        <rFont val="Arial"/>
        <family val="0"/>
        <charset val="1"/>
      </rPr>
      <t xml:space="preserve">(1-4 </t>
    </r>
    <r>
      <rPr>
        <i val="true"/>
        <sz val="11"/>
        <color rgb="FF595959"/>
        <rFont val="Noto Sans CJK SC"/>
        <family val="2"/>
      </rPr>
      <t xml:space="preserve">세부 장르 시트에는 없음 — </t>
    </r>
    <r>
      <rPr>
        <i val="true"/>
        <sz val="11"/>
        <color rgb="FF595959"/>
        <rFont val="Arial"/>
        <family val="0"/>
        <charset val="1"/>
      </rPr>
      <t xml:space="preserve">1-4</t>
    </r>
    <r>
      <rPr>
        <i val="true"/>
        <sz val="11"/>
        <color rgb="FF595959"/>
        <rFont val="Noto Sans CJK SC"/>
        <family val="2"/>
      </rPr>
      <t xml:space="preserve">는 </t>
    </r>
    <r>
      <rPr>
        <i val="true"/>
        <sz val="11"/>
        <color rgb="FF595959"/>
        <rFont val="Arial"/>
        <family val="0"/>
        <charset val="1"/>
      </rPr>
      <t xml:space="preserve">1-1·1-2</t>
    </r>
    <r>
      <rPr>
        <i val="true"/>
        <sz val="11"/>
        <color rgb="FF595959"/>
        <rFont val="Noto Sans CJK SC"/>
        <family val="2"/>
      </rPr>
      <t xml:space="preserve">만 집계</t>
    </r>
    <r>
      <rPr>
        <i val="true"/>
        <sz val="11"/>
        <color rgb="FF595959"/>
        <rFont val="Arial"/>
        <family val="0"/>
        <charset val="1"/>
      </rPr>
      <t xml:space="preserve">).</t>
    </r>
  </si>
  <si>
    <t xml:space="preserve">RAID: Shadow Legends</t>
  </si>
  <si>
    <t xml:space="preserve">Plarium</t>
  </si>
  <si>
    <r>
      <rPr>
        <i val="true"/>
        <sz val="11"/>
        <color rgb="FF595959"/>
        <rFont val="Arial"/>
        <family val="0"/>
        <charset val="1"/>
      </rPr>
      <t xml:space="preserve">'3-1 </t>
    </r>
    <r>
      <rPr>
        <i val="true"/>
        <sz val="11"/>
        <color rgb="FF595959"/>
        <rFont val="Noto Sans CJK SC"/>
        <family val="2"/>
      </rPr>
      <t xml:space="preserve">매출 순위 원자료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의 미국 </t>
    </r>
    <r>
      <rPr>
        <i val="true"/>
        <sz val="11"/>
        <color rgb="FF595959"/>
        <rFont val="Arial"/>
        <family val="0"/>
        <charset val="1"/>
      </rPr>
      <t xml:space="preserve">Top10(2026-10-03)</t>
    </r>
    <r>
      <rPr>
        <i val="true"/>
        <sz val="11"/>
        <color rgb="FF595959"/>
        <rFont val="Noto Sans CJK SC"/>
        <family val="2"/>
      </rPr>
      <t xml:space="preserve">과 순서가 조금 다름 — 하루 차이</t>
    </r>
    <r>
      <rPr>
        <i val="true"/>
        <sz val="11"/>
        <color rgb="FF595959"/>
        <rFont val="Arial"/>
        <family val="0"/>
        <charset val="1"/>
      </rPr>
      <t xml:space="preserve">. 3-1</t>
    </r>
    <r>
      <rPr>
        <i val="true"/>
        <sz val="11"/>
        <color rgb="FF595959"/>
        <rFont val="Noto Sans CJK SC"/>
        <family val="2"/>
      </rPr>
      <t xml:space="preserve">은 그대로 둠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</si>
  <si>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Gardenscapes</t>
  </si>
  <si>
    <r>
      <rPr>
        <i val="true"/>
        <sz val="11"/>
        <color rgb="FF595959"/>
        <rFont val="Arial"/>
        <family val="0"/>
        <charset val="1"/>
      </rPr>
      <t xml:space="preserve">App Store </t>
    </r>
    <r>
      <rPr>
        <i val="true"/>
        <sz val="11"/>
        <color rgb="FF595959"/>
        <rFont val="Noto Sans CJK SC"/>
        <family val="2"/>
      </rPr>
      <t xml:space="preserve">매출 순위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이번 단계 미조사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후보 공개 출처 — </t>
    </r>
    <r>
      <rPr>
        <i val="true"/>
        <sz val="11"/>
        <color rgb="FF595959"/>
        <rFont val="Arial"/>
        <family val="0"/>
        <charset val="1"/>
      </rPr>
      <t xml:space="preserve">AppBrain App Store ranking https://www.appbrain.com/stats/appstore-rankings (</t>
    </r>
    <r>
      <rPr>
        <i val="true"/>
        <sz val="11"/>
        <color rgb="FF595959"/>
        <rFont val="Noto Sans CJK SC"/>
        <family val="2"/>
      </rPr>
      <t xml:space="preserve">다음 단계 확인 필요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</si>
  <si>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무료 비율 열은 </t>
    </r>
    <r>
      <rPr>
        <i val="true"/>
        <sz val="11"/>
        <color rgb="FF595959"/>
        <rFont val="Arial"/>
        <family val="0"/>
        <charset val="1"/>
      </rPr>
      <t xml:space="preserve">1-2(</t>
    </r>
    <r>
      <rPr>
        <i val="true"/>
        <sz val="11"/>
        <color rgb="FF595959"/>
        <rFont val="Noto Sans CJK SC"/>
        <family val="2"/>
      </rPr>
      <t xml:space="preserve">같은 날 </t>
    </r>
    <r>
      <rPr>
        <i val="true"/>
        <sz val="11"/>
        <color rgb="FF595959"/>
        <rFont val="Arial"/>
        <family val="0"/>
        <charset val="1"/>
      </rPr>
      <t xml:space="preserve">2026-10-04 </t>
    </r>
    <r>
      <rPr>
        <i val="true"/>
        <sz val="11"/>
        <color rgb="FF595959"/>
        <rFont val="Noto Sans CJK SC"/>
        <family val="2"/>
      </rPr>
      <t xml:space="preserve">미국 무료 </t>
    </r>
    <r>
      <rPr>
        <i val="true"/>
        <sz val="11"/>
        <color rgb="FF595959"/>
        <rFont val="Arial"/>
        <family val="0"/>
        <charset val="1"/>
      </rPr>
      <t xml:space="preserve">Top100)</t>
    </r>
    <r>
      <rPr>
        <i val="true"/>
        <sz val="11"/>
        <color rgb="FF595959"/>
        <rFont val="Noto Sans CJK SC"/>
        <family val="2"/>
      </rPr>
      <t xml:space="preserve">를 수식으로 세어 비교한 것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</si>
  <si>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Bingo Blitz - Bingo Games</t>
  </si>
  <si>
    <t xml:space="preserve">Playtika Santa Monica</t>
  </si>
  <si>
    <t xml:space="preserve">빙고</t>
  </si>
  <si>
    <t xml:space="preserve">Jackpot Party Casino Slots</t>
  </si>
  <si>
    <t xml:space="preserve">SciPlay</t>
  </si>
  <si>
    <t xml:space="preserve">Last Asylum: Plague</t>
  </si>
  <si>
    <t xml:space="preserve">37GAMES GLOBAL</t>
  </si>
  <si>
    <t xml:space="preserve">Fishdom</t>
  </si>
  <si>
    <t xml:space="preserve">Cashman Casino Slots Games</t>
  </si>
  <si>
    <t xml:space="preserve">Product Madness</t>
  </si>
  <si>
    <r>
      <rPr>
        <sz val="11"/>
        <rFont val="Noto Sans CJK SC"/>
        <family val="2"/>
      </rPr>
      <t xml:space="preserve">확인 불가 </t>
    </r>
    <r>
      <rPr>
        <sz val="11"/>
        <rFont val="Arial"/>
        <family val="0"/>
        <charset val="1"/>
      </rPr>
      <t xml:space="preserve">(AppBrain </t>
    </r>
    <r>
      <rPr>
        <sz val="11"/>
        <rFont val="Noto Sans CJK SC"/>
        <family val="2"/>
      </rPr>
      <t xml:space="preserve">목록에 </t>
    </r>
    <r>
      <rPr>
        <sz val="11"/>
        <rFont val="Arial"/>
        <family val="0"/>
        <charset val="1"/>
      </rPr>
      <t xml:space="preserve">26</t>
    </r>
    <r>
      <rPr>
        <sz val="11"/>
        <rFont val="Noto Sans CJK SC"/>
        <family val="2"/>
      </rPr>
      <t xml:space="preserve">위 없음</t>
    </r>
    <r>
      <rPr>
        <sz val="11"/>
        <rFont val="Arial"/>
        <family val="0"/>
        <charset val="1"/>
      </rPr>
      <t xml:space="preserve">)</t>
    </r>
  </si>
  <si>
    <t xml:space="preserve">출처 페이지 누락</t>
  </si>
  <si>
    <t xml:space="preserve">Clash of Clans</t>
  </si>
  <si>
    <r>
      <rPr>
        <sz val="11"/>
        <rFont val="Noto Sans CJK SC"/>
        <family val="2"/>
      </rPr>
      <t xml:space="preserve">기지 건설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공성</t>
    </r>
  </si>
  <si>
    <t xml:space="preserve">Candy Crush Soda Saga</t>
  </si>
  <si>
    <t xml:space="preserve">Lightning Link Casino Slots</t>
  </si>
  <si>
    <t xml:space="preserve">Sword x Staff</t>
  </si>
  <si>
    <t xml:space="preserve">BOLTRAY GAMES</t>
  </si>
  <si>
    <r>
      <rPr>
        <sz val="11"/>
        <rFont val="Noto Sans CJK SC"/>
        <family val="2"/>
      </rPr>
      <t xml:space="preserve">방치형 </t>
    </r>
    <r>
      <rPr>
        <sz val="11"/>
        <rFont val="Arial"/>
        <family val="0"/>
        <charset val="1"/>
      </rPr>
      <t xml:space="preserve">RPG</t>
    </r>
  </si>
  <si>
    <t xml:space="preserve">Lotsa Slots - Casino Games</t>
  </si>
  <si>
    <t xml:space="preserve">SpinX Games</t>
  </si>
  <si>
    <t xml:space="preserve">Homescapes</t>
  </si>
  <si>
    <t xml:space="preserve">Dark War Survival</t>
  </si>
  <si>
    <t xml:space="preserve">Honkai: Star Rail</t>
  </si>
  <si>
    <t xml:space="preserve">COGNOSPHERE</t>
  </si>
  <si>
    <t xml:space="preserve">Solitaire Grand Harvest</t>
  </si>
  <si>
    <t xml:space="preserve">Supertreat (Playtika)</t>
  </si>
  <si>
    <t xml:space="preserve">Wuthering Waves</t>
  </si>
  <si>
    <t xml:space="preserve">Kuro Games</t>
  </si>
  <si>
    <t xml:space="preserve">Coin Master - Board Adventure</t>
  </si>
  <si>
    <t xml:space="preserve">Mystery Town: Merge Games</t>
  </si>
  <si>
    <t xml:space="preserve">Cedar Games Studio</t>
  </si>
  <si>
    <t xml:space="preserve">Cash Frenzy - Casino Slots</t>
  </si>
  <si>
    <t xml:space="preserve">Puzzles &amp; Survival</t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</si>
  <si>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3 </t>
    </r>
    <r>
      <rPr>
        <sz val="11"/>
        <rFont val="Noto Sans CJK SC"/>
        <family val="2"/>
      </rPr>
      <t xml:space="preserve">결합</t>
    </r>
  </si>
  <si>
    <t xml:space="preserve">All in Hole: Black Hole Games</t>
  </si>
  <si>
    <t xml:space="preserve">Homa</t>
  </si>
  <si>
    <t xml:space="preserve">Slots: Heart of Vegas Casino</t>
  </si>
  <si>
    <t xml:space="preserve">Flambé: Merge &amp; Cook</t>
  </si>
  <si>
    <t xml:space="preserve">Merge Cooking</t>
  </si>
  <si>
    <t xml:space="preserve">Happibits Game</t>
  </si>
  <si>
    <t xml:space="preserve">Matching Story - Puzzle Games</t>
  </si>
  <si>
    <t xml:space="preserve">VERTEX GAMES</t>
  </si>
  <si>
    <t xml:space="preserve">Hay Day</t>
  </si>
  <si>
    <t xml:space="preserve">June's Journey: Hidden Objects</t>
  </si>
  <si>
    <t xml:space="preserve">Wooga</t>
  </si>
  <si>
    <t xml:space="preserve">Magic: The Gathering Arena</t>
  </si>
  <si>
    <t xml:space="preserve">Wizards of the Coast</t>
  </si>
  <si>
    <t xml:space="preserve">Quick Hit Casino Slots Games</t>
  </si>
  <si>
    <t xml:space="preserve">Travel Town - Merge Adventure</t>
  </si>
  <si>
    <t xml:space="preserve">Magmatic Games</t>
  </si>
  <si>
    <t xml:space="preserve">PUBG MOBILE</t>
  </si>
  <si>
    <t xml:space="preserve">Puzzles &amp; Chaos: Frozen Castle</t>
  </si>
  <si>
    <t xml:space="preserve">GODDESS OF VICTORY: NIKKE</t>
  </si>
  <si>
    <t xml:space="preserve">슈팅</t>
  </si>
  <si>
    <t xml:space="preserve">Bingo Voyage - Live Bingo Game</t>
  </si>
  <si>
    <r>
      <rPr>
        <sz val="11"/>
        <rFont val="Noto Sans CJK SC"/>
        <family val="2"/>
      </rPr>
      <t xml:space="preserve">확인 불가 </t>
    </r>
    <r>
      <rPr>
        <sz val="11"/>
        <rFont val="Arial"/>
        <family val="0"/>
        <charset val="1"/>
      </rPr>
      <t xml:space="preserve">(AppBrain </t>
    </r>
    <r>
      <rPr>
        <sz val="11"/>
        <rFont val="Noto Sans CJK SC"/>
        <family val="2"/>
      </rPr>
      <t xml:space="preserve">목록에 </t>
    </r>
    <r>
      <rPr>
        <sz val="11"/>
        <rFont val="Arial"/>
        <family val="0"/>
        <charset val="1"/>
      </rPr>
      <t xml:space="preserve">65</t>
    </r>
    <r>
      <rPr>
        <sz val="11"/>
        <rFont val="Noto Sans CJK SC"/>
        <family val="2"/>
      </rPr>
      <t xml:space="preserve">위 없음</t>
    </r>
    <r>
      <rPr>
        <sz val="11"/>
        <rFont val="Arial"/>
        <family val="0"/>
        <charset val="1"/>
      </rPr>
      <t xml:space="preserve">)</t>
    </r>
  </si>
  <si>
    <t xml:space="preserve">ABI GAMES</t>
  </si>
  <si>
    <t xml:space="preserve">Century Games Innovation</t>
  </si>
  <si>
    <t xml:space="preserve">eFootball</t>
  </si>
  <si>
    <t xml:space="preserve">KONAMI</t>
  </si>
  <si>
    <t xml:space="preserve">Minecraft: Dream it, Build it!</t>
  </si>
  <si>
    <t xml:space="preserve">유료 앱</t>
  </si>
  <si>
    <t xml:space="preserve">Hollywood Merge</t>
  </si>
  <si>
    <t xml:space="preserve">Piggy Kingdom</t>
  </si>
  <si>
    <t xml:space="preserve">olleyo</t>
  </si>
  <si>
    <t xml:space="preserve">게임 방식 확인 안 됨</t>
  </si>
  <si>
    <t xml:space="preserve">MARVEL Strike Force: Squad RPG</t>
  </si>
  <si>
    <t xml:space="preserve">Golf Clash - Golfing Simulator</t>
  </si>
  <si>
    <t xml:space="preserve">골프</t>
  </si>
  <si>
    <t xml:space="preserve">Bingo Frenzy-Live Bingo Games</t>
  </si>
  <si>
    <t xml:space="preserve">Clash of Critters</t>
  </si>
  <si>
    <t xml:space="preserve">FARLIGHT</t>
  </si>
  <si>
    <t xml:space="preserve">WSOP Poker: Texas Holdem Game</t>
  </si>
  <si>
    <t xml:space="preserve">Playtika</t>
  </si>
  <si>
    <t xml:space="preserve">포커</t>
  </si>
  <si>
    <t xml:space="preserve">Toy Blast</t>
  </si>
  <si>
    <t xml:space="preserve">Jackpot World - Slots Casino</t>
  </si>
  <si>
    <t xml:space="preserve">Yalla Ludo - Ludo&amp;Jackaroo</t>
  </si>
  <si>
    <t xml:space="preserve">Aviva Sun</t>
  </si>
  <si>
    <t xml:space="preserve">루도</t>
  </si>
  <si>
    <t xml:space="preserve">Hunting Sniper</t>
  </si>
  <si>
    <t xml:space="preserve">Sparks Info</t>
  </si>
  <si>
    <t xml:space="preserve">Star Wars: Galaxy of Heroes</t>
  </si>
  <si>
    <t xml:space="preserve">Tiki Solitaire TriPeaks</t>
  </si>
  <si>
    <t xml:space="preserve">Fate/Grand Order (English)</t>
  </si>
  <si>
    <t xml:space="preserve">Aniplex</t>
  </si>
  <si>
    <t xml:space="preserve">Yahtzee With Buddies: Dice</t>
  </si>
  <si>
    <t xml:space="preserve">Hero Wars: Alliance RPG Legend</t>
  </si>
  <si>
    <t xml:space="preserve">NEXTERS GLOBAL</t>
  </si>
  <si>
    <t xml:space="preserve">Rise of Kingdoms: Lost Crusade</t>
  </si>
  <si>
    <t xml:space="preserve">LilithGames</t>
  </si>
  <si>
    <t xml:space="preserve">Star Trek Fleet Command</t>
  </si>
  <si>
    <t xml:space="preserve">Seaside Escape: Merge &amp; Story</t>
  </si>
  <si>
    <t xml:space="preserve">VOODOO</t>
  </si>
  <si>
    <t xml:space="preserve">Match Masters</t>
  </si>
  <si>
    <t xml:space="preserve">Candivore</t>
  </si>
  <si>
    <t xml:space="preserve">PvP</t>
  </si>
  <si>
    <t xml:space="preserve">Genshin Impact 6th Anniversary</t>
  </si>
  <si>
    <r>
      <rPr>
        <b val="true"/>
        <sz val="12"/>
        <rFont val="Noto Sans CJK SC"/>
        <family val="2"/>
      </rPr>
      <t xml:space="preserve">미국 구글 플레이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매출 순위 </t>
    </r>
    <r>
      <rPr>
        <b val="true"/>
        <sz val="12"/>
        <rFont val="Arial"/>
        <family val="0"/>
        <charset val="1"/>
      </rPr>
      <t xml:space="preserve">vs </t>
    </r>
    <r>
      <rPr>
        <b val="true"/>
        <sz val="12"/>
        <rFont val="Noto Sans CJK SC"/>
        <family val="2"/>
      </rPr>
      <t xml:space="preserve">무료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다운로드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Noto Sans CJK SC"/>
        <family val="2"/>
      </rPr>
      <t xml:space="preserve">순위 — 같은 날</t>
    </r>
    <r>
      <rPr>
        <b val="true"/>
        <sz val="12"/>
        <rFont val="Arial"/>
        <family val="0"/>
        <charset val="1"/>
      </rPr>
      <t xml:space="preserve">(2026-10-04) </t>
    </r>
    <r>
      <rPr>
        <b val="true"/>
        <sz val="12"/>
        <rFont val="Noto Sans CJK SC"/>
        <family val="2"/>
      </rPr>
      <t xml:space="preserve">두 차트를 합친 목록</t>
    </r>
  </si>
  <si>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높음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매출 순위가 이 숫자 이내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</si>
  <si>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← 파란 글씨 </t>
    </r>
    <r>
      <rPr>
        <i val="true"/>
        <sz val="11"/>
        <color rgb="FF595959"/>
        <rFont val="Arial"/>
        <family val="0"/>
        <charset val="1"/>
      </rPr>
      <t xml:space="preserve">= </t>
    </r>
    <r>
      <rPr>
        <i val="true"/>
        <sz val="11"/>
        <color rgb="FF595959"/>
        <rFont val="Noto Sans CJK SC"/>
        <family val="2"/>
      </rPr>
      <t xml:space="preserve">바꿀 수 있는 가정값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분석자 제안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바꾸면 </t>
    </r>
    <r>
      <rPr>
        <i val="true"/>
        <sz val="11"/>
        <color rgb="FF595959"/>
        <rFont val="Arial"/>
        <family val="0"/>
        <charset val="1"/>
      </rPr>
      <t xml:space="preserve">H</t>
    </r>
    <r>
      <rPr>
        <i val="true"/>
        <sz val="11"/>
        <color rgb="FF595959"/>
        <rFont val="Noto Sans CJK SC"/>
        <family val="2"/>
      </rPr>
      <t xml:space="preserve">열 분류가 자동으로 바뀜</t>
    </r>
  </si>
  <si>
    <r>
      <rPr>
        <b val="true"/>
        <sz val="11"/>
        <rFont val="Noto Sans CJK SC"/>
        <family val="2"/>
      </rPr>
      <t xml:space="preserve">다운로드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높음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무료 순위가 이 숫자 이내</t>
    </r>
    <r>
      <rPr>
        <b val="true"/>
        <sz val="11"/>
        <rFont val="Arial"/>
        <family val="0"/>
        <charset val="1"/>
      </rPr>
      <t xml:space="preserve">)</t>
    </r>
  </si>
  <si>
    <t xml:space="preserve">매출 순위</t>
  </si>
  <si>
    <t xml:space="preserve">무료 순위</t>
  </si>
  <si>
    <r>
      <rPr>
        <b val="true"/>
        <sz val="11"/>
        <color rgb="FFFFFFFF"/>
        <rFont val="Arial"/>
        <family val="0"/>
        <charset val="1"/>
      </rPr>
      <t xml:space="preserve">AppBrain </t>
    </r>
    <r>
      <rPr>
        <b val="true"/>
        <sz val="11"/>
        <color rgb="FFFFFFFF"/>
        <rFont val="Noto Sans CJK SC"/>
        <family val="2"/>
      </rPr>
      <t xml:space="preserve">추정 누적 설치 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추정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</si>
  <si>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추정 설치 구간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</si>
  <si>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Google Play </t>
    </r>
    <r>
      <rPr>
        <b val="true"/>
        <sz val="11"/>
        <color rgb="FFFFFFFF"/>
        <rFont val="Noto Sans CJK SC"/>
        <family val="2"/>
      </rPr>
      <t xml:space="preserve">공식 설치 구간</t>
    </r>
  </si>
  <si>
    <r>
      <rPr>
        <b val="true"/>
        <sz val="11"/>
        <color rgb="FFFFFFFF"/>
        <rFont val="Noto Sans CJK SC"/>
        <family val="2"/>
      </rPr>
      <t xml:space="preserve">출시일 </t>
    </r>
    <r>
      <rPr>
        <b val="true"/>
        <sz val="11"/>
        <color rgb="FFFFFFFF"/>
        <rFont val="Arial"/>
        <family val="0"/>
        <charset val="1"/>
      </rPr>
      <t xml:space="preserve">(Google Play </t>
    </r>
    <r>
      <rPr>
        <b val="true"/>
        <sz val="11"/>
        <color rgb="FFFFFFFF"/>
        <rFont val="Noto Sans CJK SC"/>
        <family val="2"/>
      </rPr>
      <t xml:space="preserve">등록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</si>
  <si>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분류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수식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</si>
  <si>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게임 수</t>
  </si>
  <si>
    <t xml:space="preserve">쉬운 뜻</t>
  </si>
  <si>
    <t xml:space="preserve">미조사</t>
  </si>
  <si>
    <t xml:space="preserve">① 둘 다 높음</t>
  </si>
  <si>
    <t xml:space="preserve">많이 받고 돈도 많이 버는 게임</t>
  </si>
  <si>
    <t xml:space="preserve">② 매출만 높음</t>
  </si>
  <si>
    <r>
      <rPr>
        <sz val="11"/>
        <rFont val="Noto Sans CJK SC"/>
        <family val="2"/>
      </rPr>
      <t xml:space="preserve">받는 사람은 적어도 결제를 많이 하는 게임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인앱 결제형</t>
    </r>
    <r>
      <rPr>
        <sz val="11"/>
        <rFont val="Arial"/>
        <family val="0"/>
        <charset val="1"/>
      </rPr>
      <t xml:space="preserve">)</t>
    </r>
  </si>
  <si>
    <t xml:space="preserve">③ 다운로드만 높음</t>
  </si>
  <si>
    <r>
      <rPr>
        <sz val="11"/>
        <rFont val="Noto Sans CJK SC"/>
        <family val="2"/>
      </rPr>
      <t xml:space="preserve">많이 받지만 결제 순위는 낮은 게임 — 광고 수익형일 가능성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추정</t>
    </r>
    <r>
      <rPr>
        <sz val="11"/>
        <rFont val="Arial"/>
        <family val="0"/>
        <charset val="1"/>
      </rPr>
      <t xml:space="preserve">)</t>
    </r>
  </si>
  <si>
    <t xml:space="preserve">④ 둘 다 기준 밖</t>
  </si>
  <si>
    <r>
      <rPr>
        <sz val="11"/>
        <rFont val="Noto Sans CJK SC"/>
        <family val="2"/>
      </rPr>
      <t xml:space="preserve">두 차트 </t>
    </r>
    <r>
      <rPr>
        <sz val="11"/>
        <rFont val="Arial"/>
        <family val="0"/>
        <charset val="1"/>
      </rPr>
      <t xml:space="preserve">Top100 </t>
    </r>
    <r>
      <rPr>
        <sz val="11"/>
        <rFont val="Noto Sans CJK SC"/>
        <family val="2"/>
      </rPr>
      <t xml:space="preserve">안이지만 기준 순위 밖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</si>
  <si>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매출 순위 — </t>
    </r>
    <r>
      <rPr>
        <i val="true"/>
        <sz val="11"/>
        <color rgb="FF595959"/>
        <rFont val="Arial"/>
        <family val="0"/>
        <charset val="1"/>
      </rPr>
      <t xml:space="preserve">AppBrain Google Play Top Grossing Games United States https://www.appbrain.com/stats/google-play-rankings/top_grossing/game/us / </t>
    </r>
    <r>
      <rPr>
        <i val="true"/>
        <sz val="11"/>
        <color rgb="FF595959"/>
        <rFont val="Noto Sans CJK SC"/>
        <family val="2"/>
      </rPr>
      <t xml:space="preserve">무료 순위 — </t>
    </r>
    <r>
      <rPr>
        <i val="true"/>
        <sz val="11"/>
        <color rgb="FF595959"/>
        <rFont val="Arial"/>
        <family val="0"/>
        <charset val="1"/>
      </rPr>
      <t xml:space="preserve">AppBrain Google Play Top Free Games United States https://www.appbrain.com/stats/google-play-rankings/top_free/game/us (</t>
    </r>
    <r>
      <rPr>
        <i val="true"/>
        <sz val="11"/>
        <color rgb="FF595959"/>
        <rFont val="Noto Sans CJK SC"/>
        <family val="2"/>
      </rPr>
      <t xml:space="preserve">둘 다 </t>
    </r>
    <r>
      <rPr>
        <i val="true"/>
        <sz val="11"/>
        <color rgb="FF595959"/>
        <rFont val="Arial"/>
        <family val="0"/>
        <charset val="1"/>
      </rPr>
      <t xml:space="preserve">2026-10-04, 1-2</t>
    </r>
    <r>
      <rPr>
        <i val="true"/>
        <sz val="11"/>
        <color rgb="FF595959"/>
        <rFont val="Noto Sans CJK SC"/>
        <family val="2"/>
      </rPr>
      <t xml:space="preserve">와 같은 날 같은 목록</t>
    </r>
    <r>
      <rPr>
        <i val="true"/>
        <sz val="11"/>
        <color rgb="FF595959"/>
        <rFont val="Arial"/>
        <family val="0"/>
        <charset val="1"/>
      </rPr>
      <t xml:space="preserve">)</t>
    </r>
  </si>
  <si>
    <t xml:space="preserve">50,000,000+</t>
  </si>
  <si>
    <r>
      <rPr>
        <sz val="11"/>
        <rFont val="Arial"/>
        <family val="0"/>
        <charset val="1"/>
      </rPr>
      <t xml:space="preserve">2025-02 (Google Play </t>
    </r>
    <r>
      <rPr>
        <sz val="11"/>
        <rFont val="Noto Sans CJK SC"/>
        <family val="2"/>
      </rPr>
      <t xml:space="preserve">등록 월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</si>
  <si>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AppBrain </t>
    </r>
    <r>
      <rPr>
        <sz val="11"/>
        <rFont val="Noto Sans CJK SC"/>
        <family val="2"/>
      </rPr>
      <t xml:space="preserve">앱 상세 </t>
    </r>
    <r>
      <rPr>
        <sz val="11"/>
        <rFont val="Arial"/>
        <family val="0"/>
        <charset val="1"/>
      </rPr>
      <t xml:space="preserve">https://www.appbrain.com/app/kingshot/com.run.tower.defense (</t>
    </r>
    <r>
      <rPr>
        <sz val="11"/>
        <rFont val="Noto Sans CJK SC"/>
        <family val="2"/>
      </rPr>
      <t xml:space="preserve">페이지 갱신 </t>
    </r>
    <r>
      <rPr>
        <sz val="11"/>
        <rFont val="Arial"/>
        <family val="0"/>
        <charset val="1"/>
      </rPr>
      <t xml:space="preserve">2026-09-20)</t>
    </r>
  </si>
  <si>
    <r>
      <rPr>
        <i val="true"/>
        <sz val="11"/>
        <color rgb="FF595959"/>
        <rFont val="Arial"/>
        <family val="0"/>
        <charset val="1"/>
      </rPr>
      <t xml:space="preserve">'-' = </t>
    </r>
    <r>
      <rPr>
        <i val="true"/>
        <sz val="11"/>
        <color rgb="FF595959"/>
        <rFont val="Noto Sans CJK SC"/>
        <family val="2"/>
      </rPr>
      <t xml:space="preserve">그 차트 </t>
    </r>
    <r>
      <rPr>
        <i val="true"/>
        <sz val="11"/>
        <color rgb="FF595959"/>
        <rFont val="Arial"/>
        <family val="0"/>
        <charset val="1"/>
      </rPr>
      <t xml:space="preserve">Top100 </t>
    </r>
    <r>
      <rPr>
        <i val="true"/>
        <sz val="11"/>
        <color rgb="FF595959"/>
        <rFont val="Noto Sans CJK SC"/>
        <family val="2"/>
      </rPr>
      <t xml:space="preserve">밖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또는 </t>
    </r>
    <r>
      <rPr>
        <i val="true"/>
        <sz val="11"/>
        <color rgb="FF595959"/>
        <rFont val="Arial"/>
        <family val="0"/>
        <charset val="1"/>
      </rPr>
      <t xml:space="preserve">AppBrain </t>
    </r>
    <r>
      <rPr>
        <i val="true"/>
        <sz val="11"/>
        <color rgb="FF595959"/>
        <rFont val="Noto Sans CJK SC"/>
        <family val="2"/>
      </rPr>
      <t xml:space="preserve">목록 누락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매출 </t>
    </r>
    <r>
      <rPr>
        <i val="true"/>
        <sz val="11"/>
        <color rgb="FF595959"/>
        <rFont val="Arial"/>
        <family val="0"/>
        <charset val="1"/>
      </rPr>
      <t xml:space="preserve">26·65</t>
    </r>
    <r>
      <rPr>
        <i val="true"/>
        <sz val="11"/>
        <color rgb="FF595959"/>
        <rFont val="Noto Sans CJK SC"/>
        <family val="2"/>
      </rPr>
      <t xml:space="preserve">위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무료 </t>
    </r>
    <r>
      <rPr>
        <i val="true"/>
        <sz val="11"/>
        <color rgb="FF595959"/>
        <rFont val="Arial"/>
        <family val="0"/>
        <charset val="1"/>
      </rPr>
      <t xml:space="preserve">80</t>
    </r>
    <r>
      <rPr>
        <i val="true"/>
        <sz val="11"/>
        <color rgb="FF595959"/>
        <rFont val="Noto Sans CJK SC"/>
        <family val="2"/>
      </rPr>
      <t xml:space="preserve">위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순위 숫자만 비교함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</si>
  <si>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D</t>
    </r>
    <r>
      <rPr>
        <i val="true"/>
        <sz val="11"/>
        <color rgb="FF595959"/>
        <rFont val="Noto Sans CJK SC"/>
        <family val="2"/>
      </rPr>
      <t xml:space="preserve">열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추정 누적 설치 수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는 </t>
    </r>
    <r>
      <rPr>
        <i val="true"/>
        <sz val="11"/>
        <color rgb="FF595959"/>
        <rFont val="Arial"/>
        <family val="0"/>
        <charset val="1"/>
      </rPr>
      <t xml:space="preserve">AppBrain</t>
    </r>
    <r>
      <rPr>
        <i val="true"/>
        <sz val="11"/>
        <color rgb="FF595959"/>
        <rFont val="Noto Sans CJK SC"/>
        <family val="2"/>
      </rPr>
      <t xml:space="preserve">이 공개한 추정치</t>
    </r>
    <r>
      <rPr>
        <i val="true"/>
        <sz val="11"/>
        <color rgb="FF595959"/>
        <rFont val="Arial"/>
        <family val="0"/>
        <charset val="1"/>
      </rPr>
      <t xml:space="preserve">(Installs 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이며 </t>
    </r>
    <r>
      <rPr>
        <i val="true"/>
        <sz val="11"/>
        <color rgb="FF595959"/>
        <rFont val="Arial"/>
        <family val="0"/>
        <charset val="1"/>
      </rPr>
      <t xml:space="preserve">Google Play </t>
    </r>
    <r>
      <rPr>
        <i val="true"/>
        <sz val="11"/>
        <color rgb="FF595959"/>
        <rFont val="Noto Sans CJK SC"/>
        <family val="2"/>
      </rPr>
      <t xml:space="preserve">공식 숫자가 아님</t>
    </r>
    <r>
      <rPr>
        <i val="true"/>
        <sz val="11"/>
        <color rgb="FF595959"/>
        <rFont val="Arial"/>
        <family val="0"/>
        <charset val="1"/>
      </rPr>
      <t xml:space="preserve">. E</t>
    </r>
    <r>
      <rPr>
        <i val="true"/>
        <sz val="11"/>
        <color rgb="FF595959"/>
        <rFont val="Noto Sans CJK SC"/>
        <family val="2"/>
      </rPr>
      <t xml:space="preserve">열은 그 추정치를 </t>
    </r>
    <r>
      <rPr>
        <i val="true"/>
        <sz val="11"/>
        <color rgb="FF595959"/>
        <rFont val="Arial"/>
        <family val="0"/>
        <charset val="1"/>
      </rPr>
      <t xml:space="preserve">Google Play</t>
    </r>
    <r>
      <rPr>
        <i val="true"/>
        <sz val="11"/>
        <color rgb="FF595959"/>
        <rFont val="Noto Sans CJK SC"/>
        <family val="2"/>
      </rPr>
      <t xml:space="preserve">식 구간으로 나눈 것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역시 추정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</si>
  <si>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Arial"/>
        <family val="0"/>
        <charset val="1"/>
      </rPr>
      <t xml:space="preserve">F·G</t>
    </r>
    <r>
      <rPr>
        <i val="true"/>
        <sz val="11"/>
        <color rgb="FF595959"/>
        <rFont val="Noto Sans CJK SC"/>
        <family val="2"/>
      </rPr>
      <t xml:space="preserve">열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공식 설치 구간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출시일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은 게임별 상세 페이지를 하나씩 열어야 해서 이번에는 </t>
    </r>
    <r>
      <rPr>
        <i val="true"/>
        <sz val="11"/>
        <color rgb="FF595959"/>
        <rFont val="Arial"/>
        <family val="0"/>
        <charset val="1"/>
      </rPr>
      <t xml:space="preserve">Kingshot 1</t>
    </r>
    <r>
      <rPr>
        <i val="true"/>
        <sz val="11"/>
        <color rgb="FF595959"/>
        <rFont val="Noto Sans CJK SC"/>
        <family val="2"/>
      </rPr>
      <t xml:space="preserve">개만 확인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나머지는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미조사</t>
    </r>
    <r>
      <rPr>
        <i val="true"/>
        <sz val="11"/>
        <color rgb="FF595959"/>
        <rFont val="Arial"/>
        <family val="0"/>
        <charset val="1"/>
      </rPr>
      <t xml:space="preserve">'(</t>
    </r>
    <r>
      <rPr>
        <i val="true"/>
        <sz val="11"/>
        <color rgb="FF595959"/>
        <rFont val="Noto Sans CJK SC"/>
        <family val="2"/>
      </rPr>
      <t xml:space="preserve">다음 단계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</si>
  <si>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실제 매출액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실제 다운로드 수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비공개 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공개 출처 없음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이 표는 순위와 공개 추정치로만 비교함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</si>
  <si>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③ '</t>
    </r>
    <r>
      <rPr>
        <i val="true"/>
        <sz val="11"/>
        <color rgb="FF595959"/>
        <rFont val="Noto Sans CJK SC"/>
        <family val="2"/>
      </rPr>
      <t xml:space="preserve">광고 수익형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순위 패턴에서 나온 추정이며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실제 수익 구조는 게임별 확인이 필요함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</si>
  <si>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구간</t>
  </si>
  <si>
    <t xml:space="preserve">값</t>
  </si>
  <si>
    <r>
      <rPr>
        <b val="true"/>
        <sz val="11"/>
        <color rgb="FFFFFFFF"/>
        <rFont val="Noto Sans CJK SC"/>
        <family val="2"/>
      </rPr>
      <t xml:space="preserve">조건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범위</t>
    </r>
  </si>
  <si>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전체</t>
    </r>
    <r>
      <rPr>
        <sz val="11"/>
        <rFont val="Arial"/>
        <family val="0"/>
        <charset val="1"/>
      </rPr>
      <t xml:space="preserve">)</t>
    </r>
  </si>
  <si>
    <t xml:space="preserve">D1</t>
  </si>
  <si>
    <r>
      <rPr>
        <sz val="11"/>
        <rFont val="Noto Sans CJK SC"/>
        <family val="2"/>
      </rPr>
      <t xml:space="preserve">하위 </t>
    </r>
    <r>
      <rPr>
        <sz val="11"/>
        <rFont val="Arial"/>
        <family val="0"/>
        <charset val="1"/>
      </rPr>
      <t xml:space="preserve">25% (P25)</t>
    </r>
  </si>
  <si>
    <t xml:space="preserve">13.42% → 12.45%</t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</si>
  <si>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연초→연말</t>
    </r>
  </si>
  <si>
    <r>
      <rPr>
        <sz val="11"/>
        <rFont val="Arial"/>
        <family val="0"/>
        <charset val="1"/>
      </rPr>
      <t xml:space="preserve">GameAnalytics, 2026 Mobile &amp; PC Gaming Benchmarks (2025</t>
    </r>
    <r>
      <rPr>
        <sz val="11"/>
        <rFont val="Noto Sans CJK SC"/>
        <family val="2"/>
      </rPr>
      <t xml:space="preserve">년 데이터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모바일 </t>
    </r>
    <r>
      <rPr>
        <sz val="11"/>
        <rFont val="Arial"/>
        <family val="0"/>
        <charset val="1"/>
      </rPr>
      <t xml:space="preserve">16,000+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, MAU 1,000+, iOS+Android, </t>
    </r>
    <r>
      <rPr>
        <sz val="11"/>
        <rFont val="Noto Sans CJK SC"/>
        <family val="2"/>
      </rPr>
      <t xml:space="preserve">전 장르 합산</t>
    </r>
    <r>
      <rPr>
        <sz val="11"/>
        <rFont val="Arial"/>
        <family val="0"/>
        <charset val="1"/>
      </rPr>
      <t xml:space="preserve">) https://www.gameanalytics.com/reports/2026-mobile-pc-gaming-benchmarks</t>
    </r>
  </si>
  <si>
    <r>
      <rPr>
        <sz val="11"/>
        <rFont val="Noto Sans CJK SC"/>
        <family val="2"/>
      </rPr>
      <t xml:space="preserve">중앙값 </t>
    </r>
    <r>
      <rPr>
        <sz val="11"/>
        <rFont val="Arial"/>
        <family val="0"/>
        <charset val="1"/>
      </rPr>
      <t xml:space="preserve">(P50)</t>
    </r>
  </si>
  <si>
    <r>
      <rPr>
        <b val="true"/>
        <sz val="11"/>
        <rFont val="Noto Sans CJK SC"/>
        <family val="2"/>
      </rPr>
      <t xml:space="preserve">약 </t>
    </r>
    <r>
      <rPr>
        <b val="true"/>
        <sz val="11"/>
        <rFont val="Arial"/>
        <family val="0"/>
        <charset val="1"/>
      </rPr>
      <t xml:space="preserve">22%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</si>
  <si>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연초</t>
    </r>
  </si>
  <si>
    <r>
      <rPr>
        <sz val="11"/>
        <rFont val="Noto Sans CJK SC"/>
        <family val="2"/>
      </rPr>
      <t xml:space="preserve">상위 </t>
    </r>
    <r>
      <rPr>
        <sz val="11"/>
        <rFont val="Arial"/>
        <family val="0"/>
        <charset val="1"/>
      </rPr>
      <t xml:space="preserve">25% (P75)</t>
    </r>
  </si>
  <si>
    <r>
      <rPr>
        <b val="true"/>
        <sz val="11"/>
        <rFont val="Arial"/>
        <family val="0"/>
        <charset val="1"/>
      </rPr>
      <t xml:space="preserve">30% </t>
    </r>
    <r>
      <rPr>
        <b val="true"/>
        <sz val="11"/>
        <rFont val="Noto Sans CJK SC"/>
        <family val="2"/>
      </rPr>
      <t xml:space="preserve">약간 상회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</si>
  <si>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</t>
    </r>
  </si>
  <si>
    <r>
      <rPr>
        <sz val="11"/>
        <rFont val="Noto Sans CJK SC"/>
        <family val="2"/>
      </rPr>
      <t xml:space="preserve">상위 </t>
    </r>
    <r>
      <rPr>
        <sz val="11"/>
        <rFont val="Arial"/>
        <family val="0"/>
        <charset val="1"/>
      </rPr>
      <t xml:space="preserve">10% (P90)</t>
    </r>
  </si>
  <si>
    <r>
      <rPr>
        <b val="true"/>
        <sz val="11"/>
        <rFont val="Noto Sans CJK SC"/>
        <family val="2"/>
      </rPr>
      <t xml:space="preserve">약 </t>
    </r>
    <r>
      <rPr>
        <b val="true"/>
        <sz val="11"/>
        <rFont val="Arial"/>
        <family val="0"/>
        <charset val="1"/>
      </rPr>
      <t xml:space="preserve">40%</t>
    </r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</si>
  <si>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연중</t>
    </r>
  </si>
  <si>
    <r>
      <rPr>
        <sz val="11"/>
        <rFont val="Noto Sans CJK SC"/>
        <family val="2"/>
      </rPr>
      <t xml:space="preserve">상위 </t>
    </r>
    <r>
      <rPr>
        <sz val="11"/>
        <rFont val="Arial"/>
        <family val="0"/>
        <charset val="1"/>
      </rPr>
      <t xml:space="preserve">1% (P99)</t>
    </r>
  </si>
  <si>
    <t xml:space="preserve">64~68%</t>
  </si>
  <si>
    <t xml:space="preserve">D7</t>
  </si>
  <si>
    <t xml:space="preserve">1.67~1.94%</t>
  </si>
  <si>
    <r>
      <rPr>
        <b val="true"/>
        <sz val="11"/>
        <rFont val="Arial"/>
        <family val="0"/>
        <charset val="1"/>
      </rPr>
      <t xml:space="preserve">4% </t>
    </r>
    <r>
      <rPr>
        <b val="true"/>
        <sz val="11"/>
        <rFont val="Noto Sans CJK SC"/>
        <family val="2"/>
      </rPr>
      <t xml:space="preserve">약간 미만</t>
    </r>
  </si>
  <si>
    <t xml:space="preserve">6~7%</t>
  </si>
  <si>
    <t xml:space="preserve">11~12%</t>
  </si>
  <si>
    <r>
      <rPr>
        <sz val="11"/>
        <rFont val="Arial"/>
        <family val="0"/>
        <charset val="1"/>
      </rPr>
      <t xml:space="preserve">2025</t>
    </r>
    <r>
      <rPr>
        <sz val="11"/>
        <rFont val="Noto Sans CJK SC"/>
        <family val="2"/>
      </rPr>
      <t xml:space="preserve">년 대부분</t>
    </r>
  </si>
  <si>
    <r>
      <rPr>
        <b val="true"/>
        <sz val="11"/>
        <rFont val="Arial"/>
        <family val="0"/>
        <charset val="1"/>
      </rPr>
      <t xml:space="preserve">25% </t>
    </r>
    <r>
      <rPr>
        <b val="true"/>
        <sz val="11"/>
        <rFont val="Noto Sans CJK SC"/>
        <family val="2"/>
      </rPr>
      <t xml:space="preserve">이상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최고 </t>
    </r>
    <r>
      <rPr>
        <b val="true"/>
        <sz val="11"/>
        <rFont val="Arial"/>
        <family val="0"/>
        <charset val="1"/>
      </rPr>
      <t xml:space="preserve">28% </t>
    </r>
    <r>
      <rPr>
        <b val="true"/>
        <sz val="11"/>
        <rFont val="Noto Sans CJK SC"/>
        <family val="2"/>
      </rPr>
      <t xml:space="preserve">초과</t>
    </r>
    <r>
      <rPr>
        <b val="true"/>
        <sz val="11"/>
        <rFont val="Arial"/>
        <family val="0"/>
        <charset val="1"/>
      </rPr>
      <t xml:space="preserve">)</t>
    </r>
  </si>
  <si>
    <t xml:space="preserve">D30</t>
  </si>
  <si>
    <r>
      <rPr>
        <b val="true"/>
        <sz val="11"/>
        <rFont val="Arial"/>
        <family val="0"/>
        <charset val="1"/>
      </rPr>
      <t xml:space="preserve">0.5% </t>
    </r>
    <r>
      <rPr>
        <b val="true"/>
        <sz val="11"/>
        <rFont val="Noto Sans CJK SC"/>
        <family val="2"/>
      </rPr>
      <t xml:space="preserve">미만</t>
    </r>
  </si>
  <si>
    <t xml:space="preserve">0.68~0.79%</t>
  </si>
  <si>
    <t xml:space="preserve">1.6~1.8%</t>
  </si>
  <si>
    <t xml:space="preserve">전체 기준 미공개</t>
  </si>
  <si>
    <t xml:space="preserve">—</t>
  </si>
  <si>
    <r>
      <rPr>
        <sz val="11"/>
        <rFont val="Noto Sans CJK SC"/>
        <family val="2"/>
      </rPr>
      <t xml:space="preserve">지역별 </t>
    </r>
    <r>
      <rPr>
        <sz val="11"/>
        <rFont val="Arial"/>
        <family val="0"/>
        <charset val="1"/>
      </rPr>
      <t xml:space="preserve">P90</t>
    </r>
    <r>
      <rPr>
        <sz val="11"/>
        <rFont val="Noto Sans CJK SC"/>
        <family val="2"/>
      </rPr>
      <t xml:space="preserve">은 </t>
    </r>
    <r>
      <rPr>
        <sz val="11"/>
        <rFont val="Arial"/>
        <family val="0"/>
        <charset val="1"/>
      </rPr>
      <t xml:space="preserve">'4-2 </t>
    </r>
    <r>
      <rPr>
        <sz val="11"/>
        <rFont val="Noto Sans CJK SC"/>
        <family val="2"/>
      </rPr>
      <t xml:space="preserve">지역 벤치마크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 참고</t>
    </r>
  </si>
  <si>
    <t xml:space="preserve">13~15%</t>
  </si>
  <si>
    <r>
      <rPr>
        <sz val="11"/>
        <rFont val="Noto Sans CJK SC"/>
        <family val="2"/>
      </rPr>
      <t xml:space="preserve">리텐션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플랫폼</t>
    </r>
    <r>
      <rPr>
        <sz val="11"/>
        <rFont val="Arial"/>
        <family val="0"/>
        <charset val="1"/>
      </rPr>
      <t xml:space="preserve">)</t>
    </r>
  </si>
  <si>
    <t xml:space="preserve">iOS 31~33% / Android 25~27%</t>
  </si>
  <si>
    <r>
      <rPr>
        <sz val="11"/>
        <rFont val="Arial"/>
        <family val="0"/>
        <charset val="1"/>
      </rPr>
      <t xml:space="preserve">2024</t>
    </r>
    <r>
      <rPr>
        <sz val="11"/>
        <rFont val="Noto Sans CJK SC"/>
        <family val="2"/>
      </rPr>
      <t xml:space="preserve">년 데이터</t>
    </r>
  </si>
  <si>
    <r>
      <rPr>
        <sz val="11"/>
        <rFont val="Arial"/>
        <family val="0"/>
        <charset val="1"/>
      </rPr>
      <t xml:space="preserve">GameAnalytics, 2025 Mobile Gaming Benchmarks (2024</t>
    </r>
    <r>
      <rPr>
        <sz val="11"/>
        <rFont val="Noto Sans CJK SC"/>
        <family val="2"/>
      </rPr>
      <t xml:space="preserve">년 데이터</t>
    </r>
    <r>
      <rPr>
        <sz val="11"/>
        <rFont val="Arial"/>
        <family val="0"/>
        <charset val="1"/>
      </rPr>
      <t xml:space="preserve">, 11,600</t>
    </r>
    <r>
      <rPr>
        <sz val="11"/>
        <rFont val="Noto Sans CJK SC"/>
        <family val="2"/>
      </rPr>
      <t xml:space="preserve">개 게임</t>
    </r>
    <r>
      <rPr>
        <sz val="11"/>
        <rFont val="Arial"/>
        <family val="0"/>
        <charset val="1"/>
      </rPr>
      <t xml:space="preserve">) https://files.gameindustrylibrary.com/documents/mobile-gaming-benchmarks-2025.pdf</t>
    </r>
  </si>
  <si>
    <r>
      <rPr>
        <sz val="11"/>
        <rFont val="Arial"/>
        <family val="0"/>
        <charset val="1"/>
      </rPr>
      <t xml:space="preserve">iOS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Android</t>
    </r>
    <r>
      <rPr>
        <sz val="11"/>
        <rFont val="Noto Sans CJK SC"/>
        <family val="2"/>
      </rPr>
      <t xml:space="preserve">보다 높음</t>
    </r>
  </si>
  <si>
    <r>
      <rPr>
        <sz val="11"/>
        <rFont val="Noto Sans CJK SC"/>
        <family val="2"/>
      </rPr>
      <t xml:space="preserve">참여도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전체</t>
    </r>
    <r>
      <rPr>
        <sz val="11"/>
        <rFont val="Arial"/>
        <family val="0"/>
        <charset val="1"/>
      </rPr>
      <t xml:space="preserve">)</t>
    </r>
  </si>
  <si>
    <t xml:space="preserve">P50 / P75 / P90 / P99</t>
  </si>
  <si>
    <r>
      <rPr>
        <b val="true"/>
        <sz val="11"/>
        <rFont val="Noto Sans CJK SC"/>
        <family val="2"/>
      </rPr>
      <t xml:space="preserve">약 </t>
    </r>
    <r>
      <rPr>
        <b val="true"/>
        <sz val="11"/>
        <rFont val="Arial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분 </t>
    </r>
    <r>
      <rPr>
        <b val="true"/>
        <sz val="11"/>
        <rFont val="Arial"/>
        <family val="0"/>
        <charset val="1"/>
      </rPr>
      <t xml:space="preserve">/ 22~24</t>
    </r>
    <r>
      <rPr>
        <b val="true"/>
        <sz val="11"/>
        <rFont val="Noto Sans CJK SC"/>
        <family val="2"/>
      </rPr>
      <t xml:space="preserve">분 </t>
    </r>
    <r>
      <rPr>
        <b val="true"/>
        <sz val="11"/>
        <rFont val="Arial"/>
        <family val="0"/>
        <charset val="1"/>
      </rPr>
      <t xml:space="preserve">/ 40~42</t>
    </r>
    <r>
      <rPr>
        <b val="true"/>
        <sz val="11"/>
        <rFont val="Noto Sans CJK SC"/>
        <family val="2"/>
      </rPr>
      <t xml:space="preserve">분 </t>
    </r>
    <r>
      <rPr>
        <b val="true"/>
        <sz val="11"/>
        <rFont val="Arial"/>
        <family val="0"/>
        <charset val="1"/>
      </rPr>
      <t xml:space="preserve">/ 94</t>
    </r>
    <r>
      <rPr>
        <b val="true"/>
        <sz val="11"/>
        <rFont val="Noto Sans CJK SC"/>
        <family val="2"/>
      </rPr>
      <t xml:space="preserve">분 초과</t>
    </r>
  </si>
  <si>
    <r>
      <rPr>
        <b val="true"/>
        <sz val="11"/>
        <rFont val="Arial"/>
        <family val="0"/>
        <charset val="1"/>
      </rPr>
      <t xml:space="preserve">3.1~3.5</t>
    </r>
    <r>
      <rPr>
        <b val="true"/>
        <sz val="11"/>
        <rFont val="Noto Sans CJK SC"/>
        <family val="2"/>
      </rPr>
      <t xml:space="preserve">분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약 </t>
    </r>
    <r>
      <rPr>
        <b val="true"/>
        <sz val="11"/>
        <rFont val="Arial"/>
        <family val="0"/>
        <charset val="1"/>
      </rPr>
      <t xml:space="preserve">5.2</t>
    </r>
    <r>
      <rPr>
        <b val="true"/>
        <sz val="11"/>
        <rFont val="Noto Sans CJK SC"/>
        <family val="2"/>
      </rPr>
      <t xml:space="preserve">분 </t>
    </r>
    <r>
      <rPr>
        <b val="true"/>
        <sz val="11"/>
        <rFont val="Arial"/>
        <family val="0"/>
        <charset val="1"/>
      </rPr>
      <t xml:space="preserve">/ 8</t>
    </r>
    <r>
      <rPr>
        <b val="true"/>
        <sz val="11"/>
        <rFont val="Noto Sans CJK SC"/>
        <family val="2"/>
      </rPr>
      <t xml:space="preserve">분 약간 초과 </t>
    </r>
    <r>
      <rPr>
        <b val="true"/>
        <sz val="11"/>
        <rFont val="Arial"/>
        <family val="0"/>
        <charset val="1"/>
      </rPr>
      <t xml:space="preserve">/ 22</t>
    </r>
    <r>
      <rPr>
        <b val="true"/>
        <sz val="11"/>
        <rFont val="Noto Sans CJK SC"/>
        <family val="2"/>
      </rPr>
      <t xml:space="preserve">분 초과</t>
    </r>
  </si>
  <si>
    <t xml:space="preserve">P25 / P50 / P75 / P90 / P99</t>
  </si>
  <si>
    <r>
      <rPr>
        <b val="true"/>
        <sz val="11"/>
        <rFont val="Arial"/>
        <family val="0"/>
        <charset val="1"/>
      </rPr>
      <t xml:space="preserve">2.7 / 3.8~3.9 / 5.3~5.7 / </t>
    </r>
    <r>
      <rPr>
        <b val="true"/>
        <sz val="11"/>
        <rFont val="Noto Sans CJK SC"/>
        <family val="2"/>
      </rPr>
      <t xml:space="preserve">일부 월 </t>
    </r>
    <r>
      <rPr>
        <b val="true"/>
        <sz val="11"/>
        <rFont val="Arial"/>
        <family val="0"/>
        <charset val="1"/>
      </rPr>
      <t xml:space="preserve">9.6 / 12 </t>
    </r>
    <r>
      <rPr>
        <b val="true"/>
        <sz val="11"/>
        <rFont val="Noto Sans CJK SC"/>
        <family val="2"/>
      </rPr>
      <t xml:space="preserve">초과</t>
    </r>
  </si>
  <si>
    <r>
      <rPr>
        <sz val="11"/>
        <rFont val="Noto Sans CJK SC"/>
        <family val="2"/>
      </rPr>
      <t xml:space="preserve">장르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정성</t>
    </r>
    <r>
      <rPr>
        <sz val="11"/>
        <rFont val="Arial"/>
        <family val="0"/>
        <charset val="1"/>
      </rPr>
      <t xml:space="preserve">)</t>
    </r>
  </si>
  <si>
    <t xml:space="preserve">리텐션</t>
  </si>
  <si>
    <t xml:space="preserve">중앙값 기준</t>
  </si>
  <si>
    <r>
      <rPr>
        <b val="true"/>
        <sz val="11"/>
        <rFont val="Noto Sans CJK SC"/>
        <family val="2"/>
      </rPr>
      <t xml:space="preserve">보드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카드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퍼즐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카지노가 </t>
    </r>
    <r>
      <rPr>
        <b val="true"/>
        <sz val="11"/>
        <rFont val="Arial"/>
        <family val="0"/>
        <charset val="1"/>
      </rPr>
      <t xml:space="preserve">D1·D7·D28 </t>
    </r>
    <r>
      <rPr>
        <b val="true"/>
        <sz val="11"/>
        <rFont val="Noto Sans CJK SC"/>
        <family val="2"/>
      </rPr>
      <t xml:space="preserve">모두 강함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아케이드는 </t>
    </r>
    <r>
      <rPr>
        <b val="true"/>
        <sz val="11"/>
        <rFont val="Arial"/>
        <family val="0"/>
        <charset val="1"/>
      </rPr>
      <t xml:space="preserve">D1</t>
    </r>
    <r>
      <rPr>
        <b val="true"/>
        <sz val="11"/>
        <rFont val="Noto Sans CJK SC"/>
        <family val="2"/>
      </rPr>
      <t xml:space="preserve">만 강함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멀티플레이는 리텐션 최저</t>
    </r>
  </si>
  <si>
    <r>
      <rPr>
        <sz val="11"/>
        <rFont val="Noto Sans CJK SC"/>
        <family val="2"/>
      </rPr>
      <t xml:space="preserve">장르별 숫자는 원문 </t>
    </r>
    <r>
      <rPr>
        <sz val="11"/>
        <rFont val="Arial"/>
        <family val="0"/>
        <charset val="1"/>
      </rPr>
      <t xml:space="preserve">PDF</t>
    </r>
    <r>
      <rPr>
        <sz val="11"/>
        <rFont val="Noto Sans CJK SC"/>
        <family val="2"/>
      </rPr>
      <t xml:space="preserve">에 이미지 차트로만 있음 → 눈으로 읽은 판독값을 </t>
    </r>
    <r>
      <rPr>
        <sz val="11"/>
        <rFont val="Arial"/>
        <family val="0"/>
        <charset val="1"/>
      </rPr>
      <t xml:space="preserve">'4-3 </t>
    </r>
    <r>
      <rPr>
        <sz val="11"/>
        <rFont val="Noto Sans CJK SC"/>
        <family val="2"/>
      </rPr>
      <t xml:space="preserve">장르 차트 판독값</t>
    </r>
    <r>
      <rPr>
        <sz val="11"/>
        <rFont val="Arial"/>
        <family val="0"/>
        <charset val="1"/>
      </rPr>
      <t xml:space="preserve">' </t>
    </r>
    <r>
      <rPr>
        <sz val="11"/>
        <rFont val="Noto Sans CJK SC"/>
        <family val="2"/>
      </rPr>
      <t xml:space="preserve">시트에 정리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공식 텍스트 수치 아님</t>
    </r>
    <r>
      <rPr>
        <sz val="11"/>
        <rFont val="Arial"/>
        <family val="0"/>
        <charset val="1"/>
      </rPr>
      <t xml:space="preserve">)</t>
    </r>
  </si>
  <si>
    <t xml:space="preserve">중앙값</t>
  </si>
  <si>
    <r>
      <rPr>
        <b val="true"/>
        <sz val="11"/>
        <rFont val="Noto Sans CJK SC"/>
        <family val="2"/>
      </rPr>
      <t xml:space="preserve">미드코어 </t>
    </r>
    <r>
      <rPr>
        <b val="true"/>
        <sz val="11"/>
        <rFont val="Arial"/>
        <family val="0"/>
        <charset val="1"/>
      </rPr>
      <t xml:space="preserve">6~7</t>
    </r>
    <r>
      <rPr>
        <b val="true"/>
        <sz val="11"/>
        <rFont val="Noto Sans CJK SC"/>
        <family val="2"/>
      </rPr>
      <t xml:space="preserve">회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전 장르 중 최고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</si>
  <si>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D1·D7·D30 </t>
    </r>
    <r>
      <rPr>
        <sz val="11"/>
        <rFont val="Noto Sans CJK SC"/>
        <family val="2"/>
      </rPr>
      <t xml:space="preserve">수치</t>
    </r>
  </si>
  <si>
    <t xml:space="preserve">미공개</t>
  </si>
  <si>
    <r>
      <rPr>
        <sz val="11"/>
        <rFont val="Arial"/>
        <family val="0"/>
        <charset val="1"/>
      </rPr>
      <t xml:space="preserve">2026 </t>
    </r>
    <r>
      <rPr>
        <sz val="11"/>
        <rFont val="Noto Sans CJK SC"/>
        <family val="2"/>
      </rPr>
      <t xml:space="preserve">보고서는 장르 분류 개편 중이라 장르별 수치를 제공하지 않는다고 명시</t>
    </r>
  </si>
  <si>
    <r>
      <rPr>
        <sz val="11"/>
        <rFont val="Noto Sans CJK SC"/>
        <family val="2"/>
      </rPr>
      <t xml:space="preserve">수익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장르</t>
    </r>
    <r>
      <rPr>
        <sz val="11"/>
        <rFont val="Arial"/>
        <family val="0"/>
        <charset val="1"/>
      </rPr>
      <t xml:space="preserve">)</t>
    </r>
  </si>
  <si>
    <t xml:space="preserve">D90 IAP ARPU</t>
  </si>
  <si>
    <r>
      <rPr>
        <sz val="11"/>
        <rFont val="Noto Sans CJK SC"/>
        <family val="2"/>
      </rPr>
      <t xml:space="preserve">카지노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미드코어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캐주얼</t>
    </r>
  </si>
  <si>
    <t xml:space="preserve">$2.43 / $2.13 / $1.34</t>
  </si>
  <si>
    <t xml:space="preserve">글로벌</t>
  </si>
  <si>
    <r>
      <rPr>
        <sz val="11"/>
        <rFont val="Arial"/>
        <family val="0"/>
        <charset val="1"/>
      </rPr>
      <t xml:space="preserve">AppsFlyer, State of App Monetization 2026 (IAP $9</t>
    </r>
    <r>
      <rPr>
        <sz val="11"/>
        <rFont val="Noto Sans CJK SC"/>
        <family val="2"/>
      </rPr>
      <t xml:space="preserve">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$72</t>
    </r>
    <r>
      <rPr>
        <sz val="11"/>
        <rFont val="Noto Sans CJK SC"/>
        <family val="2"/>
      </rPr>
      <t xml:space="preserve">억</t>
    </r>
    <r>
      <rPr>
        <sz val="11"/>
        <rFont val="Arial"/>
        <family val="0"/>
        <charset val="1"/>
      </rPr>
      <t xml:space="preserve">, 2025.1~2026.3) — </t>
    </r>
    <r>
      <rPr>
        <sz val="11"/>
        <rFont val="Noto Sans CJK SC"/>
        <family val="2"/>
      </rPr>
      <t xml:space="preserve">요약</t>
    </r>
    <r>
      <rPr>
        <sz val="11"/>
        <rFont val="Arial"/>
        <family val="0"/>
        <charset val="1"/>
      </rPr>
      <t xml:space="preserve">: https://gamedevreports.substack.com/p/appsflyer-app-monetization-in-2026 / </t>
    </r>
    <r>
      <rPr>
        <sz val="11"/>
        <rFont val="Noto Sans CJK SC"/>
        <family val="2"/>
      </rPr>
      <t xml:space="preserve">원문</t>
    </r>
    <r>
      <rPr>
        <sz val="11"/>
        <rFont val="Arial"/>
        <family val="0"/>
        <charset val="1"/>
      </rPr>
      <t xml:space="preserve">: https://www.appsflyer.com/resources/reports/app-marketing-monetization-report/</t>
    </r>
  </si>
  <si>
    <r>
      <rPr>
        <sz val="11"/>
        <rFont val="Noto Sans CJK SC"/>
        <family val="2"/>
      </rPr>
      <t xml:space="preserve">북미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유럽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미드코어 </t>
    </r>
    <r>
      <rPr>
        <sz val="11"/>
        <rFont val="Arial"/>
        <family val="0"/>
        <charset val="1"/>
      </rPr>
      <t xml:space="preserve">$2.66, </t>
    </r>
    <r>
      <rPr>
        <sz val="11"/>
        <rFont val="Noto Sans CJK SC"/>
        <family val="2"/>
      </rPr>
      <t xml:space="preserve">카지노 </t>
    </r>
    <r>
      <rPr>
        <sz val="11"/>
        <rFont val="Arial"/>
        <family val="0"/>
        <charset val="1"/>
      </rPr>
      <t xml:space="preserve">$2.55</t>
    </r>
  </si>
  <si>
    <r>
      <rPr>
        <sz val="11"/>
        <rFont val="Arial"/>
        <family val="0"/>
        <charset val="1"/>
      </rPr>
      <t xml:space="preserve">D90 </t>
    </r>
    <r>
      <rPr>
        <sz val="11"/>
        <rFont val="Noto Sans CJK SC"/>
        <family val="2"/>
      </rPr>
      <t xml:space="preserve">광고</t>
    </r>
    <r>
      <rPr>
        <sz val="11"/>
        <rFont val="Arial"/>
        <family val="0"/>
        <charset val="1"/>
      </rPr>
      <t xml:space="preserve">(IAA) ARPU</t>
    </r>
  </si>
  <si>
    <r>
      <rPr>
        <sz val="11"/>
        <rFont val="Noto Sans CJK SC"/>
        <family val="2"/>
      </rPr>
      <t xml:space="preserve">캐주얼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카지노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미드코어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하이퍼캐주얼</t>
    </r>
  </si>
  <si>
    <t xml:space="preserve">$0.55 / $0.47 / $0.40 / $0.22</t>
  </si>
  <si>
    <t xml:space="preserve">글로벌 평균</t>
  </si>
  <si>
    <r>
      <rPr>
        <sz val="11"/>
        <rFont val="Noto Sans CJK SC"/>
        <family val="2"/>
      </rPr>
      <t xml:space="preserve">북미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유럽은 더 높다고 언급</t>
    </r>
  </si>
  <si>
    <t xml:space="preserve">D90 IAP ARPPU</t>
  </si>
  <si>
    <t xml:space="preserve">$11.40 / $9.80 / $7.26</t>
  </si>
  <si>
    <t xml:space="preserve">결제 전환율</t>
  </si>
  <si>
    <t xml:space="preserve">카지노</t>
  </si>
  <si>
    <r>
      <rPr>
        <b val="true"/>
        <sz val="11"/>
        <rFont val="Noto Sans CJK SC"/>
        <family val="2"/>
      </rPr>
      <t xml:space="preserve">신규 설치의 </t>
    </r>
    <r>
      <rPr>
        <b val="true"/>
        <sz val="11"/>
        <rFont val="Arial"/>
        <family val="0"/>
        <charset val="1"/>
      </rPr>
      <t xml:space="preserve">4.95%</t>
    </r>
    <r>
      <rPr>
        <b val="true"/>
        <sz val="11"/>
        <rFont val="Noto Sans CJK SC"/>
        <family val="2"/>
      </rPr>
      <t xml:space="preserve">가 결제</t>
    </r>
    <r>
      <rPr>
        <b val="true"/>
        <sz val="11"/>
        <rFont val="Arial"/>
        <family val="0"/>
        <charset val="1"/>
      </rPr>
      <t xml:space="preserve">, 3.01%</t>
    </r>
    <r>
      <rPr>
        <b val="true"/>
        <sz val="11"/>
        <rFont val="Noto Sans CJK SC"/>
        <family val="2"/>
      </rPr>
      <t xml:space="preserve">가 </t>
    </r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회 이상 결제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</si>
  <si>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일 이내로 추정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원문 확인 필요</t>
    </r>
    <r>
      <rPr>
        <sz val="11"/>
        <rFont val="Arial"/>
        <family val="0"/>
        <charset val="1"/>
      </rPr>
      <t xml:space="preserve">)</t>
    </r>
  </si>
  <si>
    <t xml:space="preserve">다른 장르의 전환율은 요약본에 없음</t>
  </si>
  <si>
    <t xml:space="preserve">첫 결제 대비 재결제 비율</t>
  </si>
  <si>
    <r>
      <rPr>
        <b val="true"/>
        <sz val="11"/>
        <rFont val="Arial"/>
        <family val="0"/>
        <charset val="1"/>
      </rPr>
      <t xml:space="preserve">1.65</t>
    </r>
    <r>
      <rPr>
        <b val="true"/>
        <sz val="11"/>
        <rFont val="Noto Sans CJK SC"/>
        <family val="2"/>
      </rPr>
      <t xml:space="preserve">배 </t>
    </r>
    <r>
      <rPr>
        <b val="true"/>
        <sz val="11"/>
        <rFont val="Arial"/>
        <family val="0"/>
        <charset val="1"/>
      </rPr>
      <t xml:space="preserve">/ 1.76</t>
    </r>
    <r>
      <rPr>
        <b val="true"/>
        <sz val="11"/>
        <rFont val="Noto Sans CJK SC"/>
        <family val="2"/>
      </rPr>
      <t xml:space="preserve">배 </t>
    </r>
    <r>
      <rPr>
        <b val="true"/>
        <sz val="11"/>
        <rFont val="Arial"/>
        <family val="0"/>
        <charset val="1"/>
      </rPr>
      <t xml:space="preserve">/ 1.89</t>
    </r>
    <r>
      <rPr>
        <b val="true"/>
        <sz val="11"/>
        <rFont val="Noto Sans CJK SC"/>
        <family val="2"/>
      </rPr>
      <t xml:space="preserve">배</t>
    </r>
  </si>
  <si>
    <t xml:space="preserve">낮을수록 좋음</t>
  </si>
  <si>
    <r>
      <rPr>
        <sz val="11"/>
        <rFont val="Arial"/>
        <family val="0"/>
        <charset val="1"/>
      </rPr>
      <t xml:space="preserve">IAP </t>
    </r>
    <r>
      <rPr>
        <sz val="11"/>
        <rFont val="Noto Sans CJK SC"/>
        <family val="2"/>
      </rPr>
      <t xml:space="preserve">매출 중 유료 유입 비중</t>
    </r>
  </si>
  <si>
    <r>
      <rPr>
        <sz val="11"/>
        <rFont val="Noto Sans CJK SC"/>
        <family val="2"/>
      </rPr>
      <t xml:space="preserve">하이퍼캐주얼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카지노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캐주얼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미드코어</t>
    </r>
  </si>
  <si>
    <t xml:space="preserve">79% / 64% / 61% / 49%</t>
  </si>
  <si>
    <r>
      <rPr>
        <sz val="11"/>
        <rFont val="Noto Sans CJK SC"/>
        <family val="2"/>
      </rPr>
      <t xml:space="preserve">수익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지역</t>
    </r>
    <r>
      <rPr>
        <sz val="11"/>
        <rFont val="Arial"/>
        <family val="0"/>
        <charset val="1"/>
      </rPr>
      <t xml:space="preserve">)</t>
    </r>
  </si>
  <si>
    <t xml:space="preserve">매출 중 유료 유입 비중</t>
  </si>
  <si>
    <r>
      <rPr>
        <sz val="11"/>
        <rFont val="Noto Sans CJK SC"/>
        <family val="2"/>
      </rPr>
      <t xml:space="preserve">남미</t>
    </r>
    <r>
      <rPr>
        <sz val="11"/>
        <rFont val="Arial"/>
        <family val="0"/>
        <charset val="1"/>
      </rPr>
      <t xml:space="preserve">(LATAM)</t>
    </r>
  </si>
  <si>
    <r>
      <rPr>
        <b val="true"/>
        <sz val="11"/>
        <rFont val="Noto Sans CJK SC"/>
        <family val="2"/>
      </rPr>
      <t xml:space="preserve">전체 </t>
    </r>
    <r>
      <rPr>
        <b val="true"/>
        <sz val="11"/>
        <rFont val="Arial"/>
        <family val="0"/>
        <charset val="1"/>
      </rPr>
      <t xml:space="preserve">37%, </t>
    </r>
    <r>
      <rPr>
        <b val="true"/>
        <sz val="11"/>
        <rFont val="Noto Sans CJK SC"/>
        <family val="2"/>
      </rPr>
      <t xml:space="preserve">미드코어 </t>
    </r>
    <r>
      <rPr>
        <b val="true"/>
        <sz val="11"/>
        <rFont val="Arial"/>
        <family val="0"/>
        <charset val="1"/>
      </rPr>
      <t xml:space="preserve">43%</t>
    </r>
  </si>
  <si>
    <r>
      <rPr>
        <sz val="11"/>
        <rFont val="Noto Sans CJK SC"/>
        <family val="2"/>
      </rPr>
      <t xml:space="preserve">수익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구조</t>
    </r>
    <r>
      <rPr>
        <sz val="11"/>
        <rFont val="Arial"/>
        <family val="0"/>
        <charset val="1"/>
      </rPr>
      <t xml:space="preserve">)</t>
    </r>
  </si>
  <si>
    <t xml:space="preserve">매출 구성</t>
  </si>
  <si>
    <r>
      <rPr>
        <sz val="11"/>
        <rFont val="Noto Sans CJK SC"/>
        <family val="2"/>
      </rPr>
      <t xml:space="preserve">미드코어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카지노</t>
    </r>
  </si>
  <si>
    <t xml:space="preserve">IAP 90% / IAP 83%</t>
  </si>
  <si>
    <r>
      <rPr>
        <sz val="11"/>
        <rFont val="Noto Sans CJK SC"/>
        <family val="2"/>
      </rPr>
      <t xml:space="preserve">수익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시점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</si>
  <si>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D60 </t>
    </r>
    <r>
      <rPr>
        <sz val="11"/>
        <rFont val="Noto Sans CJK SC"/>
        <family val="2"/>
      </rPr>
      <t xml:space="preserve">매출 중 </t>
    </r>
    <r>
      <rPr>
        <sz val="11"/>
        <rFont val="Arial"/>
        <family val="0"/>
        <charset val="1"/>
      </rPr>
      <t xml:space="preserve">D7</t>
    </r>
    <r>
      <rPr>
        <sz val="11"/>
        <rFont val="Noto Sans CJK SC"/>
        <family val="2"/>
      </rPr>
      <t xml:space="preserve">까지 누적</t>
    </r>
  </si>
  <si>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/ IAP</t>
    </r>
  </si>
  <si>
    <t xml:space="preserve">89% / 60%</t>
  </si>
  <si>
    <t xml:space="preserve">전체 앱</t>
  </si>
  <si>
    <r>
      <rPr>
        <sz val="11"/>
        <rFont val="Noto Sans CJK SC"/>
        <family val="2"/>
      </rPr>
      <t xml:space="preserve">하이퍼캐주얼은 </t>
    </r>
    <r>
      <rPr>
        <sz val="11"/>
        <rFont val="Arial"/>
        <family val="0"/>
        <charset val="1"/>
      </rPr>
      <t xml:space="preserve">D60 </t>
    </r>
    <r>
      <rPr>
        <sz val="11"/>
        <rFont val="Noto Sans CJK SC"/>
        <family val="2"/>
      </rPr>
      <t xml:space="preserve">광고 매출의 </t>
    </r>
    <r>
      <rPr>
        <sz val="11"/>
        <rFont val="Arial"/>
        <family val="0"/>
        <charset val="1"/>
      </rPr>
      <t xml:space="preserve">63%</t>
    </r>
    <r>
      <rPr>
        <sz val="11"/>
        <rFont val="Noto Sans CJK SC"/>
        <family val="2"/>
      </rPr>
      <t xml:space="preserve">가 </t>
    </r>
    <r>
      <rPr>
        <sz val="11"/>
        <rFont val="Arial"/>
        <family val="0"/>
        <charset val="1"/>
      </rPr>
      <t xml:space="preserve">D1</t>
    </r>
    <r>
      <rPr>
        <sz val="11"/>
        <rFont val="Noto Sans CJK SC"/>
        <family val="2"/>
      </rPr>
      <t xml:space="preserve">에 발생</t>
    </r>
  </si>
  <si>
    <r>
      <rPr>
        <sz val="11"/>
        <rFont val="Noto Sans CJK SC"/>
        <family val="2"/>
      </rPr>
      <t xml:space="preserve">수익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일반</t>
    </r>
    <r>
      <rPr>
        <sz val="11"/>
        <rFont val="Arial"/>
        <family val="0"/>
        <charset val="1"/>
      </rPr>
      <t xml:space="preserve">)</t>
    </r>
  </si>
  <si>
    <t xml:space="preserve">결제 유저 비율</t>
  </si>
  <si>
    <t xml:space="preserve">전체 게임</t>
  </si>
  <si>
    <r>
      <rPr>
        <b val="true"/>
        <sz val="11"/>
        <rFont val="Noto Sans CJK SC"/>
        <family val="2"/>
      </rPr>
      <t xml:space="preserve">대개 </t>
    </r>
    <r>
      <rPr>
        <b val="true"/>
        <sz val="11"/>
        <rFont val="Arial"/>
        <family val="0"/>
        <charset val="1"/>
      </rPr>
      <t xml:space="preserve">5% </t>
    </r>
    <r>
      <rPr>
        <b val="true"/>
        <sz val="11"/>
        <rFont val="Noto Sans CJK SC"/>
        <family val="2"/>
      </rPr>
      <t xml:space="preserve">미만 </t>
    </r>
    <r>
      <rPr>
        <b val="true"/>
        <sz val="11"/>
        <rFont val="Arial"/>
        <family val="0"/>
        <charset val="1"/>
      </rPr>
      <t xml:space="preserve">(RPG</t>
    </r>
    <r>
      <rPr>
        <b val="true"/>
        <sz val="11"/>
        <rFont val="Noto Sans CJK SC"/>
        <family val="2"/>
      </rPr>
      <t xml:space="preserve">는 더 높음</t>
    </r>
    <r>
      <rPr>
        <b val="true"/>
        <sz val="11"/>
        <rFont val="Arial"/>
        <family val="0"/>
        <charset val="1"/>
      </rPr>
      <t xml:space="preserve">)</t>
    </r>
  </si>
  <si>
    <t xml:space="preserve">AppsFlyer, State of Gaming App Marketing 2024 https://www.appsflyer.com/resources/reports/gaming-app-marketing-2024-report/</t>
  </si>
  <si>
    <t xml:space="preserve">첫 결제 시점</t>
  </si>
  <si>
    <r>
      <rPr>
        <b val="true"/>
        <sz val="11"/>
        <rFont val="Arial"/>
        <family val="0"/>
        <charset val="1"/>
      </rPr>
      <t xml:space="preserve">D2 </t>
    </r>
    <r>
      <rPr>
        <b val="true"/>
        <sz val="11"/>
        <rFont val="Noto Sans CJK SC"/>
        <family val="2"/>
      </rPr>
      <t xml:space="preserve">전후 첫 결제가 전체 결제자의 </t>
    </r>
    <r>
      <rPr>
        <b val="true"/>
        <sz val="11"/>
        <rFont val="Arial"/>
        <family val="0"/>
        <charset val="1"/>
      </rPr>
      <t xml:space="preserve">1/4, D3</t>
    </r>
    <r>
      <rPr>
        <b val="true"/>
        <sz val="11"/>
        <rFont val="Noto Sans CJK SC"/>
        <family val="2"/>
      </rPr>
      <t xml:space="preserve">에 </t>
    </r>
    <r>
      <rPr>
        <b val="true"/>
        <sz val="11"/>
        <rFont val="Arial"/>
        <family val="0"/>
        <charset val="1"/>
      </rPr>
      <t xml:space="preserve">17% </t>
    </r>
    <r>
      <rPr>
        <b val="true"/>
        <sz val="11"/>
        <rFont val="Noto Sans CJK SC"/>
        <family val="2"/>
      </rPr>
      <t xml:space="preserve">추가</t>
    </r>
  </si>
  <si>
    <t xml:space="preserve">상위 결제자 집중도</t>
  </si>
  <si>
    <t xml:space="preserve">Android, 2024 Q4</t>
  </si>
  <si>
    <r>
      <rPr>
        <b val="true"/>
        <sz val="11"/>
        <rFont val="Noto Sans CJK SC"/>
        <family val="2"/>
      </rPr>
      <t xml:space="preserve">상위 </t>
    </r>
    <r>
      <rPr>
        <b val="true"/>
        <sz val="11"/>
        <rFont val="Arial"/>
        <family val="0"/>
        <charset val="1"/>
      </rPr>
      <t xml:space="preserve">5% </t>
    </r>
    <r>
      <rPr>
        <b val="true"/>
        <sz val="11"/>
        <rFont val="Noto Sans CJK SC"/>
        <family val="2"/>
      </rPr>
      <t xml:space="preserve">결제자가 </t>
    </r>
    <r>
      <rPr>
        <b val="true"/>
        <sz val="11"/>
        <rFont val="Arial"/>
        <family val="0"/>
        <charset val="1"/>
      </rPr>
      <t xml:space="preserve">IAP </t>
    </r>
    <r>
      <rPr>
        <b val="true"/>
        <sz val="11"/>
        <rFont val="Noto Sans CJK SC"/>
        <family val="2"/>
      </rPr>
      <t xml:space="preserve">매출의 </t>
    </r>
    <r>
      <rPr>
        <b val="true"/>
        <sz val="11"/>
        <rFont val="Arial"/>
        <family val="0"/>
        <charset val="1"/>
      </rPr>
      <t xml:space="preserve">45.95%</t>
    </r>
  </si>
  <si>
    <t xml:space="preserve">앱당 평균</t>
  </si>
  <si>
    <r>
      <rPr>
        <sz val="11"/>
        <rFont val="Noto Sans CJK SC"/>
        <family val="2"/>
      </rPr>
      <t xml:space="preserve">광고 수익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캐주얼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</si>
  <si>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ARPU</t>
    </r>
  </si>
  <si>
    <r>
      <rPr>
        <sz val="11"/>
        <rFont val="Noto Sans CJK SC"/>
        <family val="2"/>
      </rPr>
      <t xml:space="preserve">하이퍼캐주얼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파티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매치</t>
    </r>
  </si>
  <si>
    <t xml:space="preserve">$0.86 / $4.90 / $2.99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</si>
  <si>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Android</t>
    </r>
  </si>
  <si>
    <r>
      <rPr>
        <sz val="11"/>
        <rFont val="Arial"/>
        <family val="0"/>
        <charset val="1"/>
      </rPr>
      <t xml:space="preserve">Appodeal, Mobile Casual Benchmarks Report 2025 (</t>
    </r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Android </t>
    </r>
    <r>
      <rPr>
        <sz val="11"/>
        <rFont val="Noto Sans CJK SC"/>
        <family val="2"/>
      </rPr>
      <t xml:space="preserve">캐주얼 게임 </t>
    </r>
    <r>
      <rPr>
        <sz val="11"/>
        <rFont val="Arial"/>
        <family val="0"/>
        <charset val="1"/>
      </rPr>
      <t xml:space="preserve">10,000+</t>
    </r>
    <r>
      <rPr>
        <sz val="11"/>
        <rFont val="Noto Sans CJK SC"/>
        <family val="2"/>
      </rPr>
      <t xml:space="preserve">개</t>
    </r>
    <r>
      <rPr>
        <sz val="11"/>
        <rFont val="Arial"/>
        <family val="0"/>
        <charset val="1"/>
      </rPr>
      <t xml:space="preserve">, 2024.6~2025.1) — App Developer Magazine </t>
    </r>
    <r>
      <rPr>
        <sz val="11"/>
        <rFont val="Noto Sans CJK SC"/>
        <family val="2"/>
      </rPr>
      <t xml:space="preserve">보도 </t>
    </r>
    <r>
      <rPr>
        <sz val="11"/>
        <rFont val="Arial"/>
        <family val="0"/>
        <charset val="1"/>
      </rPr>
      <t xml:space="preserve">https://appdevelopermagazine.com/mobile-casual-benchmarks-report-2025/</t>
    </r>
  </si>
  <si>
    <r>
      <rPr>
        <sz val="11"/>
        <rFont val="Arial"/>
        <family val="0"/>
        <charset val="1"/>
      </rPr>
      <t xml:space="preserve">ARPU </t>
    </r>
    <r>
      <rPr>
        <sz val="11"/>
        <rFont val="Noto Sans CJK SC"/>
        <family val="2"/>
      </rPr>
      <t xml:space="preserve">측정 기간이 보도에 명시되지 않음</t>
    </r>
  </si>
  <si>
    <r>
      <rPr>
        <sz val="11"/>
        <rFont val="Noto Sans CJK SC"/>
        <family val="2"/>
      </rPr>
      <t xml:space="preserve">광고 </t>
    </r>
    <r>
      <rPr>
        <sz val="11"/>
        <rFont val="Arial"/>
        <family val="0"/>
        <charset val="1"/>
      </rPr>
      <t xml:space="preserve">ARPU (</t>
    </r>
    <r>
      <rPr>
        <sz val="11"/>
        <rFont val="Noto Sans CJK SC"/>
        <family val="2"/>
      </rPr>
      <t xml:space="preserve">세부 장르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</si>
  <si>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머지</t>
    </r>
    <r>
      <rPr>
        <sz val="11"/>
        <rFont val="Arial"/>
        <family val="0"/>
        <charset val="1"/>
      </rPr>
      <t xml:space="preserve">3 / </t>
    </r>
    <r>
      <rPr>
        <sz val="11"/>
        <rFont val="Noto Sans CJK SC"/>
        <family val="2"/>
      </rPr>
      <t xml:space="preserve">럭배틀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러닝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슬라이싱</t>
    </r>
  </si>
  <si>
    <t xml:space="preserve">$14.83 / $12.23 / $2.34 / $2.19</t>
  </si>
  <si>
    <t xml:space="preserve">유저당 광고 노출 수</t>
  </si>
  <si>
    <r>
      <rPr>
        <sz val="11"/>
        <rFont val="Noto Sans CJK SC"/>
        <family val="2"/>
      </rPr>
      <t xml:space="preserve">퍼즐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전면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보상형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배너</t>
    </r>
  </si>
  <si>
    <t xml:space="preserve">72.5 / 23.4 / 241.5</t>
  </si>
  <si>
    <r>
      <rPr>
        <sz val="11"/>
        <rFont val="Noto Sans CJK SC"/>
        <family val="2"/>
      </rPr>
      <t xml:space="preserve">매치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전면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보상형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배너</t>
    </r>
  </si>
  <si>
    <t xml:space="preserve">36.5 / 39.1 / 114.3</t>
  </si>
  <si>
    <t xml:space="preserve">유저당 보상형 광고 수</t>
  </si>
  <si>
    <r>
      <rPr>
        <sz val="11"/>
        <rFont val="Noto Sans CJK SC"/>
        <family val="2"/>
      </rPr>
      <t xml:space="preserve">머지</t>
    </r>
    <r>
      <rPr>
        <sz val="11"/>
        <rFont val="Arial"/>
        <family val="0"/>
        <charset val="1"/>
      </rPr>
      <t xml:space="preserve">3 / </t>
    </r>
    <r>
      <rPr>
        <sz val="11"/>
        <rFont val="Noto Sans CJK SC"/>
        <family val="2"/>
      </rPr>
      <t xml:space="preserve">방치형</t>
    </r>
  </si>
  <si>
    <t xml:space="preserve">101.5 / 73.2</t>
  </si>
  <si>
    <r>
      <rPr>
        <b val="true"/>
        <sz val="11"/>
        <color rgb="FFFFFFFF"/>
        <rFont val="Arial"/>
        <family val="0"/>
        <charset val="1"/>
      </rPr>
      <t xml:space="preserve">P50 (</t>
    </r>
    <r>
      <rPr>
        <b val="true"/>
        <sz val="11"/>
        <color rgb="FFFFFFFF"/>
        <rFont val="Noto Sans CJK SC"/>
        <family val="2"/>
      </rPr>
      <t xml:space="preserve">중앙값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</si>
  <si>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P90 (</t>
    </r>
    <r>
      <rPr>
        <b val="true"/>
        <sz val="11"/>
        <color rgb="FFFFFFFF"/>
        <rFont val="Noto Sans CJK SC"/>
        <family val="2"/>
      </rPr>
      <t xml:space="preserve">상위 </t>
    </r>
    <r>
      <rPr>
        <b val="true"/>
        <sz val="11"/>
        <color rgb="FFFFFFFF"/>
        <rFont val="Arial"/>
        <family val="0"/>
        <charset val="1"/>
      </rPr>
      <t xml:space="preserve">10%)</t>
    </r>
  </si>
  <si>
    <r>
      <rPr>
        <b val="true"/>
        <sz val="11"/>
        <color rgb="FFFFFFFF"/>
        <rFont val="Arial"/>
        <family val="0"/>
        <charset val="1"/>
      </rPr>
      <t xml:space="preserve">P99 (</t>
    </r>
    <r>
      <rPr>
        <b val="true"/>
        <sz val="11"/>
        <color rgb="FFFFFFFF"/>
        <rFont val="Noto Sans CJK SC"/>
        <family val="2"/>
      </rPr>
      <t xml:space="preserve">상위 </t>
    </r>
    <r>
      <rPr>
        <b val="true"/>
        <sz val="11"/>
        <color rgb="FFFFFFFF"/>
        <rFont val="Arial"/>
        <family val="0"/>
        <charset val="1"/>
      </rPr>
      <t xml:space="preserve">1%)</t>
    </r>
  </si>
  <si>
    <r>
      <rPr>
        <sz val="11"/>
        <rFont val="Arial"/>
        <family val="0"/>
        <charset val="1"/>
      </rPr>
      <t xml:space="preserve">GameAnalytics 2026 </t>
    </r>
    <r>
      <rPr>
        <sz val="11"/>
        <rFont val="Noto Sans CJK SC"/>
        <family val="2"/>
      </rPr>
      <t xml:space="preserve">보고서 지역별 표 </t>
    </r>
    <r>
      <rPr>
        <sz val="11"/>
        <rFont val="Arial"/>
        <family val="0"/>
        <charset val="1"/>
      </rPr>
      <t xml:space="preserve">(2025</t>
    </r>
    <r>
      <rPr>
        <sz val="11"/>
        <rFont val="Noto Sans CJK SC"/>
        <family val="2"/>
      </rPr>
      <t xml:space="preserve">년 주간 데이터의 연평균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</si>
  <si>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D30 </t>
    </r>
    <r>
      <rPr>
        <sz val="11"/>
        <rFont val="Noto Sans CJK SC"/>
        <family val="2"/>
      </rPr>
      <t xml:space="preserve">리텐션</t>
    </r>
  </si>
  <si>
    <t xml:space="preserve">중미</t>
  </si>
  <si>
    <r>
      <rPr>
        <i val="true"/>
        <sz val="11"/>
        <color rgb="FF595959"/>
        <rFont val="Noto Sans CJK SC"/>
        <family val="2"/>
      </rPr>
      <t xml:space="preserve">참고 </t>
    </r>
    <r>
      <rPr>
        <i val="true"/>
        <sz val="11"/>
        <color rgb="FF595959"/>
        <rFont val="Arial"/>
        <family val="0"/>
        <charset val="1"/>
      </rPr>
      <t xml:space="preserve">(2024</t>
    </r>
    <r>
      <rPr>
        <i val="true"/>
        <sz val="11"/>
        <color rgb="FF595959"/>
        <rFont val="Noto Sans CJK SC"/>
        <family val="2"/>
      </rPr>
      <t xml:space="preserve">년 데이터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중앙값</t>
    </r>
    <r>
      <rPr>
        <i val="true"/>
        <sz val="11"/>
        <color rgb="FF595959"/>
        <rFont val="Arial"/>
        <family val="0"/>
        <charset val="1"/>
      </rPr>
      <t xml:space="preserve">): </t>
    </r>
    <r>
      <rPr>
        <i val="true"/>
        <sz val="11"/>
        <color rgb="FF595959"/>
        <rFont val="Noto Sans CJK SC"/>
        <family val="2"/>
      </rPr>
      <t xml:space="preserve">북미 </t>
    </r>
    <r>
      <rPr>
        <i val="true"/>
        <sz val="11"/>
        <color rgb="FF595959"/>
        <rFont val="Arial"/>
        <family val="0"/>
        <charset val="1"/>
      </rPr>
      <t xml:space="preserve">D1 20.48% / D7 4.64% / D28 1.46%, </t>
    </r>
    <r>
      <rPr>
        <i val="true"/>
        <sz val="11"/>
        <color rgb="FF595959"/>
        <rFont val="Noto Sans CJK SC"/>
        <family val="2"/>
      </rPr>
      <t xml:space="preserve">남미 </t>
    </r>
    <r>
      <rPr>
        <i val="true"/>
        <sz val="11"/>
        <color rgb="FF595959"/>
        <rFont val="Arial"/>
        <family val="0"/>
        <charset val="1"/>
      </rPr>
      <t xml:space="preserve">18.32% / 3.31% / 0.82%, </t>
    </r>
    <r>
      <rPr>
        <i val="true"/>
        <sz val="11"/>
        <color rgb="FF595959"/>
        <rFont val="Noto Sans CJK SC"/>
        <family val="2"/>
      </rPr>
      <t xml:space="preserve">중미 </t>
    </r>
    <r>
      <rPr>
        <i val="true"/>
        <sz val="11"/>
        <color rgb="FF595959"/>
        <rFont val="Arial"/>
        <family val="0"/>
        <charset val="1"/>
      </rPr>
      <t xml:space="preserve">18.95% / 3.68% / 0.98%, </t>
    </r>
    <r>
      <rPr>
        <i val="true"/>
        <sz val="11"/>
        <color rgb="FF595959"/>
        <rFont val="Noto Sans CJK SC"/>
        <family val="2"/>
      </rPr>
      <t xml:space="preserve">아시아 </t>
    </r>
    <r>
      <rPr>
        <i val="true"/>
        <sz val="11"/>
        <color rgb="FF595959"/>
        <rFont val="Arial"/>
        <family val="0"/>
        <charset val="1"/>
      </rPr>
      <t xml:space="preserve">17.57% / 3.14% / 0.75%, </t>
    </r>
    <r>
      <rPr>
        <i val="true"/>
        <sz val="11"/>
        <color rgb="FF595959"/>
        <rFont val="Noto Sans CJK SC"/>
        <family val="2"/>
      </rPr>
      <t xml:space="preserve">동남아 </t>
    </r>
    <r>
      <rPr>
        <i val="true"/>
        <sz val="11"/>
        <color rgb="FF595959"/>
        <rFont val="Arial"/>
        <family val="0"/>
        <charset val="1"/>
      </rPr>
      <t xml:space="preserve">18.28% / 3.33% / 0.82% — GameAnalytics 2025 </t>
    </r>
    <r>
      <rPr>
        <i val="true"/>
        <sz val="11"/>
        <color rgb="FF595959"/>
        <rFont val="Noto Sans CJK SC"/>
        <family val="2"/>
      </rPr>
      <t xml:space="preserve">보고서</t>
    </r>
  </si>
  <si>
    <r>
      <rPr>
        <i val="true"/>
        <sz val="11"/>
        <color rgb="FF595959"/>
        <rFont val="Noto Sans CJK SC"/>
        <family val="2"/>
      </rPr>
      <t xml:space="preserve">멕시코가 </t>
    </r>
    <r>
      <rPr>
        <i val="true"/>
        <sz val="11"/>
        <color rgb="FF595959"/>
        <rFont val="Arial"/>
        <family val="0"/>
        <charset val="1"/>
      </rPr>
      <t xml:space="preserve">GameAnalytics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중미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북미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중 어디에 속하는지는 보고서에서 확인되지 않았습니다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</si>
  <si>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3"/>
        <rFont val="Arial"/>
        <family val="0"/>
        <charset val="1"/>
      </rPr>
      <t xml:space="preserve">GameAnalytics 2025 </t>
    </r>
    <r>
      <rPr>
        <b val="true"/>
        <sz val="13"/>
        <rFont val="Noto Sans CJK SC"/>
        <family val="2"/>
      </rPr>
      <t xml:space="preserve">보고서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장르별 차트 판독값 </t>
    </r>
    <r>
      <rPr>
        <b val="true"/>
        <sz val="13"/>
        <rFont val="Arial"/>
        <family val="0"/>
        <charset val="1"/>
      </rPr>
      <t xml:space="preserve">(2024</t>
    </r>
    <r>
      <rPr>
        <b val="true"/>
        <sz val="13"/>
        <rFont val="Noto Sans CJK SC"/>
        <family val="2"/>
      </rPr>
      <t xml:space="preserve">년 데이터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장르별 중앙값 게임</t>
    </r>
    <r>
      <rPr>
        <b val="true"/>
        <sz val="13"/>
        <rFont val="Arial"/>
        <family val="0"/>
        <charset val="1"/>
      </rPr>
      <t xml:space="preserve">, </t>
    </r>
    <r>
      <rPr>
        <b val="true"/>
        <sz val="13"/>
        <rFont val="Noto Sans CJK SC"/>
        <family val="2"/>
      </rPr>
      <t xml:space="preserve">월별 코호트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</si>
  <si>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11"/>
        <color rgb="FFC00000"/>
        <rFont val="Noto Sans CJK SC"/>
        <family val="2"/>
      </rPr>
      <t xml:space="preserve">⚠ 차트 판독값</t>
    </r>
    <r>
      <rPr>
        <b val="true"/>
        <sz val="11"/>
        <color rgb="FFC00000"/>
        <rFont val="Arial"/>
        <family val="0"/>
        <charset val="1"/>
      </rPr>
      <t xml:space="preserve">: PDF 17~20</t>
    </r>
    <r>
      <rPr>
        <b val="true"/>
        <sz val="11"/>
        <color rgb="FFC00000"/>
        <rFont val="Noto Sans CJK SC"/>
        <family val="2"/>
      </rPr>
      <t xml:space="preserve">쪽은 글자가 없는 그림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Noto Sans CJK SC"/>
        <family val="2"/>
      </rPr>
      <t xml:space="preserve">히트맵</t>
    </r>
    <r>
      <rPr>
        <b val="true"/>
        <sz val="11"/>
        <color rgb="FFC00000"/>
        <rFont val="Arial"/>
        <family val="0"/>
        <charset val="1"/>
      </rPr>
      <t xml:space="preserve">)</t>
    </r>
    <r>
      <rPr>
        <b val="true"/>
        <sz val="11"/>
        <color rgb="FFC00000"/>
        <rFont val="Noto Sans CJK SC"/>
        <family val="2"/>
      </rPr>
      <t xml:space="preserve">이라</t>
    </r>
    <r>
      <rPr>
        <b val="true"/>
        <sz val="11"/>
        <color rgb="FFC00000"/>
        <rFont val="Arial"/>
        <family val="0"/>
        <charset val="1"/>
      </rPr>
      <t xml:space="preserve">, </t>
    </r>
    <r>
      <rPr>
        <b val="true"/>
        <sz val="11"/>
        <color rgb="FFC00000"/>
        <rFont val="Noto Sans CJK SC"/>
        <family val="2"/>
      </rPr>
      <t xml:space="preserve">그림을 확대해 칸 안에 적힌 숫자를 눈으로 옮겨 적었습니다</t>
    </r>
    <r>
      <rPr>
        <b val="true"/>
        <sz val="11"/>
        <color rgb="FFC00000"/>
        <rFont val="Arial"/>
        <family val="0"/>
        <charset val="1"/>
      </rPr>
      <t xml:space="preserve">. </t>
    </r>
    <r>
      <rPr>
        <b val="true"/>
        <sz val="11"/>
        <color rgb="FFC00000"/>
        <rFont val="Noto Sans CJK SC"/>
        <family val="2"/>
      </rPr>
      <t xml:space="preserve">공식 표</t>
    </r>
    <r>
      <rPr>
        <b val="true"/>
        <sz val="11"/>
        <color rgb="FFC00000"/>
        <rFont val="Arial"/>
        <family val="0"/>
        <charset val="1"/>
      </rPr>
      <t xml:space="preserve">·API </t>
    </r>
    <r>
      <rPr>
        <b val="true"/>
        <sz val="11"/>
        <color rgb="FFC00000"/>
        <rFont val="Noto Sans CJK SC"/>
        <family val="2"/>
      </rPr>
      <t xml:space="preserve">값이 아닙니다</t>
    </r>
    <r>
      <rPr>
        <b val="true"/>
        <sz val="11"/>
        <color rgb="FFC00000"/>
        <rFont val="Arial"/>
        <family val="0"/>
        <charset val="1"/>
      </rPr>
      <t xml:space="preserve">. </t>
    </r>
    <r>
      <rPr>
        <b val="true"/>
        <sz val="11"/>
        <color rgb="FFC00000"/>
        <rFont val="Noto Sans CJK SC"/>
        <family val="2"/>
      </rPr>
      <t xml:space="preserve">파란 글씨</t>
    </r>
    <r>
      <rPr>
        <b val="true"/>
        <sz val="11"/>
        <color rgb="FFC00000"/>
        <rFont val="Arial"/>
        <family val="0"/>
        <charset val="1"/>
      </rPr>
      <t xml:space="preserve">=</t>
    </r>
    <r>
      <rPr>
        <b val="true"/>
        <sz val="11"/>
        <color rgb="FFC00000"/>
        <rFont val="Noto Sans CJK SC"/>
        <family val="2"/>
      </rPr>
      <t xml:space="preserve">판독값</t>
    </r>
    <r>
      <rPr>
        <b val="true"/>
        <sz val="11"/>
        <color rgb="FFC00000"/>
        <rFont val="Arial"/>
        <family val="0"/>
        <charset val="1"/>
      </rPr>
      <t xml:space="preserve">, </t>
    </r>
    <r>
      <rPr>
        <b val="true"/>
        <sz val="11"/>
        <color rgb="FFC00000"/>
        <rFont val="Noto Sans CJK SC"/>
        <family val="2"/>
      </rPr>
      <t xml:space="preserve">검은 글씨</t>
    </r>
    <r>
      <rPr>
        <b val="true"/>
        <sz val="11"/>
        <color rgb="FFC00000"/>
        <rFont val="Arial"/>
        <family val="0"/>
        <charset val="1"/>
      </rPr>
      <t xml:space="preserve">=</t>
    </r>
    <r>
      <rPr>
        <b val="true"/>
        <sz val="11"/>
        <color rgb="FFC00000"/>
        <rFont val="Noto Sans CJK SC"/>
        <family val="2"/>
      </rPr>
      <t xml:space="preserve">판독값으로 계산한 값</t>
    </r>
    <r>
      <rPr>
        <b val="true"/>
        <sz val="11"/>
        <color rgb="FFC00000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</si>
  <si>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GameAnalytics, 2025 Mobile Gaming Benchmarks (2024</t>
    </r>
    <r>
      <rPr>
        <i val="true"/>
        <sz val="11"/>
        <color rgb="FF595959"/>
        <rFont val="Noto Sans CJK SC"/>
        <family val="2"/>
      </rPr>
      <t xml:space="preserve">년 데이터</t>
    </r>
    <r>
      <rPr>
        <i val="true"/>
        <sz val="11"/>
        <color rgb="FF595959"/>
        <rFont val="Arial"/>
        <family val="0"/>
        <charset val="1"/>
      </rPr>
      <t xml:space="preserve">, 11,600</t>
    </r>
    <r>
      <rPr>
        <i val="true"/>
        <sz val="11"/>
        <color rgb="FF595959"/>
        <rFont val="Noto Sans CJK SC"/>
        <family val="2"/>
      </rPr>
      <t xml:space="preserve">개 게임</t>
    </r>
    <r>
      <rPr>
        <i val="true"/>
        <sz val="11"/>
        <color rgb="FF595959"/>
        <rFont val="Arial"/>
        <family val="0"/>
        <charset val="1"/>
      </rPr>
      <t xml:space="preserve">) https://files.gameindustrylibrary.com/documents/mobile-gaming-benchmarks-2025.pdf — </t>
    </r>
    <r>
      <rPr>
        <i val="true"/>
        <sz val="11"/>
        <color rgb="FF595959"/>
        <rFont val="Noto Sans CJK SC"/>
        <family val="2"/>
      </rPr>
      <t xml:space="preserve">각 표 제목 옆에 </t>
    </r>
    <r>
      <rPr>
        <i val="true"/>
        <sz val="11"/>
        <color rgb="FF595959"/>
        <rFont val="Arial"/>
        <family val="0"/>
        <charset val="1"/>
      </rPr>
      <t xml:space="preserve">PDF </t>
    </r>
    <r>
      <rPr>
        <i val="true"/>
        <sz val="11"/>
        <color rgb="FF595959"/>
        <rFont val="Noto Sans CJK SC"/>
        <family val="2"/>
      </rPr>
      <t xml:space="preserve">쪽수 표시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판독 방법</t>
    </r>
    <r>
      <rPr>
        <i val="true"/>
        <sz val="11"/>
        <color rgb="FF595959"/>
        <rFont val="Arial"/>
        <family val="0"/>
        <charset val="1"/>
      </rPr>
      <t xml:space="preserve">: PDF </t>
    </r>
    <r>
      <rPr>
        <i val="true"/>
        <sz val="11"/>
        <color rgb="FF595959"/>
        <rFont val="Noto Sans CJK SC"/>
        <family val="2"/>
      </rPr>
      <t xml:space="preserve">안 원본 그림</t>
    </r>
    <r>
      <rPr>
        <i val="true"/>
        <sz val="11"/>
        <color rgb="FF595959"/>
        <rFont val="Arial"/>
        <family val="0"/>
        <charset val="1"/>
      </rPr>
      <t xml:space="preserve">(1056×547</t>
    </r>
    <r>
      <rPr>
        <i val="true"/>
        <sz val="11"/>
        <color rgb="FF595959"/>
        <rFont val="Noto Sans CJK SC"/>
        <family val="2"/>
      </rPr>
      <t xml:space="preserve">픽셀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을 </t>
    </r>
    <r>
      <rPr>
        <i val="true"/>
        <sz val="11"/>
        <color rgb="FF595959"/>
        <rFont val="Arial"/>
        <family val="0"/>
        <charset val="1"/>
      </rPr>
      <t xml:space="preserve">2</t>
    </r>
    <r>
      <rPr>
        <i val="true"/>
        <sz val="11"/>
        <color rgb="FF595959"/>
        <rFont val="Noto Sans CJK SC"/>
        <family val="2"/>
      </rPr>
      <t xml:space="preserve">배 확대해 전부 두 번 읽고 대조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</si>
  <si>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color rgb="FF1F3864"/>
        <rFont val="Arial"/>
        <family val="0"/>
        <charset val="1"/>
      </rPr>
      <t xml:space="preserve">D1 </t>
    </r>
    <r>
      <rPr>
        <b val="true"/>
        <sz val="12"/>
        <color rgb="FF1F3864"/>
        <rFont val="Noto Sans CJK SC"/>
        <family val="2"/>
      </rPr>
      <t xml:space="preserve">리텐션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설치 다음날 다시 온 비율</t>
    </r>
    <r>
      <rPr>
        <b val="true"/>
        <sz val="12"/>
        <color rgb="FF1F3864"/>
        <rFont val="Arial"/>
        <family val="0"/>
        <charset val="1"/>
      </rPr>
      <t xml:space="preserve">)  —  PDF 17</t>
    </r>
    <r>
      <rPr>
        <b val="true"/>
        <sz val="12"/>
        <color rgb="FF1F3864"/>
        <rFont val="Noto Sans CJK SC"/>
        <family val="2"/>
      </rPr>
      <t xml:space="preserve">쪽</t>
    </r>
  </si>
  <si>
    <r>
      <rPr>
        <b val="true"/>
        <sz val="11"/>
        <color rgb="FFFFFFFF"/>
        <rFont val="Noto Sans CJK SC"/>
        <family val="2"/>
      </rPr>
      <t xml:space="preserve">장르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보고서 표기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</si>
  <si>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장르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한글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</si>
  <si>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</si>
  <si>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</si>
  <si>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</si>
  <si>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</si>
  <si>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</si>
  <si>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</si>
  <si>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</si>
  <si>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</si>
  <si>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</si>
  <si>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</si>
  <si>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11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</si>
  <si>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Noto Sans CJK SC"/>
        <family val="2"/>
      </rPr>
      <t xml:space="preserve">월</t>
    </r>
  </si>
  <si>
    <r>
      <rPr>
        <b val="true"/>
        <sz val="11"/>
        <color rgb="FFFFFFFF"/>
        <rFont val="Noto Sans CJK SC"/>
        <family val="2"/>
      </rPr>
      <t xml:space="preserve">연평균</t>
    </r>
    <r>
      <rPr>
        <b val="true"/>
        <sz val="11"/>
        <color rgb="FFFFFFFF"/>
        <rFont val="Arial"/>
        <family val="0"/>
        <charset val="1"/>
      </rPr>
      <t xml:space="preserve">*</t>
    </r>
  </si>
  <si>
    <t xml:space="preserve">최저 달</t>
  </si>
  <si>
    <t xml:space="preserve">최고 달</t>
  </si>
  <si>
    <r>
      <rPr>
        <b val="true"/>
        <sz val="11"/>
        <color rgb="FFFFFFFF"/>
        <rFont val="Noto Sans CJK SC"/>
        <family val="2"/>
      </rPr>
      <t xml:space="preserve">변동폭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최고−최저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</si>
  <si>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16</t>
    </r>
    <r>
      <rPr>
        <b val="true"/>
        <sz val="11"/>
        <color rgb="FFFFFFFF"/>
        <rFont val="Noto Sans CJK SC"/>
        <family val="2"/>
      </rPr>
      <t xml:space="preserve">개 장르 중 순위 </t>
    </r>
    <r>
      <rPr>
        <b val="true"/>
        <sz val="11"/>
        <color rgb="FFFFFFFF"/>
        <rFont val="Arial"/>
        <family val="0"/>
        <charset val="1"/>
      </rPr>
      <t xml:space="preserve">(1=</t>
    </r>
    <r>
      <rPr>
        <b val="true"/>
        <sz val="11"/>
        <color rgb="FFFFFFFF"/>
        <rFont val="Noto Sans CJK SC"/>
        <family val="2"/>
      </rPr>
      <t xml:space="preserve">가장 높음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</si>
  <si>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Action</t>
  </si>
  <si>
    <t xml:space="preserve">Adventure</t>
  </si>
  <si>
    <t xml:space="preserve">어드벤처</t>
  </si>
  <si>
    <t xml:space="preserve">Arcade</t>
  </si>
  <si>
    <t xml:space="preserve">Board</t>
  </si>
  <si>
    <t xml:space="preserve">보드</t>
  </si>
  <si>
    <t xml:space="preserve">Card</t>
  </si>
  <si>
    <t xml:space="preserve">카드</t>
  </si>
  <si>
    <t xml:space="preserve">Casino</t>
  </si>
  <si>
    <t xml:space="preserve">Casual</t>
  </si>
  <si>
    <t xml:space="preserve">캐주얼</t>
  </si>
  <si>
    <t xml:space="preserve">Multiplayer</t>
  </si>
  <si>
    <t xml:space="preserve">멀티플레이</t>
  </si>
  <si>
    <t xml:space="preserve">Puzzle</t>
  </si>
  <si>
    <t xml:space="preserve">Racing</t>
  </si>
  <si>
    <t xml:space="preserve">레이싱</t>
  </si>
  <si>
    <t xml:space="preserve">Role Playing</t>
  </si>
  <si>
    <r>
      <rPr>
        <sz val="11"/>
        <rFont val="Noto Sans CJK SC"/>
        <family val="2"/>
      </rPr>
      <t xml:space="preserve">롤플레잉</t>
    </r>
    <r>
      <rPr>
        <sz val="11"/>
        <rFont val="Arial"/>
        <family val="0"/>
        <charset val="1"/>
      </rPr>
      <t xml:space="preserve">(RPG)</t>
    </r>
  </si>
  <si>
    <t xml:space="preserve">Simulation</t>
  </si>
  <si>
    <t xml:space="preserve">Sports</t>
  </si>
  <si>
    <t xml:space="preserve">Strategy</t>
  </si>
  <si>
    <t xml:space="preserve">Trivia</t>
  </si>
  <si>
    <r>
      <rPr>
        <sz val="11"/>
        <rFont val="Noto Sans CJK SC"/>
        <family val="2"/>
      </rPr>
      <t xml:space="preserve">퀴즈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트리비아</t>
    </r>
    <r>
      <rPr>
        <sz val="11"/>
        <rFont val="Arial"/>
        <family val="0"/>
        <charset val="1"/>
      </rPr>
      <t xml:space="preserve">)</t>
    </r>
  </si>
  <si>
    <t xml:space="preserve">Word</t>
  </si>
  <si>
    <t xml:space="preserve">단어</t>
  </si>
  <si>
    <r>
      <rPr>
        <b val="true"/>
        <sz val="12"/>
        <color rgb="FF1F3864"/>
        <rFont val="Arial"/>
        <family val="0"/>
        <charset val="1"/>
      </rPr>
      <t xml:space="preserve">D7 </t>
    </r>
    <r>
      <rPr>
        <b val="true"/>
        <sz val="12"/>
        <color rgb="FF1F3864"/>
        <rFont val="Noto Sans CJK SC"/>
        <family val="2"/>
      </rPr>
      <t xml:space="preserve">리텐션 </t>
    </r>
    <r>
      <rPr>
        <b val="true"/>
        <sz val="12"/>
        <color rgb="FF1F3864"/>
        <rFont val="Arial"/>
        <family val="0"/>
        <charset val="1"/>
      </rPr>
      <t xml:space="preserve">(7</t>
    </r>
    <r>
      <rPr>
        <b val="true"/>
        <sz val="12"/>
        <color rgb="FF1F3864"/>
        <rFont val="Noto Sans CJK SC"/>
        <family val="2"/>
      </rPr>
      <t xml:space="preserve">일째 다시 온 비율</t>
    </r>
    <r>
      <rPr>
        <b val="true"/>
        <sz val="12"/>
        <color rgb="FF1F3864"/>
        <rFont val="Arial"/>
        <family val="0"/>
        <charset val="1"/>
      </rPr>
      <t xml:space="preserve">)  —  PDF 18</t>
    </r>
    <r>
      <rPr>
        <b val="true"/>
        <sz val="12"/>
        <color rgb="FF1F3864"/>
        <rFont val="Noto Sans CJK SC"/>
        <family val="2"/>
      </rPr>
      <t xml:space="preserve">쪽 위</t>
    </r>
  </si>
  <si>
    <r>
      <rPr>
        <b val="true"/>
        <sz val="12"/>
        <color rgb="FF1F3864"/>
        <rFont val="Arial"/>
        <family val="0"/>
        <charset val="1"/>
      </rPr>
      <t xml:space="preserve">D28 </t>
    </r>
    <r>
      <rPr>
        <b val="true"/>
        <sz val="12"/>
        <color rgb="FF1F3864"/>
        <rFont val="Noto Sans CJK SC"/>
        <family val="2"/>
      </rPr>
      <t xml:space="preserve">리텐션 </t>
    </r>
    <r>
      <rPr>
        <b val="true"/>
        <sz val="12"/>
        <color rgb="FF1F3864"/>
        <rFont val="Arial"/>
        <family val="0"/>
        <charset val="1"/>
      </rPr>
      <t xml:space="preserve">(28</t>
    </r>
    <r>
      <rPr>
        <b val="true"/>
        <sz val="12"/>
        <color rgb="FF1F3864"/>
        <rFont val="Noto Sans CJK SC"/>
        <family val="2"/>
      </rPr>
      <t xml:space="preserve">일째 다시 온 비율</t>
    </r>
    <r>
      <rPr>
        <b val="true"/>
        <sz val="12"/>
        <color rgb="FF1F3864"/>
        <rFont val="Arial"/>
        <family val="0"/>
        <charset val="1"/>
      </rPr>
      <t xml:space="preserve">)  —  PDF 18</t>
    </r>
    <r>
      <rPr>
        <b val="true"/>
        <sz val="12"/>
        <color rgb="FF1F3864"/>
        <rFont val="Noto Sans CJK SC"/>
        <family val="2"/>
      </rPr>
      <t xml:space="preserve">쪽 아래</t>
    </r>
  </si>
  <si>
    <r>
      <rPr>
        <b val="true"/>
        <sz val="12"/>
        <color rgb="FF1F3864"/>
        <rFont val="Noto Sans CJK SC"/>
        <family val="2"/>
      </rPr>
      <t xml:space="preserve">하루 플레이 시간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분</t>
    </r>
    <r>
      <rPr>
        <b val="true"/>
        <sz val="12"/>
        <color rgb="FF1F3864"/>
        <rFont val="Arial"/>
        <family val="0"/>
        <charset val="1"/>
      </rPr>
      <t xml:space="preserve">)  —  PDF 19</t>
    </r>
    <r>
      <rPr>
        <b val="true"/>
        <sz val="12"/>
        <color rgb="FF1F3864"/>
        <rFont val="Noto Sans CJK SC"/>
        <family val="2"/>
      </rPr>
      <t xml:space="preserve">쪽 위</t>
    </r>
  </si>
  <si>
    <r>
      <rPr>
        <b val="true"/>
        <sz val="12"/>
        <color rgb="FF1F3864"/>
        <rFont val="Noto Sans CJK SC"/>
        <family val="2"/>
      </rPr>
      <t xml:space="preserve">세션 길이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한 번 켰을 때 노는 시간</t>
    </r>
    <r>
      <rPr>
        <b val="true"/>
        <sz val="12"/>
        <color rgb="FF1F3864"/>
        <rFont val="Arial"/>
        <family val="0"/>
        <charset val="1"/>
      </rPr>
      <t xml:space="preserve">, </t>
    </r>
    <r>
      <rPr>
        <b val="true"/>
        <sz val="12"/>
        <color rgb="FF1F3864"/>
        <rFont val="Noto Sans CJK SC"/>
        <family val="2"/>
      </rPr>
      <t xml:space="preserve">분</t>
    </r>
    <r>
      <rPr>
        <b val="true"/>
        <sz val="12"/>
        <color rgb="FF1F3864"/>
        <rFont val="Arial"/>
        <family val="0"/>
        <charset val="1"/>
      </rPr>
      <t xml:space="preserve">)  —  PDF 19</t>
    </r>
    <r>
      <rPr>
        <b val="true"/>
        <sz val="12"/>
        <color rgb="FF1F3864"/>
        <rFont val="Noto Sans CJK SC"/>
        <family val="2"/>
      </rPr>
      <t xml:space="preserve">쪽 아래</t>
    </r>
  </si>
  <si>
    <r>
      <rPr>
        <b val="true"/>
        <sz val="12"/>
        <color rgb="FF1F3864"/>
        <rFont val="Noto Sans CJK SC"/>
        <family val="2"/>
      </rPr>
      <t xml:space="preserve">하루 세션 수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하루에 켜는 횟수</t>
    </r>
    <r>
      <rPr>
        <b val="true"/>
        <sz val="12"/>
        <color rgb="FF1F3864"/>
        <rFont val="Arial"/>
        <family val="0"/>
        <charset val="1"/>
      </rPr>
      <t xml:space="preserve">, </t>
    </r>
    <r>
      <rPr>
        <b val="true"/>
        <sz val="12"/>
        <color rgb="FF1F3864"/>
        <rFont val="Noto Sans CJK SC"/>
        <family val="2"/>
      </rPr>
      <t xml:space="preserve">회</t>
    </r>
    <r>
      <rPr>
        <b val="true"/>
        <sz val="12"/>
        <color rgb="FF1F3864"/>
        <rFont val="Arial"/>
        <family val="0"/>
        <charset val="1"/>
      </rPr>
      <t xml:space="preserve">)  —  PDF 20</t>
    </r>
    <r>
      <rPr>
        <b val="true"/>
        <sz val="12"/>
        <color rgb="FF1F3864"/>
        <rFont val="Noto Sans CJK SC"/>
        <family val="2"/>
      </rPr>
      <t xml:space="preserve">쪽</t>
    </r>
  </si>
  <si>
    <r>
      <rPr>
        <i val="true"/>
        <sz val="11"/>
        <color rgb="FF595959"/>
        <rFont val="Arial"/>
        <family val="0"/>
        <charset val="1"/>
      </rPr>
      <t xml:space="preserve">* </t>
    </r>
    <r>
      <rPr>
        <i val="true"/>
        <sz val="11"/>
        <color rgb="FF595959"/>
        <rFont val="Noto Sans CJK SC"/>
        <family val="2"/>
      </rPr>
      <t xml:space="preserve">연평균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최저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최고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변동폭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순위는 보고서에 있는 값이 아니라</t>
    </r>
    <r>
      <rPr>
        <i val="true"/>
        <sz val="11"/>
        <color rgb="FF595959"/>
        <rFont val="Arial"/>
        <family val="0"/>
        <charset val="1"/>
      </rPr>
      <t xml:space="preserve">, 12</t>
    </r>
    <r>
      <rPr>
        <i val="true"/>
        <sz val="11"/>
        <color rgb="FF595959"/>
        <rFont val="Noto Sans CJK SC"/>
        <family val="2"/>
      </rPr>
      <t xml:space="preserve">개월 판독값으로 이 시트가 계산한 값입니다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단순 평균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</si>
  <si>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각 칸은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그 달에 처음 설치한 사람들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월별 코호트</t>
    </r>
    <r>
      <rPr>
        <i val="true"/>
        <sz val="11"/>
        <color rgb="FF595959"/>
        <rFont val="Arial"/>
        <family val="0"/>
        <charset val="1"/>
      </rPr>
      <t xml:space="preserve">)' </t>
    </r>
    <r>
      <rPr>
        <i val="true"/>
        <sz val="11"/>
        <color rgb="FF595959"/>
        <rFont val="Noto Sans CJK SC"/>
        <family val="2"/>
      </rPr>
      <t xml:space="preserve">중 장르의 중앙값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가운데 순서</t>
    </r>
    <r>
      <rPr>
        <i val="true"/>
        <sz val="11"/>
        <color rgb="FF595959"/>
        <rFont val="Arial"/>
        <family val="0"/>
        <charset val="1"/>
      </rPr>
      <t xml:space="preserve">) </t>
    </r>
    <r>
      <rPr>
        <i val="true"/>
        <sz val="11"/>
        <color rgb="FF595959"/>
        <rFont val="Noto Sans CJK SC"/>
        <family val="2"/>
      </rPr>
      <t xml:space="preserve">게임의 수치입니다</t>
    </r>
    <r>
      <rPr>
        <i val="true"/>
        <sz val="11"/>
        <color rgb="FF595959"/>
        <rFont val="Arial"/>
        <family val="0"/>
        <charset val="1"/>
      </rPr>
      <t xml:space="preserve">. </t>
    </r>
    <r>
      <rPr>
        <i val="true"/>
        <sz val="11"/>
        <color rgb="FF595959"/>
        <rFont val="Noto Sans CJK SC"/>
        <family val="2"/>
      </rPr>
      <t xml:space="preserve">보고서 방법론</t>
    </r>
    <r>
      <rPr>
        <i val="true"/>
        <sz val="11"/>
        <color rgb="FF595959"/>
        <rFont val="Arial"/>
        <family val="0"/>
        <charset val="1"/>
      </rPr>
      <t xml:space="preserve">(5</t>
    </r>
    <r>
      <rPr>
        <i val="true"/>
        <sz val="11"/>
        <color rgb="FF595959"/>
        <rFont val="Noto Sans CJK SC"/>
        <family val="2"/>
      </rPr>
      <t xml:space="preserve">쪽</t>
    </r>
    <r>
      <rPr>
        <i val="true"/>
        <sz val="11"/>
        <color rgb="FF595959"/>
        <rFont val="Arial"/>
        <family val="0"/>
        <charset val="1"/>
      </rPr>
      <t xml:space="preserve">): </t>
    </r>
    <r>
      <rPr>
        <i val="true"/>
        <sz val="11"/>
        <color rgb="FF595959"/>
        <rFont val="Noto Sans CJK SC"/>
        <family val="2"/>
      </rPr>
      <t xml:space="preserve">장르 장은 중앙값 </t>
    </r>
    <r>
      <rPr>
        <i val="true"/>
        <sz val="11"/>
        <color rgb="FF595959"/>
        <rFont val="Arial"/>
        <family val="0"/>
        <charset val="1"/>
      </rPr>
      <t xml:space="preserve">50% </t>
    </r>
    <r>
      <rPr>
        <i val="true"/>
        <sz val="11"/>
        <color rgb="FF595959"/>
        <rFont val="Noto Sans CJK SC"/>
        <family val="2"/>
      </rPr>
      <t xml:space="preserve">구간만 사용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</si>
  <si>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차트 숫자는 반올림되어 표시됩니다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리텐션 소수 둘째 자리 </t>
    </r>
    <r>
      <rPr>
        <i val="true"/>
        <sz val="11"/>
        <color rgb="FF595959"/>
        <rFont val="Arial"/>
        <family val="0"/>
        <charset val="1"/>
      </rPr>
      <t xml:space="preserve">%, </t>
    </r>
    <r>
      <rPr>
        <i val="true"/>
        <sz val="11"/>
        <color rgb="FF595959"/>
        <rFont val="Noto Sans CJK SC"/>
        <family val="2"/>
      </rPr>
      <t xml:space="preserve">시간 소수 첫째 자리 분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판독값의 정밀도도 그 이상은 아닙니다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</si>
  <si>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D28</t>
    </r>
    <r>
      <rPr>
        <i val="true"/>
        <sz val="11"/>
        <color rgb="FF595959"/>
        <rFont val="Noto Sans CJK SC"/>
        <family val="2"/>
      </rPr>
      <t xml:space="preserve">은 </t>
    </r>
    <r>
      <rPr>
        <i val="true"/>
        <sz val="11"/>
        <color rgb="FF595959"/>
        <rFont val="Arial"/>
        <family val="0"/>
        <charset val="1"/>
      </rPr>
      <t xml:space="preserve">28</t>
    </r>
    <r>
      <rPr>
        <i val="true"/>
        <sz val="11"/>
        <color rgb="FF595959"/>
        <rFont val="Noto Sans CJK SC"/>
        <family val="2"/>
      </rPr>
      <t xml:space="preserve">일째 기준입니다</t>
    </r>
    <r>
      <rPr>
        <i val="true"/>
        <sz val="11"/>
        <color rgb="FF595959"/>
        <rFont val="Arial"/>
        <family val="0"/>
        <charset val="1"/>
      </rPr>
      <t xml:space="preserve">. 2026 </t>
    </r>
    <r>
      <rPr>
        <i val="true"/>
        <sz val="11"/>
        <color rgb="FF595959"/>
        <rFont val="Noto Sans CJK SC"/>
        <family val="2"/>
      </rPr>
      <t xml:space="preserve">보고서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다른 시트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D30</t>
    </r>
    <r>
      <rPr>
        <i val="true"/>
        <sz val="11"/>
        <color rgb="FF595959"/>
        <rFont val="Noto Sans CJK SC"/>
        <family val="2"/>
      </rPr>
      <t xml:space="preserve">과 하루 차이가 있어 직접 비교에 주의하세요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</si>
  <si>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Noto Sans CJK SC"/>
        <family val="2"/>
      </rPr>
      <t xml:space="preserve">판독을 두 번 하면서 처음 읽은 값 </t>
    </r>
    <r>
      <rPr>
        <i val="true"/>
        <sz val="11"/>
        <color rgb="FF595959"/>
        <rFont val="Arial"/>
        <family val="0"/>
        <charset val="1"/>
      </rPr>
      <t xml:space="preserve">5</t>
    </r>
    <r>
      <rPr>
        <i val="true"/>
        <sz val="11"/>
        <color rgb="FF595959"/>
        <rFont val="Noto Sans CJK SC"/>
        <family val="2"/>
      </rPr>
      <t xml:space="preserve">칸을 고쳤습니다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액션 </t>
    </r>
    <r>
      <rPr>
        <i val="true"/>
        <sz val="11"/>
        <color rgb="FF595959"/>
        <rFont val="Arial"/>
        <family val="0"/>
        <charset val="1"/>
      </rPr>
      <t xml:space="preserve">D1 11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카드 </t>
    </r>
    <r>
      <rPr>
        <i val="true"/>
        <sz val="11"/>
        <color rgb="FF595959"/>
        <rFont val="Arial"/>
        <family val="0"/>
        <charset val="1"/>
      </rPr>
      <t xml:space="preserve">D1 11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퀴즈 </t>
    </r>
    <r>
      <rPr>
        <i val="true"/>
        <sz val="11"/>
        <color rgb="FF595959"/>
        <rFont val="Arial"/>
        <family val="0"/>
        <charset val="1"/>
      </rPr>
      <t xml:space="preserve">D7 7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카드 </t>
    </r>
    <r>
      <rPr>
        <i val="true"/>
        <sz val="11"/>
        <color rgb="FF595959"/>
        <rFont val="Arial"/>
        <family val="0"/>
        <charset val="1"/>
      </rPr>
      <t xml:space="preserve">D28 3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카지노 플레이 시간 </t>
    </r>
    <r>
      <rPr>
        <i val="true"/>
        <sz val="11"/>
        <color rgb="FF595959"/>
        <rFont val="Arial"/>
        <family val="0"/>
        <charset val="1"/>
      </rPr>
      <t xml:space="preserve">7</t>
    </r>
    <r>
      <rPr>
        <i val="true"/>
        <sz val="11"/>
        <color rgb="FF595959"/>
        <rFont val="Noto Sans CJK SC"/>
        <family val="2"/>
      </rPr>
      <t xml:space="preserve">월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그 밖의 칸은 두 번 모두 같은 값으로 읽혔습니다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</si>
  <si>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3"/>
        <rFont val="Noto Sans CJK SC"/>
        <family val="2"/>
      </rPr>
      <t xml:space="preserve">장르별 한눈에 보기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차트 판독값의 </t>
    </r>
    <r>
      <rPr>
        <b val="true"/>
        <sz val="13"/>
        <rFont val="Arial"/>
        <family val="0"/>
        <charset val="1"/>
      </rPr>
      <t xml:space="preserve">12</t>
    </r>
    <r>
      <rPr>
        <b val="true"/>
        <sz val="13"/>
        <rFont val="Noto Sans CJK SC"/>
        <family val="2"/>
      </rPr>
      <t xml:space="preserve">개월 평균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</si>
  <si>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11"/>
        <color rgb="FFC00000"/>
        <rFont val="Noto Sans CJK SC"/>
        <family val="2"/>
      </rPr>
      <t xml:space="preserve">⚠ 모든 숫자는 </t>
    </r>
    <r>
      <rPr>
        <b val="true"/>
        <sz val="11"/>
        <color rgb="FFC00000"/>
        <rFont val="Arial"/>
        <family val="0"/>
        <charset val="1"/>
      </rPr>
      <t xml:space="preserve">'4-3 </t>
    </r>
    <r>
      <rPr>
        <b val="true"/>
        <sz val="11"/>
        <color rgb="FFC00000"/>
        <rFont val="Noto Sans CJK SC"/>
        <family val="2"/>
      </rPr>
      <t xml:space="preserve">장르 차트 판독값</t>
    </r>
    <r>
      <rPr>
        <b val="true"/>
        <sz val="11"/>
        <color rgb="FFC00000"/>
        <rFont val="Arial"/>
        <family val="0"/>
        <charset val="1"/>
      </rPr>
      <t xml:space="preserve">' </t>
    </r>
    <r>
      <rPr>
        <b val="true"/>
        <sz val="11"/>
        <color rgb="FFC00000"/>
        <rFont val="Noto Sans CJK SC"/>
        <family val="2"/>
      </rPr>
      <t xml:space="preserve">시트에서 자동으로 가져온 판독값 기반 계산입니다</t>
    </r>
    <r>
      <rPr>
        <b val="true"/>
        <sz val="11"/>
        <color rgb="FFC00000"/>
        <rFont val="Arial"/>
        <family val="0"/>
        <charset val="1"/>
      </rPr>
      <t xml:space="preserve">. </t>
    </r>
    <r>
      <rPr>
        <b val="true"/>
        <sz val="11"/>
        <color rgb="FFC00000"/>
        <rFont val="Noto Sans CJK SC"/>
        <family val="2"/>
      </rPr>
      <t xml:space="preserve">순위</t>
    </r>
    <r>
      <rPr>
        <b val="true"/>
        <sz val="11"/>
        <color rgb="FFC00000"/>
        <rFont val="Arial"/>
        <family val="0"/>
        <charset val="1"/>
      </rPr>
      <t xml:space="preserve">: 1</t>
    </r>
    <r>
      <rPr>
        <b val="true"/>
        <sz val="11"/>
        <color rgb="FFC00000"/>
        <rFont val="Noto Sans CJK SC"/>
        <family val="2"/>
      </rPr>
      <t xml:space="preserve">위</t>
    </r>
    <r>
      <rPr>
        <b val="true"/>
        <sz val="11"/>
        <color rgb="FFC00000"/>
        <rFont val="Arial"/>
        <family val="0"/>
        <charset val="1"/>
      </rPr>
      <t xml:space="preserve">=16</t>
    </r>
    <r>
      <rPr>
        <b val="true"/>
        <sz val="11"/>
        <color rgb="FFC00000"/>
        <rFont val="Noto Sans CJK SC"/>
        <family val="2"/>
      </rPr>
      <t xml:space="preserve">개 장르 중 가장 높음</t>
    </r>
    <r>
      <rPr>
        <b val="true"/>
        <sz val="11"/>
        <color rgb="FFC00000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</si>
  <si>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D1 </t>
    </r>
    <r>
      <rPr>
        <b val="true"/>
        <sz val="11"/>
        <color rgb="FFFFFFFF"/>
        <rFont val="Noto Sans CJK SC"/>
        <family val="2"/>
      </rPr>
      <t xml:space="preserve">리텐션</t>
    </r>
  </si>
  <si>
    <r>
      <rPr>
        <b val="true"/>
        <sz val="11"/>
        <color rgb="FFFFFFFF"/>
        <rFont val="Arial"/>
        <family val="0"/>
        <charset val="1"/>
      </rPr>
      <t xml:space="preserve">D7 </t>
    </r>
    <r>
      <rPr>
        <b val="true"/>
        <sz val="11"/>
        <color rgb="FFFFFFFF"/>
        <rFont val="Noto Sans CJK SC"/>
        <family val="2"/>
      </rPr>
      <t xml:space="preserve">리텐션</t>
    </r>
  </si>
  <si>
    <r>
      <rPr>
        <b val="true"/>
        <sz val="11"/>
        <color rgb="FFFFFFFF"/>
        <rFont val="Arial"/>
        <family val="0"/>
        <charset val="1"/>
      </rPr>
      <t xml:space="preserve">D28 </t>
    </r>
    <r>
      <rPr>
        <b val="true"/>
        <sz val="11"/>
        <color rgb="FFFFFFFF"/>
        <rFont val="Noto Sans CJK SC"/>
        <family val="2"/>
      </rPr>
      <t xml:space="preserve">리텐션</t>
    </r>
  </si>
  <si>
    <r>
      <rPr>
        <b val="true"/>
        <sz val="11"/>
        <color rgb="FFFFFFFF"/>
        <rFont val="Noto Sans CJK SC"/>
        <family val="2"/>
      </rPr>
      <t xml:space="preserve">하루 플레이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</si>
  <si>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세션 길이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</si>
  <si>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쉬운 해설 ① </t>
    </r>
    <r>
      <rPr>
        <b val="true"/>
        <sz val="11"/>
        <color rgb="FFFFFFFF"/>
        <rFont val="Arial"/>
        <family val="0"/>
        <charset val="1"/>
      </rPr>
      <t xml:space="preserve">100</t>
    </r>
    <r>
      <rPr>
        <b val="true"/>
        <sz val="11"/>
        <color rgb="FFFFFFFF"/>
        <rFont val="Noto Sans CJK SC"/>
        <family val="2"/>
      </rPr>
      <t xml:space="preserve">명이 설치하면</t>
    </r>
  </si>
  <si>
    <t xml:space="preserve">쉬운 해설 ② 하루 노는 모습</t>
  </si>
  <si>
    <r>
      <rPr>
        <b val="true"/>
        <sz val="12"/>
        <rFont val="Noto Sans CJK SC"/>
        <family val="2"/>
      </rPr>
      <t xml:space="preserve">보고서 글</t>
    </r>
    <r>
      <rPr>
        <b val="true"/>
        <sz val="12"/>
        <rFont val="Arial"/>
        <family val="0"/>
        <charset val="1"/>
      </rPr>
      <t xml:space="preserve">(17</t>
    </r>
    <r>
      <rPr>
        <b val="true"/>
        <sz val="12"/>
        <rFont val="Noto Sans CJK SC"/>
        <family val="2"/>
      </rPr>
      <t xml:space="preserve">쪽</t>
    </r>
    <r>
      <rPr>
        <b val="true"/>
        <sz val="12"/>
        <rFont val="Arial"/>
        <family val="0"/>
        <charset val="1"/>
      </rPr>
      <t xml:space="preserve">·4</t>
    </r>
    <r>
      <rPr>
        <b val="true"/>
        <sz val="12"/>
        <rFont val="Noto Sans CJK SC"/>
        <family val="2"/>
      </rPr>
      <t xml:space="preserve">쪽</t>
    </r>
    <r>
      <rPr>
        <b val="true"/>
        <sz val="12"/>
        <rFont val="Arial"/>
        <family val="0"/>
        <charset val="1"/>
      </rPr>
      <t xml:space="preserve">·12</t>
    </r>
    <r>
      <rPr>
        <b val="true"/>
        <sz val="12"/>
        <rFont val="Noto Sans CJK SC"/>
        <family val="2"/>
      </rPr>
      <t xml:space="preserve">쪽</t>
    </r>
    <r>
      <rPr>
        <b val="true"/>
        <sz val="12"/>
        <rFont val="Arial"/>
        <family val="0"/>
        <charset val="1"/>
      </rPr>
      <t xml:space="preserve">)</t>
    </r>
    <r>
      <rPr>
        <b val="true"/>
        <sz val="12"/>
        <rFont val="Noto Sans CJK SC"/>
        <family val="2"/>
      </rPr>
      <t xml:space="preserve">과 판독값이 맞는지 확인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자동 계산</t>
    </r>
    <r>
      <rPr>
        <b val="true"/>
        <sz val="12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</si>
  <si>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보고서가 글로 쓴 내용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요약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</si>
  <si>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판독값으로 확인한 결과</t>
  </si>
  <si>
    <t xml:space="preserve">판정</t>
  </si>
  <si>
    <r>
      <rPr>
        <sz val="11"/>
        <rFont val="Noto Sans CJK SC"/>
        <family val="2"/>
      </rPr>
      <t xml:space="preserve">아케이드는 </t>
    </r>
    <r>
      <rPr>
        <sz val="11"/>
        <rFont val="Arial"/>
        <family val="0"/>
        <charset val="1"/>
      </rPr>
      <t xml:space="preserve">D1(</t>
    </r>
    <r>
      <rPr>
        <sz val="11"/>
        <rFont val="Noto Sans CJK SC"/>
        <family val="2"/>
      </rPr>
      <t xml:space="preserve">다음날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리텐션이 뛰어나다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</si>
  <si>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아케이드는 오래 붙잡는 힘이 약하다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</si>
  <si>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퍼즐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카지노는 </t>
    </r>
    <r>
      <rPr>
        <sz val="11"/>
        <rFont val="Arial"/>
        <family val="0"/>
        <charset val="1"/>
      </rPr>
      <t xml:space="preserve">D1·D7·D28 </t>
    </r>
    <r>
      <rPr>
        <sz val="11"/>
        <rFont val="Noto Sans CJK SC"/>
        <family val="2"/>
      </rPr>
      <t xml:space="preserve">모두 강하다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 — D7·D28 </t>
    </r>
    <r>
      <rPr>
        <sz val="11"/>
        <rFont val="Noto Sans CJK SC"/>
        <family val="2"/>
      </rPr>
      <t xml:space="preserve">확인</t>
    </r>
  </si>
  <si>
    <r>
      <rPr>
        <sz val="11"/>
        <rFont val="Noto Sans CJK SC"/>
        <family val="2"/>
      </rPr>
      <t xml:space="preserve">같은 문장 — </t>
    </r>
    <r>
      <rPr>
        <sz val="11"/>
        <rFont val="Arial"/>
        <family val="0"/>
        <charset val="1"/>
      </rPr>
      <t xml:space="preserve">D1 </t>
    </r>
    <r>
      <rPr>
        <sz val="11"/>
        <rFont val="Noto Sans CJK SC"/>
        <family val="2"/>
      </rPr>
      <t xml:space="preserve">확인</t>
    </r>
  </si>
  <si>
    <r>
      <rPr>
        <sz val="11"/>
        <rFont val="Noto Sans CJK SC"/>
        <family val="2"/>
      </rPr>
      <t xml:space="preserve">멀티플레이는 리텐션이 가장 낮다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</si>
  <si>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멀티플레이는 세션 길이가 가장 길다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</si>
  <si>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퍼즐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카지노는 플레이 시간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세션 수도 높다 </t>
    </r>
    <r>
      <rPr>
        <sz val="11"/>
        <rFont val="Arial"/>
        <family val="0"/>
        <charset val="1"/>
      </rPr>
      <t xml:space="preserve">(17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</si>
  <si>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미드코어 게임은 하루 세션 수 중앙값이 </t>
    </r>
    <r>
      <rPr>
        <sz val="11"/>
        <rFont val="Arial"/>
        <family val="0"/>
        <charset val="1"/>
      </rPr>
      <t xml:space="preserve">6~7</t>
    </r>
    <r>
      <rPr>
        <sz val="11"/>
        <rFont val="Noto Sans CJK SC"/>
        <family val="2"/>
      </rPr>
      <t xml:space="preserve">회 </t>
    </r>
    <r>
      <rPr>
        <sz val="11"/>
        <rFont val="Arial"/>
        <family val="0"/>
        <charset val="1"/>
      </rPr>
      <t xml:space="preserve">(12</t>
    </r>
    <r>
      <rPr>
        <sz val="11"/>
        <rFont val="Noto Sans CJK SC"/>
        <family val="2"/>
      </rPr>
      <t xml:space="preserve">쪽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</si>
  <si>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보고서 본문</t>
    </r>
    <r>
      <rPr>
        <i val="true"/>
        <sz val="11"/>
        <color rgb="FF595959"/>
        <rFont val="Arial"/>
        <family val="0"/>
        <charset val="1"/>
      </rPr>
      <t xml:space="preserve">(4</t>
    </r>
    <r>
      <rPr>
        <i val="true"/>
        <sz val="11"/>
        <color rgb="FF595959"/>
        <rFont val="Noto Sans CJK SC"/>
        <family val="2"/>
      </rPr>
      <t xml:space="preserve">쪽</t>
    </r>
    <r>
      <rPr>
        <i val="true"/>
        <sz val="11"/>
        <color rgb="FF595959"/>
        <rFont val="Arial"/>
        <family val="0"/>
        <charset val="1"/>
      </rPr>
      <t xml:space="preserve">·11~12</t>
    </r>
    <r>
      <rPr>
        <i val="true"/>
        <sz val="11"/>
        <color rgb="FF595959"/>
        <rFont val="Noto Sans CJK SC"/>
        <family val="2"/>
      </rPr>
      <t xml:space="preserve">쪽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전체 게임</t>
    </r>
    <r>
      <rPr>
        <i val="true"/>
        <sz val="11"/>
        <color rgb="FF595959"/>
        <rFont val="Arial"/>
        <family val="0"/>
        <charset val="1"/>
      </rPr>
      <t xml:space="preserve">' </t>
    </r>
    <r>
      <rPr>
        <i val="true"/>
        <sz val="11"/>
        <color rgb="FF595959"/>
        <rFont val="Noto Sans CJK SC"/>
        <family val="2"/>
      </rPr>
      <t xml:space="preserve">기준값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플레이 시간 중앙값 약 </t>
    </r>
    <r>
      <rPr>
        <i val="true"/>
        <sz val="11"/>
        <color rgb="FF595959"/>
        <rFont val="Arial"/>
        <family val="0"/>
        <charset val="1"/>
      </rPr>
      <t xml:space="preserve">22</t>
    </r>
    <r>
      <rPr>
        <i val="true"/>
        <sz val="11"/>
        <color rgb="FF595959"/>
        <rFont val="Noto Sans CJK SC"/>
        <family val="2"/>
      </rPr>
      <t xml:space="preserve">분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세션 길이 중앙값 </t>
    </r>
    <r>
      <rPr>
        <i val="true"/>
        <sz val="11"/>
        <color rgb="FF595959"/>
        <rFont val="Arial"/>
        <family val="0"/>
        <charset val="1"/>
      </rPr>
      <t xml:space="preserve">5~6</t>
    </r>
    <r>
      <rPr>
        <i val="true"/>
        <sz val="11"/>
        <color rgb="FF595959"/>
        <rFont val="Noto Sans CJK SC"/>
        <family val="2"/>
      </rPr>
      <t xml:space="preserve">분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하루 세션 수 중앙값 </t>
    </r>
    <r>
      <rPr>
        <i val="true"/>
        <sz val="11"/>
        <color rgb="FF595959"/>
        <rFont val="Arial"/>
        <family val="0"/>
        <charset val="1"/>
      </rPr>
      <t xml:space="preserve">4</t>
    </r>
    <r>
      <rPr>
        <i val="true"/>
        <sz val="11"/>
        <color rgb="FF595959"/>
        <rFont val="Noto Sans CJK SC"/>
        <family val="2"/>
      </rPr>
      <t xml:space="preserve">회</t>
    </r>
    <r>
      <rPr>
        <i val="true"/>
        <sz val="11"/>
        <color rgb="FF595959"/>
        <rFont val="Arial"/>
        <family val="0"/>
        <charset val="1"/>
      </rPr>
      <t xml:space="preserve">, D7 </t>
    </r>
    <r>
      <rPr>
        <i val="true"/>
        <sz val="11"/>
        <color rgb="FF595959"/>
        <rFont val="Noto Sans CJK SC"/>
        <family val="2"/>
      </rPr>
      <t xml:space="preserve">중앙값 </t>
    </r>
    <r>
      <rPr>
        <i val="true"/>
        <sz val="11"/>
        <color rgb="FF595959"/>
        <rFont val="Arial"/>
        <family val="0"/>
        <charset val="1"/>
      </rPr>
      <t xml:space="preserve">3.42~3.94%. </t>
    </r>
    <r>
      <rPr>
        <i val="true"/>
        <sz val="11"/>
        <color rgb="FF595959"/>
        <rFont val="Noto Sans CJK SC"/>
        <family val="2"/>
      </rPr>
      <t xml:space="preserve">장르 표는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월별 코호트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라 계산 방식이 달라 위 장르 값과 바로 비교하지 마세요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</si>
  <si>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미드코어 </t>
    </r>
    <r>
      <rPr>
        <i val="true"/>
        <sz val="11"/>
        <color rgb="FF595959"/>
        <rFont val="Arial"/>
        <family val="0"/>
        <charset val="1"/>
      </rPr>
      <t xml:space="preserve">6~7</t>
    </r>
    <r>
      <rPr>
        <i val="true"/>
        <sz val="11"/>
        <color rgb="FF595959"/>
        <rFont val="Noto Sans CJK SC"/>
        <family val="2"/>
      </rPr>
      <t xml:space="preserve">회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는 보고서 </t>
    </r>
    <r>
      <rPr>
        <i val="true"/>
        <sz val="11"/>
        <color rgb="FF595959"/>
        <rFont val="Arial"/>
        <family val="0"/>
        <charset val="1"/>
      </rPr>
      <t xml:space="preserve">12</t>
    </r>
    <r>
      <rPr>
        <i val="true"/>
        <sz val="11"/>
        <color rgb="FF595959"/>
        <rFont val="Noto Sans CJK SC"/>
        <family val="2"/>
      </rPr>
      <t xml:space="preserve">쪽 문장입니다</t>
    </r>
    <r>
      <rPr>
        <i val="true"/>
        <sz val="11"/>
        <color rgb="FF595959"/>
        <rFont val="Arial"/>
        <family val="0"/>
        <charset val="1"/>
      </rPr>
      <t xml:space="preserve">. 21</t>
    </r>
    <r>
      <rPr>
        <i val="true"/>
        <sz val="11"/>
        <color rgb="FF595959"/>
        <rFont val="Noto Sans CJK SC"/>
        <family val="2"/>
      </rPr>
      <t xml:space="preserve">쪽 화면에는 캐주얼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클래식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Noto Sans CJK SC"/>
        <family val="2"/>
      </rPr>
      <t xml:space="preserve">미드코어라는 별도 장르 묶음이 보이므로</t>
    </r>
    <r>
      <rPr>
        <i val="true"/>
        <sz val="11"/>
        <color rgb="FF595959"/>
        <rFont val="Arial"/>
        <family val="0"/>
        <charset val="1"/>
      </rPr>
      <t xml:space="preserve">, 16</t>
    </r>
    <r>
      <rPr>
        <i val="true"/>
        <sz val="11"/>
        <color rgb="FF595959"/>
        <rFont val="Noto Sans CJK SC"/>
        <family val="2"/>
      </rPr>
      <t xml:space="preserve">개 장르 표와 분류 기준이 다를 수 있습니다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추정</t>
    </r>
    <r>
      <rPr>
        <i val="true"/>
        <sz val="11"/>
        <color rgb="FF595959"/>
        <rFont val="Arial"/>
        <family val="0"/>
        <charset val="1"/>
      </rPr>
      <t xml:space="preserve">).</t>
    </r>
  </si>
  <si>
    <r>
      <rPr>
        <i val="true"/>
        <sz val="11"/>
        <color rgb="FF595959"/>
        <rFont val="Noto Sans CJK SC"/>
        <family val="2"/>
      </rPr>
      <t xml:space="preserve">쉬운 해설의 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명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은 판독값 </t>
    </r>
    <r>
      <rPr>
        <i val="true"/>
        <sz val="11"/>
        <color rgb="FF595959"/>
        <rFont val="Arial"/>
        <family val="0"/>
        <charset val="1"/>
      </rPr>
      <t xml:space="preserve">%</t>
    </r>
    <r>
      <rPr>
        <i val="true"/>
        <sz val="11"/>
        <color rgb="FF595959"/>
        <rFont val="Noto Sans CJK SC"/>
        <family val="2"/>
      </rPr>
      <t xml:space="preserve">를 </t>
    </r>
    <r>
      <rPr>
        <i val="true"/>
        <sz val="11"/>
        <color rgb="FF595959"/>
        <rFont val="Arial"/>
        <family val="0"/>
        <charset val="1"/>
      </rPr>
      <t xml:space="preserve">100</t>
    </r>
    <r>
      <rPr>
        <i val="true"/>
        <sz val="11"/>
        <color rgb="FF595959"/>
        <rFont val="Noto Sans CJK SC"/>
        <family val="2"/>
      </rPr>
      <t xml:space="preserve">명 기준으로 바꾼 것입니다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예</t>
    </r>
    <r>
      <rPr>
        <i val="true"/>
        <sz val="11"/>
        <color rgb="FF595959"/>
        <rFont val="Arial"/>
        <family val="0"/>
        <charset val="1"/>
      </rPr>
      <t xml:space="preserve">: 6.72% → 100</t>
    </r>
    <r>
      <rPr>
        <i val="true"/>
        <sz val="11"/>
        <color rgb="FF595959"/>
        <rFont val="Noto Sans CJK SC"/>
        <family val="2"/>
      </rPr>
      <t xml:space="preserve">명 중 </t>
    </r>
    <r>
      <rPr>
        <i val="true"/>
        <sz val="11"/>
        <color rgb="FF595959"/>
        <rFont val="Arial"/>
        <family val="0"/>
        <charset val="1"/>
      </rPr>
      <t xml:space="preserve">6.7</t>
    </r>
    <r>
      <rPr>
        <i val="true"/>
        <sz val="11"/>
        <color rgb="FF595959"/>
        <rFont val="Noto Sans CJK SC"/>
        <family val="2"/>
      </rPr>
      <t xml:space="preserve">명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Noto Sans CJK SC"/>
        <family val="2"/>
      </rPr>
      <t xml:space="preserve">소수점 사람은 </t>
    </r>
    <r>
      <rPr>
        <i val="true"/>
        <sz val="11"/>
        <color rgb="FF595959"/>
        <rFont val="Arial"/>
        <family val="0"/>
        <charset val="1"/>
      </rPr>
      <t xml:space="preserve">'1,000</t>
    </r>
    <r>
      <rPr>
        <i val="true"/>
        <sz val="11"/>
        <color rgb="FF595959"/>
        <rFont val="Noto Sans CJK SC"/>
        <family val="2"/>
      </rPr>
      <t xml:space="preserve">명이면 </t>
    </r>
    <r>
      <rPr>
        <i val="true"/>
        <sz val="11"/>
        <color rgb="FF595959"/>
        <rFont val="Arial"/>
        <family val="0"/>
        <charset val="1"/>
      </rPr>
      <t xml:space="preserve">67</t>
    </r>
    <r>
      <rPr>
        <i val="true"/>
        <sz val="11"/>
        <color rgb="FF595959"/>
        <rFont val="Noto Sans CJK SC"/>
        <family val="2"/>
      </rPr>
      <t xml:space="preserve">명</t>
    </r>
    <r>
      <rPr>
        <i val="true"/>
        <sz val="11"/>
        <color rgb="FF595959"/>
        <rFont val="Arial"/>
        <family val="0"/>
        <charset val="1"/>
      </rPr>
      <t xml:space="preserve">'</t>
    </r>
    <r>
      <rPr>
        <i val="true"/>
        <sz val="11"/>
        <color rgb="FF595959"/>
        <rFont val="Noto Sans CJK SC"/>
        <family val="2"/>
      </rPr>
      <t xml:space="preserve">처럼 이해하면 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</si>
  <si>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t xml:space="preserve">자료 유형</t>
  </si>
  <si>
    <t xml:space="preserve">예시</t>
  </si>
  <si>
    <t xml:space="preserve">제외 이유</t>
  </si>
  <si>
    <r>
      <rPr>
        <sz val="11"/>
        <rFont val="Noto Sans CJK SC"/>
        <family val="2"/>
      </rPr>
      <t xml:space="preserve">블로그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용어집의 범위값</t>
    </r>
  </si>
  <si>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모바일 </t>
    </r>
    <r>
      <rPr>
        <sz val="11"/>
        <rFont val="Arial"/>
        <family val="0"/>
        <charset val="1"/>
      </rPr>
      <t xml:space="preserve">D1 35~45%</t>
    </r>
    <r>
      <rPr>
        <sz val="11"/>
        <rFont val="Noto Sans CJK SC"/>
        <family val="2"/>
      </rPr>
      <t xml:space="preserve">가 좋은 성과</t>
    </r>
    <r>
      <rPr>
        <sz val="11"/>
        <rFont val="Arial"/>
        <family val="0"/>
        <charset val="1"/>
      </rPr>
      <t xml:space="preserve">', 'ARPDAU </t>
    </r>
    <r>
      <rPr>
        <sz val="11"/>
        <rFont val="Noto Sans CJK SC"/>
        <family val="2"/>
      </rPr>
      <t xml:space="preserve">캐주얼 </t>
    </r>
    <r>
      <rPr>
        <sz val="11"/>
        <rFont val="Arial"/>
        <family val="0"/>
        <charset val="1"/>
      </rPr>
      <t xml:space="preserve">$0.05~0.15' </t>
    </r>
    <r>
      <rPr>
        <sz val="11"/>
        <rFont val="Noto Sans CJK SC"/>
        <family val="2"/>
      </rPr>
      <t xml:space="preserve">등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</si>
  <si>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차 데이터 출처가 제시되지 않음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일부 분석 글은 이런 표가 오래된 </t>
    </r>
    <r>
      <rPr>
        <sz val="11"/>
        <rFont val="Arial"/>
        <family val="0"/>
        <charset val="1"/>
      </rPr>
      <t xml:space="preserve">AppsFlyer </t>
    </r>
    <r>
      <rPr>
        <sz val="11"/>
        <rFont val="Noto Sans CJK SC"/>
        <family val="2"/>
      </rPr>
      <t xml:space="preserve">데이터에서 반복 인용된 것이라고 지적</t>
    </r>
  </si>
  <si>
    <t xml:space="preserve">오래된 장르별 표</t>
  </si>
  <si>
    <r>
      <rPr>
        <sz val="11"/>
        <rFont val="Arial"/>
        <family val="0"/>
        <charset val="1"/>
      </rPr>
      <t xml:space="preserve">AppsFlyer 2022</t>
    </r>
    <r>
      <rPr>
        <sz val="11"/>
        <rFont val="Noto Sans CJK SC"/>
        <family val="2"/>
      </rPr>
      <t xml:space="preserve">년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분기 장르 데이터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캐주얼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퍼즐 </t>
    </r>
    <r>
      <rPr>
        <sz val="11"/>
        <rFont val="Arial"/>
        <family val="0"/>
        <charset val="1"/>
      </rPr>
      <t xml:space="preserve">Android D1 28~32% </t>
    </r>
    <r>
      <rPr>
        <sz val="11"/>
        <rFont val="Noto Sans CJK SC"/>
        <family val="2"/>
      </rPr>
      <t xml:space="preserve">등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</si>
  <si>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년 전 데이터이고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 인용으로만 확인됨</t>
    </r>
  </si>
  <si>
    <t xml:space="preserve">지역 범위가 불명확한 수치</t>
  </si>
  <si>
    <r>
      <rPr>
        <sz val="11"/>
        <rFont val="Noto Sans CJK SC"/>
        <family val="2"/>
      </rPr>
      <t xml:space="preserve">북미 첫 결제 전환율 </t>
    </r>
    <r>
      <rPr>
        <sz val="11"/>
        <rFont val="Arial"/>
        <family val="0"/>
        <charset val="1"/>
      </rPr>
      <t xml:space="preserve">11.14% vs </t>
    </r>
    <r>
      <rPr>
        <sz val="11"/>
        <rFont val="Noto Sans CJK SC"/>
        <family val="2"/>
      </rPr>
      <t xml:space="preserve">남미 </t>
    </r>
    <r>
      <rPr>
        <sz val="11"/>
        <rFont val="Arial"/>
        <family val="0"/>
        <charset val="1"/>
      </rPr>
      <t xml:space="preserve">6.51% (AppsFlyer 2026 </t>
    </r>
    <r>
      <rPr>
        <sz val="11"/>
        <rFont val="Noto Sans CJK SC"/>
        <family val="2"/>
      </rPr>
      <t xml:space="preserve">요약</t>
    </r>
    <r>
      <rPr>
        <sz val="11"/>
        <rFont val="Arial"/>
        <family val="0"/>
        <charset val="1"/>
      </rPr>
      <t xml:space="preserve">)</t>
    </r>
  </si>
  <si>
    <t xml:space="preserve">게임만의 수치인지 비게임 포함인지 요약본에서 확인되지 않음</t>
  </si>
  <si>
    <t xml:space="preserve">비공개 보고서</t>
  </si>
  <si>
    <r>
      <rPr>
        <sz val="11"/>
        <rFont val="Noto Sans CJK SC"/>
        <family val="2"/>
      </rPr>
      <t xml:space="preserve">유료 플랫폼</t>
    </r>
    <r>
      <rPr>
        <sz val="11"/>
        <rFont val="Arial"/>
        <family val="0"/>
        <charset val="1"/>
      </rPr>
      <t xml:space="preserve">(Sensor Tower </t>
    </r>
    <r>
      <rPr>
        <sz val="11"/>
        <rFont val="Noto Sans CJK SC"/>
        <family val="2"/>
      </rPr>
      <t xml:space="preserve">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의 장르 벤치마크</t>
    </r>
  </si>
  <si>
    <r>
      <rPr>
        <sz val="11"/>
        <rFont val="Noto Sans CJK SC"/>
        <family val="2"/>
      </rPr>
      <t xml:space="preserve">접근에 계정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결제가 필요함 </t>
    </r>
    <r>
      <rPr>
        <sz val="11"/>
        <rFont val="Arial"/>
        <family val="0"/>
        <charset val="1"/>
      </rPr>
      <t xml:space="preserve">(GameAnalytics 2025 </t>
    </r>
    <r>
      <rPr>
        <sz val="11"/>
        <rFont val="Noto Sans CJK SC"/>
        <family val="2"/>
      </rPr>
      <t xml:space="preserve">장르별 차트는 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단계에서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판독값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으로 별도 사용</t>
    </r>
    <r>
      <rPr>
        <sz val="11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</si>
</sst>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%"/>
    <numFmt numFmtId="167" formatCode="0%"/>
    <numFmt numFmtId="168" formatCode="0.00"/>
    <numFmt numFmtId="169" formatCode="0%;\-0%;0%"/>
    <numFmt numFmtId="170" formatCode="#,##0"/>
    <numFmt numFmtId="171" formatCode="General"/>
    <numFmt numFmtId="172" formatCode="0.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color rgb="FF595959"/>
      <name val="Noto Sans CJK SC"/>
      <family val="2"/>
    </font>
    <font>
      <sz val="11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u val="single"/>
      <sz val="11"/>
      <color rgb="FF0563C1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  <font>
      <b val="true"/>
      <sz val="11"/>
      <color rgb="FF7F6000"/>
      <name val="Noto Sans CJK SC"/>
      <family val="2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1"/>
      <color rgb="FFC00000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404040"/>
        <bgColor rgb="FF1F3864"/>
      </patternFill>
    </fill>
    <fill>
      <patternFill patternType="solid">
        <fgColor rgb="FF2F5597"/>
        <bgColor rgb="FF4672A8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C0504D"/>
      </patternFill>
    </fill>
    <fill>
      <patternFill patternType="solid">
        <fgColor rgb="FF7030A0"/>
        <bgColor rgb="FF72599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548235"/>
      <rgbColor rgb="FF000080"/>
      <rgbColor rgb="FF7F6000"/>
      <rgbColor rgb="FF800080"/>
      <rgbColor rgb="FF4F81BD"/>
      <rgbColor rgb="FFBFBFBF"/>
      <rgbColor rgb="FF878787"/>
      <rgbColor rgb="FF93A9CE"/>
      <rgbColor rgb="FFAB4744"/>
      <rgbColor rgb="FFFFF2CC"/>
      <rgbColor rgb="FFCCFFFF"/>
      <rgbColor rgb="FF660066"/>
      <rgbColor rgb="FFDC853E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8CD97"/>
      <rgbColor rgb="FFFFFF99"/>
      <rgbColor rgb="FF92C3D5"/>
      <rgbColor rgb="FFD09493"/>
      <rgbColor rgb="FFCC99FF"/>
      <rgbColor rgb="FFF8B590"/>
      <rgbColor rgb="FF4672A8"/>
      <rgbColor rgb="FF33CCCC"/>
      <rgbColor rgb="FF8AA64F"/>
      <rgbColor rgb="FFFFCC00"/>
      <rgbColor rgb="FFFF9900"/>
      <rgbColor rgb="FFC55A11"/>
      <rgbColor rgb="FF725990"/>
      <rgbColor rgb="FFA99BBD"/>
      <rgbColor rgb="FF1F3864"/>
      <rgbColor rgb="FF4299B0"/>
      <rgbColor rgb="FF003300"/>
      <rgbColor rgb="FF595959"/>
      <rgbColor rgb="FFC0504D"/>
      <rgbColor rgb="FF7030A0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대분류별 게임 수 (미국 Top Free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'1-3 장르 분포'!B1</c:f>
              <c:strCache>
                <c:ptCount val="1"/>
                <c:pt idx="0">
                  <c:v>App Store 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'1-3 장르 분포'!$A$2:$A$11</c:f>
              <c:strCache>
                <c:ptCount val="10"/>
                <c:pt idx="0">
                  <c:v>퍼즐</c:v>
                </c:pt>
                <c:pt idx="1">
                  <c:v>하이퍼·하이브리드 캐주얼</c:v>
                </c:pt>
                <c:pt idx="2">
                  <c:v>카드·보드·카지노</c:v>
                </c:pt>
                <c:pt idx="3">
                  <c:v>시뮬레이션</c:v>
                </c:pt>
                <c:pt idx="4">
                  <c:v>전략</c:v>
                </c:pt>
                <c:pt idx="5">
                  <c:v>액션·슈팅</c:v>
                </c:pt>
                <c:pt idx="6">
                  <c:v>스포츠</c:v>
                </c:pt>
                <c:pt idx="7">
                  <c:v>RPG</c:v>
                </c:pt>
                <c:pt idx="8">
                  <c:v>파티·음악</c:v>
                </c:pt>
                <c:pt idx="9">
                  <c:v>기타(UGC·리워드)</c:v>
                </c:pt>
              </c:strCache>
            </c:strRef>
          </c:cat>
          <c:val>
            <c:numRef>
              <c:f>'1-3 장르 분포'!$B$2:$B$11</c:f>
              <c:numCache>
                <c:formatCode>General</c:formatCode>
                <c:ptCount val="10"/>
                <c:pt idx="0">
                  <c:v>48</c:v>
                </c:pt>
                <c:pt idx="1">
                  <c:v>12</c:v>
                </c:pt>
                <c:pt idx="2">
                  <c:v>16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</c:ser>
        <c:ser>
          <c:idx val="1"/>
          <c:order val="1"/>
          <c:tx>
            <c:strRef>
              <c:f>'1-3 장르 분포'!D1</c:f>
              <c:strCache>
                <c:ptCount val="1"/>
                <c:pt idx="0">
                  <c:v>Google Play 수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'1-3 장르 분포'!$A$2:$A$11</c:f>
              <c:strCache>
                <c:ptCount val="10"/>
                <c:pt idx="0">
                  <c:v>퍼즐</c:v>
                </c:pt>
                <c:pt idx="1">
                  <c:v>하이퍼·하이브리드 캐주얼</c:v>
                </c:pt>
                <c:pt idx="2">
                  <c:v>카드·보드·카지노</c:v>
                </c:pt>
                <c:pt idx="3">
                  <c:v>시뮬레이션</c:v>
                </c:pt>
                <c:pt idx="4">
                  <c:v>전략</c:v>
                </c:pt>
                <c:pt idx="5">
                  <c:v>액션·슈팅</c:v>
                </c:pt>
                <c:pt idx="6">
                  <c:v>스포츠</c:v>
                </c:pt>
                <c:pt idx="7">
                  <c:v>RPG</c:v>
                </c:pt>
                <c:pt idx="8">
                  <c:v>파티·음악</c:v>
                </c:pt>
                <c:pt idx="9">
                  <c:v>기타(UGC·리워드)</c:v>
                </c:pt>
              </c:strCache>
            </c:strRef>
          </c:cat>
          <c:val>
            <c:numRef>
              <c:f>'1-3 장르 분포'!$D$2:$D$11</c:f>
              <c:numCache>
                <c:formatCode>General</c:formatCode>
                <c:ptCount val="10"/>
                <c:pt idx="0">
                  <c:v>53</c:v>
                </c:pt>
                <c:pt idx="1">
                  <c:v>17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20801648"/>
        <c:axId val="56260985"/>
      </c:barChart>
      <c:catAx>
        <c:axId val="2080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60985"/>
        <c:crosses val="autoZero"/>
        <c:auto val="1"/>
        <c:lblAlgn val="ctr"/>
        <c:lblOffset val="100"/>
        <c:noMultiLvlLbl val="0"/>
      </c:catAx>
      <c:valAx>
        <c:axId val="56260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게임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01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국가별 Top 20 장르 구성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'2-3 국가별 장르 분포'!A2</c:f>
              <c:strCache>
                <c:ptCount val="1"/>
                <c:pt idx="0">
                  <c:v>퍼즐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분포'!$B$2:$F$2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'2-3 국가별 장르 분포'!A3</c:f>
              <c:strCache>
                <c:ptCount val="1"/>
                <c:pt idx="0">
                  <c:v>하이퍼·하이브리드 캐주얼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분포'!$B$3:$F$3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'2-3 국가별 장르 분포'!A4</c:f>
              <c:strCache>
                <c:ptCount val="1"/>
                <c:pt idx="0">
                  <c:v>카드·보드·카지노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분포'!$B$4:$F$4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ser>
          <c:idx val="3"/>
          <c:order val="3"/>
          <c:tx>
            <c:strRef>
              <c:f>'2-3 국가별 장르 분포'!A5</c:f>
              <c:strCache>
                <c:ptCount val="1"/>
                <c:pt idx="0">
                  <c:v>시뮬레이션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분포'!$B$5:$F$5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'2-3 국가별 장르 분포'!A6</c:f>
              <c:strCache>
                <c:ptCount val="1"/>
                <c:pt idx="0">
                  <c:v>전략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분포'!$B$6:$F$6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5"/>
          <c:order val="5"/>
          <c:tx>
            <c:strRef>
              <c:f>'2-3 국가별 장르 분포'!A7</c:f>
              <c:strCache>
                <c:ptCount val="1"/>
                <c:pt idx="0">
                  <c:v>액션·슈팅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분포'!$B$7:$F$7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6"/>
          <c:order val="6"/>
          <c:tx>
            <c:strRef>
              <c:f>'2-3 국가별 장르 분포'!A8</c:f>
              <c:strCache>
                <c:ptCount val="1"/>
                <c:pt idx="0">
                  <c:v>스포츠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분포'!$B$8:$F$8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7"/>
          <c:order val="7"/>
          <c:tx>
            <c:strRef>
              <c:f>'2-3 국가별 장르 분포'!A9</c:f>
              <c:strCache>
                <c:ptCount val="1"/>
                <c:pt idx="0">
                  <c:v>RPG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분포'!$B$9:$F$9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</c:ser>
        <c:ser>
          <c:idx val="8"/>
          <c:order val="8"/>
          <c:tx>
            <c:strRef>
              <c:f>'2-3 국가별 장르 분포'!A10</c:f>
              <c:strCache>
                <c:ptCount val="1"/>
                <c:pt idx="0">
                  <c:v>파티·음악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분포'!$B$10:$F$10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9"/>
          <c:order val="9"/>
          <c:tx>
            <c:strRef>
              <c:f>'2-3 국가별 장르 분포'!A11</c:f>
              <c:strCache>
                <c:ptCount val="1"/>
                <c:pt idx="0">
                  <c:v>기타(UGC·리워드)</c:v>
                </c:pt>
              </c:strCache>
            </c:strRef>
          </c:tx>
          <c:spPr>
            <a:solidFill>
              <a:srgbClr val="a99b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분포'!$B$11:$F$11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10"/>
          <c:order val="10"/>
          <c:tx>
            <c:strRef>
              <c:f>'2-3 국가별 장르 분포'!A12</c:f>
              <c:strCache>
                <c:ptCount val="1"/>
                <c:pt idx="0">
                  <c:v>확인 불가</c:v>
                </c:pt>
              </c:strCache>
            </c:strRef>
          </c:tx>
          <c:spPr>
            <a:solidFill>
              <a:srgbClr val="92c3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'2-3 국가별 장르 분포'!A13</c:f>
              <c:strCache>
                <c:ptCount val="1"/>
                <c:pt idx="0">
                  <c:v>확인 필요</c:v>
                </c:pt>
              </c:strCache>
            </c:strRef>
          </c:tx>
          <c:spPr>
            <a:solidFill>
              <a:srgbClr val="f8b5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'2-3 국가별 장르 분포'!$B$1:$F$1</c:f>
              <c:strCache>
                <c:ptCount val="5"/>
                <c:pt idx="0">
                  <c:v>캐나다</c:v>
                </c:pt>
                <c:pt idx="1">
                  <c:v>브라질</c:v>
                </c:pt>
                <c:pt idx="2">
                  <c:v>멕시코</c:v>
                </c:pt>
                <c:pt idx="3">
                  <c:v>일본</c:v>
                </c:pt>
                <c:pt idx="4">
                  <c:v>한국</c:v>
                </c:pt>
              </c:strCache>
            </c:strRef>
          </c:cat>
          <c:val>
            <c:numRef>
              <c:f>'2-3 국가별 장르 분포'!$B$13:$F$13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gapWidth val="150"/>
        <c:overlap val="100"/>
        <c:axId val="51650333"/>
        <c:axId val="62667210"/>
      </c:barChart>
      <c:catAx>
        <c:axId val="516503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67210"/>
        <c:crosses val="autoZero"/>
        <c:auto val="1"/>
        <c:lblAlgn val="ctr"/>
        <c:lblOffset val="100"/>
        <c:noMultiLvlLbl val="0"/>
      </c:catAx>
      <c:valAx>
        <c:axId val="62667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게임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503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190440</xdr:rowOff>
    </xdr:from>
    <xdr:to>
      <xdr:col>19</xdr:col>
      <xdr:colOff>473040</xdr:colOff>
      <xdr:row>18</xdr:row>
      <xdr:rowOff>36000</xdr:rowOff>
    </xdr:to>
    <xdr:graphicFrame>
      <xdr:nvGraphicFramePr>
        <xdr:cNvPr id="0" name="Chart 1"/>
        <xdr:cNvGraphicFramePr/>
      </xdr:nvGraphicFramePr>
      <xdr:xfrm>
        <a:off x="1033848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190440</xdr:rowOff>
    </xdr:from>
    <xdr:to>
      <xdr:col>19</xdr:col>
      <xdr:colOff>473040</xdr:colOff>
      <xdr:row>17</xdr:row>
      <xdr:rowOff>169200</xdr:rowOff>
    </xdr:to>
    <xdr:graphicFrame>
      <xdr:nvGraphicFramePr>
        <xdr:cNvPr id="1" name="Chart 1"/>
        <xdr:cNvGraphicFramePr/>
      </xdr:nvGraphicFramePr>
      <xdr:xfrm>
        <a:off x="707328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44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7.15" hidden="false" customHeight="false" outlineLevel="0" collapsed="false">
      <c r="A5" s="4" t="s">
        <v>7</v>
      </c>
      <c r="B5" s="5" t="s">
        <v>8</v>
      </c>
      <c r="C5" s="6" t="s">
        <v>9</v>
      </c>
      <c r="D5" s="6" t="s">
        <v>10</v>
      </c>
      <c r="E5" s="5"/>
    </row>
    <row r="6" customFormat="false" ht="17.15" hidden="false" customHeight="false" outlineLevel="0" collapsed="false">
      <c r="A6" s="4" t="s">
        <v>7</v>
      </c>
      <c r="B6" s="7" t="s">
        <v>11</v>
      </c>
      <c r="C6" s="6" t="s">
        <v>12</v>
      </c>
      <c r="D6" s="6" t="s">
        <v>10</v>
      </c>
      <c r="E6" s="5"/>
    </row>
    <row r="7" customFormat="false" ht="29.85" hidden="false" customHeight="false" outlineLevel="0" collapsed="false">
      <c r="A7" s="8" t="s">
        <v>13</v>
      </c>
      <c r="B7" s="7" t="s">
        <v>14</v>
      </c>
      <c r="C7" s="6" t="s">
        <v>15</v>
      </c>
      <c r="D7" s="6" t="s">
        <v>10</v>
      </c>
      <c r="E7" s="5"/>
    </row>
    <row r="8" customFormat="false" ht="29.85" hidden="false" customHeight="false" outlineLevel="0" collapsed="false">
      <c r="A8" s="8" t="s">
        <v>13</v>
      </c>
      <c r="B8" s="7" t="s">
        <v>16</v>
      </c>
      <c r="C8" s="6" t="s">
        <v>17</v>
      </c>
      <c r="D8" s="6" t="s">
        <v>10</v>
      </c>
      <c r="E8" s="5"/>
    </row>
    <row r="9" customFormat="false" ht="17.15" hidden="false" customHeight="false" outlineLevel="0" collapsed="false">
      <c r="A9" s="8" t="s">
        <v>13</v>
      </c>
      <c r="B9" s="7" t="s">
        <v>18</v>
      </c>
      <c r="C9" s="6" t="s">
        <v>19</v>
      </c>
      <c r="D9" s="6" t="s">
        <v>10</v>
      </c>
      <c r="E9" s="5"/>
    </row>
    <row r="10" customFormat="false" ht="17.15" hidden="false" customHeight="false" outlineLevel="0" collapsed="false">
      <c r="A10" s="8" t="s">
        <v>13</v>
      </c>
      <c r="B10" s="7" t="s">
        <v>20</v>
      </c>
      <c r="C10" s="6" t="s">
        <v>21</v>
      </c>
      <c r="D10" s="6" t="s">
        <v>10</v>
      </c>
      <c r="E10" s="5"/>
    </row>
    <row r="11" customFormat="false" ht="17.15" hidden="false" customHeight="false" outlineLevel="0" collapsed="false">
      <c r="A11" s="8" t="s">
        <v>13</v>
      </c>
      <c r="B11" s="7" t="s">
        <v>22</v>
      </c>
      <c r="C11" s="6" t="s">
        <v>23</v>
      </c>
      <c r="D11" s="6" t="s">
        <v>10</v>
      </c>
      <c r="E11" s="5"/>
    </row>
    <row r="12" customFormat="false" ht="17.15" hidden="false" customHeight="false" outlineLevel="0" collapsed="false">
      <c r="A12" s="8" t="s">
        <v>13</v>
      </c>
      <c r="B12" s="7" t="s">
        <v>24</v>
      </c>
      <c r="C12" s="6" t="s">
        <v>25</v>
      </c>
      <c r="D12" s="6" t="s">
        <v>10</v>
      </c>
      <c r="E12" s="5"/>
    </row>
    <row r="13" customFormat="false" ht="17.15" hidden="false" customHeight="false" outlineLevel="0" collapsed="false">
      <c r="A13" s="9" t="s">
        <v>26</v>
      </c>
      <c r="B13" s="7" t="s">
        <v>27</v>
      </c>
      <c r="C13" s="6" t="s">
        <v>28</v>
      </c>
      <c r="D13" s="6" t="s">
        <v>10</v>
      </c>
      <c r="E13" s="5" t="s">
        <v>29</v>
      </c>
    </row>
    <row r="14" customFormat="false" ht="17.15" hidden="false" customHeight="false" outlineLevel="0" collapsed="false">
      <c r="A14" s="9" t="s">
        <v>26</v>
      </c>
      <c r="B14" s="7" t="s">
        <v>30</v>
      </c>
      <c r="C14" s="6" t="s">
        <v>31</v>
      </c>
      <c r="D14" s="6" t="s">
        <v>10</v>
      </c>
      <c r="E14" s="5"/>
    </row>
    <row r="15" customFormat="false" ht="17.15" hidden="false" customHeight="false" outlineLevel="0" collapsed="false">
      <c r="A15" s="9" t="s">
        <v>26</v>
      </c>
      <c r="B15" s="7" t="s">
        <v>32</v>
      </c>
      <c r="C15" s="6" t="s">
        <v>33</v>
      </c>
      <c r="D15" s="6" t="s">
        <v>10</v>
      </c>
      <c r="E15" s="5"/>
    </row>
    <row r="16" customFormat="false" ht="17.15" hidden="false" customHeight="false" outlineLevel="0" collapsed="false">
      <c r="A16" s="9" t="s">
        <v>26</v>
      </c>
      <c r="B16" s="7" t="s">
        <v>34</v>
      </c>
      <c r="C16" s="6" t="s">
        <v>35</v>
      </c>
      <c r="D16" s="6" t="s">
        <v>10</v>
      </c>
      <c r="E16" s="5"/>
    </row>
    <row r="17" customFormat="false" ht="17.15" hidden="false" customHeight="false" outlineLevel="0" collapsed="false">
      <c r="A17" s="9" t="s">
        <v>26</v>
      </c>
      <c r="B17" s="7" t="s">
        <v>36</v>
      </c>
      <c r="C17" s="6" t="s">
        <v>37</v>
      </c>
      <c r="D17" s="6" t="s">
        <v>10</v>
      </c>
      <c r="E17" s="5"/>
    </row>
    <row r="18" customFormat="false" ht="32.8" hidden="false" customHeight="false" outlineLevel="0" collapsed="false">
      <c r="A18" s="9" t="s">
        <v>26</v>
      </c>
      <c r="B18" s="7" t="s">
        <v>38</v>
      </c>
      <c r="C18" s="6" t="s">
        <v>39</v>
      </c>
      <c r="D18" s="6" t="s">
        <v>10</v>
      </c>
      <c r="E18" s="6" t="s">
        <v>40</v>
      </c>
    </row>
    <row r="19" customFormat="false" ht="32.8" hidden="false" customHeight="false" outlineLevel="0" collapsed="false">
      <c r="A19" s="9" t="s">
        <v>26</v>
      </c>
      <c r="B19" s="7" t="s">
        <v>41</v>
      </c>
      <c r="C19" s="6" t="s">
        <v>42</v>
      </c>
      <c r="D19" s="6" t="s">
        <v>10</v>
      </c>
      <c r="E19" s="6" t="s">
        <v>43</v>
      </c>
    </row>
    <row r="20" customFormat="false" ht="17.15" hidden="false" customHeight="false" outlineLevel="0" collapsed="false">
      <c r="A20" s="10" t="s">
        <v>44</v>
      </c>
      <c r="B20" s="7" t="s">
        <v>45</v>
      </c>
      <c r="C20" s="6" t="s">
        <v>46</v>
      </c>
      <c r="D20" s="6" t="s">
        <v>10</v>
      </c>
      <c r="E20" s="5"/>
    </row>
    <row r="21" customFormat="false" ht="32.8" hidden="false" customHeight="false" outlineLevel="0" collapsed="false">
      <c r="A21" s="10" t="s">
        <v>44</v>
      </c>
      <c r="B21" s="7" t="s">
        <v>47</v>
      </c>
      <c r="C21" s="6" t="s">
        <v>48</v>
      </c>
      <c r="D21" s="6" t="s">
        <v>10</v>
      </c>
      <c r="E21" s="5"/>
    </row>
    <row r="22" customFormat="false" ht="17.15" hidden="false" customHeight="false" outlineLevel="0" collapsed="false">
      <c r="A22" s="10" t="s">
        <v>44</v>
      </c>
      <c r="B22" s="7" t="s">
        <v>49</v>
      </c>
      <c r="C22" s="6" t="s">
        <v>50</v>
      </c>
      <c r="D22" s="6" t="s">
        <v>10</v>
      </c>
      <c r="E22" s="5"/>
    </row>
    <row r="23" customFormat="false" ht="17.15" hidden="false" customHeight="false" outlineLevel="0" collapsed="false">
      <c r="A23" s="11" t="s">
        <v>51</v>
      </c>
      <c r="B23" s="7" t="s">
        <v>52</v>
      </c>
      <c r="C23" s="6" t="s">
        <v>53</v>
      </c>
      <c r="D23" s="6" t="s">
        <v>10</v>
      </c>
      <c r="E23" s="5"/>
    </row>
    <row r="24" customFormat="false" ht="17.15" hidden="false" customHeight="false" outlineLevel="0" collapsed="false">
      <c r="A24" s="11" t="s">
        <v>51</v>
      </c>
      <c r="B24" s="7" t="s">
        <v>54</v>
      </c>
      <c r="C24" s="6" t="s">
        <v>55</v>
      </c>
      <c r="D24" s="6" t="s">
        <v>10</v>
      </c>
      <c r="E24" s="6" t="s">
        <v>56</v>
      </c>
    </row>
    <row r="25" customFormat="false" ht="17.15" hidden="false" customHeight="false" outlineLevel="0" collapsed="false">
      <c r="A25" s="11" t="s">
        <v>51</v>
      </c>
      <c r="B25" s="7" t="s">
        <v>57</v>
      </c>
      <c r="C25" s="5" t="s">
        <v>58</v>
      </c>
      <c r="D25" s="6" t="s">
        <v>10</v>
      </c>
      <c r="E25" s="6" t="s">
        <v>59</v>
      </c>
    </row>
    <row r="26" customFormat="false" ht="17.15" hidden="false" customHeight="false" outlineLevel="0" collapsed="false">
      <c r="A26" s="11" t="s">
        <v>51</v>
      </c>
      <c r="B26" s="7" t="s">
        <v>60</v>
      </c>
      <c r="C26" s="6" t="s">
        <v>61</v>
      </c>
      <c r="D26" s="6" t="s">
        <v>10</v>
      </c>
      <c r="E26" s="6" t="s">
        <v>62</v>
      </c>
    </row>
    <row r="27" customFormat="false" ht="17.15" hidden="false" customHeight="false" outlineLevel="0" collapsed="false">
      <c r="A27" s="11" t="s">
        <v>51</v>
      </c>
      <c r="B27" s="7" t="s">
        <v>63</v>
      </c>
      <c r="C27" s="6" t="s">
        <v>64</v>
      </c>
      <c r="D27" s="6" t="s">
        <v>10</v>
      </c>
      <c r="E27" s="5"/>
    </row>
  </sheetData>
  <hyperlinks>
    <hyperlink ref="B6" location="'0-1 개요'!A1" display="0-1 개요"/>
    <hyperlink ref="B7" location="'1-1 App Store Top100'!A1" display="1-1 App Store Top100"/>
    <hyperlink ref="B8" location="'1-2 Google Play Top100'!A1" display="1-2 Google Play Top100"/>
    <hyperlink ref="B9" location="'1-3 장르 분포'!A1" display="1-3 장르 분포"/>
    <hyperlink ref="B10" location="'1-4 세부 장르'!A1" display="1-4 세부 장르"/>
    <hyperlink ref="B11" location="'1-5 인사이트'!A1" display="1-5 인사이트"/>
    <hyperlink ref="B12" location="'1-6 심층 분석 후보'!A1" display="1-6 심층 분석 후보"/>
    <hyperlink ref="B13" location="'2-1 지역 비교 요약'!A1" display="2-1 지역 비교 요약"/>
    <hyperlink ref="B14" location="'2-2 국가별 Top20'!A1" display="2-2 국가별 Top20"/>
    <hyperlink ref="B15" location="'2-3 국가별 장르 분포'!A1" display="2-3 국가별 장르 분포"/>
    <hyperlink ref="B16" location="'2-4 공통 인기 게임'!A1" display="2-4 공통 인기 게임"/>
    <hyperlink ref="B17" location="'2-5 지역별 특징'!A1" display="2-5 지역별 특징"/>
    <hyperlink ref="B18" location="'2-6 대륙별 OS 분포'!A1" display="2-6 대륙별 OS 분포"/>
    <hyperlink ref="B19" location="'2-7 동남아 분석'!A1" display="2-7 동남아 분석"/>
    <hyperlink ref="B20" location="'3-1 매출 순위 원자료'!A1" display="3-1 매출 순위 원자료"/>
    <hyperlink ref="B21" location="'3-2 매출 Top100'!A1" display="3-2 매출 Top100"/>
    <hyperlink ref="B22" location="'3-3 매출-다운로드 비교'!A1" display="3-3 매출-다운로드 비교"/>
    <hyperlink ref="B23" location="'4-1 벤치마크 근거'!A1" display="4-1 벤치마크 근거"/>
    <hyperlink ref="B24" location="'4-2 지역 벤치마크'!A1" display="4-2 지역 벤치마크"/>
    <hyperlink ref="B25" location="'4-3 장르 차트 판독값'!A1" display="4-3 장르 차트 판독값"/>
    <hyperlink ref="B26" location="'4-4 장르 판독 요약'!A1" display="4-4 장르 판독 요약"/>
    <hyperlink ref="B27" location="'4-5 제외한 자료'!A1" display="4-5 제외한 자료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65</v>
      </c>
    </row>
    <row r="3" customFormat="false" ht="15" hidden="false" customHeight="false" outlineLevel="0" collapsed="false">
      <c r="A3" s="3" t="s">
        <v>66</v>
      </c>
      <c r="B3" s="3" t="s">
        <v>67</v>
      </c>
    </row>
    <row r="4" customFormat="false" ht="17.15" hidden="false" customHeight="false" outlineLevel="0" collapsed="false">
      <c r="A4" s="12" t="s">
        <v>68</v>
      </c>
      <c r="B4" s="13" t="s">
        <v>69</v>
      </c>
    </row>
    <row r="5" customFormat="false" ht="17.15" hidden="false" customHeight="false" outlineLevel="0" collapsed="false">
      <c r="A5" s="14" t="s">
        <v>70</v>
      </c>
      <c r="B5" s="15" t="s">
        <v>71</v>
      </c>
    </row>
    <row r="6" customFormat="false" ht="29.85" hidden="false" customHeight="false" outlineLevel="0" collapsed="false">
      <c r="A6" s="14" t="s">
        <v>72</v>
      </c>
      <c r="B6" s="15" t="s">
        <v>73</v>
      </c>
    </row>
    <row r="7" customFormat="false" ht="17.15" hidden="false" customHeight="false" outlineLevel="0" collapsed="false">
      <c r="A7" s="14" t="s">
        <v>74</v>
      </c>
      <c r="B7" s="15" t="s">
        <v>75</v>
      </c>
    </row>
    <row r="8" customFormat="false" ht="29.85" hidden="false" customHeight="false" outlineLevel="0" collapsed="false">
      <c r="A8" s="14" t="s">
        <v>76</v>
      </c>
      <c r="B8" s="15" t="s">
        <v>77</v>
      </c>
    </row>
    <row r="9" customFormat="false" ht="17.15" hidden="false" customHeight="false" outlineLevel="0" collapsed="false">
      <c r="A9" s="12" t="s">
        <v>78</v>
      </c>
      <c r="B9" s="13" t="s">
        <v>79</v>
      </c>
    </row>
    <row r="10" customFormat="false" ht="17.15" hidden="false" customHeight="false" outlineLevel="0" collapsed="false">
      <c r="A10" s="12" t="s">
        <v>80</v>
      </c>
      <c r="B10" s="13" t="s">
        <v>81</v>
      </c>
    </row>
    <row r="11" customFormat="false" ht="32.8" hidden="false" customHeight="false" outlineLevel="0" collapsed="false">
      <c r="A11" s="12" t="s">
        <v>82</v>
      </c>
      <c r="B11" s="15" t="s">
        <v>83</v>
      </c>
    </row>
    <row r="12" customFormat="false" ht="79.85" hidden="false" customHeight="false" outlineLevel="0" collapsed="false">
      <c r="A12" s="12" t="s">
        <v>84</v>
      </c>
      <c r="B12" s="15" t="s">
        <v>85</v>
      </c>
    </row>
    <row r="13" customFormat="false" ht="32.8" hidden="false" customHeight="false" outlineLevel="0" collapsed="false">
      <c r="A13" s="14" t="s">
        <v>86</v>
      </c>
      <c r="B13" s="15" t="s">
        <v>87</v>
      </c>
    </row>
    <row r="14" customFormat="false" ht="32.8" hidden="false" customHeight="false" outlineLevel="0" collapsed="false">
      <c r="A14" s="14" t="s">
        <v>88</v>
      </c>
      <c r="B14" s="15" t="s">
        <v>89</v>
      </c>
    </row>
    <row r="15" customFormat="false" ht="32.8" hidden="false" customHeight="false" outlineLevel="0" collapsed="false">
      <c r="A15" s="12" t="s">
        <v>90</v>
      </c>
      <c r="B15" s="15" t="s">
        <v>91</v>
      </c>
    </row>
    <row r="16" customFormat="false" ht="32.8" hidden="false" customHeight="false" outlineLevel="0" collapsed="false">
      <c r="A16" s="12" t="s">
        <v>92</v>
      </c>
      <c r="B16" s="13" t="s">
        <v>93</v>
      </c>
    </row>
    <row r="17" customFormat="false" ht="64.15" hidden="false" customHeight="false" outlineLevel="0" collapsed="false">
      <c r="A17" s="16" t="s">
        <v>94</v>
      </c>
      <c r="B17" s="17" t="s">
        <v>95</v>
      </c>
    </row>
    <row r="18" customFormat="false" ht="48.5" hidden="false" customHeight="false" outlineLevel="0" collapsed="false">
      <c r="A18" s="16" t="s">
        <v>96</v>
      </c>
      <c r="B18" s="17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8" t="s">
        <v>98</v>
      </c>
      <c r="B1" s="18" t="s">
        <v>99</v>
      </c>
      <c r="C1" s="18" t="s">
        <v>100</v>
      </c>
      <c r="D1" s="18" t="s">
        <v>101</v>
      </c>
      <c r="E1" s="18" t="s">
        <v>102</v>
      </c>
      <c r="F1" s="18" t="s">
        <v>6</v>
      </c>
    </row>
    <row r="2" customFormat="false" ht="17.15" hidden="false" customHeight="false" outlineLevel="0" collapsed="false">
      <c r="A2" s="19" t="n">
        <v>1</v>
      </c>
      <c r="B2" s="20" t="s">
        <v>103</v>
      </c>
      <c r="C2" s="20" t="s">
        <v>104</v>
      </c>
      <c r="D2" s="21" t="s">
        <v>105</v>
      </c>
      <c r="E2" s="21" t="s">
        <v>106</v>
      </c>
      <c r="F2" s="21" t="s">
        <v>107</v>
      </c>
    </row>
    <row r="3" customFormat="false" ht="17.15" hidden="false" customHeight="false" outlineLevel="0" collapsed="false">
      <c r="A3" s="19" t="n">
        <v>2</v>
      </c>
      <c r="B3" s="20" t="s">
        <v>108</v>
      </c>
      <c r="C3" s="20" t="s">
        <v>109</v>
      </c>
      <c r="D3" s="21" t="s">
        <v>105</v>
      </c>
      <c r="E3" s="21" t="s">
        <v>110</v>
      </c>
      <c r="F3" s="21"/>
    </row>
    <row r="4" customFormat="false" ht="17.15" hidden="false" customHeight="false" outlineLevel="0" collapsed="false">
      <c r="A4" s="19" t="n">
        <v>3</v>
      </c>
      <c r="B4" s="20" t="s">
        <v>111</v>
      </c>
      <c r="C4" s="20" t="s">
        <v>112</v>
      </c>
      <c r="D4" s="21" t="s">
        <v>105</v>
      </c>
      <c r="E4" s="21" t="s">
        <v>110</v>
      </c>
      <c r="F4" s="21"/>
    </row>
    <row r="5" customFormat="false" ht="17.15" hidden="false" customHeight="false" outlineLevel="0" collapsed="false">
      <c r="A5" s="19" t="n">
        <v>4</v>
      </c>
      <c r="B5" s="20" t="s">
        <v>113</v>
      </c>
      <c r="C5" s="20" t="s">
        <v>109</v>
      </c>
      <c r="D5" s="21" t="s">
        <v>105</v>
      </c>
      <c r="E5" s="21" t="s">
        <v>110</v>
      </c>
      <c r="F5" s="21"/>
    </row>
    <row r="6" customFormat="false" ht="17.15" hidden="false" customHeight="false" outlineLevel="0" collapsed="false">
      <c r="A6" s="22" t="n">
        <v>5</v>
      </c>
      <c r="B6" s="23" t="s">
        <v>114</v>
      </c>
      <c r="C6" s="23" t="s">
        <v>115</v>
      </c>
      <c r="D6" s="24" t="s">
        <v>105</v>
      </c>
      <c r="E6" s="24" t="s">
        <v>110</v>
      </c>
      <c r="F6" s="24" t="s">
        <v>116</v>
      </c>
    </row>
    <row r="7" customFormat="false" ht="17.15" hidden="false" customHeight="false" outlineLevel="0" collapsed="false">
      <c r="A7" s="19" t="n">
        <v>6</v>
      </c>
      <c r="B7" s="20" t="s">
        <v>117</v>
      </c>
      <c r="C7" s="20" t="s">
        <v>118</v>
      </c>
      <c r="D7" s="21" t="s">
        <v>119</v>
      </c>
      <c r="E7" s="21" t="s">
        <v>120</v>
      </c>
      <c r="F7" s="21"/>
    </row>
    <row r="8" customFormat="false" ht="15" hidden="false" customHeight="false" outlineLevel="0" collapsed="false">
      <c r="A8" s="19" t="n">
        <v>7</v>
      </c>
      <c r="B8" s="20" t="s">
        <v>121</v>
      </c>
      <c r="C8" s="20" t="s">
        <v>122</v>
      </c>
      <c r="D8" s="21" t="s">
        <v>105</v>
      </c>
      <c r="E8" s="21" t="s">
        <v>123</v>
      </c>
      <c r="F8" s="21"/>
    </row>
    <row r="9" customFormat="false" ht="17.15" hidden="false" customHeight="false" outlineLevel="0" collapsed="false">
      <c r="A9" s="19" t="n">
        <v>8</v>
      </c>
      <c r="B9" s="20" t="s">
        <v>124</v>
      </c>
      <c r="C9" s="20" t="s">
        <v>125</v>
      </c>
      <c r="D9" s="21" t="s">
        <v>126</v>
      </c>
      <c r="E9" s="20" t="s">
        <v>127</v>
      </c>
      <c r="F9" s="21"/>
    </row>
    <row r="10" customFormat="false" ht="17.15" hidden="false" customHeight="false" outlineLevel="0" collapsed="false">
      <c r="A10" s="19" t="n">
        <v>9</v>
      </c>
      <c r="B10" s="20" t="s">
        <v>128</v>
      </c>
      <c r="C10" s="20" t="s">
        <v>129</v>
      </c>
      <c r="D10" s="21" t="s">
        <v>105</v>
      </c>
      <c r="E10" s="21" t="s">
        <v>130</v>
      </c>
      <c r="F10" s="21"/>
    </row>
    <row r="11" customFormat="false" ht="17.15" hidden="false" customHeight="false" outlineLevel="0" collapsed="false">
      <c r="A11" s="19" t="n">
        <v>10</v>
      </c>
      <c r="B11" s="20" t="s">
        <v>131</v>
      </c>
      <c r="C11" s="20" t="s">
        <v>132</v>
      </c>
      <c r="D11" s="21" t="s">
        <v>105</v>
      </c>
      <c r="E11" s="21" t="s">
        <v>106</v>
      </c>
      <c r="F11" s="21"/>
    </row>
    <row r="12" customFormat="false" ht="15" hidden="false" customHeight="false" outlineLevel="0" collapsed="false">
      <c r="A12" s="19" t="n">
        <v>11</v>
      </c>
      <c r="B12" s="20" t="s">
        <v>133</v>
      </c>
      <c r="C12" s="20" t="s">
        <v>134</v>
      </c>
      <c r="D12" s="21" t="s">
        <v>105</v>
      </c>
      <c r="E12" s="21" t="s">
        <v>135</v>
      </c>
      <c r="F12" s="21"/>
    </row>
    <row r="13" customFormat="false" ht="17.15" hidden="false" customHeight="false" outlineLevel="0" collapsed="false">
      <c r="A13" s="19" t="n">
        <v>12</v>
      </c>
      <c r="B13" s="20" t="s">
        <v>136</v>
      </c>
      <c r="C13" s="20" t="s">
        <v>137</v>
      </c>
      <c r="D13" s="21" t="s">
        <v>105</v>
      </c>
      <c r="E13" s="21" t="s">
        <v>110</v>
      </c>
      <c r="F13" s="21" t="s">
        <v>138</v>
      </c>
    </row>
    <row r="14" customFormat="false" ht="15" hidden="false" customHeight="false" outlineLevel="0" collapsed="false">
      <c r="A14" s="19" t="n">
        <v>13</v>
      </c>
      <c r="B14" s="20" t="s">
        <v>139</v>
      </c>
      <c r="C14" s="20" t="s">
        <v>140</v>
      </c>
      <c r="D14" s="21" t="s">
        <v>105</v>
      </c>
      <c r="E14" s="21" t="s">
        <v>135</v>
      </c>
      <c r="F14" s="21"/>
    </row>
    <row r="15" customFormat="false" ht="17.15" hidden="false" customHeight="false" outlineLevel="0" collapsed="false">
      <c r="A15" s="19" t="n">
        <v>14</v>
      </c>
      <c r="B15" s="20" t="s">
        <v>141</v>
      </c>
      <c r="C15" s="20" t="s">
        <v>122</v>
      </c>
      <c r="D15" s="21" t="s">
        <v>105</v>
      </c>
      <c r="E15" s="21" t="s">
        <v>110</v>
      </c>
      <c r="F15" s="21" t="s">
        <v>138</v>
      </c>
    </row>
    <row r="16" customFormat="false" ht="15" hidden="false" customHeight="false" outlineLevel="0" collapsed="false">
      <c r="A16" s="19" t="n">
        <v>15</v>
      </c>
      <c r="B16" s="20" t="s">
        <v>142</v>
      </c>
      <c r="C16" s="20" t="s">
        <v>104</v>
      </c>
      <c r="D16" s="21" t="s">
        <v>105</v>
      </c>
      <c r="E16" s="21" t="s">
        <v>123</v>
      </c>
      <c r="F16" s="21"/>
    </row>
    <row r="17" customFormat="false" ht="17.15" hidden="false" customHeight="false" outlineLevel="0" collapsed="false">
      <c r="A17" s="19" t="n">
        <v>16</v>
      </c>
      <c r="B17" s="20" t="s">
        <v>143</v>
      </c>
      <c r="C17" s="20" t="s">
        <v>104</v>
      </c>
      <c r="D17" s="21" t="s">
        <v>105</v>
      </c>
      <c r="E17" s="21" t="s">
        <v>144</v>
      </c>
      <c r="F17" s="21"/>
    </row>
    <row r="18" customFormat="false" ht="17.15" hidden="false" customHeight="false" outlineLevel="0" collapsed="false">
      <c r="A18" s="19" t="n">
        <v>17</v>
      </c>
      <c r="B18" s="20" t="s">
        <v>145</v>
      </c>
      <c r="C18" s="20" t="s">
        <v>146</v>
      </c>
      <c r="D18" s="21" t="s">
        <v>147</v>
      </c>
      <c r="E18" s="21" t="s">
        <v>148</v>
      </c>
      <c r="F18" s="21"/>
    </row>
    <row r="19" customFormat="false" ht="17.15" hidden="false" customHeight="false" outlineLevel="0" collapsed="false">
      <c r="A19" s="19" t="n">
        <v>18</v>
      </c>
      <c r="B19" s="20" t="s">
        <v>149</v>
      </c>
      <c r="C19" s="20" t="s">
        <v>150</v>
      </c>
      <c r="D19" s="21" t="s">
        <v>151</v>
      </c>
      <c r="E19" s="21" t="s">
        <v>152</v>
      </c>
      <c r="F19" s="21"/>
    </row>
    <row r="20" customFormat="false" ht="17.15" hidden="false" customHeight="false" outlineLevel="0" collapsed="false">
      <c r="A20" s="19" t="n">
        <v>19</v>
      </c>
      <c r="B20" s="20" t="s">
        <v>153</v>
      </c>
      <c r="C20" s="20" t="s">
        <v>154</v>
      </c>
      <c r="D20" s="21" t="s">
        <v>105</v>
      </c>
      <c r="E20" s="21" t="s">
        <v>155</v>
      </c>
      <c r="F20" s="21"/>
    </row>
    <row r="21" customFormat="false" ht="17.15" hidden="false" customHeight="false" outlineLevel="0" collapsed="false">
      <c r="A21" s="19" t="n">
        <v>20</v>
      </c>
      <c r="B21" s="20" t="s">
        <v>156</v>
      </c>
      <c r="C21" s="20" t="s">
        <v>112</v>
      </c>
      <c r="D21" s="21" t="s">
        <v>105</v>
      </c>
      <c r="E21" s="21" t="s">
        <v>130</v>
      </c>
      <c r="F21" s="21"/>
    </row>
    <row r="22" customFormat="false" ht="17.15" hidden="false" customHeight="false" outlineLevel="0" collapsed="false">
      <c r="A22" s="19" t="n">
        <v>21</v>
      </c>
      <c r="B22" s="20" t="s">
        <v>157</v>
      </c>
      <c r="C22" s="20" t="s">
        <v>158</v>
      </c>
      <c r="D22" s="21" t="s">
        <v>119</v>
      </c>
      <c r="E22" s="21" t="s">
        <v>120</v>
      </c>
      <c r="F22" s="21"/>
    </row>
    <row r="23" customFormat="false" ht="17.15" hidden="false" customHeight="false" outlineLevel="0" collapsed="false">
      <c r="A23" s="19" t="n">
        <v>22</v>
      </c>
      <c r="B23" s="20" t="s">
        <v>159</v>
      </c>
      <c r="C23" s="20" t="s">
        <v>160</v>
      </c>
      <c r="D23" s="21" t="s">
        <v>161</v>
      </c>
      <c r="E23" s="21" t="s">
        <v>162</v>
      </c>
      <c r="F23" s="21"/>
    </row>
    <row r="24" customFormat="false" ht="15" hidden="false" customHeight="false" outlineLevel="0" collapsed="false">
      <c r="A24" s="19" t="n">
        <v>23</v>
      </c>
      <c r="B24" s="20" t="s">
        <v>163</v>
      </c>
      <c r="C24" s="20" t="s">
        <v>164</v>
      </c>
      <c r="D24" s="21" t="s">
        <v>165</v>
      </c>
      <c r="E24" s="20" t="s">
        <v>166</v>
      </c>
      <c r="F24" s="21"/>
    </row>
    <row r="25" customFormat="false" ht="15" hidden="false" customHeight="false" outlineLevel="0" collapsed="false">
      <c r="A25" s="19" t="n">
        <v>24</v>
      </c>
      <c r="B25" s="20" t="s">
        <v>167</v>
      </c>
      <c r="C25" s="20" t="s">
        <v>168</v>
      </c>
      <c r="D25" s="21" t="s">
        <v>105</v>
      </c>
      <c r="E25" s="21" t="s">
        <v>169</v>
      </c>
      <c r="F25" s="21" t="s">
        <v>170</v>
      </c>
    </row>
    <row r="26" customFormat="false" ht="15" hidden="false" customHeight="false" outlineLevel="0" collapsed="false">
      <c r="A26" s="19" t="n">
        <v>25</v>
      </c>
      <c r="B26" s="20" t="s">
        <v>171</v>
      </c>
      <c r="C26" s="20" t="s">
        <v>172</v>
      </c>
      <c r="D26" s="21" t="s">
        <v>105</v>
      </c>
      <c r="E26" s="21" t="s">
        <v>173</v>
      </c>
      <c r="F26" s="21" t="s">
        <v>174</v>
      </c>
    </row>
    <row r="27" customFormat="false" ht="17.15" hidden="false" customHeight="false" outlineLevel="0" collapsed="false">
      <c r="A27" s="19" t="n">
        <v>26</v>
      </c>
      <c r="B27" s="20" t="s">
        <v>175</v>
      </c>
      <c r="C27" s="20" t="s">
        <v>176</v>
      </c>
      <c r="D27" s="21" t="s">
        <v>177</v>
      </c>
      <c r="E27" s="21" t="s">
        <v>178</v>
      </c>
      <c r="F27" s="21"/>
    </row>
    <row r="28" customFormat="false" ht="17.15" hidden="false" customHeight="false" outlineLevel="0" collapsed="false">
      <c r="A28" s="22" t="n">
        <v>27</v>
      </c>
      <c r="B28" s="23" t="s">
        <v>179</v>
      </c>
      <c r="C28" s="23" t="s">
        <v>180</v>
      </c>
      <c r="D28" s="24" t="s">
        <v>161</v>
      </c>
      <c r="E28" s="24" t="s">
        <v>181</v>
      </c>
      <c r="F28" s="24" t="s">
        <v>116</v>
      </c>
    </row>
    <row r="29" customFormat="false" ht="17.15" hidden="false" customHeight="false" outlineLevel="0" collapsed="false">
      <c r="A29" s="19" t="n">
        <v>28</v>
      </c>
      <c r="B29" s="20" t="s">
        <v>182</v>
      </c>
      <c r="C29" s="20" t="s">
        <v>183</v>
      </c>
      <c r="D29" s="21" t="s">
        <v>105</v>
      </c>
      <c r="E29" s="21" t="s">
        <v>144</v>
      </c>
      <c r="F29" s="21"/>
    </row>
    <row r="30" customFormat="false" ht="15" hidden="false" customHeight="false" outlineLevel="0" collapsed="false">
      <c r="A30" s="19" t="n">
        <v>29</v>
      </c>
      <c r="B30" s="20" t="s">
        <v>184</v>
      </c>
      <c r="C30" s="20" t="s">
        <v>164</v>
      </c>
      <c r="D30" s="21" t="s">
        <v>105</v>
      </c>
      <c r="E30" s="21" t="s">
        <v>169</v>
      </c>
      <c r="F30" s="21"/>
    </row>
    <row r="31" customFormat="false" ht="17.15" hidden="false" customHeight="false" outlineLevel="0" collapsed="false">
      <c r="A31" s="19" t="n">
        <v>30</v>
      </c>
      <c r="B31" s="20" t="s">
        <v>185</v>
      </c>
      <c r="C31" s="20" t="s">
        <v>186</v>
      </c>
      <c r="D31" s="21" t="s">
        <v>119</v>
      </c>
      <c r="E31" s="21" t="s">
        <v>187</v>
      </c>
      <c r="F31" s="21"/>
    </row>
    <row r="32" customFormat="false" ht="17.15" hidden="false" customHeight="false" outlineLevel="0" collapsed="false">
      <c r="A32" s="19" t="n">
        <v>31</v>
      </c>
      <c r="B32" s="20" t="s">
        <v>188</v>
      </c>
      <c r="C32" s="20" t="s">
        <v>189</v>
      </c>
      <c r="D32" s="21" t="s">
        <v>119</v>
      </c>
      <c r="E32" s="21" t="s">
        <v>190</v>
      </c>
      <c r="F32" s="21"/>
    </row>
    <row r="33" customFormat="false" ht="17.15" hidden="false" customHeight="false" outlineLevel="0" collapsed="false">
      <c r="A33" s="19" t="n">
        <v>32</v>
      </c>
      <c r="B33" s="20" t="s">
        <v>191</v>
      </c>
      <c r="C33" s="20" t="s">
        <v>192</v>
      </c>
      <c r="D33" s="21" t="s">
        <v>119</v>
      </c>
      <c r="E33" s="21" t="s">
        <v>187</v>
      </c>
      <c r="F33" s="21"/>
    </row>
    <row r="34" customFormat="false" ht="17.15" hidden="false" customHeight="false" outlineLevel="0" collapsed="false">
      <c r="A34" s="19" t="n">
        <v>33</v>
      </c>
      <c r="B34" s="20" t="s">
        <v>193</v>
      </c>
      <c r="C34" s="20" t="s">
        <v>194</v>
      </c>
      <c r="D34" s="21" t="s">
        <v>161</v>
      </c>
      <c r="E34" s="21" t="s">
        <v>195</v>
      </c>
      <c r="F34" s="21"/>
    </row>
    <row r="35" customFormat="false" ht="17.15" hidden="false" customHeight="false" outlineLevel="0" collapsed="false">
      <c r="A35" s="19" t="n">
        <v>34</v>
      </c>
      <c r="B35" s="20" t="s">
        <v>196</v>
      </c>
      <c r="C35" s="20" t="s">
        <v>196</v>
      </c>
      <c r="D35" s="21" t="s">
        <v>161</v>
      </c>
      <c r="E35" s="21" t="s">
        <v>197</v>
      </c>
      <c r="F35" s="21"/>
    </row>
    <row r="36" customFormat="false" ht="17.15" hidden="false" customHeight="false" outlineLevel="0" collapsed="false">
      <c r="A36" s="19" t="n">
        <v>35</v>
      </c>
      <c r="B36" s="20" t="s">
        <v>198</v>
      </c>
      <c r="C36" s="20" t="s">
        <v>154</v>
      </c>
      <c r="D36" s="21" t="s">
        <v>105</v>
      </c>
      <c r="E36" s="21" t="s">
        <v>155</v>
      </c>
      <c r="F36" s="21"/>
    </row>
    <row r="37" customFormat="false" ht="15" hidden="false" customHeight="false" outlineLevel="0" collapsed="false">
      <c r="A37" s="19" t="n">
        <v>36</v>
      </c>
      <c r="B37" s="20" t="s">
        <v>199</v>
      </c>
      <c r="C37" s="20" t="s">
        <v>200</v>
      </c>
      <c r="D37" s="21" t="s">
        <v>105</v>
      </c>
      <c r="E37" s="21" t="s">
        <v>123</v>
      </c>
      <c r="F37" s="21"/>
    </row>
    <row r="38" customFormat="false" ht="17.15" hidden="false" customHeight="false" outlineLevel="0" collapsed="false">
      <c r="A38" s="19" t="n">
        <v>37</v>
      </c>
      <c r="B38" s="20" t="s">
        <v>201</v>
      </c>
      <c r="C38" s="20" t="s">
        <v>202</v>
      </c>
      <c r="D38" s="21" t="s">
        <v>119</v>
      </c>
      <c r="E38" s="21" t="s">
        <v>187</v>
      </c>
      <c r="F38" s="21" t="s">
        <v>203</v>
      </c>
    </row>
    <row r="39" customFormat="false" ht="17.15" hidden="false" customHeight="false" outlineLevel="0" collapsed="false">
      <c r="A39" s="19" t="n">
        <v>38</v>
      </c>
      <c r="B39" s="20" t="s">
        <v>204</v>
      </c>
      <c r="C39" s="20" t="s">
        <v>205</v>
      </c>
      <c r="D39" s="21" t="s">
        <v>161</v>
      </c>
      <c r="E39" s="21" t="s">
        <v>206</v>
      </c>
      <c r="F39" s="20" t="s">
        <v>207</v>
      </c>
    </row>
    <row r="40" customFormat="false" ht="17.15" hidden="false" customHeight="false" outlineLevel="0" collapsed="false">
      <c r="A40" s="22" t="n">
        <v>39</v>
      </c>
      <c r="B40" s="23" t="s">
        <v>208</v>
      </c>
      <c r="C40" s="24" t="s">
        <v>209</v>
      </c>
      <c r="D40" s="24" t="s">
        <v>126</v>
      </c>
      <c r="E40" s="24" t="s">
        <v>210</v>
      </c>
      <c r="F40" s="24" t="s">
        <v>211</v>
      </c>
    </row>
    <row r="41" customFormat="false" ht="15" hidden="false" customHeight="false" outlineLevel="0" collapsed="false">
      <c r="A41" s="19" t="n">
        <v>40</v>
      </c>
      <c r="B41" s="20" t="s">
        <v>212</v>
      </c>
      <c r="C41" s="20" t="s">
        <v>164</v>
      </c>
      <c r="D41" s="21" t="s">
        <v>165</v>
      </c>
      <c r="E41" s="20" t="s">
        <v>166</v>
      </c>
      <c r="F41" s="21"/>
    </row>
    <row r="42" customFormat="false" ht="17.15" hidden="false" customHeight="false" outlineLevel="0" collapsed="false">
      <c r="A42" s="19" t="n">
        <v>41</v>
      </c>
      <c r="B42" s="20" t="s">
        <v>213</v>
      </c>
      <c r="C42" s="20" t="s">
        <v>214</v>
      </c>
      <c r="D42" s="21" t="s">
        <v>151</v>
      </c>
      <c r="E42" s="21" t="s">
        <v>215</v>
      </c>
      <c r="F42" s="21" t="s">
        <v>216</v>
      </c>
    </row>
    <row r="43" customFormat="false" ht="17.15" hidden="false" customHeight="false" outlineLevel="0" collapsed="false">
      <c r="A43" s="19" t="n">
        <v>42</v>
      </c>
      <c r="B43" s="20" t="s">
        <v>217</v>
      </c>
      <c r="C43" s="20" t="s">
        <v>189</v>
      </c>
      <c r="D43" s="21" t="s">
        <v>119</v>
      </c>
      <c r="E43" s="20" t="s">
        <v>218</v>
      </c>
      <c r="F43" s="21"/>
    </row>
    <row r="44" customFormat="false" ht="17.15" hidden="false" customHeight="false" outlineLevel="0" collapsed="false">
      <c r="A44" s="19" t="n">
        <v>43</v>
      </c>
      <c r="B44" s="20" t="s">
        <v>219</v>
      </c>
      <c r="C44" s="20" t="s">
        <v>220</v>
      </c>
      <c r="D44" s="21" t="s">
        <v>105</v>
      </c>
      <c r="E44" s="21" t="s">
        <v>155</v>
      </c>
      <c r="F44" s="21"/>
    </row>
    <row r="45" customFormat="false" ht="17.15" hidden="false" customHeight="false" outlineLevel="0" collapsed="false">
      <c r="A45" s="19" t="n">
        <v>44</v>
      </c>
      <c r="B45" s="20" t="s">
        <v>221</v>
      </c>
      <c r="C45" s="20" t="s">
        <v>222</v>
      </c>
      <c r="D45" s="21" t="s">
        <v>151</v>
      </c>
      <c r="E45" s="20" t="s">
        <v>223</v>
      </c>
      <c r="F45" s="21"/>
    </row>
    <row r="46" customFormat="false" ht="17.15" hidden="false" customHeight="false" outlineLevel="0" collapsed="false">
      <c r="A46" s="19" t="n">
        <v>45</v>
      </c>
      <c r="B46" s="20" t="s">
        <v>224</v>
      </c>
      <c r="C46" s="20" t="s">
        <v>225</v>
      </c>
      <c r="D46" s="21" t="s">
        <v>161</v>
      </c>
      <c r="E46" s="21" t="s">
        <v>195</v>
      </c>
      <c r="F46" s="21"/>
    </row>
    <row r="47" customFormat="false" ht="17.15" hidden="false" customHeight="false" outlineLevel="0" collapsed="false">
      <c r="A47" s="22" t="n">
        <v>46</v>
      </c>
      <c r="B47" s="23" t="s">
        <v>226</v>
      </c>
      <c r="C47" s="23" t="s">
        <v>227</v>
      </c>
      <c r="D47" s="24" t="s">
        <v>119</v>
      </c>
      <c r="E47" s="24" t="s">
        <v>228</v>
      </c>
      <c r="F47" s="24" t="s">
        <v>116</v>
      </c>
    </row>
    <row r="48" customFormat="false" ht="15" hidden="false" customHeight="false" outlineLevel="0" collapsed="false">
      <c r="A48" s="19" t="n">
        <v>47</v>
      </c>
      <c r="B48" s="20" t="s">
        <v>229</v>
      </c>
      <c r="C48" s="20" t="s">
        <v>230</v>
      </c>
      <c r="D48" s="21" t="s">
        <v>105</v>
      </c>
      <c r="E48" s="21" t="s">
        <v>173</v>
      </c>
      <c r="F48" s="21"/>
    </row>
    <row r="49" customFormat="false" ht="17.15" hidden="false" customHeight="false" outlineLevel="0" collapsed="false">
      <c r="A49" s="19" t="n">
        <v>48</v>
      </c>
      <c r="B49" s="20" t="s">
        <v>231</v>
      </c>
      <c r="C49" s="20" t="s">
        <v>132</v>
      </c>
      <c r="D49" s="21" t="s">
        <v>105</v>
      </c>
      <c r="E49" s="21" t="s">
        <v>106</v>
      </c>
      <c r="F49" s="21"/>
    </row>
    <row r="50" customFormat="false" ht="17.15" hidden="false" customHeight="false" outlineLevel="0" collapsed="false">
      <c r="A50" s="19" t="n">
        <v>49</v>
      </c>
      <c r="B50" s="20" t="s">
        <v>232</v>
      </c>
      <c r="C50" s="20" t="s">
        <v>233</v>
      </c>
      <c r="D50" s="21" t="s">
        <v>105</v>
      </c>
      <c r="E50" s="21" t="s">
        <v>106</v>
      </c>
      <c r="F50" s="21" t="s">
        <v>234</v>
      </c>
    </row>
    <row r="51" customFormat="false" ht="17.15" hidden="false" customHeight="false" outlineLevel="0" collapsed="false">
      <c r="A51" s="19" t="n">
        <v>50</v>
      </c>
      <c r="B51" s="20" t="s">
        <v>235</v>
      </c>
      <c r="C51" s="20" t="s">
        <v>236</v>
      </c>
      <c r="D51" s="21" t="s">
        <v>161</v>
      </c>
      <c r="E51" s="21" t="s">
        <v>237</v>
      </c>
      <c r="F51" s="21" t="s">
        <v>238</v>
      </c>
    </row>
    <row r="52" customFormat="false" ht="17.15" hidden="false" customHeight="false" outlineLevel="0" collapsed="false">
      <c r="A52" s="19" t="n">
        <v>51</v>
      </c>
      <c r="B52" s="20" t="s">
        <v>239</v>
      </c>
      <c r="C52" s="20" t="s">
        <v>240</v>
      </c>
      <c r="D52" s="21" t="s">
        <v>177</v>
      </c>
      <c r="E52" s="21" t="s">
        <v>241</v>
      </c>
      <c r="F52" s="21"/>
    </row>
    <row r="53" customFormat="false" ht="17.15" hidden="false" customHeight="false" outlineLevel="0" collapsed="false">
      <c r="A53" s="19" t="n">
        <v>52</v>
      </c>
      <c r="B53" s="20" t="s">
        <v>242</v>
      </c>
      <c r="C53" s="20" t="s">
        <v>243</v>
      </c>
      <c r="D53" s="21" t="s">
        <v>244</v>
      </c>
      <c r="E53" s="21" t="s">
        <v>245</v>
      </c>
      <c r="F53" s="21"/>
    </row>
    <row r="54" customFormat="false" ht="17.15" hidden="false" customHeight="false" outlineLevel="0" collapsed="false">
      <c r="A54" s="19" t="n">
        <v>53</v>
      </c>
      <c r="B54" s="20" t="s">
        <v>246</v>
      </c>
      <c r="C54" s="20" t="s">
        <v>247</v>
      </c>
      <c r="D54" s="21" t="s">
        <v>161</v>
      </c>
      <c r="E54" s="21" t="s">
        <v>197</v>
      </c>
      <c r="F54" s="21"/>
    </row>
    <row r="55" customFormat="false" ht="17.15" hidden="false" customHeight="false" outlineLevel="0" collapsed="false">
      <c r="A55" s="19" t="n">
        <v>54</v>
      </c>
      <c r="B55" s="20" t="s">
        <v>248</v>
      </c>
      <c r="C55" s="20" t="s">
        <v>189</v>
      </c>
      <c r="D55" s="21" t="s">
        <v>119</v>
      </c>
      <c r="E55" s="21" t="s">
        <v>249</v>
      </c>
      <c r="F55" s="21"/>
    </row>
    <row r="56" customFormat="false" ht="17.15" hidden="false" customHeight="false" outlineLevel="0" collapsed="false">
      <c r="A56" s="19" t="n">
        <v>55</v>
      </c>
      <c r="B56" s="20" t="s">
        <v>250</v>
      </c>
      <c r="C56" s="20" t="s">
        <v>251</v>
      </c>
      <c r="D56" s="21" t="s">
        <v>177</v>
      </c>
      <c r="E56" s="21" t="s">
        <v>252</v>
      </c>
      <c r="F56" s="21"/>
    </row>
    <row r="57" customFormat="false" ht="17.15" hidden="false" customHeight="false" outlineLevel="0" collapsed="false">
      <c r="A57" s="19" t="n">
        <v>56</v>
      </c>
      <c r="B57" s="20" t="s">
        <v>253</v>
      </c>
      <c r="C57" s="20" t="s">
        <v>254</v>
      </c>
      <c r="D57" s="21" t="s">
        <v>105</v>
      </c>
      <c r="E57" s="21" t="s">
        <v>110</v>
      </c>
      <c r="F57" s="21"/>
    </row>
    <row r="58" customFormat="false" ht="17.15" hidden="false" customHeight="false" outlineLevel="0" collapsed="false">
      <c r="A58" s="19" t="n">
        <v>57</v>
      </c>
      <c r="B58" s="20" t="s">
        <v>255</v>
      </c>
      <c r="C58" s="20" t="s">
        <v>256</v>
      </c>
      <c r="D58" s="21" t="s">
        <v>105</v>
      </c>
      <c r="E58" s="21" t="s">
        <v>130</v>
      </c>
      <c r="F58" s="20" t="s">
        <v>257</v>
      </c>
    </row>
    <row r="59" customFormat="false" ht="17.15" hidden="false" customHeight="false" outlineLevel="0" collapsed="false">
      <c r="A59" s="19" t="n">
        <v>58</v>
      </c>
      <c r="B59" s="20" t="s">
        <v>258</v>
      </c>
      <c r="C59" s="20" t="s">
        <v>259</v>
      </c>
      <c r="D59" s="21" t="s">
        <v>105</v>
      </c>
      <c r="E59" s="21" t="s">
        <v>260</v>
      </c>
      <c r="F59" s="21"/>
    </row>
    <row r="60" customFormat="false" ht="17.15" hidden="false" customHeight="false" outlineLevel="0" collapsed="false">
      <c r="A60" s="19" t="n">
        <v>59</v>
      </c>
      <c r="B60" s="20" t="s">
        <v>261</v>
      </c>
      <c r="C60" s="20" t="s">
        <v>262</v>
      </c>
      <c r="D60" s="21" t="s">
        <v>105</v>
      </c>
      <c r="E60" s="21" t="s">
        <v>144</v>
      </c>
      <c r="F60" s="21"/>
    </row>
    <row r="61" customFormat="false" ht="15" hidden="false" customHeight="false" outlineLevel="0" collapsed="false">
      <c r="A61" s="19" t="n">
        <v>60</v>
      </c>
      <c r="B61" s="20" t="s">
        <v>263</v>
      </c>
      <c r="C61" s="20" t="s">
        <v>164</v>
      </c>
      <c r="D61" s="21" t="s">
        <v>105</v>
      </c>
      <c r="E61" s="21" t="s">
        <v>169</v>
      </c>
      <c r="F61" s="21"/>
    </row>
    <row r="62" customFormat="false" ht="17.15" hidden="false" customHeight="false" outlineLevel="0" collapsed="false">
      <c r="A62" s="19" t="n">
        <v>61</v>
      </c>
      <c r="B62" s="20" t="s">
        <v>264</v>
      </c>
      <c r="C62" s="20" t="s">
        <v>265</v>
      </c>
      <c r="D62" s="21" t="s">
        <v>105</v>
      </c>
      <c r="E62" s="21" t="s">
        <v>110</v>
      </c>
      <c r="F62" s="21"/>
    </row>
    <row r="63" customFormat="false" ht="15" hidden="false" customHeight="false" outlineLevel="0" collapsed="false">
      <c r="A63" s="19" t="n">
        <v>62</v>
      </c>
      <c r="B63" s="20" t="s">
        <v>266</v>
      </c>
      <c r="C63" s="20" t="s">
        <v>267</v>
      </c>
      <c r="D63" s="21" t="s">
        <v>105</v>
      </c>
      <c r="E63" s="21" t="s">
        <v>135</v>
      </c>
      <c r="F63" s="21"/>
    </row>
    <row r="64" customFormat="false" ht="15" hidden="false" customHeight="false" outlineLevel="0" collapsed="false">
      <c r="A64" s="19" t="n">
        <v>63</v>
      </c>
      <c r="B64" s="20" t="s">
        <v>268</v>
      </c>
      <c r="C64" s="20" t="s">
        <v>269</v>
      </c>
      <c r="D64" s="21" t="s">
        <v>105</v>
      </c>
      <c r="E64" s="21" t="s">
        <v>135</v>
      </c>
      <c r="F64" s="21" t="s">
        <v>270</v>
      </c>
    </row>
    <row r="65" customFormat="false" ht="15" hidden="false" customHeight="false" outlineLevel="0" collapsed="false">
      <c r="A65" s="19" t="n">
        <v>64</v>
      </c>
      <c r="B65" s="20" t="s">
        <v>271</v>
      </c>
      <c r="C65" s="20" t="s">
        <v>272</v>
      </c>
      <c r="D65" s="21" t="s">
        <v>244</v>
      </c>
      <c r="E65" s="21" t="s">
        <v>273</v>
      </c>
      <c r="F65" s="21"/>
    </row>
    <row r="66" customFormat="false" ht="17.15" hidden="false" customHeight="false" outlineLevel="0" collapsed="false">
      <c r="A66" s="19" t="n">
        <v>65</v>
      </c>
      <c r="B66" s="20" t="s">
        <v>274</v>
      </c>
      <c r="C66" s="20" t="s">
        <v>275</v>
      </c>
      <c r="D66" s="21" t="s">
        <v>161</v>
      </c>
      <c r="E66" s="21" t="s">
        <v>197</v>
      </c>
      <c r="F66" s="21"/>
    </row>
    <row r="67" customFormat="false" ht="17.15" hidden="false" customHeight="false" outlineLevel="0" collapsed="false">
      <c r="A67" s="19" t="n">
        <v>66</v>
      </c>
      <c r="B67" s="20" t="s">
        <v>276</v>
      </c>
      <c r="C67" s="20" t="s">
        <v>277</v>
      </c>
      <c r="D67" s="21" t="s">
        <v>151</v>
      </c>
      <c r="E67" s="21" t="s">
        <v>278</v>
      </c>
      <c r="F67" s="21"/>
    </row>
    <row r="68" customFormat="false" ht="17.15" hidden="false" customHeight="false" outlineLevel="0" collapsed="false">
      <c r="A68" s="19" t="n">
        <v>67</v>
      </c>
      <c r="B68" s="20" t="s">
        <v>279</v>
      </c>
      <c r="C68" s="20" t="s">
        <v>280</v>
      </c>
      <c r="D68" s="21" t="s">
        <v>161</v>
      </c>
      <c r="E68" s="21" t="s">
        <v>162</v>
      </c>
      <c r="F68" s="21"/>
    </row>
    <row r="69" customFormat="false" ht="15" hidden="false" customHeight="false" outlineLevel="0" collapsed="false">
      <c r="A69" s="22" t="n">
        <v>68</v>
      </c>
      <c r="B69" s="23" t="s">
        <v>281</v>
      </c>
      <c r="C69" s="23" t="s">
        <v>282</v>
      </c>
      <c r="D69" s="24" t="s">
        <v>244</v>
      </c>
      <c r="E69" s="24" t="s">
        <v>228</v>
      </c>
      <c r="F69" s="24" t="s">
        <v>116</v>
      </c>
    </row>
    <row r="70" customFormat="false" ht="15" hidden="false" customHeight="false" outlineLevel="0" collapsed="false">
      <c r="A70" s="19" t="n">
        <v>69</v>
      </c>
      <c r="B70" s="20" t="s">
        <v>283</v>
      </c>
      <c r="C70" s="20" t="s">
        <v>284</v>
      </c>
      <c r="D70" s="21" t="s">
        <v>165</v>
      </c>
      <c r="E70" s="20" t="s">
        <v>166</v>
      </c>
      <c r="F70" s="21" t="s">
        <v>285</v>
      </c>
    </row>
    <row r="71" customFormat="false" ht="17.15" hidden="false" customHeight="false" outlineLevel="0" collapsed="false">
      <c r="A71" s="19" t="n">
        <v>70</v>
      </c>
      <c r="B71" s="20" t="s">
        <v>286</v>
      </c>
      <c r="C71" s="20" t="s">
        <v>192</v>
      </c>
      <c r="D71" s="21" t="s">
        <v>147</v>
      </c>
      <c r="E71" s="21" t="s">
        <v>287</v>
      </c>
      <c r="F71" s="21"/>
    </row>
    <row r="72" customFormat="false" ht="17.15" hidden="false" customHeight="false" outlineLevel="0" collapsed="false">
      <c r="A72" s="22" t="n">
        <v>71</v>
      </c>
      <c r="B72" s="23" t="s">
        <v>288</v>
      </c>
      <c r="C72" s="23" t="s">
        <v>289</v>
      </c>
      <c r="D72" s="24" t="s">
        <v>119</v>
      </c>
      <c r="E72" s="24" t="s">
        <v>290</v>
      </c>
      <c r="F72" s="24" t="s">
        <v>116</v>
      </c>
    </row>
    <row r="73" customFormat="false" ht="15" hidden="false" customHeight="false" outlineLevel="0" collapsed="false">
      <c r="A73" s="19" t="n">
        <v>72</v>
      </c>
      <c r="B73" s="20" t="s">
        <v>291</v>
      </c>
      <c r="C73" s="20" t="s">
        <v>280</v>
      </c>
      <c r="D73" s="21" t="s">
        <v>105</v>
      </c>
      <c r="E73" s="21" t="s">
        <v>292</v>
      </c>
      <c r="F73" s="21" t="s">
        <v>293</v>
      </c>
    </row>
    <row r="74" customFormat="false" ht="17.15" hidden="false" customHeight="false" outlineLevel="0" collapsed="false">
      <c r="A74" s="19" t="n">
        <v>73</v>
      </c>
      <c r="B74" s="20" t="s">
        <v>294</v>
      </c>
      <c r="C74" s="20" t="s">
        <v>205</v>
      </c>
      <c r="D74" s="21" t="s">
        <v>161</v>
      </c>
      <c r="E74" s="21" t="s">
        <v>162</v>
      </c>
      <c r="F74" s="21"/>
    </row>
    <row r="75" customFormat="false" ht="15" hidden="false" customHeight="false" outlineLevel="0" collapsed="false">
      <c r="A75" s="19" t="n">
        <v>74</v>
      </c>
      <c r="B75" s="20" t="s">
        <v>295</v>
      </c>
      <c r="C75" s="20" t="s">
        <v>296</v>
      </c>
      <c r="D75" s="21" t="s">
        <v>105</v>
      </c>
      <c r="E75" s="21" t="s">
        <v>173</v>
      </c>
      <c r="F75" s="21"/>
    </row>
    <row r="76" customFormat="false" ht="17.15" hidden="false" customHeight="false" outlineLevel="0" collapsed="false">
      <c r="A76" s="19" t="n">
        <v>75</v>
      </c>
      <c r="B76" s="20" t="s">
        <v>297</v>
      </c>
      <c r="C76" s="20" t="s">
        <v>298</v>
      </c>
      <c r="D76" s="21" t="s">
        <v>105</v>
      </c>
      <c r="E76" s="21" t="s">
        <v>110</v>
      </c>
      <c r="F76" s="21" t="s">
        <v>138</v>
      </c>
    </row>
    <row r="77" customFormat="false" ht="15" hidden="false" customHeight="false" outlineLevel="0" collapsed="false">
      <c r="A77" s="19" t="n">
        <v>76</v>
      </c>
      <c r="B77" s="20" t="s">
        <v>299</v>
      </c>
      <c r="C77" s="20" t="s">
        <v>160</v>
      </c>
      <c r="D77" s="20" t="s">
        <v>300</v>
      </c>
      <c r="E77" s="21" t="s">
        <v>301</v>
      </c>
      <c r="F77" s="21"/>
    </row>
    <row r="78" customFormat="false" ht="17.15" hidden="false" customHeight="false" outlineLevel="0" collapsed="false">
      <c r="A78" s="19" t="n">
        <v>77</v>
      </c>
      <c r="B78" s="20" t="s">
        <v>302</v>
      </c>
      <c r="C78" s="20" t="s">
        <v>256</v>
      </c>
      <c r="D78" s="21" t="s">
        <v>105</v>
      </c>
      <c r="E78" s="21" t="s">
        <v>155</v>
      </c>
      <c r="F78" s="21" t="s">
        <v>303</v>
      </c>
    </row>
    <row r="79" customFormat="false" ht="15" hidden="false" customHeight="false" outlineLevel="0" collapsed="false">
      <c r="A79" s="19" t="n">
        <v>78</v>
      </c>
      <c r="B79" s="20" t="s">
        <v>304</v>
      </c>
      <c r="C79" s="20" t="s">
        <v>305</v>
      </c>
      <c r="D79" s="21" t="s">
        <v>105</v>
      </c>
      <c r="E79" s="21" t="s">
        <v>173</v>
      </c>
      <c r="F79" s="21" t="s">
        <v>306</v>
      </c>
    </row>
    <row r="80" customFormat="false" ht="17.15" hidden="false" customHeight="false" outlineLevel="0" collapsed="false">
      <c r="A80" s="19" t="n">
        <v>79</v>
      </c>
      <c r="B80" s="20" t="s">
        <v>307</v>
      </c>
      <c r="C80" s="20" t="s">
        <v>308</v>
      </c>
      <c r="D80" s="21" t="s">
        <v>161</v>
      </c>
      <c r="E80" s="21" t="s">
        <v>195</v>
      </c>
      <c r="F80" s="21"/>
    </row>
    <row r="81" customFormat="false" ht="15" hidden="false" customHeight="false" outlineLevel="0" collapsed="false">
      <c r="A81" s="19" t="n">
        <v>80</v>
      </c>
      <c r="B81" s="20" t="s">
        <v>309</v>
      </c>
      <c r="C81" s="20" t="s">
        <v>277</v>
      </c>
      <c r="D81" s="21" t="s">
        <v>165</v>
      </c>
      <c r="E81" s="21" t="s">
        <v>310</v>
      </c>
      <c r="F81" s="21"/>
    </row>
    <row r="82" customFormat="false" ht="17.15" hidden="false" customHeight="false" outlineLevel="0" collapsed="false">
      <c r="A82" s="19" t="n">
        <v>81</v>
      </c>
      <c r="B82" s="20" t="s">
        <v>311</v>
      </c>
      <c r="C82" s="20" t="s">
        <v>104</v>
      </c>
      <c r="D82" s="21" t="s">
        <v>105</v>
      </c>
      <c r="E82" s="21" t="s">
        <v>260</v>
      </c>
      <c r="F82" s="21"/>
    </row>
    <row r="83" customFormat="false" ht="17.15" hidden="false" customHeight="false" outlineLevel="0" collapsed="false">
      <c r="A83" s="19" t="n">
        <v>82</v>
      </c>
      <c r="B83" s="20" t="s">
        <v>312</v>
      </c>
      <c r="C83" s="20" t="s">
        <v>313</v>
      </c>
      <c r="D83" s="21" t="s">
        <v>126</v>
      </c>
      <c r="E83" s="21" t="s">
        <v>210</v>
      </c>
      <c r="F83" s="21"/>
    </row>
    <row r="84" customFormat="false" ht="17.15" hidden="false" customHeight="false" outlineLevel="0" collapsed="false">
      <c r="A84" s="19" t="n">
        <v>83</v>
      </c>
      <c r="B84" s="20" t="s">
        <v>314</v>
      </c>
      <c r="C84" s="20" t="s">
        <v>247</v>
      </c>
      <c r="D84" s="21" t="s">
        <v>161</v>
      </c>
      <c r="E84" s="21" t="s">
        <v>197</v>
      </c>
      <c r="F84" s="21"/>
    </row>
    <row r="85" customFormat="false" ht="15" hidden="false" customHeight="false" outlineLevel="0" collapsed="false">
      <c r="A85" s="19" t="n">
        <v>84</v>
      </c>
      <c r="B85" s="20" t="s">
        <v>315</v>
      </c>
      <c r="C85" s="20" t="s">
        <v>316</v>
      </c>
      <c r="D85" s="21" t="s">
        <v>105</v>
      </c>
      <c r="E85" s="21" t="s">
        <v>317</v>
      </c>
      <c r="F85" s="21"/>
    </row>
    <row r="86" customFormat="false" ht="17.15" hidden="false" customHeight="false" outlineLevel="0" collapsed="false">
      <c r="A86" s="19" t="n">
        <v>85</v>
      </c>
      <c r="B86" s="20" t="s">
        <v>318</v>
      </c>
      <c r="C86" s="20" t="s">
        <v>140</v>
      </c>
      <c r="D86" s="21" t="s">
        <v>105</v>
      </c>
      <c r="E86" s="21" t="s">
        <v>130</v>
      </c>
      <c r="F86" s="21"/>
    </row>
    <row r="87" customFormat="false" ht="15" hidden="false" customHeight="false" outlineLevel="0" collapsed="false">
      <c r="A87" s="19" t="n">
        <v>86</v>
      </c>
      <c r="B87" s="20" t="s">
        <v>319</v>
      </c>
      <c r="C87" s="20" t="s">
        <v>320</v>
      </c>
      <c r="D87" s="21" t="s">
        <v>105</v>
      </c>
      <c r="E87" s="21" t="s">
        <v>135</v>
      </c>
      <c r="F87" s="21"/>
    </row>
    <row r="88" customFormat="false" ht="17.15" hidden="false" customHeight="false" outlineLevel="0" collapsed="false">
      <c r="A88" s="19" t="n">
        <v>87</v>
      </c>
      <c r="B88" s="20" t="s">
        <v>321</v>
      </c>
      <c r="C88" s="20" t="s">
        <v>322</v>
      </c>
      <c r="D88" s="21" t="s">
        <v>105</v>
      </c>
      <c r="E88" s="21" t="s">
        <v>110</v>
      </c>
      <c r="F88" s="20" t="s">
        <v>323</v>
      </c>
    </row>
    <row r="89" customFormat="false" ht="17.15" hidden="false" customHeight="false" outlineLevel="0" collapsed="false">
      <c r="A89" s="19" t="n">
        <v>88</v>
      </c>
      <c r="B89" s="20" t="s">
        <v>324</v>
      </c>
      <c r="C89" s="20" t="s">
        <v>325</v>
      </c>
      <c r="D89" s="21" t="s">
        <v>161</v>
      </c>
      <c r="E89" s="21" t="s">
        <v>197</v>
      </c>
      <c r="F89" s="21" t="s">
        <v>326</v>
      </c>
    </row>
    <row r="90" customFormat="false" ht="17.15" hidden="false" customHeight="false" outlineLevel="0" collapsed="false">
      <c r="A90" s="19" t="n">
        <v>89</v>
      </c>
      <c r="B90" s="20" t="s">
        <v>327</v>
      </c>
      <c r="C90" s="20" t="s">
        <v>189</v>
      </c>
      <c r="D90" s="21" t="s">
        <v>119</v>
      </c>
      <c r="E90" s="20" t="s">
        <v>218</v>
      </c>
      <c r="F90" s="21"/>
    </row>
    <row r="91" customFormat="false" ht="17.15" hidden="false" customHeight="false" outlineLevel="0" collapsed="false">
      <c r="A91" s="19" t="n">
        <v>90</v>
      </c>
      <c r="B91" s="20" t="s">
        <v>328</v>
      </c>
      <c r="C91" s="20" t="s">
        <v>329</v>
      </c>
      <c r="D91" s="21" t="s">
        <v>105</v>
      </c>
      <c r="E91" s="21" t="s">
        <v>110</v>
      </c>
      <c r="F91" s="21" t="s">
        <v>330</v>
      </c>
    </row>
    <row r="92" customFormat="false" ht="17.15" hidden="false" customHeight="false" outlineLevel="0" collapsed="false">
      <c r="A92" s="19" t="n">
        <v>91</v>
      </c>
      <c r="B92" s="20" t="s">
        <v>331</v>
      </c>
      <c r="C92" s="20" t="s">
        <v>332</v>
      </c>
      <c r="D92" s="21" t="s">
        <v>119</v>
      </c>
      <c r="E92" s="21" t="s">
        <v>290</v>
      </c>
      <c r="F92" s="21" t="s">
        <v>333</v>
      </c>
    </row>
    <row r="93" customFormat="false" ht="17.15" hidden="false" customHeight="false" outlineLevel="0" collapsed="false">
      <c r="A93" s="19" t="n">
        <v>92</v>
      </c>
      <c r="B93" s="20" t="s">
        <v>334</v>
      </c>
      <c r="C93" s="20" t="s">
        <v>275</v>
      </c>
      <c r="D93" s="21" t="s">
        <v>161</v>
      </c>
      <c r="E93" s="21" t="s">
        <v>197</v>
      </c>
      <c r="F93" s="21"/>
    </row>
    <row r="94" customFormat="false" ht="15" hidden="false" customHeight="false" outlineLevel="0" collapsed="false">
      <c r="A94" s="19" t="n">
        <v>93</v>
      </c>
      <c r="B94" s="20" t="s">
        <v>335</v>
      </c>
      <c r="C94" s="20" t="s">
        <v>272</v>
      </c>
      <c r="D94" s="21" t="s">
        <v>244</v>
      </c>
      <c r="E94" s="21" t="s">
        <v>336</v>
      </c>
      <c r="F94" s="21"/>
    </row>
    <row r="95" customFormat="false" ht="17.15" hidden="false" customHeight="false" outlineLevel="0" collapsed="false">
      <c r="A95" s="19" t="n">
        <v>94</v>
      </c>
      <c r="B95" s="20" t="s">
        <v>337</v>
      </c>
      <c r="C95" s="20" t="s">
        <v>338</v>
      </c>
      <c r="D95" s="21" t="s">
        <v>161</v>
      </c>
      <c r="E95" s="21" t="s">
        <v>195</v>
      </c>
      <c r="F95" s="21"/>
    </row>
    <row r="96" customFormat="false" ht="15" hidden="false" customHeight="false" outlineLevel="0" collapsed="false">
      <c r="A96" s="19" t="n">
        <v>95</v>
      </c>
      <c r="B96" s="20" t="s">
        <v>339</v>
      </c>
      <c r="C96" s="20" t="s">
        <v>340</v>
      </c>
      <c r="D96" s="21" t="s">
        <v>244</v>
      </c>
      <c r="E96" s="21" t="s">
        <v>336</v>
      </c>
      <c r="F96" s="21"/>
    </row>
    <row r="97" customFormat="false" ht="15" hidden="false" customHeight="false" outlineLevel="0" collapsed="false">
      <c r="A97" s="19" t="n">
        <v>96</v>
      </c>
      <c r="B97" s="20" t="s">
        <v>341</v>
      </c>
      <c r="C97" s="20" t="s">
        <v>342</v>
      </c>
      <c r="D97" s="20" t="s">
        <v>300</v>
      </c>
      <c r="E97" s="21" t="s">
        <v>343</v>
      </c>
      <c r="F97" s="21"/>
    </row>
    <row r="98" customFormat="false" ht="15" hidden="false" customHeight="false" outlineLevel="0" collapsed="false">
      <c r="A98" s="19" t="n">
        <v>97</v>
      </c>
      <c r="B98" s="20" t="s">
        <v>344</v>
      </c>
      <c r="C98" s="20" t="s">
        <v>345</v>
      </c>
      <c r="D98" s="21" t="s">
        <v>105</v>
      </c>
      <c r="E98" s="21" t="s">
        <v>169</v>
      </c>
      <c r="F98" s="21" t="s">
        <v>346</v>
      </c>
    </row>
    <row r="99" customFormat="false" ht="15" hidden="false" customHeight="false" outlineLevel="0" collapsed="false">
      <c r="A99" s="19" t="n">
        <v>98</v>
      </c>
      <c r="B99" s="20" t="s">
        <v>347</v>
      </c>
      <c r="C99" s="20" t="s">
        <v>348</v>
      </c>
      <c r="D99" s="21" t="s">
        <v>105</v>
      </c>
      <c r="E99" s="21" t="s">
        <v>173</v>
      </c>
      <c r="F99" s="21"/>
    </row>
    <row r="100" customFormat="false" ht="17.15" hidden="false" customHeight="false" outlineLevel="0" collapsed="false">
      <c r="A100" s="22" t="n">
        <v>99</v>
      </c>
      <c r="B100" s="23" t="s">
        <v>349</v>
      </c>
      <c r="C100" s="24" t="s">
        <v>209</v>
      </c>
      <c r="D100" s="24" t="s">
        <v>177</v>
      </c>
      <c r="E100" s="24" t="s">
        <v>241</v>
      </c>
      <c r="F100" s="24" t="s">
        <v>211</v>
      </c>
    </row>
    <row r="101" customFormat="false" ht="15" hidden="false" customHeight="false" outlineLevel="0" collapsed="false">
      <c r="A101" s="19" t="n">
        <v>100</v>
      </c>
      <c r="B101" s="20" t="s">
        <v>350</v>
      </c>
      <c r="C101" s="20" t="s">
        <v>351</v>
      </c>
      <c r="D101" s="21" t="s">
        <v>105</v>
      </c>
      <c r="E101" s="21" t="s">
        <v>292</v>
      </c>
      <c r="F101" s="21" t="s">
        <v>352</v>
      </c>
    </row>
  </sheetData>
  <autoFilter ref="A1:F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8" t="s">
        <v>98</v>
      </c>
      <c r="B1" s="18" t="s">
        <v>99</v>
      </c>
      <c r="C1" s="18" t="s">
        <v>100</v>
      </c>
      <c r="D1" s="18" t="s">
        <v>101</v>
      </c>
      <c r="E1" s="18" t="s">
        <v>102</v>
      </c>
      <c r="F1" s="18" t="s">
        <v>6</v>
      </c>
    </row>
    <row r="2" customFormat="false" ht="17.15" hidden="false" customHeight="false" outlineLevel="0" collapsed="false">
      <c r="A2" s="19" t="n">
        <v>1</v>
      </c>
      <c r="B2" s="20" t="s">
        <v>111</v>
      </c>
      <c r="C2" s="20" t="s">
        <v>112</v>
      </c>
      <c r="D2" s="21" t="s">
        <v>105</v>
      </c>
      <c r="E2" s="21" t="s">
        <v>110</v>
      </c>
      <c r="F2" s="21"/>
    </row>
    <row r="3" customFormat="false" ht="17.15" hidden="false" customHeight="false" outlineLevel="0" collapsed="false">
      <c r="A3" s="19" t="n">
        <v>2</v>
      </c>
      <c r="B3" s="20" t="s">
        <v>353</v>
      </c>
      <c r="C3" s="20" t="s">
        <v>104</v>
      </c>
      <c r="D3" s="21" t="s">
        <v>105</v>
      </c>
      <c r="E3" s="21" t="s">
        <v>106</v>
      </c>
      <c r="F3" s="21" t="s">
        <v>107</v>
      </c>
    </row>
    <row r="4" customFormat="false" ht="17.15" hidden="false" customHeight="false" outlineLevel="0" collapsed="false">
      <c r="A4" s="19" t="n">
        <v>3</v>
      </c>
      <c r="B4" s="20" t="s">
        <v>354</v>
      </c>
      <c r="C4" s="20" t="s">
        <v>355</v>
      </c>
      <c r="D4" s="21" t="s">
        <v>119</v>
      </c>
      <c r="E4" s="21" t="s">
        <v>120</v>
      </c>
      <c r="F4" s="21"/>
    </row>
    <row r="5" customFormat="false" ht="17.15" hidden="false" customHeight="false" outlineLevel="0" collapsed="false">
      <c r="A5" s="19" t="n">
        <v>4</v>
      </c>
      <c r="B5" s="20" t="s">
        <v>124</v>
      </c>
      <c r="C5" s="20" t="s">
        <v>125</v>
      </c>
      <c r="D5" s="21" t="s">
        <v>126</v>
      </c>
      <c r="E5" s="20" t="s">
        <v>127</v>
      </c>
      <c r="F5" s="21"/>
    </row>
    <row r="6" customFormat="false" ht="17.15" hidden="false" customHeight="false" outlineLevel="0" collapsed="false">
      <c r="A6" s="19" t="n">
        <v>5</v>
      </c>
      <c r="B6" s="20" t="s">
        <v>128</v>
      </c>
      <c r="C6" s="20" t="s">
        <v>129</v>
      </c>
      <c r="D6" s="21" t="s">
        <v>105</v>
      </c>
      <c r="E6" s="21" t="s">
        <v>130</v>
      </c>
      <c r="F6" s="21"/>
    </row>
    <row r="7" customFormat="false" ht="17.15" hidden="false" customHeight="false" outlineLevel="0" collapsed="false">
      <c r="A7" s="19" t="n">
        <v>6</v>
      </c>
      <c r="B7" s="20" t="s">
        <v>356</v>
      </c>
      <c r="C7" s="20" t="s">
        <v>118</v>
      </c>
      <c r="D7" s="21" t="s">
        <v>119</v>
      </c>
      <c r="E7" s="21" t="s">
        <v>120</v>
      </c>
      <c r="F7" s="21"/>
    </row>
    <row r="8" customFormat="false" ht="15" hidden="false" customHeight="false" outlineLevel="0" collapsed="false">
      <c r="A8" s="19" t="n">
        <v>7</v>
      </c>
      <c r="B8" s="20" t="s">
        <v>139</v>
      </c>
      <c r="C8" s="20" t="s">
        <v>140</v>
      </c>
      <c r="D8" s="21" t="s">
        <v>105</v>
      </c>
      <c r="E8" s="21" t="s">
        <v>135</v>
      </c>
      <c r="F8" s="21"/>
    </row>
    <row r="9" customFormat="false" ht="17.15" hidden="false" customHeight="false" outlineLevel="0" collapsed="false">
      <c r="A9" s="19" t="n">
        <v>8</v>
      </c>
      <c r="B9" s="20" t="s">
        <v>136</v>
      </c>
      <c r="C9" s="20" t="s">
        <v>137</v>
      </c>
      <c r="D9" s="21" t="s">
        <v>105</v>
      </c>
      <c r="E9" s="21" t="s">
        <v>110</v>
      </c>
      <c r="F9" s="21" t="s">
        <v>138</v>
      </c>
    </row>
    <row r="10" customFormat="false" ht="17.15" hidden="false" customHeight="false" outlineLevel="0" collapsed="false">
      <c r="A10" s="19" t="n">
        <v>9</v>
      </c>
      <c r="B10" s="20" t="s">
        <v>157</v>
      </c>
      <c r="C10" s="20" t="s">
        <v>158</v>
      </c>
      <c r="D10" s="21" t="s">
        <v>119</v>
      </c>
      <c r="E10" s="21" t="s">
        <v>120</v>
      </c>
      <c r="F10" s="21"/>
    </row>
    <row r="11" customFormat="false" ht="17.15" hidden="false" customHeight="false" outlineLevel="0" collapsed="false">
      <c r="A11" s="22" t="n">
        <v>10</v>
      </c>
      <c r="B11" s="23" t="s">
        <v>357</v>
      </c>
      <c r="C11" s="23" t="s">
        <v>358</v>
      </c>
      <c r="D11" s="24" t="s">
        <v>177</v>
      </c>
      <c r="E11" s="24" t="s">
        <v>359</v>
      </c>
      <c r="F11" s="24" t="s">
        <v>116</v>
      </c>
    </row>
    <row r="12" customFormat="false" ht="17.15" hidden="false" customHeight="false" outlineLevel="0" collapsed="false">
      <c r="A12" s="19" t="n">
        <v>11</v>
      </c>
      <c r="B12" s="20" t="s">
        <v>113</v>
      </c>
      <c r="C12" s="20" t="s">
        <v>109</v>
      </c>
      <c r="D12" s="21" t="s">
        <v>105</v>
      </c>
      <c r="E12" s="21" t="s">
        <v>110</v>
      </c>
      <c r="F12" s="21"/>
    </row>
    <row r="13" customFormat="false" ht="17.15" hidden="false" customHeight="false" outlineLevel="0" collapsed="false">
      <c r="A13" s="19" t="n">
        <v>12</v>
      </c>
      <c r="B13" s="20" t="s">
        <v>131</v>
      </c>
      <c r="C13" s="20" t="s">
        <v>360</v>
      </c>
      <c r="D13" s="21" t="s">
        <v>105</v>
      </c>
      <c r="E13" s="21" t="s">
        <v>106</v>
      </c>
      <c r="F13" s="21"/>
    </row>
    <row r="14" customFormat="false" ht="15" hidden="false" customHeight="false" outlineLevel="0" collapsed="false">
      <c r="A14" s="19" t="n">
        <v>13</v>
      </c>
      <c r="B14" s="20" t="s">
        <v>361</v>
      </c>
      <c r="C14" s="20" t="s">
        <v>134</v>
      </c>
      <c r="D14" s="21" t="s">
        <v>105</v>
      </c>
      <c r="E14" s="21" t="s">
        <v>135</v>
      </c>
      <c r="F14" s="21"/>
    </row>
    <row r="15" customFormat="false" ht="15" hidden="false" customHeight="false" outlineLevel="0" collapsed="false">
      <c r="A15" s="19" t="n">
        <v>14</v>
      </c>
      <c r="B15" s="20" t="s">
        <v>142</v>
      </c>
      <c r="C15" s="20" t="s">
        <v>104</v>
      </c>
      <c r="D15" s="21" t="s">
        <v>105</v>
      </c>
      <c r="E15" s="21" t="s">
        <v>123</v>
      </c>
      <c r="F15" s="21"/>
    </row>
    <row r="16" customFormat="false" ht="15" hidden="false" customHeight="false" outlineLevel="0" collapsed="false">
      <c r="A16" s="19" t="n">
        <v>15</v>
      </c>
      <c r="B16" s="20" t="s">
        <v>362</v>
      </c>
      <c r="C16" s="20" t="s">
        <v>363</v>
      </c>
      <c r="D16" s="21" t="s">
        <v>147</v>
      </c>
      <c r="E16" s="21" t="s">
        <v>364</v>
      </c>
      <c r="F16" s="21" t="s">
        <v>365</v>
      </c>
    </row>
    <row r="17" customFormat="false" ht="15" hidden="false" customHeight="false" outlineLevel="0" collapsed="false">
      <c r="A17" s="19" t="n">
        <v>16</v>
      </c>
      <c r="B17" s="20" t="s">
        <v>229</v>
      </c>
      <c r="C17" s="20" t="s">
        <v>230</v>
      </c>
      <c r="D17" s="21" t="s">
        <v>105</v>
      </c>
      <c r="E17" s="21" t="s">
        <v>173</v>
      </c>
      <c r="F17" s="21"/>
    </row>
    <row r="18" customFormat="false" ht="15" hidden="false" customHeight="false" outlineLevel="0" collapsed="false">
      <c r="A18" s="19" t="n">
        <v>17</v>
      </c>
      <c r="B18" s="20" t="s">
        <v>167</v>
      </c>
      <c r="C18" s="20" t="s">
        <v>168</v>
      </c>
      <c r="D18" s="21" t="s">
        <v>105</v>
      </c>
      <c r="E18" s="21" t="s">
        <v>169</v>
      </c>
      <c r="F18" s="21" t="s">
        <v>170</v>
      </c>
    </row>
    <row r="19" customFormat="false" ht="17.15" hidden="false" customHeight="false" outlineLevel="0" collapsed="false">
      <c r="A19" s="19" t="n">
        <v>18</v>
      </c>
      <c r="B19" s="20" t="s">
        <v>366</v>
      </c>
      <c r="C19" s="20" t="s">
        <v>265</v>
      </c>
      <c r="D19" s="21" t="s">
        <v>105</v>
      </c>
      <c r="E19" s="21" t="s">
        <v>110</v>
      </c>
      <c r="F19" s="21"/>
    </row>
    <row r="20" customFormat="false" ht="17.15" hidden="false" customHeight="false" outlineLevel="0" collapsed="false">
      <c r="A20" s="19" t="n">
        <v>19</v>
      </c>
      <c r="B20" s="20" t="s">
        <v>156</v>
      </c>
      <c r="C20" s="20" t="s">
        <v>112</v>
      </c>
      <c r="D20" s="21" t="s">
        <v>105</v>
      </c>
      <c r="E20" s="21" t="s">
        <v>130</v>
      </c>
      <c r="F20" s="21"/>
    </row>
    <row r="21" customFormat="false" ht="17.15" hidden="false" customHeight="false" outlineLevel="0" collapsed="false">
      <c r="A21" s="19" t="n">
        <v>20</v>
      </c>
      <c r="B21" s="20" t="s">
        <v>367</v>
      </c>
      <c r="C21" s="20" t="s">
        <v>329</v>
      </c>
      <c r="D21" s="21" t="s">
        <v>105</v>
      </c>
      <c r="E21" s="21" t="s">
        <v>110</v>
      </c>
      <c r="F21" s="21" t="s">
        <v>368</v>
      </c>
    </row>
    <row r="22" customFormat="false" ht="17.15" hidden="false" customHeight="false" outlineLevel="0" collapsed="false">
      <c r="A22" s="22" t="n">
        <v>21</v>
      </c>
      <c r="B22" s="23" t="s">
        <v>114</v>
      </c>
      <c r="C22" s="23" t="s">
        <v>369</v>
      </c>
      <c r="D22" s="24" t="s">
        <v>105</v>
      </c>
      <c r="E22" s="24" t="s">
        <v>110</v>
      </c>
      <c r="F22" s="24" t="s">
        <v>116</v>
      </c>
    </row>
    <row r="23" customFormat="false" ht="17.15" hidden="false" customHeight="false" outlineLevel="0" collapsed="false">
      <c r="A23" s="19" t="n">
        <v>22</v>
      </c>
      <c r="B23" s="20" t="s">
        <v>145</v>
      </c>
      <c r="C23" s="20" t="s">
        <v>146</v>
      </c>
      <c r="D23" s="21" t="s">
        <v>147</v>
      </c>
      <c r="E23" s="21" t="s">
        <v>148</v>
      </c>
      <c r="F23" s="21"/>
    </row>
    <row r="24" customFormat="false" ht="15" hidden="false" customHeight="false" outlineLevel="0" collapsed="false">
      <c r="A24" s="19" t="n">
        <v>23</v>
      </c>
      <c r="B24" s="20" t="s">
        <v>370</v>
      </c>
      <c r="C24" s="20" t="s">
        <v>233</v>
      </c>
      <c r="D24" s="21" t="s">
        <v>105</v>
      </c>
      <c r="E24" s="21" t="s">
        <v>123</v>
      </c>
      <c r="F24" s="21"/>
    </row>
    <row r="25" customFormat="false" ht="17.15" hidden="false" customHeight="false" outlineLevel="0" collapsed="false">
      <c r="A25" s="19" t="n">
        <v>24</v>
      </c>
      <c r="B25" s="20" t="s">
        <v>371</v>
      </c>
      <c r="C25" s="20" t="s">
        <v>189</v>
      </c>
      <c r="D25" s="21" t="s">
        <v>105</v>
      </c>
      <c r="E25" s="21" t="s">
        <v>110</v>
      </c>
      <c r="F25" s="21"/>
    </row>
    <row r="26" customFormat="false" ht="17.15" hidden="false" customHeight="false" outlineLevel="0" collapsed="false">
      <c r="A26" s="19" t="n">
        <v>25</v>
      </c>
      <c r="B26" s="20" t="s">
        <v>149</v>
      </c>
      <c r="C26" s="20" t="s">
        <v>150</v>
      </c>
      <c r="D26" s="21" t="s">
        <v>151</v>
      </c>
      <c r="E26" s="21" t="s">
        <v>152</v>
      </c>
      <c r="F26" s="21"/>
    </row>
    <row r="27" customFormat="false" ht="17.15" hidden="false" customHeight="false" outlineLevel="0" collapsed="false">
      <c r="A27" s="19" t="n">
        <v>26</v>
      </c>
      <c r="B27" s="20" t="s">
        <v>159</v>
      </c>
      <c r="C27" s="20" t="s">
        <v>160</v>
      </c>
      <c r="D27" s="21" t="s">
        <v>161</v>
      </c>
      <c r="E27" s="21" t="s">
        <v>162</v>
      </c>
      <c r="F27" s="21"/>
    </row>
    <row r="28" customFormat="false" ht="15" hidden="false" customHeight="false" outlineLevel="0" collapsed="false">
      <c r="A28" s="19" t="n">
        <v>27</v>
      </c>
      <c r="B28" s="20" t="s">
        <v>319</v>
      </c>
      <c r="C28" s="20" t="s">
        <v>320</v>
      </c>
      <c r="D28" s="21" t="s">
        <v>105</v>
      </c>
      <c r="E28" s="21" t="s">
        <v>135</v>
      </c>
      <c r="F28" s="21"/>
    </row>
    <row r="29" customFormat="false" ht="17.15" hidden="false" customHeight="false" outlineLevel="0" collapsed="false">
      <c r="A29" s="19" t="n">
        <v>28</v>
      </c>
      <c r="B29" s="20" t="s">
        <v>188</v>
      </c>
      <c r="C29" s="20" t="s">
        <v>189</v>
      </c>
      <c r="D29" s="21" t="s">
        <v>119</v>
      </c>
      <c r="E29" s="21" t="s">
        <v>190</v>
      </c>
      <c r="F29" s="21"/>
    </row>
    <row r="30" customFormat="false" ht="17.15" hidden="false" customHeight="false" outlineLevel="0" collapsed="false">
      <c r="A30" s="19" t="n">
        <v>29</v>
      </c>
      <c r="B30" s="20" t="s">
        <v>372</v>
      </c>
      <c r="C30" s="20" t="s">
        <v>373</v>
      </c>
      <c r="D30" s="21" t="s">
        <v>119</v>
      </c>
      <c r="E30" s="21" t="s">
        <v>120</v>
      </c>
      <c r="F30" s="21" t="s">
        <v>374</v>
      </c>
    </row>
    <row r="31" customFormat="false" ht="17.15" hidden="false" customHeight="false" outlineLevel="0" collapsed="false">
      <c r="A31" s="19" t="n">
        <v>30</v>
      </c>
      <c r="B31" s="20" t="s">
        <v>248</v>
      </c>
      <c r="C31" s="20" t="s">
        <v>189</v>
      </c>
      <c r="D31" s="21" t="s">
        <v>119</v>
      </c>
      <c r="E31" s="21" t="s">
        <v>249</v>
      </c>
      <c r="F31" s="21"/>
    </row>
    <row r="32" customFormat="false" ht="15" hidden="false" customHeight="false" outlineLevel="0" collapsed="false">
      <c r="A32" s="19" t="n">
        <v>31</v>
      </c>
      <c r="B32" s="20" t="s">
        <v>121</v>
      </c>
      <c r="C32" s="20" t="s">
        <v>122</v>
      </c>
      <c r="D32" s="21" t="s">
        <v>105</v>
      </c>
      <c r="E32" s="21" t="s">
        <v>123</v>
      </c>
      <c r="F32" s="21"/>
    </row>
    <row r="33" customFormat="false" ht="17.15" hidden="false" customHeight="false" outlineLevel="0" collapsed="false">
      <c r="A33" s="19" t="n">
        <v>32</v>
      </c>
      <c r="B33" s="20" t="s">
        <v>217</v>
      </c>
      <c r="C33" s="20" t="s">
        <v>189</v>
      </c>
      <c r="D33" s="21" t="s">
        <v>119</v>
      </c>
      <c r="E33" s="20" t="s">
        <v>218</v>
      </c>
      <c r="F33" s="21"/>
    </row>
    <row r="34" customFormat="false" ht="17.15" hidden="false" customHeight="false" outlineLevel="0" collapsed="false">
      <c r="A34" s="19" t="n">
        <v>33</v>
      </c>
      <c r="B34" s="20" t="s">
        <v>375</v>
      </c>
      <c r="C34" s="20" t="s">
        <v>176</v>
      </c>
      <c r="D34" s="21" t="s">
        <v>177</v>
      </c>
      <c r="E34" s="21" t="s">
        <v>178</v>
      </c>
      <c r="F34" s="21"/>
    </row>
    <row r="35" customFormat="false" ht="15" hidden="false" customHeight="false" outlineLevel="0" collapsed="false">
      <c r="A35" s="19" t="n">
        <v>34</v>
      </c>
      <c r="B35" s="20" t="s">
        <v>199</v>
      </c>
      <c r="C35" s="20" t="s">
        <v>200</v>
      </c>
      <c r="D35" s="21" t="s">
        <v>105</v>
      </c>
      <c r="E35" s="21" t="s">
        <v>123</v>
      </c>
      <c r="F35" s="21"/>
    </row>
    <row r="36" customFormat="false" ht="17.15" hidden="false" customHeight="false" outlineLevel="0" collapsed="false">
      <c r="A36" s="19" t="n">
        <v>35</v>
      </c>
      <c r="B36" s="20" t="s">
        <v>376</v>
      </c>
      <c r="C36" s="20" t="s">
        <v>269</v>
      </c>
      <c r="D36" s="21" t="s">
        <v>105</v>
      </c>
      <c r="E36" s="21" t="s">
        <v>110</v>
      </c>
      <c r="F36" s="21"/>
    </row>
    <row r="37" customFormat="false" ht="17.15" hidden="false" customHeight="false" outlineLevel="0" collapsed="false">
      <c r="A37" s="19" t="n">
        <v>36</v>
      </c>
      <c r="B37" s="20" t="s">
        <v>242</v>
      </c>
      <c r="C37" s="20" t="s">
        <v>243</v>
      </c>
      <c r="D37" s="21" t="s">
        <v>244</v>
      </c>
      <c r="E37" s="21" t="s">
        <v>245</v>
      </c>
      <c r="F37" s="21"/>
    </row>
    <row r="38" customFormat="false" ht="17.15" hidden="false" customHeight="false" outlineLevel="0" collapsed="false">
      <c r="A38" s="19" t="n">
        <v>37</v>
      </c>
      <c r="B38" s="20" t="s">
        <v>191</v>
      </c>
      <c r="C38" s="20" t="s">
        <v>192</v>
      </c>
      <c r="D38" s="21" t="s">
        <v>119</v>
      </c>
      <c r="E38" s="21" t="s">
        <v>187</v>
      </c>
      <c r="F38" s="21"/>
    </row>
    <row r="39" customFormat="false" ht="17.15" hidden="false" customHeight="false" outlineLevel="0" collapsed="false">
      <c r="A39" s="19" t="n">
        <v>38</v>
      </c>
      <c r="B39" s="20" t="s">
        <v>311</v>
      </c>
      <c r="C39" s="20" t="s">
        <v>104</v>
      </c>
      <c r="D39" s="21" t="s">
        <v>105</v>
      </c>
      <c r="E39" s="21" t="s">
        <v>260</v>
      </c>
      <c r="F39" s="21"/>
    </row>
    <row r="40" customFormat="false" ht="17.15" hidden="false" customHeight="false" outlineLevel="0" collapsed="false">
      <c r="A40" s="19" t="n">
        <v>39</v>
      </c>
      <c r="B40" s="20" t="s">
        <v>377</v>
      </c>
      <c r="C40" s="20" t="s">
        <v>363</v>
      </c>
      <c r="D40" s="21" t="s">
        <v>105</v>
      </c>
      <c r="E40" s="21" t="s">
        <v>144</v>
      </c>
      <c r="F40" s="21"/>
    </row>
    <row r="41" customFormat="false" ht="17.15" hidden="false" customHeight="false" outlineLevel="0" collapsed="false">
      <c r="A41" s="19" t="n">
        <v>40</v>
      </c>
      <c r="B41" s="20" t="s">
        <v>378</v>
      </c>
      <c r="C41" s="20" t="s">
        <v>379</v>
      </c>
      <c r="D41" s="21" t="s">
        <v>105</v>
      </c>
      <c r="E41" s="21" t="s">
        <v>110</v>
      </c>
      <c r="F41" s="21"/>
    </row>
    <row r="42" customFormat="false" ht="17.15" hidden="false" customHeight="false" outlineLevel="0" collapsed="false">
      <c r="A42" s="19" t="n">
        <v>41</v>
      </c>
      <c r="B42" s="20" t="s">
        <v>213</v>
      </c>
      <c r="C42" s="20" t="s">
        <v>214</v>
      </c>
      <c r="D42" s="21" t="s">
        <v>151</v>
      </c>
      <c r="E42" s="21" t="s">
        <v>215</v>
      </c>
      <c r="F42" s="21"/>
    </row>
    <row r="43" customFormat="false" ht="17.15" hidden="false" customHeight="false" outlineLevel="0" collapsed="false">
      <c r="A43" s="19" t="n">
        <v>42</v>
      </c>
      <c r="B43" s="20" t="s">
        <v>153</v>
      </c>
      <c r="C43" s="20" t="s">
        <v>154</v>
      </c>
      <c r="D43" s="21" t="s">
        <v>105</v>
      </c>
      <c r="E43" s="21" t="s">
        <v>155</v>
      </c>
      <c r="F43" s="21"/>
    </row>
    <row r="44" customFormat="false" ht="15" hidden="false" customHeight="false" outlineLevel="0" collapsed="false">
      <c r="A44" s="19" t="n">
        <v>43</v>
      </c>
      <c r="B44" s="20" t="s">
        <v>380</v>
      </c>
      <c r="C44" s="20" t="s">
        <v>381</v>
      </c>
      <c r="D44" s="21" t="s">
        <v>105</v>
      </c>
      <c r="E44" s="21" t="s">
        <v>135</v>
      </c>
      <c r="F44" s="21"/>
    </row>
    <row r="45" customFormat="false" ht="17.15" hidden="false" customHeight="false" outlineLevel="0" collapsed="false">
      <c r="A45" s="19" t="n">
        <v>44</v>
      </c>
      <c r="B45" s="20" t="s">
        <v>382</v>
      </c>
      <c r="C45" s="20" t="s">
        <v>383</v>
      </c>
      <c r="D45" s="21" t="s">
        <v>105</v>
      </c>
      <c r="E45" s="21" t="s">
        <v>106</v>
      </c>
      <c r="F45" s="21"/>
    </row>
    <row r="46" customFormat="false" ht="17.15" hidden="false" customHeight="false" outlineLevel="0" collapsed="false">
      <c r="A46" s="22" t="n">
        <v>45</v>
      </c>
      <c r="B46" s="23" t="s">
        <v>384</v>
      </c>
      <c r="C46" s="23" t="s">
        <v>385</v>
      </c>
      <c r="D46" s="24" t="s">
        <v>105</v>
      </c>
      <c r="E46" s="24" t="s">
        <v>110</v>
      </c>
      <c r="F46" s="24" t="s">
        <v>116</v>
      </c>
    </row>
    <row r="47" customFormat="false" ht="17.15" hidden="false" customHeight="false" outlineLevel="0" collapsed="false">
      <c r="A47" s="19" t="n">
        <v>46</v>
      </c>
      <c r="B47" s="20" t="s">
        <v>386</v>
      </c>
      <c r="C47" s="20" t="s">
        <v>387</v>
      </c>
      <c r="D47" s="21" t="s">
        <v>161</v>
      </c>
      <c r="E47" s="21" t="s">
        <v>206</v>
      </c>
      <c r="F47" s="21"/>
    </row>
    <row r="48" customFormat="false" ht="17.15" hidden="false" customHeight="false" outlineLevel="0" collapsed="false">
      <c r="A48" s="19" t="n">
        <v>47</v>
      </c>
      <c r="B48" s="20" t="s">
        <v>198</v>
      </c>
      <c r="C48" s="20" t="s">
        <v>154</v>
      </c>
      <c r="D48" s="21" t="s">
        <v>105</v>
      </c>
      <c r="E48" s="21" t="s">
        <v>155</v>
      </c>
      <c r="F48" s="21"/>
    </row>
    <row r="49" customFormat="false" ht="17.15" hidden="false" customHeight="false" outlineLevel="0" collapsed="false">
      <c r="A49" s="19" t="n">
        <v>48</v>
      </c>
      <c r="B49" s="20" t="s">
        <v>219</v>
      </c>
      <c r="C49" s="20" t="s">
        <v>220</v>
      </c>
      <c r="D49" s="21" t="s">
        <v>105</v>
      </c>
      <c r="E49" s="21" t="s">
        <v>155</v>
      </c>
      <c r="F49" s="21"/>
    </row>
    <row r="50" customFormat="false" ht="17.15" hidden="false" customHeight="false" outlineLevel="0" collapsed="false">
      <c r="A50" s="19" t="n">
        <v>49</v>
      </c>
      <c r="B50" s="20" t="s">
        <v>261</v>
      </c>
      <c r="C50" s="20" t="s">
        <v>262</v>
      </c>
      <c r="D50" s="21" t="s">
        <v>105</v>
      </c>
      <c r="E50" s="21" t="s">
        <v>144</v>
      </c>
      <c r="F50" s="21"/>
    </row>
    <row r="51" customFormat="false" ht="17.15" hidden="false" customHeight="false" outlineLevel="0" collapsed="false">
      <c r="A51" s="19" t="n">
        <v>50</v>
      </c>
      <c r="B51" s="20" t="s">
        <v>388</v>
      </c>
      <c r="C51" s="20" t="s">
        <v>389</v>
      </c>
      <c r="D51" s="21" t="s">
        <v>119</v>
      </c>
      <c r="E51" s="21" t="s">
        <v>290</v>
      </c>
      <c r="F51" s="21" t="s">
        <v>390</v>
      </c>
    </row>
    <row r="52" customFormat="false" ht="15" hidden="false" customHeight="false" outlineLevel="0" collapsed="false">
      <c r="A52" s="19" t="n">
        <v>51</v>
      </c>
      <c r="B52" s="20" t="s">
        <v>391</v>
      </c>
      <c r="C52" s="20" t="s">
        <v>392</v>
      </c>
      <c r="D52" s="20" t="s">
        <v>300</v>
      </c>
      <c r="E52" s="21" t="s">
        <v>393</v>
      </c>
      <c r="F52" s="21"/>
    </row>
    <row r="53" customFormat="false" ht="17.15" hidden="false" customHeight="false" outlineLevel="0" collapsed="false">
      <c r="A53" s="19" t="n">
        <v>52</v>
      </c>
      <c r="B53" s="20" t="s">
        <v>185</v>
      </c>
      <c r="C53" s="20" t="s">
        <v>186</v>
      </c>
      <c r="D53" s="21" t="s">
        <v>119</v>
      </c>
      <c r="E53" s="21" t="s">
        <v>187</v>
      </c>
      <c r="F53" s="21"/>
    </row>
    <row r="54" customFormat="false" ht="15" hidden="false" customHeight="false" outlineLevel="0" collapsed="false">
      <c r="A54" s="19" t="n">
        <v>53</v>
      </c>
      <c r="B54" s="20" t="s">
        <v>295</v>
      </c>
      <c r="C54" s="20" t="s">
        <v>296</v>
      </c>
      <c r="D54" s="21" t="s">
        <v>105</v>
      </c>
      <c r="E54" s="21" t="s">
        <v>173</v>
      </c>
      <c r="F54" s="21"/>
    </row>
    <row r="55" customFormat="false" ht="17.15" hidden="false" customHeight="false" outlineLevel="0" collapsed="false">
      <c r="A55" s="19" t="n">
        <v>54</v>
      </c>
      <c r="B55" s="20" t="s">
        <v>331</v>
      </c>
      <c r="C55" s="20" t="s">
        <v>332</v>
      </c>
      <c r="D55" s="21" t="s">
        <v>119</v>
      </c>
      <c r="E55" s="21" t="s">
        <v>290</v>
      </c>
      <c r="F55" s="21" t="s">
        <v>333</v>
      </c>
    </row>
    <row r="56" customFormat="false" ht="17.15" hidden="false" customHeight="false" outlineLevel="0" collapsed="false">
      <c r="A56" s="19" t="n">
        <v>55</v>
      </c>
      <c r="B56" s="20" t="s">
        <v>394</v>
      </c>
      <c r="C56" s="20" t="s">
        <v>395</v>
      </c>
      <c r="D56" s="21" t="s">
        <v>105</v>
      </c>
      <c r="E56" s="21" t="s">
        <v>130</v>
      </c>
      <c r="F56" s="21"/>
    </row>
    <row r="57" customFormat="false" ht="15" hidden="false" customHeight="false" outlineLevel="0" collapsed="false">
      <c r="A57" s="19" t="n">
        <v>56</v>
      </c>
      <c r="B57" s="20" t="s">
        <v>396</v>
      </c>
      <c r="C57" s="20" t="s">
        <v>397</v>
      </c>
      <c r="D57" s="21" t="s">
        <v>105</v>
      </c>
      <c r="E57" s="21" t="s">
        <v>317</v>
      </c>
      <c r="F57" s="21"/>
    </row>
    <row r="58" customFormat="false" ht="17.15" hidden="false" customHeight="false" outlineLevel="0" collapsed="false">
      <c r="A58" s="19" t="n">
        <v>57</v>
      </c>
      <c r="B58" s="20" t="s">
        <v>398</v>
      </c>
      <c r="C58" s="20" t="s">
        <v>399</v>
      </c>
      <c r="D58" s="21" t="s">
        <v>105</v>
      </c>
      <c r="E58" s="21" t="s">
        <v>144</v>
      </c>
      <c r="F58" s="21"/>
    </row>
    <row r="59" customFormat="false" ht="17.15" hidden="false" customHeight="false" outlineLevel="0" collapsed="false">
      <c r="A59" s="19" t="n">
        <v>58</v>
      </c>
      <c r="B59" s="20" t="s">
        <v>400</v>
      </c>
      <c r="C59" s="20" t="s">
        <v>401</v>
      </c>
      <c r="D59" s="21" t="s">
        <v>151</v>
      </c>
      <c r="E59" s="21" t="s">
        <v>215</v>
      </c>
      <c r="F59" s="21" t="s">
        <v>402</v>
      </c>
    </row>
    <row r="60" customFormat="false" ht="15" hidden="false" customHeight="false" outlineLevel="0" collapsed="false">
      <c r="A60" s="19" t="n">
        <v>59</v>
      </c>
      <c r="B60" s="20" t="s">
        <v>403</v>
      </c>
      <c r="C60" s="20" t="s">
        <v>404</v>
      </c>
      <c r="D60" s="21" t="s">
        <v>147</v>
      </c>
      <c r="E60" s="21" t="s">
        <v>364</v>
      </c>
      <c r="F60" s="21" t="s">
        <v>405</v>
      </c>
    </row>
    <row r="61" customFormat="false" ht="17.15" hidden="false" customHeight="false" outlineLevel="0" collapsed="false">
      <c r="A61" s="19" t="n">
        <v>60</v>
      </c>
      <c r="B61" s="20" t="s">
        <v>406</v>
      </c>
      <c r="C61" s="20" t="s">
        <v>407</v>
      </c>
      <c r="D61" s="21" t="s">
        <v>177</v>
      </c>
      <c r="E61" s="21" t="s">
        <v>241</v>
      </c>
      <c r="F61" s="21"/>
    </row>
    <row r="62" customFormat="false" ht="17.15" hidden="false" customHeight="false" outlineLevel="0" collapsed="false">
      <c r="A62" s="19" t="n">
        <v>61</v>
      </c>
      <c r="B62" s="20" t="s">
        <v>408</v>
      </c>
      <c r="C62" s="20" t="s">
        <v>387</v>
      </c>
      <c r="D62" s="21" t="s">
        <v>105</v>
      </c>
      <c r="E62" s="21" t="s">
        <v>110</v>
      </c>
      <c r="F62" s="21"/>
    </row>
    <row r="63" customFormat="false" ht="17.15" hidden="false" customHeight="false" outlineLevel="0" collapsed="false">
      <c r="A63" s="19" t="n">
        <v>62</v>
      </c>
      <c r="B63" s="20" t="s">
        <v>204</v>
      </c>
      <c r="C63" s="20" t="s">
        <v>205</v>
      </c>
      <c r="D63" s="21" t="s">
        <v>161</v>
      </c>
      <c r="E63" s="21" t="s">
        <v>206</v>
      </c>
      <c r="F63" s="20" t="s">
        <v>207</v>
      </c>
    </row>
    <row r="64" customFormat="false" ht="15" hidden="false" customHeight="false" outlineLevel="0" collapsed="false">
      <c r="A64" s="19" t="n">
        <v>63</v>
      </c>
      <c r="B64" s="20" t="s">
        <v>163</v>
      </c>
      <c r="C64" s="20" t="s">
        <v>164</v>
      </c>
      <c r="D64" s="21" t="s">
        <v>165</v>
      </c>
      <c r="E64" s="20" t="s">
        <v>166</v>
      </c>
      <c r="F64" s="21"/>
    </row>
    <row r="65" customFormat="false" ht="15" hidden="false" customHeight="false" outlineLevel="0" collapsed="false">
      <c r="A65" s="19" t="n">
        <v>64</v>
      </c>
      <c r="B65" s="20" t="s">
        <v>271</v>
      </c>
      <c r="C65" s="20" t="s">
        <v>272</v>
      </c>
      <c r="D65" s="21" t="s">
        <v>244</v>
      </c>
      <c r="E65" s="21" t="s">
        <v>273</v>
      </c>
      <c r="F65" s="21"/>
    </row>
    <row r="66" customFormat="false" ht="15" hidden="false" customHeight="false" outlineLevel="0" collapsed="false">
      <c r="A66" s="19" t="n">
        <v>65</v>
      </c>
      <c r="B66" s="20" t="s">
        <v>409</v>
      </c>
      <c r="C66" s="20" t="s">
        <v>410</v>
      </c>
      <c r="D66" s="21" t="s">
        <v>105</v>
      </c>
      <c r="E66" s="21" t="s">
        <v>317</v>
      </c>
      <c r="F66" s="21"/>
    </row>
    <row r="67" customFormat="false" ht="15" hidden="false" customHeight="false" outlineLevel="0" collapsed="false">
      <c r="A67" s="19" t="n">
        <v>66</v>
      </c>
      <c r="B67" s="20" t="s">
        <v>341</v>
      </c>
      <c r="C67" s="20" t="s">
        <v>411</v>
      </c>
      <c r="D67" s="20" t="s">
        <v>300</v>
      </c>
      <c r="E67" s="21" t="s">
        <v>343</v>
      </c>
      <c r="F67" s="21"/>
    </row>
    <row r="68" customFormat="false" ht="15" hidden="false" customHeight="false" outlineLevel="0" collapsed="false">
      <c r="A68" s="19" t="n">
        <v>67</v>
      </c>
      <c r="B68" s="20" t="s">
        <v>283</v>
      </c>
      <c r="C68" s="20" t="s">
        <v>412</v>
      </c>
      <c r="D68" s="21" t="s">
        <v>165</v>
      </c>
      <c r="E68" s="20" t="s">
        <v>166</v>
      </c>
      <c r="F68" s="21" t="s">
        <v>285</v>
      </c>
    </row>
    <row r="69" customFormat="false" ht="17.15" hidden="false" customHeight="false" outlineLevel="0" collapsed="false">
      <c r="A69" s="19" t="n">
        <v>68</v>
      </c>
      <c r="B69" s="20" t="s">
        <v>413</v>
      </c>
      <c r="C69" s="20" t="s">
        <v>414</v>
      </c>
      <c r="D69" s="21" t="s">
        <v>161</v>
      </c>
      <c r="E69" s="21" t="s">
        <v>181</v>
      </c>
      <c r="F69" s="21" t="s">
        <v>415</v>
      </c>
    </row>
    <row r="70" customFormat="false" ht="17.15" hidden="false" customHeight="false" outlineLevel="0" collapsed="false">
      <c r="A70" s="19" t="n">
        <v>69</v>
      </c>
      <c r="B70" s="20" t="s">
        <v>416</v>
      </c>
      <c r="C70" s="20" t="s">
        <v>348</v>
      </c>
      <c r="D70" s="21" t="s">
        <v>119</v>
      </c>
      <c r="E70" s="21" t="s">
        <v>120</v>
      </c>
      <c r="F70" s="21"/>
    </row>
    <row r="71" customFormat="false" ht="15" hidden="false" customHeight="false" outlineLevel="0" collapsed="false">
      <c r="A71" s="19" t="n">
        <v>70</v>
      </c>
      <c r="B71" s="20" t="s">
        <v>266</v>
      </c>
      <c r="C71" s="20" t="s">
        <v>267</v>
      </c>
      <c r="D71" s="21" t="s">
        <v>105</v>
      </c>
      <c r="E71" s="21" t="s">
        <v>135</v>
      </c>
      <c r="F71" s="21"/>
    </row>
    <row r="72" customFormat="false" ht="15" hidden="false" customHeight="false" outlineLevel="0" collapsed="false">
      <c r="A72" s="19" t="n">
        <v>71</v>
      </c>
      <c r="B72" s="20" t="s">
        <v>417</v>
      </c>
      <c r="C72" s="20" t="s">
        <v>230</v>
      </c>
      <c r="D72" s="21" t="s">
        <v>105</v>
      </c>
      <c r="E72" s="21" t="s">
        <v>173</v>
      </c>
      <c r="F72" s="21" t="s">
        <v>174</v>
      </c>
    </row>
    <row r="73" customFormat="false" ht="15" hidden="false" customHeight="false" outlineLevel="0" collapsed="false">
      <c r="A73" s="19" t="n">
        <v>72</v>
      </c>
      <c r="B73" s="20" t="s">
        <v>418</v>
      </c>
      <c r="C73" s="20" t="s">
        <v>419</v>
      </c>
      <c r="D73" s="21" t="s">
        <v>147</v>
      </c>
      <c r="E73" s="21" t="s">
        <v>364</v>
      </c>
      <c r="F73" s="21" t="s">
        <v>420</v>
      </c>
    </row>
    <row r="74" customFormat="false" ht="15" hidden="false" customHeight="false" outlineLevel="0" collapsed="false">
      <c r="A74" s="19" t="n">
        <v>73</v>
      </c>
      <c r="B74" s="20" t="s">
        <v>291</v>
      </c>
      <c r="C74" s="20" t="s">
        <v>280</v>
      </c>
      <c r="D74" s="21" t="s">
        <v>105</v>
      </c>
      <c r="E74" s="21" t="s">
        <v>292</v>
      </c>
      <c r="F74" s="21" t="s">
        <v>293</v>
      </c>
    </row>
    <row r="75" customFormat="false" ht="17.15" hidden="false" customHeight="false" outlineLevel="0" collapsed="false">
      <c r="A75" s="19" t="n">
        <v>74</v>
      </c>
      <c r="B75" s="20" t="s">
        <v>318</v>
      </c>
      <c r="C75" s="20" t="s">
        <v>140</v>
      </c>
      <c r="D75" s="21" t="s">
        <v>105</v>
      </c>
      <c r="E75" s="21" t="s">
        <v>130</v>
      </c>
      <c r="F75" s="21"/>
    </row>
    <row r="76" customFormat="false" ht="17.15" hidden="false" customHeight="false" outlineLevel="0" collapsed="false">
      <c r="A76" s="19" t="n">
        <v>75</v>
      </c>
      <c r="B76" s="20" t="s">
        <v>231</v>
      </c>
      <c r="C76" s="20" t="s">
        <v>360</v>
      </c>
      <c r="D76" s="21" t="s">
        <v>105</v>
      </c>
      <c r="E76" s="21" t="s">
        <v>106</v>
      </c>
      <c r="F76" s="21"/>
    </row>
    <row r="77" customFormat="false" ht="15" hidden="false" customHeight="false" outlineLevel="0" collapsed="false">
      <c r="A77" s="19" t="n">
        <v>76</v>
      </c>
      <c r="B77" s="20" t="s">
        <v>421</v>
      </c>
      <c r="C77" s="20" t="s">
        <v>422</v>
      </c>
      <c r="D77" s="21" t="s">
        <v>105</v>
      </c>
      <c r="E77" s="21" t="s">
        <v>169</v>
      </c>
      <c r="F77" s="21" t="s">
        <v>170</v>
      </c>
    </row>
    <row r="78" customFormat="false" ht="17.15" hidden="false" customHeight="false" outlineLevel="0" collapsed="false">
      <c r="A78" s="19" t="n">
        <v>77</v>
      </c>
      <c r="B78" s="20" t="s">
        <v>423</v>
      </c>
      <c r="C78" s="20" t="s">
        <v>424</v>
      </c>
      <c r="D78" s="21" t="s">
        <v>161</v>
      </c>
      <c r="E78" s="21" t="s">
        <v>206</v>
      </c>
      <c r="F78" s="21"/>
    </row>
    <row r="79" customFormat="false" ht="17.15" hidden="false" customHeight="false" outlineLevel="0" collapsed="false">
      <c r="A79" s="19" t="n">
        <v>78</v>
      </c>
      <c r="B79" s="20" t="s">
        <v>182</v>
      </c>
      <c r="C79" s="20" t="s">
        <v>425</v>
      </c>
      <c r="D79" s="21" t="s">
        <v>105</v>
      </c>
      <c r="E79" s="21" t="s">
        <v>144</v>
      </c>
      <c r="F79" s="21"/>
    </row>
    <row r="80" customFormat="false" ht="17.15" hidden="false" customHeight="false" outlineLevel="0" collapsed="false">
      <c r="A80" s="19" t="n">
        <v>79</v>
      </c>
      <c r="B80" s="20" t="s">
        <v>426</v>
      </c>
      <c r="C80" s="20" t="s">
        <v>134</v>
      </c>
      <c r="D80" s="21" t="s">
        <v>119</v>
      </c>
      <c r="E80" s="21" t="s">
        <v>120</v>
      </c>
      <c r="F80" s="21"/>
    </row>
    <row r="81" customFormat="false" ht="15" hidden="false" customHeight="false" outlineLevel="0" collapsed="false">
      <c r="A81" s="22" t="n">
        <v>80</v>
      </c>
      <c r="B81" s="24" t="s">
        <v>209</v>
      </c>
      <c r="C81" s="23" t="s">
        <v>427</v>
      </c>
      <c r="D81" s="24" t="s">
        <v>209</v>
      </c>
      <c r="E81" s="23" t="s">
        <v>427</v>
      </c>
      <c r="F81" s="24" t="s">
        <v>428</v>
      </c>
    </row>
    <row r="82" customFormat="false" ht="17.15" hidden="false" customHeight="false" outlineLevel="0" collapsed="false">
      <c r="A82" s="19" t="n">
        <v>81</v>
      </c>
      <c r="B82" s="20" t="s">
        <v>429</v>
      </c>
      <c r="C82" s="20" t="s">
        <v>430</v>
      </c>
      <c r="D82" s="21" t="s">
        <v>105</v>
      </c>
      <c r="E82" s="21" t="s">
        <v>110</v>
      </c>
      <c r="F82" s="21"/>
    </row>
    <row r="83" customFormat="false" ht="15" hidden="false" customHeight="false" outlineLevel="0" collapsed="false">
      <c r="A83" s="19" t="n">
        <v>82</v>
      </c>
      <c r="B83" s="20" t="s">
        <v>431</v>
      </c>
      <c r="C83" s="20" t="s">
        <v>230</v>
      </c>
      <c r="D83" s="21" t="s">
        <v>105</v>
      </c>
      <c r="E83" s="21" t="s">
        <v>173</v>
      </c>
      <c r="F83" s="21"/>
    </row>
    <row r="84" customFormat="false" ht="17.15" hidden="false" customHeight="false" outlineLevel="0" collapsed="false">
      <c r="A84" s="19" t="n">
        <v>83</v>
      </c>
      <c r="B84" s="20" t="s">
        <v>255</v>
      </c>
      <c r="C84" s="20" t="s">
        <v>432</v>
      </c>
      <c r="D84" s="21" t="s">
        <v>105</v>
      </c>
      <c r="E84" s="21" t="s">
        <v>130</v>
      </c>
      <c r="F84" s="20" t="s">
        <v>257</v>
      </c>
    </row>
    <row r="85" customFormat="false" ht="17.15" hidden="false" customHeight="false" outlineLevel="0" collapsed="false">
      <c r="A85" s="19" t="n">
        <v>84</v>
      </c>
      <c r="B85" s="20" t="s">
        <v>433</v>
      </c>
      <c r="C85" s="20" t="s">
        <v>434</v>
      </c>
      <c r="D85" s="21" t="s">
        <v>119</v>
      </c>
      <c r="E85" s="21" t="s">
        <v>290</v>
      </c>
      <c r="F85" s="21" t="s">
        <v>435</v>
      </c>
    </row>
    <row r="86" customFormat="false" ht="17.15" hidden="false" customHeight="false" outlineLevel="0" collapsed="false">
      <c r="A86" s="19" t="n">
        <v>85</v>
      </c>
      <c r="B86" s="20" t="s">
        <v>201</v>
      </c>
      <c r="C86" s="20" t="s">
        <v>202</v>
      </c>
      <c r="D86" s="21" t="s">
        <v>119</v>
      </c>
      <c r="E86" s="21" t="s">
        <v>187</v>
      </c>
      <c r="F86" s="21" t="s">
        <v>203</v>
      </c>
    </row>
    <row r="87" customFormat="false" ht="15" hidden="false" customHeight="false" outlineLevel="0" collapsed="false">
      <c r="A87" s="19" t="n">
        <v>86</v>
      </c>
      <c r="B87" s="20" t="s">
        <v>350</v>
      </c>
      <c r="C87" s="20" t="s">
        <v>436</v>
      </c>
      <c r="D87" s="21" t="s">
        <v>105</v>
      </c>
      <c r="E87" s="21" t="s">
        <v>292</v>
      </c>
      <c r="F87" s="21" t="s">
        <v>352</v>
      </c>
    </row>
    <row r="88" customFormat="false" ht="15" hidden="false" customHeight="false" outlineLevel="0" collapsed="false">
      <c r="A88" s="22" t="n">
        <v>87</v>
      </c>
      <c r="B88" s="23" t="s">
        <v>437</v>
      </c>
      <c r="C88" s="23" t="s">
        <v>164</v>
      </c>
      <c r="D88" s="24" t="s">
        <v>165</v>
      </c>
      <c r="E88" s="23" t="s">
        <v>166</v>
      </c>
      <c r="F88" s="24" t="s">
        <v>116</v>
      </c>
    </row>
    <row r="89" customFormat="false" ht="17.15" hidden="false" customHeight="false" outlineLevel="0" collapsed="false">
      <c r="A89" s="19" t="n">
        <v>88</v>
      </c>
      <c r="B89" s="20" t="s">
        <v>438</v>
      </c>
      <c r="C89" s="20" t="s">
        <v>439</v>
      </c>
      <c r="D89" s="21" t="s">
        <v>105</v>
      </c>
      <c r="E89" s="21" t="s">
        <v>110</v>
      </c>
      <c r="F89" s="21"/>
    </row>
    <row r="90" customFormat="false" ht="15" hidden="false" customHeight="false" outlineLevel="0" collapsed="false">
      <c r="A90" s="19" t="n">
        <v>89</v>
      </c>
      <c r="B90" s="20" t="s">
        <v>440</v>
      </c>
      <c r="C90" s="20" t="s">
        <v>441</v>
      </c>
      <c r="D90" s="21" t="s">
        <v>147</v>
      </c>
      <c r="E90" s="21" t="s">
        <v>364</v>
      </c>
      <c r="F90" s="21"/>
    </row>
    <row r="91" customFormat="false" ht="15" hidden="false" customHeight="false" outlineLevel="0" collapsed="false">
      <c r="A91" s="19" t="n">
        <v>90</v>
      </c>
      <c r="B91" s="20" t="s">
        <v>442</v>
      </c>
      <c r="C91" s="20" t="s">
        <v>348</v>
      </c>
      <c r="D91" s="21" t="s">
        <v>105</v>
      </c>
      <c r="E91" s="21" t="s">
        <v>173</v>
      </c>
      <c r="F91" s="21"/>
    </row>
    <row r="92" customFormat="false" ht="17.15" hidden="false" customHeight="false" outlineLevel="0" collapsed="false">
      <c r="A92" s="19" t="n">
        <v>91</v>
      </c>
      <c r="B92" s="20" t="s">
        <v>443</v>
      </c>
      <c r="C92" s="20" t="s">
        <v>189</v>
      </c>
      <c r="D92" s="21" t="s">
        <v>151</v>
      </c>
      <c r="E92" s="21" t="s">
        <v>444</v>
      </c>
      <c r="F92" s="21"/>
    </row>
    <row r="93" customFormat="false" ht="17.15" hidden="false" customHeight="false" outlineLevel="0" collapsed="false">
      <c r="A93" s="19" t="n">
        <v>92</v>
      </c>
      <c r="B93" s="20" t="s">
        <v>445</v>
      </c>
      <c r="C93" s="20" t="s">
        <v>446</v>
      </c>
      <c r="D93" s="21" t="s">
        <v>105</v>
      </c>
      <c r="E93" s="21" t="s">
        <v>130</v>
      </c>
      <c r="F93" s="21"/>
    </row>
    <row r="94" customFormat="false" ht="15" hidden="false" customHeight="false" outlineLevel="0" collapsed="false">
      <c r="A94" s="19" t="n">
        <v>93</v>
      </c>
      <c r="B94" s="20" t="s">
        <v>447</v>
      </c>
      <c r="C94" s="20" t="s">
        <v>448</v>
      </c>
      <c r="D94" s="21" t="s">
        <v>147</v>
      </c>
      <c r="E94" s="21" t="s">
        <v>364</v>
      </c>
      <c r="F94" s="21" t="s">
        <v>449</v>
      </c>
    </row>
    <row r="95" customFormat="false" ht="15" hidden="false" customHeight="false" outlineLevel="0" collapsed="false">
      <c r="A95" s="19" t="n">
        <v>94</v>
      </c>
      <c r="B95" s="20" t="s">
        <v>450</v>
      </c>
      <c r="C95" s="20" t="s">
        <v>112</v>
      </c>
      <c r="D95" s="21" t="s">
        <v>105</v>
      </c>
      <c r="E95" s="21" t="s">
        <v>123</v>
      </c>
      <c r="F95" s="21"/>
    </row>
    <row r="96" customFormat="false" ht="17.15" hidden="false" customHeight="false" outlineLevel="0" collapsed="false">
      <c r="A96" s="19" t="n">
        <v>95</v>
      </c>
      <c r="B96" s="20" t="s">
        <v>451</v>
      </c>
      <c r="C96" s="20" t="s">
        <v>452</v>
      </c>
      <c r="D96" s="21" t="s">
        <v>119</v>
      </c>
      <c r="E96" s="21" t="s">
        <v>228</v>
      </c>
      <c r="F96" s="21" t="s">
        <v>453</v>
      </c>
    </row>
    <row r="97" customFormat="false" ht="17.15" hidden="false" customHeight="false" outlineLevel="0" collapsed="false">
      <c r="A97" s="19" t="n">
        <v>96</v>
      </c>
      <c r="B97" s="20" t="s">
        <v>454</v>
      </c>
      <c r="C97" s="20" t="s">
        <v>455</v>
      </c>
      <c r="D97" s="21" t="s">
        <v>105</v>
      </c>
      <c r="E97" s="21" t="s">
        <v>110</v>
      </c>
      <c r="F97" s="21"/>
    </row>
    <row r="98" customFormat="false" ht="17.15" hidden="false" customHeight="false" outlineLevel="0" collapsed="false">
      <c r="A98" s="19" t="n">
        <v>97</v>
      </c>
      <c r="B98" s="20" t="s">
        <v>456</v>
      </c>
      <c r="C98" s="20" t="s">
        <v>457</v>
      </c>
      <c r="D98" s="21" t="s">
        <v>151</v>
      </c>
      <c r="E98" s="21" t="s">
        <v>152</v>
      </c>
      <c r="F98" s="21"/>
    </row>
    <row r="99" customFormat="false" ht="17.15" hidden="false" customHeight="false" outlineLevel="0" collapsed="false">
      <c r="A99" s="19" t="n">
        <v>98</v>
      </c>
      <c r="B99" s="20" t="s">
        <v>294</v>
      </c>
      <c r="C99" s="20" t="s">
        <v>205</v>
      </c>
      <c r="D99" s="21" t="s">
        <v>161</v>
      </c>
      <c r="E99" s="21" t="s">
        <v>162</v>
      </c>
      <c r="F99" s="21"/>
    </row>
    <row r="100" customFormat="false" ht="17.15" hidden="false" customHeight="false" outlineLevel="0" collapsed="false">
      <c r="A100" s="19" t="n">
        <v>99</v>
      </c>
      <c r="B100" s="20" t="s">
        <v>458</v>
      </c>
      <c r="C100" s="20" t="s">
        <v>459</v>
      </c>
      <c r="D100" s="21" t="s">
        <v>161</v>
      </c>
      <c r="E100" s="21" t="s">
        <v>197</v>
      </c>
      <c r="F100" s="21" t="s">
        <v>460</v>
      </c>
    </row>
    <row r="101" customFormat="false" ht="17.15" hidden="false" customHeight="false" outlineLevel="0" collapsed="false">
      <c r="A101" s="22" t="n">
        <v>100</v>
      </c>
      <c r="B101" s="23" t="s">
        <v>288</v>
      </c>
      <c r="C101" s="23" t="s">
        <v>289</v>
      </c>
      <c r="D101" s="24" t="s">
        <v>119</v>
      </c>
      <c r="E101" s="24" t="s">
        <v>290</v>
      </c>
      <c r="F101" s="24" t="s">
        <v>116</v>
      </c>
    </row>
  </sheetData>
  <autoFilter ref="A1:F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4"/>
  </cols>
  <sheetData>
    <row r="1" customFormat="false" ht="29.85" hidden="false" customHeight="false" outlineLevel="0" collapsed="false">
      <c r="A1" s="25" t="s">
        <v>101</v>
      </c>
      <c r="B1" s="26" t="s">
        <v>461</v>
      </c>
      <c r="C1" s="26" t="s">
        <v>462</v>
      </c>
      <c r="D1" s="26" t="s">
        <v>463</v>
      </c>
      <c r="E1" s="26" t="s">
        <v>464</v>
      </c>
      <c r="F1" s="25" t="s">
        <v>465</v>
      </c>
      <c r="G1" s="25" t="s">
        <v>466</v>
      </c>
    </row>
    <row r="2" customFormat="false" ht="15" hidden="false" customHeight="false" outlineLevel="0" collapsed="false">
      <c r="A2" s="21" t="s">
        <v>105</v>
      </c>
      <c r="B2" s="21" t="n">
        <f aca="false">COUNTIF('1-1 App Store Top100'!$D$2:$D$101,A2)</f>
        <v>48</v>
      </c>
      <c r="C2" s="27" t="n">
        <f aca="false">B2/$B$13</f>
        <v>0.48</v>
      </c>
      <c r="D2" s="21" t="n">
        <f aca="false">COUNTIF('1-2 Google Play Top100'!$D$2:$D$101,A2)</f>
        <v>53</v>
      </c>
      <c r="E2" s="27" t="n">
        <f aca="false">D2/$D$13</f>
        <v>0.53</v>
      </c>
      <c r="F2" s="21" t="n">
        <f aca="false">B2+D2</f>
        <v>101</v>
      </c>
      <c r="G2" s="20" t="s">
        <v>467</v>
      </c>
    </row>
    <row r="3" customFormat="false" ht="17.15" hidden="false" customHeight="false" outlineLevel="0" collapsed="false">
      <c r="A3" s="21" t="s">
        <v>119</v>
      </c>
      <c r="B3" s="21" t="n">
        <f aca="false">COUNTIF('1-1 App Store Top100'!$D$2:$D$101,A3)</f>
        <v>12</v>
      </c>
      <c r="C3" s="27" t="n">
        <f aca="false">B3/$B$13</f>
        <v>0.12</v>
      </c>
      <c r="D3" s="21" t="n">
        <f aca="false">COUNTIF('1-2 Google Play Top100'!$D$2:$D$101,A3)</f>
        <v>17</v>
      </c>
      <c r="E3" s="27" t="n">
        <f aca="false">D3/$D$13</f>
        <v>0.17</v>
      </c>
      <c r="F3" s="21" t="n">
        <f aca="false">B3+D3</f>
        <v>29</v>
      </c>
      <c r="G3" s="20" t="s">
        <v>468</v>
      </c>
    </row>
    <row r="4" customFormat="false" ht="17.15" hidden="false" customHeight="false" outlineLevel="0" collapsed="false">
      <c r="A4" s="21" t="s">
        <v>161</v>
      </c>
      <c r="B4" s="21" t="n">
        <f aca="false">COUNTIF('1-1 App Store Top100'!$D$2:$D$101,A4)</f>
        <v>16</v>
      </c>
      <c r="C4" s="27" t="n">
        <f aca="false">B4/$B$13</f>
        <v>0.16</v>
      </c>
      <c r="D4" s="21" t="n">
        <f aca="false">COUNTIF('1-2 Google Play Top100'!$D$2:$D$101,A4)</f>
        <v>7</v>
      </c>
      <c r="E4" s="27" t="n">
        <f aca="false">D4/$D$13</f>
        <v>0.07</v>
      </c>
      <c r="F4" s="21" t="n">
        <f aca="false">B4+D4</f>
        <v>23</v>
      </c>
      <c r="G4" s="20" t="s">
        <v>469</v>
      </c>
    </row>
    <row r="5" customFormat="false" ht="15" hidden="false" customHeight="false" outlineLevel="0" collapsed="false">
      <c r="A5" s="21" t="s">
        <v>147</v>
      </c>
      <c r="B5" s="21" t="n">
        <f aca="false">COUNTIF('1-1 App Store Top100'!$D$2:$D$101,A5)</f>
        <v>2</v>
      </c>
      <c r="C5" s="27" t="n">
        <f aca="false">B5/$B$13</f>
        <v>0.02</v>
      </c>
      <c r="D5" s="21" t="n">
        <f aca="false">COUNTIF('1-2 Google Play Top100'!$D$2:$D$101,A5)</f>
        <v>6</v>
      </c>
      <c r="E5" s="27" t="n">
        <f aca="false">D5/$D$13</f>
        <v>0.06</v>
      </c>
      <c r="F5" s="21" t="n">
        <f aca="false">B5+D5</f>
        <v>8</v>
      </c>
      <c r="G5" s="20" t="s">
        <v>470</v>
      </c>
    </row>
    <row r="6" customFormat="false" ht="15" hidden="false" customHeight="false" outlineLevel="0" collapsed="false">
      <c r="A6" s="21" t="s">
        <v>165</v>
      </c>
      <c r="B6" s="21" t="n">
        <f aca="false">COUNTIF('1-1 App Store Top100'!$D$2:$D$101,A6)</f>
        <v>4</v>
      </c>
      <c r="C6" s="27" t="n">
        <f aca="false">B6/$B$13</f>
        <v>0.04</v>
      </c>
      <c r="D6" s="21" t="n">
        <f aca="false">COUNTIF('1-2 Google Play Top100'!$D$2:$D$101,A6)</f>
        <v>3</v>
      </c>
      <c r="E6" s="27" t="n">
        <f aca="false">D6/$D$13</f>
        <v>0.03</v>
      </c>
      <c r="F6" s="21" t="n">
        <f aca="false">B6+D6</f>
        <v>7</v>
      </c>
      <c r="G6" s="20" t="s">
        <v>471</v>
      </c>
    </row>
    <row r="7" customFormat="false" ht="17.15" hidden="false" customHeight="false" outlineLevel="0" collapsed="false">
      <c r="A7" s="21" t="s">
        <v>151</v>
      </c>
      <c r="B7" s="21" t="n">
        <f aca="false">COUNTIF('1-1 App Store Top100'!$D$2:$D$101,A7)</f>
        <v>4</v>
      </c>
      <c r="C7" s="27" t="n">
        <f aca="false">B7/$B$13</f>
        <v>0.04</v>
      </c>
      <c r="D7" s="21" t="n">
        <f aca="false">COUNTIF('1-2 Google Play Top100'!$D$2:$D$101,A7)</f>
        <v>5</v>
      </c>
      <c r="E7" s="27" t="n">
        <f aca="false">D7/$D$13</f>
        <v>0.05</v>
      </c>
      <c r="F7" s="21" t="n">
        <f aca="false">B7+D7</f>
        <v>9</v>
      </c>
      <c r="G7" s="20" t="s">
        <v>472</v>
      </c>
    </row>
    <row r="8" customFormat="false" ht="15" hidden="false" customHeight="false" outlineLevel="0" collapsed="false">
      <c r="A8" s="21" t="s">
        <v>244</v>
      </c>
      <c r="B8" s="21" t="n">
        <f aca="false">COUNTIF('1-1 App Store Top100'!$D$2:$D$101,A8)</f>
        <v>5</v>
      </c>
      <c r="C8" s="27" t="n">
        <f aca="false">B8/$B$13</f>
        <v>0.05</v>
      </c>
      <c r="D8" s="21" t="n">
        <f aca="false">COUNTIF('1-2 Google Play Top100'!$D$2:$D$101,A8)</f>
        <v>2</v>
      </c>
      <c r="E8" s="27" t="n">
        <f aca="false">D8/$D$13</f>
        <v>0.02</v>
      </c>
      <c r="F8" s="21" t="n">
        <f aca="false">B8+D8</f>
        <v>7</v>
      </c>
      <c r="G8" s="20" t="s">
        <v>473</v>
      </c>
    </row>
    <row r="9" customFormat="false" ht="15" hidden="false" customHeight="false" outlineLevel="0" collapsed="false">
      <c r="A9" s="20" t="s">
        <v>300</v>
      </c>
      <c r="B9" s="21" t="n">
        <f aca="false">COUNTIF('1-1 App Store Top100'!$D$2:$D$101,A9)</f>
        <v>2</v>
      </c>
      <c r="C9" s="27" t="n">
        <f aca="false">B9/$B$13</f>
        <v>0.02</v>
      </c>
      <c r="D9" s="21" t="n">
        <f aca="false">COUNTIF('1-2 Google Play Top100'!$D$2:$D$101,A9)</f>
        <v>2</v>
      </c>
      <c r="E9" s="27" t="n">
        <f aca="false">D9/$D$13</f>
        <v>0.02</v>
      </c>
      <c r="F9" s="21" t="n">
        <f aca="false">B9+D9</f>
        <v>4</v>
      </c>
      <c r="G9" s="20" t="s">
        <v>474</v>
      </c>
    </row>
    <row r="10" customFormat="false" ht="17.15" hidden="false" customHeight="false" outlineLevel="0" collapsed="false">
      <c r="A10" s="21" t="s">
        <v>177</v>
      </c>
      <c r="B10" s="21" t="n">
        <f aca="false">COUNTIF('1-1 App Store Top100'!$D$2:$D$101,A10)</f>
        <v>4</v>
      </c>
      <c r="C10" s="27" t="n">
        <f aca="false">B10/$B$13</f>
        <v>0.04</v>
      </c>
      <c r="D10" s="21" t="n">
        <f aca="false">COUNTIF('1-2 Google Play Top100'!$D$2:$D$101,A10)</f>
        <v>3</v>
      </c>
      <c r="E10" s="27" t="n">
        <f aca="false">D10/$D$13</f>
        <v>0.03</v>
      </c>
      <c r="F10" s="21" t="n">
        <f aca="false">B10+D10</f>
        <v>7</v>
      </c>
      <c r="G10" s="20" t="s">
        <v>475</v>
      </c>
    </row>
    <row r="11" customFormat="false" ht="17.15" hidden="false" customHeight="false" outlineLevel="0" collapsed="false">
      <c r="A11" s="21" t="s">
        <v>126</v>
      </c>
      <c r="B11" s="21" t="n">
        <f aca="false">COUNTIF('1-1 App Store Top100'!$D$2:$D$101,A11)</f>
        <v>3</v>
      </c>
      <c r="C11" s="27" t="n">
        <f aca="false">B11/$B$13</f>
        <v>0.03</v>
      </c>
      <c r="D11" s="21" t="n">
        <f aca="false">COUNTIF('1-2 Google Play Top100'!$D$2:$D$101,A11)</f>
        <v>1</v>
      </c>
      <c r="E11" s="27" t="n">
        <f aca="false">D11/$D$13</f>
        <v>0.01</v>
      </c>
      <c r="F11" s="21" t="n">
        <f aca="false">B11+D11</f>
        <v>4</v>
      </c>
      <c r="G11" s="20" t="s">
        <v>476</v>
      </c>
    </row>
    <row r="12" customFormat="false" ht="15" hidden="false" customHeight="false" outlineLevel="0" collapsed="false">
      <c r="A12" s="21" t="s">
        <v>209</v>
      </c>
      <c r="B12" s="21" t="n">
        <f aca="false">COUNTIF('1-1 App Store Top100'!$D$2:$D$101,A12)</f>
        <v>0</v>
      </c>
      <c r="C12" s="27" t="n">
        <f aca="false">B12/$B$13</f>
        <v>0</v>
      </c>
      <c r="D12" s="21" t="n">
        <f aca="false">COUNTIF('1-2 Google Play Top100'!$D$2:$D$101,A12)</f>
        <v>1</v>
      </c>
      <c r="E12" s="27" t="n">
        <f aca="false">D12/$D$13</f>
        <v>0.01</v>
      </c>
      <c r="F12" s="21" t="n">
        <f aca="false">B12+D12</f>
        <v>1</v>
      </c>
      <c r="G12" s="20" t="s">
        <v>427</v>
      </c>
    </row>
    <row r="13" customFormat="false" ht="15" hidden="false" customHeight="false" outlineLevel="0" collapsed="false">
      <c r="A13" s="28" t="s">
        <v>465</v>
      </c>
      <c r="B13" s="28" t="n">
        <f aca="false">SUM(B2:B12)</f>
        <v>100</v>
      </c>
      <c r="C13" s="29" t="n">
        <f aca="false">SUM(C2:C12)</f>
        <v>1</v>
      </c>
      <c r="D13" s="28" t="n">
        <f aca="false">SUM(D2:D12)</f>
        <v>100</v>
      </c>
      <c r="E13" s="29" t="n">
        <f aca="false">SUM(E2:E12)</f>
        <v>1</v>
      </c>
      <c r="F13" s="28" t="n">
        <f aca="false">SUM(F2:F12)</f>
        <v>200</v>
      </c>
      <c r="G13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17.15" hidden="false" customHeight="false" outlineLevel="0" collapsed="false">
      <c r="A1" s="18" t="s">
        <v>101</v>
      </c>
      <c r="B1" s="18" t="s">
        <v>102</v>
      </c>
      <c r="C1" s="30" t="s">
        <v>461</v>
      </c>
      <c r="D1" s="30" t="s">
        <v>463</v>
      </c>
      <c r="E1" s="18" t="s">
        <v>465</v>
      </c>
    </row>
    <row r="2" customFormat="false" ht="17.15" hidden="false" customHeight="false" outlineLevel="0" collapsed="false">
      <c r="A2" s="21" t="s">
        <v>105</v>
      </c>
      <c r="B2" s="21" t="s">
        <v>110</v>
      </c>
      <c r="C2" s="21" t="n">
        <f aca="false">COUNTIFS('1-1 App Store Top100'!$D$2:$D$101,A2,'1-1 App Store Top100'!$E$2:$E$101,B2)</f>
        <v>11</v>
      </c>
      <c r="D2" s="21" t="n">
        <f aca="false">COUNTIFS('1-2 Google Play Top100'!$D$2:$D$101,A2,'1-2 Google Play Top100'!$E$2:$E$101,B2)</f>
        <v>14</v>
      </c>
      <c r="E2" s="21" t="n">
        <f aca="false">C2+D2</f>
        <v>25</v>
      </c>
    </row>
    <row r="3" customFormat="false" ht="15" hidden="false" customHeight="false" outlineLevel="0" collapsed="false">
      <c r="A3" s="21" t="s">
        <v>105</v>
      </c>
      <c r="B3" s="21" t="s">
        <v>135</v>
      </c>
      <c r="C3" s="21" t="n">
        <f aca="false">COUNTIFS('1-1 App Store Top100'!$D$2:$D$101,A3,'1-1 App Store Top100'!$E$2:$E$101,B3)</f>
        <v>5</v>
      </c>
      <c r="D3" s="21" t="n">
        <f aca="false">COUNTIFS('1-2 Google Play Top100'!$D$2:$D$101,A3,'1-2 Google Play Top100'!$E$2:$E$101,B3)</f>
        <v>5</v>
      </c>
      <c r="E3" s="21" t="n">
        <f aca="false">C3+D3</f>
        <v>10</v>
      </c>
    </row>
    <row r="4" customFormat="false" ht="15" hidden="false" customHeight="false" outlineLevel="0" collapsed="false">
      <c r="A4" s="21" t="s">
        <v>105</v>
      </c>
      <c r="B4" s="21" t="s">
        <v>173</v>
      </c>
      <c r="C4" s="21" t="n">
        <f aca="false">COUNTIFS('1-1 App Store Top100'!$D$2:$D$101,A4,'1-1 App Store Top100'!$E$2:$E$101,B4)</f>
        <v>5</v>
      </c>
      <c r="D4" s="21" t="n">
        <f aca="false">COUNTIFS('1-2 Google Play Top100'!$D$2:$D$101,A4,'1-2 Google Play Top100'!$E$2:$E$101,B4)</f>
        <v>5</v>
      </c>
      <c r="E4" s="21" t="n">
        <f aca="false">C4+D4</f>
        <v>10</v>
      </c>
    </row>
    <row r="5" customFormat="false" ht="17.15" hidden="false" customHeight="false" outlineLevel="0" collapsed="false">
      <c r="A5" s="21" t="s">
        <v>105</v>
      </c>
      <c r="B5" s="21" t="s">
        <v>130</v>
      </c>
      <c r="C5" s="21" t="n">
        <f aca="false">COUNTIFS('1-1 App Store Top100'!$D$2:$D$101,A5,'1-1 App Store Top100'!$E$2:$E$101,B5)</f>
        <v>4</v>
      </c>
      <c r="D5" s="21" t="n">
        <f aca="false">COUNTIFS('1-2 Google Play Top100'!$D$2:$D$101,A5,'1-2 Google Play Top100'!$E$2:$E$101,B5)</f>
        <v>6</v>
      </c>
      <c r="E5" s="21" t="n">
        <f aca="false">C5+D5</f>
        <v>10</v>
      </c>
    </row>
    <row r="6" customFormat="false" ht="17.15" hidden="false" customHeight="false" outlineLevel="0" collapsed="false">
      <c r="A6" s="21" t="s">
        <v>105</v>
      </c>
      <c r="B6" s="21" t="s">
        <v>106</v>
      </c>
      <c r="C6" s="21" t="n">
        <f aca="false">COUNTIFS('1-1 App Store Top100'!$D$2:$D$101,A6,'1-1 App Store Top100'!$E$2:$E$101,B6)</f>
        <v>4</v>
      </c>
      <c r="D6" s="21" t="n">
        <f aca="false">COUNTIFS('1-2 Google Play Top100'!$D$2:$D$101,A6,'1-2 Google Play Top100'!$E$2:$E$101,B6)</f>
        <v>4</v>
      </c>
      <c r="E6" s="21" t="n">
        <f aca="false">C6+D6</f>
        <v>8</v>
      </c>
    </row>
    <row r="7" customFormat="false" ht="15" hidden="false" customHeight="false" outlineLevel="0" collapsed="false">
      <c r="A7" s="21" t="s">
        <v>105</v>
      </c>
      <c r="B7" s="21" t="s">
        <v>123</v>
      </c>
      <c r="C7" s="21" t="n">
        <f aca="false">COUNTIFS('1-1 App Store Top100'!$D$2:$D$101,A7,'1-1 App Store Top100'!$E$2:$E$101,B7)</f>
        <v>3</v>
      </c>
      <c r="D7" s="21" t="n">
        <f aca="false">COUNTIFS('1-2 Google Play Top100'!$D$2:$D$101,A7,'1-2 Google Play Top100'!$E$2:$E$101,B7)</f>
        <v>5</v>
      </c>
      <c r="E7" s="21" t="n">
        <f aca="false">C7+D7</f>
        <v>8</v>
      </c>
    </row>
    <row r="8" customFormat="false" ht="17.15" hidden="false" customHeight="false" outlineLevel="0" collapsed="false">
      <c r="A8" s="21" t="s">
        <v>119</v>
      </c>
      <c r="B8" s="21" t="s">
        <v>120</v>
      </c>
      <c r="C8" s="21" t="n">
        <f aca="false">COUNTIFS('1-1 App Store Top100'!$D$2:$D$101,A8,'1-1 App Store Top100'!$E$2:$E$101,B8)</f>
        <v>2</v>
      </c>
      <c r="D8" s="21" t="n">
        <f aca="false">COUNTIFS('1-2 Google Play Top100'!$D$2:$D$101,A8,'1-2 Google Play Top100'!$E$2:$E$101,B8)</f>
        <v>6</v>
      </c>
      <c r="E8" s="21" t="n">
        <f aca="false">C8+D8</f>
        <v>8</v>
      </c>
    </row>
    <row r="9" customFormat="false" ht="17.15" hidden="false" customHeight="false" outlineLevel="0" collapsed="false">
      <c r="A9" s="21" t="s">
        <v>161</v>
      </c>
      <c r="B9" s="21" t="s">
        <v>197</v>
      </c>
      <c r="C9" s="21" t="n">
        <f aca="false">COUNTIFS('1-1 App Store Top100'!$D$2:$D$101,A9,'1-1 App Store Top100'!$E$2:$E$101,B9)</f>
        <v>6</v>
      </c>
      <c r="D9" s="21" t="n">
        <f aca="false">COUNTIFS('1-2 Google Play Top100'!$D$2:$D$101,A9,'1-2 Google Play Top100'!$E$2:$E$101,B9)</f>
        <v>1</v>
      </c>
      <c r="E9" s="21" t="n">
        <f aca="false">C9+D9</f>
        <v>7</v>
      </c>
    </row>
    <row r="10" customFormat="false" ht="17.15" hidden="false" customHeight="false" outlineLevel="0" collapsed="false">
      <c r="A10" s="21" t="s">
        <v>105</v>
      </c>
      <c r="B10" s="21" t="s">
        <v>155</v>
      </c>
      <c r="C10" s="21" t="n">
        <f aca="false">COUNTIFS('1-1 App Store Top100'!$D$2:$D$101,A10,'1-1 App Store Top100'!$E$2:$E$101,B10)</f>
        <v>4</v>
      </c>
      <c r="D10" s="21" t="n">
        <f aca="false">COUNTIFS('1-2 Google Play Top100'!$D$2:$D$101,A10,'1-2 Google Play Top100'!$E$2:$E$101,B10)</f>
        <v>3</v>
      </c>
      <c r="E10" s="21" t="n">
        <f aca="false">C10+D10</f>
        <v>7</v>
      </c>
    </row>
    <row r="11" customFormat="false" ht="17.15" hidden="false" customHeight="false" outlineLevel="0" collapsed="false">
      <c r="A11" s="21" t="s">
        <v>105</v>
      </c>
      <c r="B11" s="21" t="s">
        <v>144</v>
      </c>
      <c r="C11" s="21" t="n">
        <f aca="false">COUNTIFS('1-1 App Store Top100'!$D$2:$D$101,A11,'1-1 App Store Top100'!$E$2:$E$101,B11)</f>
        <v>3</v>
      </c>
      <c r="D11" s="21" t="n">
        <f aca="false">COUNTIFS('1-2 Google Play Top100'!$D$2:$D$101,A11,'1-2 Google Play Top100'!$E$2:$E$101,B11)</f>
        <v>4</v>
      </c>
      <c r="E11" s="21" t="n">
        <f aca="false">C11+D11</f>
        <v>7</v>
      </c>
    </row>
    <row r="12" customFormat="false" ht="15" hidden="false" customHeight="false" outlineLevel="0" collapsed="false">
      <c r="A12" s="21" t="s">
        <v>165</v>
      </c>
      <c r="B12" s="20" t="s">
        <v>166</v>
      </c>
      <c r="C12" s="21" t="n">
        <f aca="false">COUNTIFS('1-1 App Store Top100'!$D$2:$D$101,A12,'1-1 App Store Top100'!$E$2:$E$101,B12)</f>
        <v>3</v>
      </c>
      <c r="D12" s="21" t="n">
        <f aca="false">COUNTIFS('1-2 Google Play Top100'!$D$2:$D$101,A12,'1-2 Google Play Top100'!$E$2:$E$101,B12)</f>
        <v>3</v>
      </c>
      <c r="E12" s="21" t="n">
        <f aca="false">C12+D12</f>
        <v>6</v>
      </c>
    </row>
    <row r="13" customFormat="false" ht="15" hidden="false" customHeight="false" outlineLevel="0" collapsed="false">
      <c r="A13" s="21" t="s">
        <v>105</v>
      </c>
      <c r="B13" s="21" t="s">
        <v>169</v>
      </c>
      <c r="C13" s="21" t="n">
        <f aca="false">COUNTIFS('1-1 App Store Top100'!$D$2:$D$101,A13,'1-1 App Store Top100'!$E$2:$E$101,B13)</f>
        <v>4</v>
      </c>
      <c r="D13" s="21" t="n">
        <f aca="false">COUNTIFS('1-2 Google Play Top100'!$D$2:$D$101,A13,'1-2 Google Play Top100'!$E$2:$E$101,B13)</f>
        <v>2</v>
      </c>
      <c r="E13" s="21" t="n">
        <f aca="false">C13+D13</f>
        <v>6</v>
      </c>
    </row>
    <row r="14" customFormat="false" ht="17.15" hidden="false" customHeight="false" outlineLevel="0" collapsed="false">
      <c r="A14" s="21" t="s">
        <v>119</v>
      </c>
      <c r="B14" s="21" t="s">
        <v>187</v>
      </c>
      <c r="C14" s="21" t="n">
        <f aca="false">COUNTIFS('1-1 App Store Top100'!$D$2:$D$101,A14,'1-1 App Store Top100'!$E$2:$E$101,B14)</f>
        <v>3</v>
      </c>
      <c r="D14" s="21" t="n">
        <f aca="false">COUNTIFS('1-2 Google Play Top100'!$D$2:$D$101,A14,'1-2 Google Play Top100'!$E$2:$E$101,B14)</f>
        <v>3</v>
      </c>
      <c r="E14" s="21" t="n">
        <f aca="false">C14+D14</f>
        <v>6</v>
      </c>
    </row>
    <row r="15" customFormat="false" ht="17.15" hidden="false" customHeight="false" outlineLevel="0" collapsed="false">
      <c r="A15" s="21" t="s">
        <v>119</v>
      </c>
      <c r="B15" s="21" t="s">
        <v>290</v>
      </c>
      <c r="C15" s="21" t="n">
        <f aca="false">COUNTIFS('1-1 App Store Top100'!$D$2:$D$101,A15,'1-1 App Store Top100'!$E$2:$E$101,B15)</f>
        <v>2</v>
      </c>
      <c r="D15" s="21" t="n">
        <f aca="false">COUNTIFS('1-2 Google Play Top100'!$D$2:$D$101,A15,'1-2 Google Play Top100'!$E$2:$E$101,B15)</f>
        <v>4</v>
      </c>
      <c r="E15" s="21" t="n">
        <f aca="false">C15+D15</f>
        <v>6</v>
      </c>
    </row>
    <row r="16" customFormat="false" ht="15" hidden="false" customHeight="false" outlineLevel="0" collapsed="false">
      <c r="A16" s="21" t="s">
        <v>147</v>
      </c>
      <c r="B16" s="21" t="s">
        <v>364</v>
      </c>
      <c r="C16" s="21" t="n">
        <f aca="false">COUNTIFS('1-1 App Store Top100'!$D$2:$D$101,A16,'1-1 App Store Top100'!$E$2:$E$101,B16)</f>
        <v>0</v>
      </c>
      <c r="D16" s="21" t="n">
        <f aca="false">COUNTIFS('1-2 Google Play Top100'!$D$2:$D$101,A16,'1-2 Google Play Top100'!$E$2:$E$101,B16)</f>
        <v>5</v>
      </c>
      <c r="E16" s="21" t="n">
        <f aca="false">C16+D16</f>
        <v>5</v>
      </c>
    </row>
    <row r="17" customFormat="false" ht="17.15" hidden="false" customHeight="false" outlineLevel="0" collapsed="false">
      <c r="A17" s="21" t="s">
        <v>161</v>
      </c>
      <c r="B17" s="21" t="s">
        <v>162</v>
      </c>
      <c r="C17" s="21" t="n">
        <f aca="false">COUNTIFS('1-1 App Store Top100'!$D$2:$D$101,A17,'1-1 App Store Top100'!$E$2:$E$101,B17)</f>
        <v>3</v>
      </c>
      <c r="D17" s="21" t="n">
        <f aca="false">COUNTIFS('1-2 Google Play Top100'!$D$2:$D$101,A17,'1-2 Google Play Top100'!$E$2:$E$101,B17)</f>
        <v>2</v>
      </c>
      <c r="E17" s="21" t="n">
        <f aca="false">C17+D17</f>
        <v>5</v>
      </c>
    </row>
    <row r="18" customFormat="false" ht="17.15" hidden="false" customHeight="false" outlineLevel="0" collapsed="false">
      <c r="A18" s="21" t="s">
        <v>161</v>
      </c>
      <c r="B18" s="21" t="s">
        <v>195</v>
      </c>
      <c r="C18" s="21" t="n">
        <f aca="false">COUNTIFS('1-1 App Store Top100'!$D$2:$D$101,A18,'1-1 App Store Top100'!$E$2:$E$101,B18)</f>
        <v>4</v>
      </c>
      <c r="D18" s="21" t="n">
        <f aca="false">COUNTIFS('1-2 Google Play Top100'!$D$2:$D$101,A18,'1-2 Google Play Top100'!$E$2:$E$101,B18)</f>
        <v>0</v>
      </c>
      <c r="E18" s="21" t="n">
        <f aca="false">C18+D18</f>
        <v>4</v>
      </c>
    </row>
    <row r="19" customFormat="false" ht="17.15" hidden="false" customHeight="false" outlineLevel="0" collapsed="false">
      <c r="A19" s="21" t="s">
        <v>161</v>
      </c>
      <c r="B19" s="21" t="s">
        <v>206</v>
      </c>
      <c r="C19" s="21" t="n">
        <f aca="false">COUNTIFS('1-1 App Store Top100'!$D$2:$D$101,A19,'1-1 App Store Top100'!$E$2:$E$101,B19)</f>
        <v>1</v>
      </c>
      <c r="D19" s="21" t="n">
        <f aca="false">COUNTIFS('1-2 Google Play Top100'!$D$2:$D$101,A19,'1-2 Google Play Top100'!$E$2:$E$101,B19)</f>
        <v>3</v>
      </c>
      <c r="E19" s="21" t="n">
        <f aca="false">C19+D19</f>
        <v>4</v>
      </c>
    </row>
    <row r="20" customFormat="false" ht="15" hidden="false" customHeight="false" outlineLevel="0" collapsed="false">
      <c r="A20" s="21" t="s">
        <v>105</v>
      </c>
      <c r="B20" s="21" t="s">
        <v>292</v>
      </c>
      <c r="C20" s="21" t="n">
        <f aca="false">COUNTIFS('1-1 App Store Top100'!$D$2:$D$101,A20,'1-1 App Store Top100'!$E$2:$E$101,B20)</f>
        <v>2</v>
      </c>
      <c r="D20" s="21" t="n">
        <f aca="false">COUNTIFS('1-2 Google Play Top100'!$D$2:$D$101,A20,'1-2 Google Play Top100'!$E$2:$E$101,B20)</f>
        <v>2</v>
      </c>
      <c r="E20" s="21" t="n">
        <f aca="false">C20+D20</f>
        <v>4</v>
      </c>
    </row>
    <row r="21" customFormat="false" ht="17.15" hidden="false" customHeight="false" outlineLevel="0" collapsed="false">
      <c r="A21" s="21" t="s">
        <v>151</v>
      </c>
      <c r="B21" s="21" t="s">
        <v>152</v>
      </c>
      <c r="C21" s="21" t="n">
        <f aca="false">COUNTIFS('1-1 App Store Top100'!$D$2:$D$101,A21,'1-1 App Store Top100'!$E$2:$E$101,B21)</f>
        <v>1</v>
      </c>
      <c r="D21" s="21" t="n">
        <f aca="false">COUNTIFS('1-2 Google Play Top100'!$D$2:$D$101,A21,'1-2 Google Play Top100'!$E$2:$E$101,B21)</f>
        <v>2</v>
      </c>
      <c r="E21" s="21" t="n">
        <f aca="false">C21+D21</f>
        <v>3</v>
      </c>
    </row>
    <row r="22" customFormat="false" ht="17.15" hidden="false" customHeight="false" outlineLevel="0" collapsed="false">
      <c r="A22" s="21" t="s">
        <v>151</v>
      </c>
      <c r="B22" s="21" t="s">
        <v>215</v>
      </c>
      <c r="C22" s="21" t="n">
        <f aca="false">COUNTIFS('1-1 App Store Top100'!$D$2:$D$101,A22,'1-1 App Store Top100'!$E$2:$E$101,B22)</f>
        <v>1</v>
      </c>
      <c r="D22" s="21" t="n">
        <f aca="false">COUNTIFS('1-2 Google Play Top100'!$D$2:$D$101,A22,'1-2 Google Play Top100'!$E$2:$E$101,B22)</f>
        <v>2</v>
      </c>
      <c r="E22" s="21" t="n">
        <f aca="false">C22+D22</f>
        <v>3</v>
      </c>
    </row>
    <row r="23" customFormat="false" ht="17.15" hidden="false" customHeight="false" outlineLevel="0" collapsed="false">
      <c r="A23" s="21" t="s">
        <v>177</v>
      </c>
      <c r="B23" s="21" t="s">
        <v>241</v>
      </c>
      <c r="C23" s="21" t="n">
        <f aca="false">COUNTIFS('1-1 App Store Top100'!$D$2:$D$101,A23,'1-1 App Store Top100'!$E$2:$E$101,B23)</f>
        <v>2</v>
      </c>
      <c r="D23" s="21" t="n">
        <f aca="false">COUNTIFS('1-2 Google Play Top100'!$D$2:$D$101,A23,'1-2 Google Play Top100'!$E$2:$E$101,B23)</f>
        <v>1</v>
      </c>
      <c r="E23" s="21" t="n">
        <f aca="false">C23+D23</f>
        <v>3</v>
      </c>
    </row>
    <row r="24" customFormat="false" ht="15" hidden="false" customHeight="false" outlineLevel="0" collapsed="false">
      <c r="A24" s="21" t="s">
        <v>105</v>
      </c>
      <c r="B24" s="21" t="s">
        <v>317</v>
      </c>
      <c r="C24" s="21" t="n">
        <f aca="false">COUNTIFS('1-1 App Store Top100'!$D$2:$D$101,A24,'1-1 App Store Top100'!$E$2:$E$101,B24)</f>
        <v>1</v>
      </c>
      <c r="D24" s="21" t="n">
        <f aca="false">COUNTIFS('1-2 Google Play Top100'!$D$2:$D$101,A24,'1-2 Google Play Top100'!$E$2:$E$101,B24)</f>
        <v>2</v>
      </c>
      <c r="E24" s="21" t="n">
        <f aca="false">C24+D24</f>
        <v>3</v>
      </c>
    </row>
    <row r="25" customFormat="false" ht="17.15" hidden="false" customHeight="false" outlineLevel="0" collapsed="false">
      <c r="A25" s="21" t="s">
        <v>105</v>
      </c>
      <c r="B25" s="21" t="s">
        <v>260</v>
      </c>
      <c r="C25" s="21" t="n">
        <f aca="false">COUNTIFS('1-1 App Store Top100'!$D$2:$D$101,A25,'1-1 App Store Top100'!$E$2:$E$101,B25)</f>
        <v>2</v>
      </c>
      <c r="D25" s="21" t="n">
        <f aca="false">COUNTIFS('1-2 Google Play Top100'!$D$2:$D$101,A25,'1-2 Google Play Top100'!$E$2:$E$101,B25)</f>
        <v>1</v>
      </c>
      <c r="E25" s="21" t="n">
        <f aca="false">C25+D25</f>
        <v>3</v>
      </c>
    </row>
    <row r="26" customFormat="false" ht="17.15" hidden="false" customHeight="false" outlineLevel="0" collapsed="false">
      <c r="A26" s="21" t="s">
        <v>119</v>
      </c>
      <c r="B26" s="20" t="s">
        <v>218</v>
      </c>
      <c r="C26" s="21" t="n">
        <f aca="false">COUNTIFS('1-1 App Store Top100'!$D$2:$D$101,A26,'1-1 App Store Top100'!$E$2:$E$101,B26)</f>
        <v>2</v>
      </c>
      <c r="D26" s="21" t="n">
        <f aca="false">COUNTIFS('1-2 Google Play Top100'!$D$2:$D$101,A26,'1-2 Google Play Top100'!$E$2:$E$101,B26)</f>
        <v>1</v>
      </c>
      <c r="E26" s="21" t="n">
        <f aca="false">C26+D26</f>
        <v>3</v>
      </c>
    </row>
    <row r="27" customFormat="false" ht="15" hidden="false" customHeight="false" outlineLevel="0" collapsed="false">
      <c r="A27" s="20" t="s">
        <v>300</v>
      </c>
      <c r="B27" s="21" t="s">
        <v>343</v>
      </c>
      <c r="C27" s="21" t="n">
        <f aca="false">COUNTIFS('1-1 App Store Top100'!$D$2:$D$101,A27,'1-1 App Store Top100'!$E$2:$E$101,B27)</f>
        <v>1</v>
      </c>
      <c r="D27" s="21" t="n">
        <f aca="false">COUNTIFS('1-2 Google Play Top100'!$D$2:$D$101,A27,'1-2 Google Play Top100'!$E$2:$E$101,B27)</f>
        <v>1</v>
      </c>
      <c r="E27" s="21" t="n">
        <f aca="false">C27+D27</f>
        <v>2</v>
      </c>
    </row>
    <row r="28" customFormat="false" ht="17.15" hidden="false" customHeight="false" outlineLevel="0" collapsed="false">
      <c r="A28" s="21" t="s">
        <v>126</v>
      </c>
      <c r="B28" s="20" t="s">
        <v>127</v>
      </c>
      <c r="C28" s="21" t="n">
        <f aca="false">COUNTIFS('1-1 App Store Top100'!$D$2:$D$101,A28,'1-1 App Store Top100'!$E$2:$E$101,B28)</f>
        <v>1</v>
      </c>
      <c r="D28" s="21" t="n">
        <f aca="false">COUNTIFS('1-2 Google Play Top100'!$D$2:$D$101,A28,'1-2 Google Play Top100'!$E$2:$E$101,B28)</f>
        <v>1</v>
      </c>
      <c r="E28" s="21" t="n">
        <f aca="false">C28+D28</f>
        <v>2</v>
      </c>
    </row>
    <row r="29" customFormat="false" ht="17.15" hidden="false" customHeight="false" outlineLevel="0" collapsed="false">
      <c r="A29" s="21" t="s">
        <v>126</v>
      </c>
      <c r="B29" s="21" t="s">
        <v>210</v>
      </c>
      <c r="C29" s="21" t="n">
        <f aca="false">COUNTIFS('1-1 App Store Top100'!$D$2:$D$101,A29,'1-1 App Store Top100'!$E$2:$E$101,B29)</f>
        <v>2</v>
      </c>
      <c r="D29" s="21" t="n">
        <f aca="false">COUNTIFS('1-2 Google Play Top100'!$D$2:$D$101,A29,'1-2 Google Play Top100'!$E$2:$E$101,B29)</f>
        <v>0</v>
      </c>
      <c r="E29" s="21" t="n">
        <f aca="false">C29+D29</f>
        <v>2</v>
      </c>
    </row>
    <row r="30" customFormat="false" ht="17.15" hidden="false" customHeight="false" outlineLevel="0" collapsed="false">
      <c r="A30" s="21" t="s">
        <v>244</v>
      </c>
      <c r="B30" s="21" t="s">
        <v>245</v>
      </c>
      <c r="C30" s="21" t="n">
        <f aca="false">COUNTIFS('1-1 App Store Top100'!$D$2:$D$101,A30,'1-1 App Store Top100'!$E$2:$E$101,B30)</f>
        <v>1</v>
      </c>
      <c r="D30" s="21" t="n">
        <f aca="false">COUNTIFS('1-2 Google Play Top100'!$D$2:$D$101,A30,'1-2 Google Play Top100'!$E$2:$E$101,B30)</f>
        <v>1</v>
      </c>
      <c r="E30" s="21" t="n">
        <f aca="false">C30+D30</f>
        <v>2</v>
      </c>
    </row>
    <row r="31" customFormat="false" ht="15" hidden="false" customHeight="false" outlineLevel="0" collapsed="false">
      <c r="A31" s="21" t="s">
        <v>244</v>
      </c>
      <c r="B31" s="21" t="s">
        <v>336</v>
      </c>
      <c r="C31" s="21" t="n">
        <f aca="false">COUNTIFS('1-1 App Store Top100'!$D$2:$D$101,A31,'1-1 App Store Top100'!$E$2:$E$101,B31)</f>
        <v>2</v>
      </c>
      <c r="D31" s="21" t="n">
        <f aca="false">COUNTIFS('1-2 Google Play Top100'!$D$2:$D$101,A31,'1-2 Google Play Top100'!$E$2:$E$101,B31)</f>
        <v>0</v>
      </c>
      <c r="E31" s="21" t="n">
        <f aca="false">C31+D31</f>
        <v>2</v>
      </c>
    </row>
    <row r="32" customFormat="false" ht="15" hidden="false" customHeight="false" outlineLevel="0" collapsed="false">
      <c r="A32" s="21" t="s">
        <v>244</v>
      </c>
      <c r="B32" s="21" t="s">
        <v>273</v>
      </c>
      <c r="C32" s="21" t="n">
        <f aca="false">COUNTIFS('1-1 App Store Top100'!$D$2:$D$101,A32,'1-1 App Store Top100'!$E$2:$E$101,B32)</f>
        <v>1</v>
      </c>
      <c r="D32" s="21" t="n">
        <f aca="false">COUNTIFS('1-2 Google Play Top100'!$D$2:$D$101,A32,'1-2 Google Play Top100'!$E$2:$E$101,B32)</f>
        <v>1</v>
      </c>
      <c r="E32" s="21" t="n">
        <f aca="false">C32+D32</f>
        <v>2</v>
      </c>
    </row>
    <row r="33" customFormat="false" ht="17.15" hidden="false" customHeight="false" outlineLevel="0" collapsed="false">
      <c r="A33" s="21" t="s">
        <v>147</v>
      </c>
      <c r="B33" s="21" t="s">
        <v>148</v>
      </c>
      <c r="C33" s="21" t="n">
        <f aca="false">COUNTIFS('1-1 App Store Top100'!$D$2:$D$101,A33,'1-1 App Store Top100'!$E$2:$E$101,B33)</f>
        <v>1</v>
      </c>
      <c r="D33" s="21" t="n">
        <f aca="false">COUNTIFS('1-2 Google Play Top100'!$D$2:$D$101,A33,'1-2 Google Play Top100'!$E$2:$E$101,B33)</f>
        <v>1</v>
      </c>
      <c r="E33" s="21" t="n">
        <f aca="false">C33+D33</f>
        <v>2</v>
      </c>
    </row>
    <row r="34" customFormat="false" ht="17.15" hidden="false" customHeight="false" outlineLevel="0" collapsed="false">
      <c r="A34" s="21" t="s">
        <v>161</v>
      </c>
      <c r="B34" s="21" t="s">
        <v>181</v>
      </c>
      <c r="C34" s="21" t="n">
        <f aca="false">COUNTIFS('1-1 App Store Top100'!$D$2:$D$101,A34,'1-1 App Store Top100'!$E$2:$E$101,B34)</f>
        <v>1</v>
      </c>
      <c r="D34" s="21" t="n">
        <f aca="false">COUNTIFS('1-2 Google Play Top100'!$D$2:$D$101,A34,'1-2 Google Play Top100'!$E$2:$E$101,B34)</f>
        <v>1</v>
      </c>
      <c r="E34" s="21" t="n">
        <f aca="false">C34+D34</f>
        <v>2</v>
      </c>
    </row>
    <row r="35" customFormat="false" ht="17.15" hidden="false" customHeight="false" outlineLevel="0" collapsed="false">
      <c r="A35" s="21" t="s">
        <v>177</v>
      </c>
      <c r="B35" s="21" t="s">
        <v>178</v>
      </c>
      <c r="C35" s="21" t="n">
        <f aca="false">COUNTIFS('1-1 App Store Top100'!$D$2:$D$101,A35,'1-1 App Store Top100'!$E$2:$E$101,B35)</f>
        <v>1</v>
      </c>
      <c r="D35" s="21" t="n">
        <f aca="false">COUNTIFS('1-2 Google Play Top100'!$D$2:$D$101,A35,'1-2 Google Play Top100'!$E$2:$E$101,B35)</f>
        <v>1</v>
      </c>
      <c r="E35" s="21" t="n">
        <f aca="false">C35+D35</f>
        <v>2</v>
      </c>
    </row>
    <row r="36" customFormat="false" ht="17.15" hidden="false" customHeight="false" outlineLevel="0" collapsed="false">
      <c r="A36" s="21" t="s">
        <v>119</v>
      </c>
      <c r="B36" s="21" t="s">
        <v>249</v>
      </c>
      <c r="C36" s="21" t="n">
        <f aca="false">COUNTIFS('1-1 App Store Top100'!$D$2:$D$101,A36,'1-1 App Store Top100'!$E$2:$E$101,B36)</f>
        <v>1</v>
      </c>
      <c r="D36" s="21" t="n">
        <f aca="false">COUNTIFS('1-2 Google Play Top100'!$D$2:$D$101,A36,'1-2 Google Play Top100'!$E$2:$E$101,B36)</f>
        <v>1</v>
      </c>
      <c r="E36" s="21" t="n">
        <f aca="false">C36+D36</f>
        <v>2</v>
      </c>
    </row>
    <row r="37" customFormat="false" ht="17.15" hidden="false" customHeight="false" outlineLevel="0" collapsed="false">
      <c r="A37" s="21" t="s">
        <v>119</v>
      </c>
      <c r="B37" s="21" t="s">
        <v>228</v>
      </c>
      <c r="C37" s="21" t="n">
        <f aca="false">COUNTIFS('1-1 App Store Top100'!$D$2:$D$101,A37,'1-1 App Store Top100'!$E$2:$E$101,B37)</f>
        <v>1</v>
      </c>
      <c r="D37" s="21" t="n">
        <f aca="false">COUNTIFS('1-2 Google Play Top100'!$D$2:$D$101,A37,'1-2 Google Play Top100'!$E$2:$E$101,B37)</f>
        <v>1</v>
      </c>
      <c r="E37" s="21" t="n">
        <f aca="false">C37+D37</f>
        <v>2</v>
      </c>
    </row>
    <row r="38" customFormat="false" ht="17.15" hidden="false" customHeight="false" outlineLevel="0" collapsed="false">
      <c r="A38" s="21" t="s">
        <v>119</v>
      </c>
      <c r="B38" s="21" t="s">
        <v>190</v>
      </c>
      <c r="C38" s="21" t="n">
        <f aca="false">COUNTIFS('1-1 App Store Top100'!$D$2:$D$101,A38,'1-1 App Store Top100'!$E$2:$E$101,B38)</f>
        <v>1</v>
      </c>
      <c r="D38" s="21" t="n">
        <f aca="false">COUNTIFS('1-2 Google Play Top100'!$D$2:$D$101,A38,'1-2 Google Play Top100'!$E$2:$E$101,B38)</f>
        <v>1</v>
      </c>
      <c r="E38" s="21" t="n">
        <f aca="false">C38+D38</f>
        <v>2</v>
      </c>
    </row>
    <row r="39" customFormat="false" ht="15" hidden="false" customHeight="false" outlineLevel="0" collapsed="false">
      <c r="A39" s="20" t="s">
        <v>300</v>
      </c>
      <c r="B39" s="21" t="s">
        <v>393</v>
      </c>
      <c r="C39" s="21" t="n">
        <f aca="false">COUNTIFS('1-1 App Store Top100'!$D$2:$D$101,A39,'1-1 App Store Top100'!$E$2:$E$101,B39)</f>
        <v>0</v>
      </c>
      <c r="D39" s="21" t="n">
        <f aca="false">COUNTIFS('1-2 Google Play Top100'!$D$2:$D$101,A39,'1-2 Google Play Top100'!$E$2:$E$101,B39)</f>
        <v>1</v>
      </c>
      <c r="E39" s="21" t="n">
        <f aca="false">C39+D39</f>
        <v>1</v>
      </c>
    </row>
    <row r="40" customFormat="false" ht="15" hidden="false" customHeight="false" outlineLevel="0" collapsed="false">
      <c r="A40" s="20" t="s">
        <v>300</v>
      </c>
      <c r="B40" s="21" t="s">
        <v>301</v>
      </c>
      <c r="C40" s="21" t="n">
        <f aca="false">COUNTIFS('1-1 App Store Top100'!$D$2:$D$101,A40,'1-1 App Store Top100'!$E$2:$E$101,B40)</f>
        <v>1</v>
      </c>
      <c r="D40" s="21" t="n">
        <f aca="false">COUNTIFS('1-2 Google Play Top100'!$D$2:$D$101,A40,'1-2 Google Play Top100'!$E$2:$E$101,B40)</f>
        <v>0</v>
      </c>
      <c r="E40" s="21" t="n">
        <f aca="false">C40+D40</f>
        <v>1</v>
      </c>
    </row>
    <row r="41" customFormat="false" ht="15" hidden="false" customHeight="false" outlineLevel="0" collapsed="false">
      <c r="A41" s="21" t="s">
        <v>244</v>
      </c>
      <c r="B41" s="21" t="s">
        <v>228</v>
      </c>
      <c r="C41" s="21" t="n">
        <f aca="false">COUNTIFS('1-1 App Store Top100'!$D$2:$D$101,A41,'1-1 App Store Top100'!$E$2:$E$101,B41)</f>
        <v>1</v>
      </c>
      <c r="D41" s="21" t="n">
        <f aca="false">COUNTIFS('1-2 Google Play Top100'!$D$2:$D$101,A41,'1-2 Google Play Top100'!$E$2:$E$101,B41)</f>
        <v>0</v>
      </c>
      <c r="E41" s="21" t="n">
        <f aca="false">C41+D41</f>
        <v>1</v>
      </c>
    </row>
    <row r="42" customFormat="false" ht="17.15" hidden="false" customHeight="false" outlineLevel="0" collapsed="false">
      <c r="A42" s="21" t="s">
        <v>147</v>
      </c>
      <c r="B42" s="21" t="s">
        <v>287</v>
      </c>
      <c r="C42" s="21" t="n">
        <f aca="false">COUNTIFS('1-1 App Store Top100'!$D$2:$D$101,A42,'1-1 App Store Top100'!$E$2:$E$101,B42)</f>
        <v>1</v>
      </c>
      <c r="D42" s="21" t="n">
        <f aca="false">COUNTIFS('1-2 Google Play Top100'!$D$2:$D$101,A42,'1-2 Google Play Top100'!$E$2:$E$101,B42)</f>
        <v>0</v>
      </c>
      <c r="E42" s="21" t="n">
        <f aca="false">C42+D42</f>
        <v>1</v>
      </c>
    </row>
    <row r="43" customFormat="false" ht="17.15" hidden="false" customHeight="false" outlineLevel="0" collapsed="false">
      <c r="A43" s="21" t="s">
        <v>151</v>
      </c>
      <c r="B43" s="20" t="s">
        <v>223</v>
      </c>
      <c r="C43" s="21" t="n">
        <f aca="false">COUNTIFS('1-1 App Store Top100'!$D$2:$D$101,A43,'1-1 App Store Top100'!$E$2:$E$101,B43)</f>
        <v>1</v>
      </c>
      <c r="D43" s="21" t="n">
        <f aca="false">COUNTIFS('1-2 Google Play Top100'!$D$2:$D$101,A43,'1-2 Google Play Top100'!$E$2:$E$101,B43)</f>
        <v>0</v>
      </c>
      <c r="E43" s="21" t="n">
        <f aca="false">C43+D43</f>
        <v>1</v>
      </c>
    </row>
    <row r="44" customFormat="false" ht="17.15" hidden="false" customHeight="false" outlineLevel="0" collapsed="false">
      <c r="A44" s="21" t="s">
        <v>151</v>
      </c>
      <c r="B44" s="21" t="s">
        <v>444</v>
      </c>
      <c r="C44" s="21" t="n">
        <f aca="false">COUNTIFS('1-1 App Store Top100'!$D$2:$D$101,A44,'1-1 App Store Top100'!$E$2:$E$101,B44)</f>
        <v>0</v>
      </c>
      <c r="D44" s="21" t="n">
        <f aca="false">COUNTIFS('1-2 Google Play Top100'!$D$2:$D$101,A44,'1-2 Google Play Top100'!$E$2:$E$101,B44)</f>
        <v>1</v>
      </c>
      <c r="E44" s="21" t="n">
        <f aca="false">C44+D44</f>
        <v>1</v>
      </c>
    </row>
    <row r="45" customFormat="false" ht="17.15" hidden="false" customHeight="false" outlineLevel="0" collapsed="false">
      <c r="A45" s="21" t="s">
        <v>151</v>
      </c>
      <c r="B45" s="21" t="s">
        <v>278</v>
      </c>
      <c r="C45" s="21" t="n">
        <f aca="false">COUNTIFS('1-1 App Store Top100'!$D$2:$D$101,A45,'1-1 App Store Top100'!$E$2:$E$101,B45)</f>
        <v>1</v>
      </c>
      <c r="D45" s="21" t="n">
        <f aca="false">COUNTIFS('1-2 Google Play Top100'!$D$2:$D$101,A45,'1-2 Google Play Top100'!$E$2:$E$101,B45)</f>
        <v>0</v>
      </c>
      <c r="E45" s="21" t="n">
        <f aca="false">C45+D45</f>
        <v>1</v>
      </c>
    </row>
    <row r="46" customFormat="false" ht="15" hidden="false" customHeight="false" outlineLevel="0" collapsed="false">
      <c r="A46" s="21" t="s">
        <v>165</v>
      </c>
      <c r="B46" s="21" t="s">
        <v>310</v>
      </c>
      <c r="C46" s="21" t="n">
        <f aca="false">COUNTIFS('1-1 App Store Top100'!$D$2:$D$101,A46,'1-1 App Store Top100'!$E$2:$E$101,B46)</f>
        <v>1</v>
      </c>
      <c r="D46" s="21" t="n">
        <f aca="false">COUNTIFS('1-2 Google Play Top100'!$D$2:$D$101,A46,'1-2 Google Play Top100'!$E$2:$E$101,B46)</f>
        <v>0</v>
      </c>
      <c r="E46" s="21" t="n">
        <f aca="false">C46+D46</f>
        <v>1</v>
      </c>
    </row>
    <row r="47" customFormat="false" ht="17.15" hidden="false" customHeight="false" outlineLevel="0" collapsed="false">
      <c r="A47" s="21" t="s">
        <v>161</v>
      </c>
      <c r="B47" s="21" t="s">
        <v>237</v>
      </c>
      <c r="C47" s="21" t="n">
        <f aca="false">COUNTIFS('1-1 App Store Top100'!$D$2:$D$101,A47,'1-1 App Store Top100'!$E$2:$E$101,B47)</f>
        <v>1</v>
      </c>
      <c r="D47" s="21" t="n">
        <f aca="false">COUNTIFS('1-2 Google Play Top100'!$D$2:$D$101,A47,'1-2 Google Play Top100'!$E$2:$E$101,B47)</f>
        <v>0</v>
      </c>
      <c r="E47" s="21" t="n">
        <f aca="false">C47+D47</f>
        <v>1</v>
      </c>
    </row>
    <row r="48" customFormat="false" ht="17.15" hidden="false" customHeight="false" outlineLevel="0" collapsed="false">
      <c r="A48" s="21" t="s">
        <v>177</v>
      </c>
      <c r="B48" s="21" t="s">
        <v>359</v>
      </c>
      <c r="C48" s="21" t="n">
        <f aca="false">COUNTIFS('1-1 App Store Top100'!$D$2:$D$101,A48,'1-1 App Store Top100'!$E$2:$E$101,B48)</f>
        <v>0</v>
      </c>
      <c r="D48" s="21" t="n">
        <f aca="false">COUNTIFS('1-2 Google Play Top100'!$D$2:$D$101,A48,'1-2 Google Play Top100'!$E$2:$E$101,B48)</f>
        <v>1</v>
      </c>
      <c r="E48" s="21" t="n">
        <f aca="false">C48+D48</f>
        <v>1</v>
      </c>
    </row>
    <row r="49" customFormat="false" ht="17.15" hidden="false" customHeight="false" outlineLevel="0" collapsed="false">
      <c r="A49" s="21" t="s">
        <v>177</v>
      </c>
      <c r="B49" s="21" t="s">
        <v>252</v>
      </c>
      <c r="C49" s="21" t="n">
        <f aca="false">COUNTIFS('1-1 App Store Top100'!$D$2:$D$101,A49,'1-1 App Store Top100'!$E$2:$E$101,B49)</f>
        <v>1</v>
      </c>
      <c r="D49" s="21" t="n">
        <f aca="false">COUNTIFS('1-2 Google Play Top100'!$D$2:$D$101,A49,'1-2 Google Play Top100'!$E$2:$E$101,B49)</f>
        <v>0</v>
      </c>
      <c r="E49" s="21" t="n">
        <f aca="false">C49+D49</f>
        <v>1</v>
      </c>
    </row>
    <row r="50" customFormat="false" ht="15" hidden="false" customHeight="false" outlineLevel="0" collapsed="false">
      <c r="A50" s="28" t="s">
        <v>465</v>
      </c>
      <c r="B50" s="28"/>
      <c r="C50" s="28" t="n">
        <f aca="false">SUM(C2:C49)</f>
        <v>100</v>
      </c>
      <c r="D50" s="28" t="n">
        <f aca="false">SUM(D2:D49)</f>
        <v>99</v>
      </c>
      <c r="E50" s="28" t="n">
        <f aca="false">SUM(E2:E49)</f>
        <v>199</v>
      </c>
    </row>
  </sheetData>
  <autoFilter ref="A1:E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3" t="s">
        <v>477</v>
      </c>
      <c r="B1" s="3" t="s">
        <v>67</v>
      </c>
    </row>
    <row r="2" customFormat="false" ht="32.8" hidden="false" customHeight="false" outlineLevel="0" collapsed="false">
      <c r="A2" s="31" t="s">
        <v>478</v>
      </c>
      <c r="B2" s="17" t="s">
        <v>479</v>
      </c>
    </row>
    <row r="3" customFormat="false" ht="32.8" hidden="false" customHeight="false" outlineLevel="0" collapsed="false">
      <c r="A3" s="31" t="s">
        <v>480</v>
      </c>
      <c r="B3" s="17" t="s">
        <v>481</v>
      </c>
    </row>
    <row r="4" customFormat="false" ht="32.8" hidden="false" customHeight="false" outlineLevel="0" collapsed="false">
      <c r="A4" s="31" t="s">
        <v>482</v>
      </c>
      <c r="B4" s="17" t="s">
        <v>483</v>
      </c>
    </row>
    <row r="5" customFormat="false" ht="32.8" hidden="false" customHeight="false" outlineLevel="0" collapsed="false">
      <c r="A5" s="31" t="s">
        <v>484</v>
      </c>
      <c r="B5" s="17" t="s">
        <v>485</v>
      </c>
    </row>
    <row r="6" customFormat="false" ht="48.5" hidden="false" customHeight="false" outlineLevel="0" collapsed="false">
      <c r="A6" s="31" t="s">
        <v>486</v>
      </c>
      <c r="B6" s="32" t="s">
        <v>487</v>
      </c>
    </row>
    <row r="7" customFormat="false" ht="32.8" hidden="false" customHeight="false" outlineLevel="0" collapsed="false">
      <c r="A7" s="31" t="s">
        <v>488</v>
      </c>
      <c r="B7" s="17" t="s">
        <v>489</v>
      </c>
    </row>
    <row r="8" customFormat="false" ht="45.5" hidden="false" customHeight="false" outlineLevel="0" collapsed="false">
      <c r="A8" s="31" t="s">
        <v>490</v>
      </c>
      <c r="B8" s="17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492</v>
      </c>
      <c r="B1" s="3" t="s">
        <v>493</v>
      </c>
      <c r="C1" s="3" t="s">
        <v>494</v>
      </c>
    </row>
    <row r="2" customFormat="false" ht="17.15" hidden="false" customHeight="false" outlineLevel="0" collapsed="false">
      <c r="A2" s="32" t="s">
        <v>103</v>
      </c>
      <c r="B2" s="17" t="s">
        <v>495</v>
      </c>
      <c r="C2" s="17" t="s">
        <v>496</v>
      </c>
    </row>
    <row r="3" customFormat="false" ht="26.85" hidden="false" customHeight="false" outlineLevel="0" collapsed="false">
      <c r="A3" s="32" t="s">
        <v>497</v>
      </c>
      <c r="B3" s="17" t="s">
        <v>498</v>
      </c>
      <c r="C3" s="17" t="s">
        <v>499</v>
      </c>
    </row>
    <row r="4" customFormat="false" ht="17.15" hidden="false" customHeight="false" outlineLevel="0" collapsed="false">
      <c r="A4" s="32" t="s">
        <v>139</v>
      </c>
      <c r="B4" s="17" t="s">
        <v>500</v>
      </c>
      <c r="C4" s="17" t="s">
        <v>501</v>
      </c>
    </row>
    <row r="5" customFormat="false" ht="17.15" hidden="false" customHeight="false" outlineLevel="0" collapsed="false">
      <c r="A5" s="32" t="s">
        <v>502</v>
      </c>
      <c r="B5" s="17" t="s">
        <v>503</v>
      </c>
      <c r="C5" s="17" t="s">
        <v>504</v>
      </c>
    </row>
    <row r="6" customFormat="false" ht="17.15" hidden="false" customHeight="false" outlineLevel="0" collapsed="false">
      <c r="A6" s="32" t="s">
        <v>505</v>
      </c>
      <c r="B6" s="17" t="s">
        <v>506</v>
      </c>
      <c r="C6" s="17" t="s">
        <v>507</v>
      </c>
    </row>
    <row r="7" customFormat="false" ht="17.15" hidden="false" customHeight="false" outlineLevel="0" collapsed="false">
      <c r="A7" s="32" t="s">
        <v>508</v>
      </c>
      <c r="B7" s="17" t="s">
        <v>509</v>
      </c>
      <c r="C7" s="32" t="s">
        <v>510</v>
      </c>
    </row>
    <row r="8" customFormat="false" ht="17.15" hidden="false" customHeight="false" outlineLevel="0" collapsed="false">
      <c r="A8" s="32" t="s">
        <v>511</v>
      </c>
      <c r="B8" s="17" t="s">
        <v>512</v>
      </c>
      <c r="C8" s="32" t="s">
        <v>513</v>
      </c>
    </row>
    <row r="9" customFormat="false" ht="17.15" hidden="false" customHeight="false" outlineLevel="0" collapsed="false">
      <c r="A9" s="32" t="s">
        <v>514</v>
      </c>
      <c r="B9" s="17" t="s">
        <v>515</v>
      </c>
      <c r="C9" s="17" t="s">
        <v>516</v>
      </c>
    </row>
    <row r="10" customFormat="false" ht="17.15" hidden="false" customHeight="false" outlineLevel="0" collapsed="false">
      <c r="A10" s="32" t="s">
        <v>517</v>
      </c>
      <c r="B10" s="17" t="s">
        <v>518</v>
      </c>
      <c r="C10" s="17" t="s">
        <v>519</v>
      </c>
    </row>
    <row r="11" customFormat="false" ht="17.15" hidden="false" customHeight="false" outlineLevel="0" collapsed="false">
      <c r="A11" s="32" t="s">
        <v>128</v>
      </c>
      <c r="B11" s="17" t="s">
        <v>520</v>
      </c>
      <c r="C11" s="17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33" t="s">
        <v>66</v>
      </c>
      <c r="B1" s="33" t="s">
        <v>522</v>
      </c>
      <c r="C1" s="33" t="s">
        <v>523</v>
      </c>
      <c r="D1" s="33" t="s">
        <v>524</v>
      </c>
      <c r="E1" s="33" t="s">
        <v>525</v>
      </c>
    </row>
    <row r="2" customFormat="false" ht="17.15" hidden="false" customHeight="false" outlineLevel="0" collapsed="false">
      <c r="A2" s="34" t="s">
        <v>526</v>
      </c>
      <c r="B2" s="17" t="s">
        <v>527</v>
      </c>
      <c r="C2" s="17" t="s">
        <v>528</v>
      </c>
      <c r="D2" s="17" t="s">
        <v>529</v>
      </c>
      <c r="E2" s="35" t="s">
        <v>530</v>
      </c>
    </row>
    <row r="3" customFormat="false" ht="32.8" hidden="false" customHeight="false" outlineLevel="0" collapsed="false">
      <c r="A3" s="34" t="s">
        <v>531</v>
      </c>
      <c r="B3" s="17" t="s">
        <v>532</v>
      </c>
      <c r="C3" s="17" t="s">
        <v>533</v>
      </c>
      <c r="D3" s="17" t="s">
        <v>534</v>
      </c>
      <c r="E3" s="32" t="s">
        <v>535</v>
      </c>
    </row>
    <row r="4" customFormat="false" ht="17.15" hidden="false" customHeight="false" outlineLevel="0" collapsed="false">
      <c r="A4" s="34" t="s">
        <v>536</v>
      </c>
      <c r="B4" s="17" t="s">
        <v>537</v>
      </c>
      <c r="C4" s="17" t="s">
        <v>538</v>
      </c>
      <c r="D4" s="17" t="s">
        <v>539</v>
      </c>
      <c r="E4" s="17" t="s">
        <v>540</v>
      </c>
    </row>
    <row r="5" customFormat="false" ht="48.5" hidden="false" customHeight="false" outlineLevel="0" collapsed="false">
      <c r="A5" s="34" t="s">
        <v>541</v>
      </c>
      <c r="B5" s="17" t="s">
        <v>542</v>
      </c>
      <c r="C5" s="17" t="s">
        <v>543</v>
      </c>
      <c r="D5" s="17" t="s">
        <v>544</v>
      </c>
      <c r="E5" s="32" t="s">
        <v>545</v>
      </c>
    </row>
    <row r="6" customFormat="false" ht="17.15" hidden="false" customHeight="false" outlineLevel="0" collapsed="false">
      <c r="A6" s="34" t="s">
        <v>546</v>
      </c>
      <c r="B6" s="17" t="s">
        <v>547</v>
      </c>
      <c r="C6" s="32" t="s">
        <v>548</v>
      </c>
      <c r="D6" s="17" t="s">
        <v>549</v>
      </c>
      <c r="E6" s="35" t="s">
        <v>550</v>
      </c>
    </row>
    <row r="7" customFormat="false" ht="29.85" hidden="false" customHeight="false" outlineLevel="0" collapsed="false">
      <c r="A7" s="34" t="s">
        <v>551</v>
      </c>
      <c r="B7" s="17" t="s">
        <v>552</v>
      </c>
      <c r="C7" s="17" t="s">
        <v>553</v>
      </c>
      <c r="D7" s="17" t="s">
        <v>554</v>
      </c>
      <c r="E7" s="17" t="s">
        <v>555</v>
      </c>
    </row>
    <row r="8" customFormat="false" ht="17.15" hidden="false" customHeight="false" outlineLevel="0" collapsed="false">
      <c r="A8" s="34" t="s">
        <v>556</v>
      </c>
      <c r="B8" s="17" t="s">
        <v>557</v>
      </c>
      <c r="C8" s="17" t="s">
        <v>558</v>
      </c>
      <c r="D8" s="17" t="s">
        <v>559</v>
      </c>
      <c r="E8" s="17" t="str">
        <f aca="false">"Top 20 중 "&amp;'2-7 동남아 분석'!B28&amp;"개 (인도네시아, 수식)"</f>
        <v>Top 20 중 6개 (인도네시아, 수식)</v>
      </c>
    </row>
    <row r="9" customFormat="false" ht="32.8" hidden="false" customHeight="false" outlineLevel="0" collapsed="false">
      <c r="A9" s="34" t="s">
        <v>560</v>
      </c>
      <c r="B9" s="17" t="s">
        <v>561</v>
      </c>
      <c r="C9" s="17" t="s">
        <v>562</v>
      </c>
      <c r="D9" s="17" t="s">
        <v>563</v>
      </c>
      <c r="E9" s="35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36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33" t="s">
        <v>565</v>
      </c>
      <c r="B1" s="33" t="s">
        <v>566</v>
      </c>
      <c r="C1" s="33" t="s">
        <v>567</v>
      </c>
      <c r="D1" s="33" t="s">
        <v>98</v>
      </c>
      <c r="E1" s="33" t="s">
        <v>99</v>
      </c>
      <c r="F1" s="33" t="s">
        <v>100</v>
      </c>
      <c r="G1" s="33" t="s">
        <v>101</v>
      </c>
      <c r="H1" s="33" t="s">
        <v>568</v>
      </c>
    </row>
    <row r="2" customFormat="false" ht="17.15" hidden="false" customHeight="false" outlineLevel="0" collapsed="false">
      <c r="A2" s="36" t="s">
        <v>569</v>
      </c>
      <c r="B2" s="36" t="s">
        <v>570</v>
      </c>
      <c r="C2" s="37" t="s">
        <v>75</v>
      </c>
      <c r="D2" s="19" t="n">
        <v>1</v>
      </c>
      <c r="E2" s="37" t="s">
        <v>353</v>
      </c>
      <c r="F2" s="37" t="s">
        <v>104</v>
      </c>
      <c r="G2" s="36" t="s">
        <v>105</v>
      </c>
      <c r="H2" s="37" t="s">
        <v>571</v>
      </c>
    </row>
    <row r="3" customFormat="false" ht="17.15" hidden="false" customHeight="false" outlineLevel="0" collapsed="false">
      <c r="A3" s="36" t="s">
        <v>569</v>
      </c>
      <c r="B3" s="36" t="s">
        <v>570</v>
      </c>
      <c r="C3" s="37" t="s">
        <v>75</v>
      </c>
      <c r="D3" s="19" t="n">
        <v>2</v>
      </c>
      <c r="E3" s="37" t="s">
        <v>111</v>
      </c>
      <c r="F3" s="37" t="s">
        <v>112</v>
      </c>
      <c r="G3" s="36" t="s">
        <v>105</v>
      </c>
      <c r="H3" s="37" t="s">
        <v>571</v>
      </c>
    </row>
    <row r="4" customFormat="false" ht="17.15" hidden="false" customHeight="false" outlineLevel="0" collapsed="false">
      <c r="A4" s="36" t="s">
        <v>569</v>
      </c>
      <c r="B4" s="36" t="s">
        <v>570</v>
      </c>
      <c r="C4" s="37" t="s">
        <v>75</v>
      </c>
      <c r="D4" s="19" t="n">
        <v>3</v>
      </c>
      <c r="E4" s="37" t="s">
        <v>124</v>
      </c>
      <c r="F4" s="37" t="s">
        <v>125</v>
      </c>
      <c r="G4" s="36" t="s">
        <v>126</v>
      </c>
      <c r="H4" s="37" t="s">
        <v>571</v>
      </c>
    </row>
    <row r="5" customFormat="false" ht="17.15" hidden="false" customHeight="false" outlineLevel="0" collapsed="false">
      <c r="A5" s="36" t="s">
        <v>569</v>
      </c>
      <c r="B5" s="36" t="s">
        <v>570</v>
      </c>
      <c r="C5" s="37" t="s">
        <v>75</v>
      </c>
      <c r="D5" s="19" t="n">
        <v>4</v>
      </c>
      <c r="E5" s="37" t="s">
        <v>113</v>
      </c>
      <c r="F5" s="37" t="s">
        <v>109</v>
      </c>
      <c r="G5" s="36" t="s">
        <v>105</v>
      </c>
      <c r="H5" s="37" t="s">
        <v>571</v>
      </c>
    </row>
    <row r="6" customFormat="false" ht="17.15" hidden="false" customHeight="false" outlineLevel="0" collapsed="false">
      <c r="A6" s="36" t="s">
        <v>569</v>
      </c>
      <c r="B6" s="36" t="s">
        <v>570</v>
      </c>
      <c r="C6" s="37" t="s">
        <v>75</v>
      </c>
      <c r="D6" s="19" t="n">
        <v>5</v>
      </c>
      <c r="E6" s="37" t="s">
        <v>142</v>
      </c>
      <c r="F6" s="37" t="s">
        <v>104</v>
      </c>
      <c r="G6" s="36" t="s">
        <v>105</v>
      </c>
      <c r="H6" s="37" t="s">
        <v>571</v>
      </c>
    </row>
    <row r="7" customFormat="false" ht="17.15" hidden="false" customHeight="false" outlineLevel="0" collapsed="false">
      <c r="A7" s="36" t="s">
        <v>569</v>
      </c>
      <c r="B7" s="36" t="s">
        <v>570</v>
      </c>
      <c r="C7" s="37" t="s">
        <v>75</v>
      </c>
      <c r="D7" s="19" t="n">
        <v>6</v>
      </c>
      <c r="E7" s="37" t="s">
        <v>136</v>
      </c>
      <c r="F7" s="37" t="s">
        <v>137</v>
      </c>
      <c r="G7" s="36" t="s">
        <v>105</v>
      </c>
      <c r="H7" s="37" t="s">
        <v>571</v>
      </c>
    </row>
    <row r="8" customFormat="false" ht="17.15" hidden="false" customHeight="false" outlineLevel="0" collapsed="false">
      <c r="A8" s="36" t="s">
        <v>569</v>
      </c>
      <c r="B8" s="36" t="s">
        <v>570</v>
      </c>
      <c r="C8" s="37" t="s">
        <v>75</v>
      </c>
      <c r="D8" s="19" t="n">
        <v>7</v>
      </c>
      <c r="E8" s="37" t="s">
        <v>139</v>
      </c>
      <c r="F8" s="37" t="s">
        <v>140</v>
      </c>
      <c r="G8" s="36" t="s">
        <v>105</v>
      </c>
      <c r="H8" s="37" t="s">
        <v>571</v>
      </c>
    </row>
    <row r="9" customFormat="false" ht="17.15" hidden="false" customHeight="false" outlineLevel="0" collapsed="false">
      <c r="A9" s="36" t="s">
        <v>569</v>
      </c>
      <c r="B9" s="36" t="s">
        <v>570</v>
      </c>
      <c r="C9" s="37" t="s">
        <v>75</v>
      </c>
      <c r="D9" s="19" t="n">
        <v>8</v>
      </c>
      <c r="E9" s="37" t="s">
        <v>131</v>
      </c>
      <c r="F9" s="37" t="s">
        <v>360</v>
      </c>
      <c r="G9" s="36" t="s">
        <v>105</v>
      </c>
      <c r="H9" s="37" t="s">
        <v>571</v>
      </c>
    </row>
    <row r="10" customFormat="false" ht="17.15" hidden="false" customHeight="false" outlineLevel="0" collapsed="false">
      <c r="A10" s="36" t="s">
        <v>569</v>
      </c>
      <c r="B10" s="36" t="s">
        <v>570</v>
      </c>
      <c r="C10" s="37" t="s">
        <v>75</v>
      </c>
      <c r="D10" s="19" t="n">
        <v>9</v>
      </c>
      <c r="E10" s="37" t="s">
        <v>128</v>
      </c>
      <c r="F10" s="37" t="s">
        <v>129</v>
      </c>
      <c r="G10" s="36" t="s">
        <v>105</v>
      </c>
      <c r="H10" s="37" t="s">
        <v>571</v>
      </c>
    </row>
    <row r="11" customFormat="false" ht="17.15" hidden="false" customHeight="false" outlineLevel="0" collapsed="false">
      <c r="A11" s="36" t="s">
        <v>569</v>
      </c>
      <c r="B11" s="36" t="s">
        <v>570</v>
      </c>
      <c r="C11" s="37" t="s">
        <v>75</v>
      </c>
      <c r="D11" s="19" t="n">
        <v>10</v>
      </c>
      <c r="E11" s="37" t="s">
        <v>396</v>
      </c>
      <c r="F11" s="37" t="s">
        <v>397</v>
      </c>
      <c r="G11" s="36" t="s">
        <v>105</v>
      </c>
      <c r="H11" s="37" t="s">
        <v>571</v>
      </c>
    </row>
    <row r="12" customFormat="false" ht="17.15" hidden="false" customHeight="false" outlineLevel="0" collapsed="false">
      <c r="A12" s="36" t="s">
        <v>569</v>
      </c>
      <c r="B12" s="36" t="s">
        <v>570</v>
      </c>
      <c r="C12" s="37" t="s">
        <v>75</v>
      </c>
      <c r="D12" s="19" t="n">
        <v>11</v>
      </c>
      <c r="E12" s="37" t="s">
        <v>357</v>
      </c>
      <c r="F12" s="37" t="s">
        <v>358</v>
      </c>
      <c r="G12" s="36" t="s">
        <v>177</v>
      </c>
      <c r="H12" s="37" t="s">
        <v>571</v>
      </c>
    </row>
    <row r="13" customFormat="false" ht="17.15" hidden="false" customHeight="false" outlineLevel="0" collapsed="false">
      <c r="A13" s="36" t="s">
        <v>569</v>
      </c>
      <c r="B13" s="36" t="s">
        <v>570</v>
      </c>
      <c r="C13" s="37" t="s">
        <v>75</v>
      </c>
      <c r="D13" s="19" t="n">
        <v>12</v>
      </c>
      <c r="E13" s="37" t="s">
        <v>366</v>
      </c>
      <c r="F13" s="37" t="s">
        <v>265</v>
      </c>
      <c r="G13" s="36" t="s">
        <v>105</v>
      </c>
      <c r="H13" s="37" t="s">
        <v>571</v>
      </c>
    </row>
    <row r="14" customFormat="false" ht="17.15" hidden="false" customHeight="false" outlineLevel="0" collapsed="false">
      <c r="A14" s="36" t="s">
        <v>569</v>
      </c>
      <c r="B14" s="36" t="s">
        <v>570</v>
      </c>
      <c r="C14" s="37" t="s">
        <v>75</v>
      </c>
      <c r="D14" s="19" t="n">
        <v>13</v>
      </c>
      <c r="E14" s="37" t="s">
        <v>167</v>
      </c>
      <c r="F14" s="37" t="s">
        <v>168</v>
      </c>
      <c r="G14" s="36" t="s">
        <v>105</v>
      </c>
      <c r="H14" s="37" t="s">
        <v>571</v>
      </c>
    </row>
    <row r="15" customFormat="false" ht="17.15" hidden="false" customHeight="false" outlineLevel="0" collapsed="false">
      <c r="A15" s="36" t="s">
        <v>569</v>
      </c>
      <c r="B15" s="36" t="s">
        <v>570</v>
      </c>
      <c r="C15" s="37" t="s">
        <v>75</v>
      </c>
      <c r="D15" s="19" t="n">
        <v>14</v>
      </c>
      <c r="E15" s="37" t="s">
        <v>572</v>
      </c>
      <c r="F15" s="37" t="s">
        <v>573</v>
      </c>
      <c r="G15" s="36" t="s">
        <v>105</v>
      </c>
      <c r="H15" s="37" t="s">
        <v>571</v>
      </c>
    </row>
    <row r="16" customFormat="false" ht="17.15" hidden="false" customHeight="false" outlineLevel="0" collapsed="false">
      <c r="A16" s="36" t="s">
        <v>569</v>
      </c>
      <c r="B16" s="36" t="s">
        <v>570</v>
      </c>
      <c r="C16" s="37" t="s">
        <v>75</v>
      </c>
      <c r="D16" s="19" t="n">
        <v>15</v>
      </c>
      <c r="E16" s="37" t="s">
        <v>114</v>
      </c>
      <c r="F16" s="37" t="s">
        <v>369</v>
      </c>
      <c r="G16" s="36" t="s">
        <v>105</v>
      </c>
      <c r="H16" s="37" t="s">
        <v>571</v>
      </c>
    </row>
    <row r="17" customFormat="false" ht="17.15" hidden="false" customHeight="false" outlineLevel="0" collapsed="false">
      <c r="A17" s="36" t="s">
        <v>569</v>
      </c>
      <c r="B17" s="36" t="s">
        <v>570</v>
      </c>
      <c r="C17" s="37" t="s">
        <v>75</v>
      </c>
      <c r="D17" s="19" t="n">
        <v>16</v>
      </c>
      <c r="E17" s="37" t="s">
        <v>156</v>
      </c>
      <c r="F17" s="37" t="s">
        <v>112</v>
      </c>
      <c r="G17" s="36" t="s">
        <v>105</v>
      </c>
      <c r="H17" s="37" t="s">
        <v>571</v>
      </c>
    </row>
    <row r="18" customFormat="false" ht="17.15" hidden="false" customHeight="false" outlineLevel="0" collapsed="false">
      <c r="A18" s="36" t="s">
        <v>569</v>
      </c>
      <c r="B18" s="36" t="s">
        <v>570</v>
      </c>
      <c r="C18" s="37" t="s">
        <v>75</v>
      </c>
      <c r="D18" s="19" t="n">
        <v>17</v>
      </c>
      <c r="E18" s="37" t="s">
        <v>157</v>
      </c>
      <c r="F18" s="37" t="s">
        <v>158</v>
      </c>
      <c r="G18" s="36" t="s">
        <v>119</v>
      </c>
      <c r="H18" s="37" t="s">
        <v>571</v>
      </c>
    </row>
    <row r="19" customFormat="false" ht="17.15" hidden="false" customHeight="false" outlineLevel="0" collapsed="false">
      <c r="A19" s="36" t="s">
        <v>569</v>
      </c>
      <c r="B19" s="36" t="s">
        <v>570</v>
      </c>
      <c r="C19" s="37" t="s">
        <v>75</v>
      </c>
      <c r="D19" s="19" t="n">
        <v>18</v>
      </c>
      <c r="E19" s="37" t="s">
        <v>188</v>
      </c>
      <c r="F19" s="37" t="s">
        <v>189</v>
      </c>
      <c r="G19" s="36" t="s">
        <v>119</v>
      </c>
      <c r="H19" s="37" t="s">
        <v>571</v>
      </c>
    </row>
    <row r="20" customFormat="false" ht="17.15" hidden="false" customHeight="false" outlineLevel="0" collapsed="false">
      <c r="A20" s="36" t="s">
        <v>569</v>
      </c>
      <c r="B20" s="36" t="s">
        <v>570</v>
      </c>
      <c r="C20" s="37" t="s">
        <v>75</v>
      </c>
      <c r="D20" s="19" t="n">
        <v>19</v>
      </c>
      <c r="E20" s="37" t="s">
        <v>261</v>
      </c>
      <c r="F20" s="37" t="s">
        <v>262</v>
      </c>
      <c r="G20" s="36" t="s">
        <v>105</v>
      </c>
      <c r="H20" s="37" t="s">
        <v>571</v>
      </c>
    </row>
    <row r="21" customFormat="false" ht="17.15" hidden="false" customHeight="false" outlineLevel="0" collapsed="false">
      <c r="A21" s="36" t="s">
        <v>569</v>
      </c>
      <c r="B21" s="36" t="s">
        <v>570</v>
      </c>
      <c r="C21" s="37" t="s">
        <v>75</v>
      </c>
      <c r="D21" s="19" t="n">
        <v>20</v>
      </c>
      <c r="E21" s="37" t="s">
        <v>295</v>
      </c>
      <c r="F21" s="37" t="s">
        <v>296</v>
      </c>
      <c r="G21" s="36" t="s">
        <v>105</v>
      </c>
      <c r="H21" s="37" t="s">
        <v>571</v>
      </c>
    </row>
    <row r="22" customFormat="false" ht="17.15" hidden="false" customHeight="false" outlineLevel="0" collapsed="false">
      <c r="A22" s="36" t="s">
        <v>574</v>
      </c>
      <c r="B22" s="36" t="s">
        <v>575</v>
      </c>
      <c r="C22" s="37" t="s">
        <v>75</v>
      </c>
      <c r="D22" s="19" t="n">
        <v>1</v>
      </c>
      <c r="E22" s="37" t="s">
        <v>124</v>
      </c>
      <c r="F22" s="37" t="s">
        <v>125</v>
      </c>
      <c r="G22" s="36" t="s">
        <v>126</v>
      </c>
      <c r="H22" s="37" t="s">
        <v>576</v>
      </c>
    </row>
    <row r="23" customFormat="false" ht="17.15" hidden="false" customHeight="false" outlineLevel="0" collapsed="false">
      <c r="A23" s="36" t="s">
        <v>574</v>
      </c>
      <c r="B23" s="36" t="s">
        <v>575</v>
      </c>
      <c r="C23" s="37" t="s">
        <v>75</v>
      </c>
      <c r="D23" s="19" t="n">
        <v>2</v>
      </c>
      <c r="E23" s="37" t="s">
        <v>456</v>
      </c>
      <c r="F23" s="37" t="s">
        <v>457</v>
      </c>
      <c r="G23" s="36" t="s">
        <v>151</v>
      </c>
      <c r="H23" s="37" t="s">
        <v>576</v>
      </c>
    </row>
    <row r="24" customFormat="false" ht="15" hidden="false" customHeight="false" outlineLevel="0" collapsed="false">
      <c r="A24" s="36" t="s">
        <v>574</v>
      </c>
      <c r="B24" s="36" t="s">
        <v>575</v>
      </c>
      <c r="C24" s="37" t="s">
        <v>75</v>
      </c>
      <c r="D24" s="19" t="n">
        <v>3</v>
      </c>
      <c r="E24" s="37" t="s">
        <v>136</v>
      </c>
      <c r="F24" s="37" t="s">
        <v>137</v>
      </c>
      <c r="G24" s="36" t="s">
        <v>105</v>
      </c>
      <c r="H24" s="37" t="s">
        <v>576</v>
      </c>
    </row>
    <row r="25" customFormat="false" ht="15" hidden="false" customHeight="false" outlineLevel="0" collapsed="false">
      <c r="A25" s="36" t="s">
        <v>574</v>
      </c>
      <c r="B25" s="36" t="s">
        <v>575</v>
      </c>
      <c r="C25" s="37" t="s">
        <v>75</v>
      </c>
      <c r="D25" s="19" t="n">
        <v>4</v>
      </c>
      <c r="E25" s="37" t="s">
        <v>353</v>
      </c>
      <c r="F25" s="37" t="s">
        <v>104</v>
      </c>
      <c r="G25" s="36" t="s">
        <v>105</v>
      </c>
      <c r="H25" s="37" t="s">
        <v>576</v>
      </c>
    </row>
    <row r="26" customFormat="false" ht="15" hidden="false" customHeight="false" outlineLevel="0" collapsed="false">
      <c r="A26" s="38" t="s">
        <v>574</v>
      </c>
      <c r="B26" s="38" t="s">
        <v>575</v>
      </c>
      <c r="C26" s="39" t="s">
        <v>75</v>
      </c>
      <c r="D26" s="22" t="n">
        <v>5</v>
      </c>
      <c r="E26" s="39" t="s">
        <v>577</v>
      </c>
      <c r="F26" s="39" t="s">
        <v>578</v>
      </c>
      <c r="G26" s="38" t="s">
        <v>116</v>
      </c>
      <c r="H26" s="39" t="s">
        <v>576</v>
      </c>
    </row>
    <row r="27" customFormat="false" ht="17.15" hidden="false" customHeight="false" outlineLevel="0" collapsed="false">
      <c r="A27" s="36" t="s">
        <v>574</v>
      </c>
      <c r="B27" s="36" t="s">
        <v>575</v>
      </c>
      <c r="C27" s="37" t="s">
        <v>75</v>
      </c>
      <c r="D27" s="19" t="n">
        <v>6</v>
      </c>
      <c r="E27" s="37" t="s">
        <v>185</v>
      </c>
      <c r="F27" s="37" t="s">
        <v>186</v>
      </c>
      <c r="G27" s="36" t="s">
        <v>119</v>
      </c>
      <c r="H27" s="37" t="s">
        <v>576</v>
      </c>
    </row>
    <row r="28" customFormat="false" ht="15" hidden="false" customHeight="false" outlineLevel="0" collapsed="false">
      <c r="A28" s="36" t="s">
        <v>574</v>
      </c>
      <c r="B28" s="36" t="s">
        <v>575</v>
      </c>
      <c r="C28" s="37" t="s">
        <v>75</v>
      </c>
      <c r="D28" s="19" t="n">
        <v>7</v>
      </c>
      <c r="E28" s="37" t="s">
        <v>579</v>
      </c>
      <c r="F28" s="37" t="s">
        <v>580</v>
      </c>
      <c r="G28" s="36" t="s">
        <v>147</v>
      </c>
      <c r="H28" s="37" t="s">
        <v>576</v>
      </c>
    </row>
    <row r="29" customFormat="false" ht="15" hidden="false" customHeight="false" outlineLevel="0" collapsed="false">
      <c r="A29" s="36" t="s">
        <v>574</v>
      </c>
      <c r="B29" s="36" t="s">
        <v>575</v>
      </c>
      <c r="C29" s="37" t="s">
        <v>75</v>
      </c>
      <c r="D29" s="19" t="n">
        <v>8</v>
      </c>
      <c r="E29" s="37" t="s">
        <v>111</v>
      </c>
      <c r="F29" s="37" t="s">
        <v>112</v>
      </c>
      <c r="G29" s="36" t="s">
        <v>105</v>
      </c>
      <c r="H29" s="37" t="s">
        <v>576</v>
      </c>
    </row>
    <row r="30" customFormat="false" ht="15" hidden="false" customHeight="false" outlineLevel="0" collapsed="false">
      <c r="A30" s="36" t="s">
        <v>574</v>
      </c>
      <c r="B30" s="36" t="s">
        <v>575</v>
      </c>
      <c r="C30" s="37" t="s">
        <v>75</v>
      </c>
      <c r="D30" s="19" t="n">
        <v>9</v>
      </c>
      <c r="E30" s="37" t="s">
        <v>139</v>
      </c>
      <c r="F30" s="37" t="s">
        <v>140</v>
      </c>
      <c r="G30" s="36" t="s">
        <v>105</v>
      </c>
      <c r="H30" s="37" t="s">
        <v>576</v>
      </c>
    </row>
    <row r="31" customFormat="false" ht="15" hidden="false" customHeight="false" outlineLevel="0" collapsed="false">
      <c r="A31" s="36" t="s">
        <v>574</v>
      </c>
      <c r="B31" s="36" t="s">
        <v>575</v>
      </c>
      <c r="C31" s="37" t="s">
        <v>75</v>
      </c>
      <c r="D31" s="19" t="n">
        <v>10</v>
      </c>
      <c r="E31" s="37" t="s">
        <v>581</v>
      </c>
      <c r="F31" s="37" t="s">
        <v>582</v>
      </c>
      <c r="G31" s="36" t="s">
        <v>244</v>
      </c>
      <c r="H31" s="37" t="s">
        <v>576</v>
      </c>
    </row>
    <row r="32" customFormat="false" ht="15" hidden="false" customHeight="false" outlineLevel="0" collapsed="false">
      <c r="A32" s="36" t="s">
        <v>574</v>
      </c>
      <c r="B32" s="36" t="s">
        <v>575</v>
      </c>
      <c r="C32" s="37" t="s">
        <v>75</v>
      </c>
      <c r="D32" s="19" t="n">
        <v>11</v>
      </c>
      <c r="E32" s="37" t="s">
        <v>583</v>
      </c>
      <c r="F32" s="37" t="s">
        <v>584</v>
      </c>
      <c r="G32" s="36" t="s">
        <v>105</v>
      </c>
      <c r="H32" s="37" t="s">
        <v>576</v>
      </c>
    </row>
    <row r="33" customFormat="false" ht="15" hidden="false" customHeight="false" outlineLevel="0" collapsed="false">
      <c r="A33" s="36" t="s">
        <v>574</v>
      </c>
      <c r="B33" s="36" t="s">
        <v>575</v>
      </c>
      <c r="C33" s="37" t="s">
        <v>75</v>
      </c>
      <c r="D33" s="19" t="n">
        <v>12</v>
      </c>
      <c r="E33" s="37" t="s">
        <v>585</v>
      </c>
      <c r="F33" s="37" t="s">
        <v>586</v>
      </c>
      <c r="G33" s="36" t="s">
        <v>147</v>
      </c>
      <c r="H33" s="37" t="s">
        <v>576</v>
      </c>
    </row>
    <row r="34" customFormat="false" ht="15" hidden="false" customHeight="false" outlineLevel="0" collapsed="false">
      <c r="A34" s="36" t="s">
        <v>574</v>
      </c>
      <c r="B34" s="36" t="s">
        <v>575</v>
      </c>
      <c r="C34" s="37" t="s">
        <v>75</v>
      </c>
      <c r="D34" s="19" t="n">
        <v>13</v>
      </c>
      <c r="E34" s="37" t="s">
        <v>131</v>
      </c>
      <c r="F34" s="37" t="s">
        <v>360</v>
      </c>
      <c r="G34" s="36" t="s">
        <v>105</v>
      </c>
      <c r="H34" s="37" t="s">
        <v>576</v>
      </c>
    </row>
    <row r="35" customFormat="false" ht="17.15" hidden="false" customHeight="false" outlineLevel="0" collapsed="false">
      <c r="A35" s="36" t="s">
        <v>574</v>
      </c>
      <c r="B35" s="36" t="s">
        <v>575</v>
      </c>
      <c r="C35" s="37" t="s">
        <v>75</v>
      </c>
      <c r="D35" s="19" t="n">
        <v>14</v>
      </c>
      <c r="E35" s="37" t="s">
        <v>587</v>
      </c>
      <c r="F35" s="37" t="s">
        <v>588</v>
      </c>
      <c r="G35" s="36" t="s">
        <v>119</v>
      </c>
      <c r="H35" s="37" t="s">
        <v>576</v>
      </c>
    </row>
    <row r="36" customFormat="false" ht="15" hidden="false" customHeight="false" outlineLevel="0" collapsed="false">
      <c r="A36" s="36" t="s">
        <v>574</v>
      </c>
      <c r="B36" s="36" t="s">
        <v>575</v>
      </c>
      <c r="C36" s="37" t="s">
        <v>75</v>
      </c>
      <c r="D36" s="19" t="n">
        <v>15</v>
      </c>
      <c r="E36" s="37" t="s">
        <v>589</v>
      </c>
      <c r="F36" s="37" t="s">
        <v>590</v>
      </c>
      <c r="G36" s="36" t="s">
        <v>147</v>
      </c>
      <c r="H36" s="37" t="s">
        <v>576</v>
      </c>
    </row>
    <row r="37" customFormat="false" ht="15" hidden="false" customHeight="false" outlineLevel="0" collapsed="false">
      <c r="A37" s="36" t="s">
        <v>574</v>
      </c>
      <c r="B37" s="36" t="s">
        <v>575</v>
      </c>
      <c r="C37" s="37" t="s">
        <v>75</v>
      </c>
      <c r="D37" s="19" t="n">
        <v>16</v>
      </c>
      <c r="E37" s="37" t="s">
        <v>591</v>
      </c>
      <c r="F37" s="37" t="s">
        <v>592</v>
      </c>
      <c r="G37" s="36" t="s">
        <v>165</v>
      </c>
      <c r="H37" s="37" t="s">
        <v>576</v>
      </c>
    </row>
    <row r="38" customFormat="false" ht="15" hidden="false" customHeight="false" outlineLevel="0" collapsed="false">
      <c r="A38" s="36" t="s">
        <v>574</v>
      </c>
      <c r="B38" s="36" t="s">
        <v>575</v>
      </c>
      <c r="C38" s="37" t="s">
        <v>75</v>
      </c>
      <c r="D38" s="19" t="n">
        <v>17</v>
      </c>
      <c r="E38" s="37" t="s">
        <v>142</v>
      </c>
      <c r="F38" s="37" t="s">
        <v>104</v>
      </c>
      <c r="G38" s="36" t="s">
        <v>105</v>
      </c>
      <c r="H38" s="37" t="s">
        <v>576</v>
      </c>
    </row>
    <row r="39" customFormat="false" ht="15" hidden="false" customHeight="false" outlineLevel="0" collapsed="false">
      <c r="A39" s="36" t="s">
        <v>574</v>
      </c>
      <c r="B39" s="36" t="s">
        <v>575</v>
      </c>
      <c r="C39" s="37" t="s">
        <v>75</v>
      </c>
      <c r="D39" s="19" t="n">
        <v>18</v>
      </c>
      <c r="E39" s="37" t="s">
        <v>380</v>
      </c>
      <c r="F39" s="37" t="s">
        <v>381</v>
      </c>
      <c r="G39" s="36" t="s">
        <v>105</v>
      </c>
      <c r="H39" s="37" t="s">
        <v>576</v>
      </c>
    </row>
    <row r="40" customFormat="false" ht="15" hidden="false" customHeight="false" outlineLevel="0" collapsed="false">
      <c r="A40" s="36" t="s">
        <v>574</v>
      </c>
      <c r="B40" s="36" t="s">
        <v>575</v>
      </c>
      <c r="C40" s="37" t="s">
        <v>75</v>
      </c>
      <c r="D40" s="19" t="n">
        <v>19</v>
      </c>
      <c r="E40" s="37" t="s">
        <v>593</v>
      </c>
      <c r="F40" s="37" t="s">
        <v>590</v>
      </c>
      <c r="G40" s="36" t="s">
        <v>147</v>
      </c>
      <c r="H40" s="37" t="s">
        <v>576</v>
      </c>
    </row>
    <row r="41" customFormat="false" ht="17.15" hidden="false" customHeight="false" outlineLevel="0" collapsed="false">
      <c r="A41" s="36" t="s">
        <v>574</v>
      </c>
      <c r="B41" s="36" t="s">
        <v>575</v>
      </c>
      <c r="C41" s="37" t="s">
        <v>75</v>
      </c>
      <c r="D41" s="19" t="n">
        <v>20</v>
      </c>
      <c r="E41" s="37" t="s">
        <v>217</v>
      </c>
      <c r="F41" s="37" t="s">
        <v>189</v>
      </c>
      <c r="G41" s="36" t="s">
        <v>119</v>
      </c>
      <c r="H41" s="37" t="s">
        <v>576</v>
      </c>
    </row>
    <row r="42" customFormat="false" ht="17.15" hidden="false" customHeight="false" outlineLevel="0" collapsed="false">
      <c r="A42" s="36" t="s">
        <v>574</v>
      </c>
      <c r="B42" s="36" t="s">
        <v>594</v>
      </c>
      <c r="C42" s="37" t="s">
        <v>595</v>
      </c>
      <c r="D42" s="19" t="n">
        <v>1</v>
      </c>
      <c r="E42" s="37" t="s">
        <v>124</v>
      </c>
      <c r="F42" s="37" t="s">
        <v>125</v>
      </c>
      <c r="G42" s="36" t="s">
        <v>126</v>
      </c>
      <c r="H42" s="37" t="s">
        <v>596</v>
      </c>
    </row>
    <row r="43" customFormat="false" ht="17.15" hidden="false" customHeight="false" outlineLevel="0" collapsed="false">
      <c r="A43" s="36" t="s">
        <v>574</v>
      </c>
      <c r="B43" s="36" t="s">
        <v>594</v>
      </c>
      <c r="C43" s="37" t="s">
        <v>595</v>
      </c>
      <c r="D43" s="19" t="n">
        <v>2</v>
      </c>
      <c r="E43" s="37" t="s">
        <v>136</v>
      </c>
      <c r="F43" s="37" t="s">
        <v>137</v>
      </c>
      <c r="G43" s="36" t="s">
        <v>105</v>
      </c>
      <c r="H43" s="37" t="s">
        <v>596</v>
      </c>
    </row>
    <row r="44" customFormat="false" ht="17.15" hidden="false" customHeight="false" outlineLevel="0" collapsed="false">
      <c r="A44" s="36" t="s">
        <v>574</v>
      </c>
      <c r="B44" s="36" t="s">
        <v>594</v>
      </c>
      <c r="C44" s="37" t="s">
        <v>595</v>
      </c>
      <c r="D44" s="19" t="n">
        <v>3</v>
      </c>
      <c r="E44" s="37" t="s">
        <v>456</v>
      </c>
      <c r="F44" s="37" t="s">
        <v>457</v>
      </c>
      <c r="G44" s="36" t="s">
        <v>151</v>
      </c>
      <c r="H44" s="37" t="s">
        <v>596</v>
      </c>
    </row>
    <row r="45" customFormat="false" ht="17.15" hidden="false" customHeight="false" outlineLevel="0" collapsed="false">
      <c r="A45" s="36" t="s">
        <v>574</v>
      </c>
      <c r="B45" s="36" t="s">
        <v>594</v>
      </c>
      <c r="C45" s="37" t="s">
        <v>595</v>
      </c>
      <c r="D45" s="19" t="n">
        <v>4</v>
      </c>
      <c r="E45" s="37" t="s">
        <v>139</v>
      </c>
      <c r="F45" s="37" t="s">
        <v>140</v>
      </c>
      <c r="G45" s="36" t="s">
        <v>105</v>
      </c>
      <c r="H45" s="37" t="s">
        <v>596</v>
      </c>
    </row>
    <row r="46" customFormat="false" ht="17.15" hidden="false" customHeight="false" outlineLevel="0" collapsed="false">
      <c r="A46" s="36" t="s">
        <v>574</v>
      </c>
      <c r="B46" s="36" t="s">
        <v>594</v>
      </c>
      <c r="C46" s="37" t="s">
        <v>595</v>
      </c>
      <c r="D46" s="19" t="n">
        <v>5</v>
      </c>
      <c r="E46" s="37" t="s">
        <v>311</v>
      </c>
      <c r="F46" s="37" t="s">
        <v>104</v>
      </c>
      <c r="G46" s="36" t="s">
        <v>105</v>
      </c>
      <c r="H46" s="37" t="s">
        <v>596</v>
      </c>
    </row>
    <row r="47" customFormat="false" ht="17.15" hidden="false" customHeight="false" outlineLevel="0" collapsed="false">
      <c r="A47" s="36" t="s">
        <v>574</v>
      </c>
      <c r="B47" s="36" t="s">
        <v>594</v>
      </c>
      <c r="C47" s="37" t="s">
        <v>595</v>
      </c>
      <c r="D47" s="19" t="n">
        <v>6</v>
      </c>
      <c r="E47" s="37" t="s">
        <v>597</v>
      </c>
      <c r="F47" s="37" t="s">
        <v>598</v>
      </c>
      <c r="G47" s="36" t="s">
        <v>244</v>
      </c>
      <c r="H47" s="37" t="s">
        <v>596</v>
      </c>
    </row>
    <row r="48" customFormat="false" ht="17.15" hidden="false" customHeight="false" outlineLevel="0" collapsed="false">
      <c r="A48" s="36" t="s">
        <v>574</v>
      </c>
      <c r="B48" s="36" t="s">
        <v>594</v>
      </c>
      <c r="C48" s="37" t="s">
        <v>595</v>
      </c>
      <c r="D48" s="19" t="n">
        <v>7</v>
      </c>
      <c r="E48" s="37" t="s">
        <v>231</v>
      </c>
      <c r="F48" s="37" t="s">
        <v>360</v>
      </c>
      <c r="G48" s="36" t="s">
        <v>105</v>
      </c>
      <c r="H48" s="37" t="s">
        <v>596</v>
      </c>
    </row>
    <row r="49" customFormat="false" ht="17.15" hidden="false" customHeight="false" outlineLevel="0" collapsed="false">
      <c r="A49" s="36" t="s">
        <v>574</v>
      </c>
      <c r="B49" s="36" t="s">
        <v>594</v>
      </c>
      <c r="C49" s="37" t="s">
        <v>595</v>
      </c>
      <c r="D49" s="19" t="n">
        <v>8</v>
      </c>
      <c r="E49" s="37" t="s">
        <v>185</v>
      </c>
      <c r="F49" s="37" t="s">
        <v>186</v>
      </c>
      <c r="G49" s="36" t="s">
        <v>119</v>
      </c>
      <c r="H49" s="37" t="s">
        <v>596</v>
      </c>
    </row>
    <row r="50" customFormat="false" ht="17.15" hidden="false" customHeight="false" outlineLevel="0" collapsed="false">
      <c r="A50" s="36" t="s">
        <v>574</v>
      </c>
      <c r="B50" s="36" t="s">
        <v>594</v>
      </c>
      <c r="C50" s="37" t="s">
        <v>595</v>
      </c>
      <c r="D50" s="19" t="n">
        <v>9</v>
      </c>
      <c r="E50" s="37" t="s">
        <v>599</v>
      </c>
      <c r="F50" s="37" t="s">
        <v>363</v>
      </c>
      <c r="G50" s="36" t="s">
        <v>147</v>
      </c>
      <c r="H50" s="37" t="s">
        <v>596</v>
      </c>
    </row>
    <row r="51" customFormat="false" ht="17.15" hidden="false" customHeight="false" outlineLevel="0" collapsed="false">
      <c r="A51" s="36" t="s">
        <v>574</v>
      </c>
      <c r="B51" s="36" t="s">
        <v>594</v>
      </c>
      <c r="C51" s="37" t="s">
        <v>595</v>
      </c>
      <c r="D51" s="19" t="n">
        <v>10</v>
      </c>
      <c r="E51" s="37" t="s">
        <v>131</v>
      </c>
      <c r="F51" s="37" t="s">
        <v>360</v>
      </c>
      <c r="G51" s="36" t="s">
        <v>105</v>
      </c>
      <c r="H51" s="37" t="s">
        <v>596</v>
      </c>
    </row>
    <row r="52" customFormat="false" ht="17.15" hidden="false" customHeight="false" outlineLevel="0" collapsed="false">
      <c r="A52" s="36" t="s">
        <v>574</v>
      </c>
      <c r="B52" s="36" t="s">
        <v>594</v>
      </c>
      <c r="C52" s="37" t="s">
        <v>595</v>
      </c>
      <c r="D52" s="19" t="n">
        <v>11</v>
      </c>
      <c r="E52" s="37" t="s">
        <v>248</v>
      </c>
      <c r="F52" s="37" t="s">
        <v>189</v>
      </c>
      <c r="G52" s="36" t="s">
        <v>119</v>
      </c>
      <c r="H52" s="37" t="s">
        <v>596</v>
      </c>
    </row>
    <row r="53" customFormat="false" ht="17.15" hidden="false" customHeight="false" outlineLevel="0" collapsed="false">
      <c r="A53" s="36" t="s">
        <v>574</v>
      </c>
      <c r="B53" s="36" t="s">
        <v>594</v>
      </c>
      <c r="C53" s="37" t="s">
        <v>595</v>
      </c>
      <c r="D53" s="19" t="n">
        <v>12</v>
      </c>
      <c r="E53" s="37" t="s">
        <v>271</v>
      </c>
      <c r="F53" s="37" t="s">
        <v>272</v>
      </c>
      <c r="G53" s="36" t="s">
        <v>244</v>
      </c>
      <c r="H53" s="37" t="s">
        <v>596</v>
      </c>
    </row>
    <row r="54" customFormat="false" ht="17.15" hidden="false" customHeight="false" outlineLevel="0" collapsed="false">
      <c r="A54" s="36" t="s">
        <v>574</v>
      </c>
      <c r="B54" s="36" t="s">
        <v>594</v>
      </c>
      <c r="C54" s="37" t="s">
        <v>595</v>
      </c>
      <c r="D54" s="19" t="n">
        <v>13</v>
      </c>
      <c r="E54" s="37" t="s">
        <v>380</v>
      </c>
      <c r="F54" s="37" t="s">
        <v>381</v>
      </c>
      <c r="G54" s="36" t="s">
        <v>105</v>
      </c>
      <c r="H54" s="37" t="s">
        <v>596</v>
      </c>
    </row>
    <row r="55" customFormat="false" ht="17.15" hidden="false" customHeight="false" outlineLevel="0" collapsed="false">
      <c r="A55" s="36" t="s">
        <v>574</v>
      </c>
      <c r="B55" s="36" t="s">
        <v>594</v>
      </c>
      <c r="C55" s="37" t="s">
        <v>595</v>
      </c>
      <c r="D55" s="19" t="n">
        <v>14</v>
      </c>
      <c r="E55" s="37" t="s">
        <v>600</v>
      </c>
      <c r="F55" s="37" t="s">
        <v>601</v>
      </c>
      <c r="G55" s="36" t="s">
        <v>165</v>
      </c>
      <c r="H55" s="37" t="s">
        <v>596</v>
      </c>
    </row>
    <row r="56" customFormat="false" ht="17.15" hidden="false" customHeight="false" outlineLevel="0" collapsed="false">
      <c r="A56" s="36" t="s">
        <v>574</v>
      </c>
      <c r="B56" s="36" t="s">
        <v>594</v>
      </c>
      <c r="C56" s="37" t="s">
        <v>595</v>
      </c>
      <c r="D56" s="19" t="n">
        <v>15</v>
      </c>
      <c r="E56" s="37" t="s">
        <v>128</v>
      </c>
      <c r="F56" s="37" t="s">
        <v>129</v>
      </c>
      <c r="G56" s="36" t="s">
        <v>105</v>
      </c>
      <c r="H56" s="37" t="s">
        <v>596</v>
      </c>
    </row>
    <row r="57" customFormat="false" ht="17.15" hidden="false" customHeight="false" outlineLevel="0" collapsed="false">
      <c r="A57" s="36" t="s">
        <v>574</v>
      </c>
      <c r="B57" s="36" t="s">
        <v>594</v>
      </c>
      <c r="C57" s="37" t="s">
        <v>595</v>
      </c>
      <c r="D57" s="19" t="n">
        <v>16</v>
      </c>
      <c r="E57" s="37" t="s">
        <v>581</v>
      </c>
      <c r="F57" s="37" t="s">
        <v>582</v>
      </c>
      <c r="G57" s="36" t="s">
        <v>244</v>
      </c>
      <c r="H57" s="37" t="s">
        <v>596</v>
      </c>
    </row>
    <row r="58" customFormat="false" ht="17.15" hidden="false" customHeight="false" outlineLevel="0" collapsed="false">
      <c r="A58" s="36" t="s">
        <v>574</v>
      </c>
      <c r="B58" s="36" t="s">
        <v>594</v>
      </c>
      <c r="C58" s="37" t="s">
        <v>595</v>
      </c>
      <c r="D58" s="19" t="n">
        <v>17</v>
      </c>
      <c r="E58" s="37" t="s">
        <v>602</v>
      </c>
      <c r="F58" s="37" t="s">
        <v>603</v>
      </c>
      <c r="G58" s="36" t="s">
        <v>177</v>
      </c>
      <c r="H58" s="37" t="s">
        <v>596</v>
      </c>
    </row>
    <row r="59" customFormat="false" ht="17.15" hidden="false" customHeight="false" outlineLevel="0" collapsed="false">
      <c r="A59" s="36" t="s">
        <v>574</v>
      </c>
      <c r="B59" s="36" t="s">
        <v>594</v>
      </c>
      <c r="C59" s="37" t="s">
        <v>595</v>
      </c>
      <c r="D59" s="19" t="n">
        <v>18</v>
      </c>
      <c r="E59" s="37" t="s">
        <v>604</v>
      </c>
      <c r="F59" s="37" t="s">
        <v>605</v>
      </c>
      <c r="G59" s="36" t="s">
        <v>147</v>
      </c>
      <c r="H59" s="37" t="s">
        <v>596</v>
      </c>
    </row>
    <row r="60" customFormat="false" ht="17.15" hidden="false" customHeight="false" outlineLevel="0" collapsed="false">
      <c r="A60" s="36" t="s">
        <v>574</v>
      </c>
      <c r="B60" s="36" t="s">
        <v>594</v>
      </c>
      <c r="C60" s="37" t="s">
        <v>595</v>
      </c>
      <c r="D60" s="19" t="n">
        <v>19</v>
      </c>
      <c r="E60" s="37" t="s">
        <v>585</v>
      </c>
      <c r="F60" s="37" t="s">
        <v>586</v>
      </c>
      <c r="G60" s="36" t="s">
        <v>147</v>
      </c>
      <c r="H60" s="37" t="s">
        <v>596</v>
      </c>
    </row>
    <row r="61" customFormat="false" ht="17.15" hidden="false" customHeight="false" outlineLevel="0" collapsed="false">
      <c r="A61" s="36" t="s">
        <v>574</v>
      </c>
      <c r="B61" s="36" t="s">
        <v>594</v>
      </c>
      <c r="C61" s="37" t="s">
        <v>595</v>
      </c>
      <c r="D61" s="19" t="n">
        <v>20</v>
      </c>
      <c r="E61" s="37" t="s">
        <v>606</v>
      </c>
      <c r="F61" s="37" t="s">
        <v>607</v>
      </c>
      <c r="G61" s="36" t="s">
        <v>147</v>
      </c>
      <c r="H61" s="37" t="s">
        <v>596</v>
      </c>
    </row>
    <row r="62" customFormat="false" ht="15" hidden="false" customHeight="false" outlineLevel="0" collapsed="false">
      <c r="A62" s="36" t="s">
        <v>608</v>
      </c>
      <c r="B62" s="36" t="s">
        <v>609</v>
      </c>
      <c r="C62" s="37" t="s">
        <v>75</v>
      </c>
      <c r="D62" s="19" t="n">
        <v>1</v>
      </c>
      <c r="E62" s="37" t="s">
        <v>353</v>
      </c>
      <c r="F62" s="37" t="s">
        <v>104</v>
      </c>
      <c r="G62" s="36" t="s">
        <v>105</v>
      </c>
      <c r="H62" s="37" t="s">
        <v>610</v>
      </c>
    </row>
    <row r="63" customFormat="false" ht="15" hidden="false" customHeight="false" outlineLevel="0" collapsed="false">
      <c r="A63" s="36" t="s">
        <v>608</v>
      </c>
      <c r="B63" s="36" t="s">
        <v>609</v>
      </c>
      <c r="C63" s="37" t="s">
        <v>75</v>
      </c>
      <c r="D63" s="19" t="n">
        <v>2</v>
      </c>
      <c r="E63" s="37" t="s">
        <v>111</v>
      </c>
      <c r="F63" s="37" t="s">
        <v>112</v>
      </c>
      <c r="G63" s="36" t="s">
        <v>105</v>
      </c>
      <c r="H63" s="37" t="s">
        <v>610</v>
      </c>
    </row>
    <row r="64" customFormat="false" ht="15" hidden="false" customHeight="false" outlineLevel="0" collapsed="false">
      <c r="A64" s="36" t="s">
        <v>608</v>
      </c>
      <c r="B64" s="36" t="s">
        <v>609</v>
      </c>
      <c r="C64" s="37" t="s">
        <v>75</v>
      </c>
      <c r="D64" s="19" t="n">
        <v>3</v>
      </c>
      <c r="E64" s="37" t="s">
        <v>139</v>
      </c>
      <c r="F64" s="37" t="s">
        <v>140</v>
      </c>
      <c r="G64" s="36" t="s">
        <v>105</v>
      </c>
      <c r="H64" s="37" t="s">
        <v>610</v>
      </c>
    </row>
    <row r="65" customFormat="false" ht="15" hidden="false" customHeight="false" outlineLevel="0" collapsed="false">
      <c r="A65" s="36" t="s">
        <v>608</v>
      </c>
      <c r="B65" s="36" t="s">
        <v>609</v>
      </c>
      <c r="C65" s="37" t="s">
        <v>75</v>
      </c>
      <c r="D65" s="19" t="n">
        <v>4</v>
      </c>
      <c r="E65" s="37" t="s">
        <v>366</v>
      </c>
      <c r="F65" s="37" t="s">
        <v>265</v>
      </c>
      <c r="G65" s="36" t="s">
        <v>105</v>
      </c>
      <c r="H65" s="37" t="s">
        <v>610</v>
      </c>
    </row>
    <row r="66" customFormat="false" ht="15" hidden="false" customHeight="false" outlineLevel="0" collapsed="false">
      <c r="A66" s="36" t="s">
        <v>608</v>
      </c>
      <c r="B66" s="36" t="s">
        <v>609</v>
      </c>
      <c r="C66" s="37" t="s">
        <v>75</v>
      </c>
      <c r="D66" s="19" t="n">
        <v>5</v>
      </c>
      <c r="E66" s="37" t="s">
        <v>198</v>
      </c>
      <c r="F66" s="37" t="s">
        <v>154</v>
      </c>
      <c r="G66" s="36" t="s">
        <v>105</v>
      </c>
      <c r="H66" s="37" t="s">
        <v>610</v>
      </c>
    </row>
    <row r="67" customFormat="false" ht="15" hidden="false" customHeight="false" outlineLevel="0" collapsed="false">
      <c r="A67" s="36" t="s">
        <v>608</v>
      </c>
      <c r="B67" s="36" t="s">
        <v>609</v>
      </c>
      <c r="C67" s="37" t="s">
        <v>75</v>
      </c>
      <c r="D67" s="19" t="n">
        <v>6</v>
      </c>
      <c r="E67" s="37" t="s">
        <v>391</v>
      </c>
      <c r="F67" s="37" t="s">
        <v>392</v>
      </c>
      <c r="G67" s="37" t="s">
        <v>300</v>
      </c>
      <c r="H67" s="37" t="s">
        <v>610</v>
      </c>
    </row>
    <row r="68" customFormat="false" ht="15" hidden="false" customHeight="false" outlineLevel="0" collapsed="false">
      <c r="A68" s="36" t="s">
        <v>608</v>
      </c>
      <c r="B68" s="36" t="s">
        <v>609</v>
      </c>
      <c r="C68" s="37" t="s">
        <v>75</v>
      </c>
      <c r="D68" s="19" t="n">
        <v>7</v>
      </c>
      <c r="E68" s="37" t="s">
        <v>114</v>
      </c>
      <c r="F68" s="37" t="s">
        <v>369</v>
      </c>
      <c r="G68" s="36" t="s">
        <v>105</v>
      </c>
      <c r="H68" s="37" t="s">
        <v>610</v>
      </c>
    </row>
    <row r="69" customFormat="false" ht="15" hidden="false" customHeight="false" outlineLevel="0" collapsed="false">
      <c r="A69" s="36" t="s">
        <v>608</v>
      </c>
      <c r="B69" s="36" t="s">
        <v>609</v>
      </c>
      <c r="C69" s="37" t="s">
        <v>75</v>
      </c>
      <c r="D69" s="19" t="n">
        <v>8</v>
      </c>
      <c r="E69" s="37" t="s">
        <v>167</v>
      </c>
      <c r="F69" s="37" t="s">
        <v>168</v>
      </c>
      <c r="G69" s="36" t="s">
        <v>105</v>
      </c>
      <c r="H69" s="37" t="s">
        <v>610</v>
      </c>
    </row>
    <row r="70" customFormat="false" ht="17.15" hidden="false" customHeight="false" outlineLevel="0" collapsed="false">
      <c r="A70" s="36" t="s">
        <v>608</v>
      </c>
      <c r="B70" s="36" t="s">
        <v>609</v>
      </c>
      <c r="C70" s="37" t="s">
        <v>75</v>
      </c>
      <c r="D70" s="19" t="n">
        <v>9</v>
      </c>
      <c r="E70" s="37" t="s">
        <v>354</v>
      </c>
      <c r="F70" s="37" t="s">
        <v>355</v>
      </c>
      <c r="G70" s="36" t="s">
        <v>119</v>
      </c>
      <c r="H70" s="37" t="s">
        <v>610</v>
      </c>
    </row>
    <row r="71" customFormat="false" ht="15" hidden="false" customHeight="false" outlineLevel="0" collapsed="false">
      <c r="A71" s="36" t="s">
        <v>608</v>
      </c>
      <c r="B71" s="36" t="s">
        <v>609</v>
      </c>
      <c r="C71" s="37" t="s">
        <v>75</v>
      </c>
      <c r="D71" s="19" t="n">
        <v>10</v>
      </c>
      <c r="E71" s="37" t="s">
        <v>136</v>
      </c>
      <c r="F71" s="37" t="s">
        <v>137</v>
      </c>
      <c r="G71" s="36" t="s">
        <v>105</v>
      </c>
      <c r="H71" s="37" t="s">
        <v>610</v>
      </c>
    </row>
    <row r="72" customFormat="false" ht="15" hidden="false" customHeight="false" outlineLevel="0" collapsed="false">
      <c r="A72" s="36" t="s">
        <v>608</v>
      </c>
      <c r="B72" s="36" t="s">
        <v>609</v>
      </c>
      <c r="C72" s="37" t="s">
        <v>75</v>
      </c>
      <c r="D72" s="19" t="n">
        <v>11</v>
      </c>
      <c r="E72" s="37" t="s">
        <v>131</v>
      </c>
      <c r="F72" s="37" t="s">
        <v>360</v>
      </c>
      <c r="G72" s="36" t="s">
        <v>105</v>
      </c>
      <c r="H72" s="37" t="s">
        <v>610</v>
      </c>
    </row>
    <row r="73" customFormat="false" ht="15" hidden="false" customHeight="false" outlineLevel="0" collapsed="false">
      <c r="A73" s="36" t="s">
        <v>608</v>
      </c>
      <c r="B73" s="36" t="s">
        <v>609</v>
      </c>
      <c r="C73" s="37" t="s">
        <v>75</v>
      </c>
      <c r="D73" s="19" t="n">
        <v>12</v>
      </c>
      <c r="E73" s="37" t="s">
        <v>142</v>
      </c>
      <c r="F73" s="37" t="s">
        <v>104</v>
      </c>
      <c r="G73" s="36" t="s">
        <v>105</v>
      </c>
      <c r="H73" s="37" t="s">
        <v>610</v>
      </c>
    </row>
    <row r="74" customFormat="false" ht="17.15" hidden="false" customHeight="false" outlineLevel="0" collapsed="false">
      <c r="A74" s="36" t="s">
        <v>608</v>
      </c>
      <c r="B74" s="36" t="s">
        <v>609</v>
      </c>
      <c r="C74" s="37" t="s">
        <v>75</v>
      </c>
      <c r="D74" s="19" t="n">
        <v>13</v>
      </c>
      <c r="E74" s="37" t="s">
        <v>124</v>
      </c>
      <c r="F74" s="37" t="s">
        <v>125</v>
      </c>
      <c r="G74" s="36" t="s">
        <v>126</v>
      </c>
      <c r="H74" s="37" t="s">
        <v>610</v>
      </c>
    </row>
    <row r="75" customFormat="false" ht="15" hidden="false" customHeight="false" outlineLevel="0" collapsed="false">
      <c r="A75" s="36" t="s">
        <v>608</v>
      </c>
      <c r="B75" s="36" t="s">
        <v>609</v>
      </c>
      <c r="C75" s="37" t="s">
        <v>75</v>
      </c>
      <c r="D75" s="19" t="n">
        <v>14</v>
      </c>
      <c r="E75" s="37" t="s">
        <v>611</v>
      </c>
      <c r="F75" s="37" t="s">
        <v>612</v>
      </c>
      <c r="G75" s="36" t="s">
        <v>165</v>
      </c>
      <c r="H75" s="37" t="s">
        <v>610</v>
      </c>
    </row>
    <row r="76" customFormat="false" ht="17.15" hidden="false" customHeight="false" outlineLevel="0" collapsed="false">
      <c r="A76" s="36" t="s">
        <v>608</v>
      </c>
      <c r="B76" s="36" t="s">
        <v>609</v>
      </c>
      <c r="C76" s="37" t="s">
        <v>75</v>
      </c>
      <c r="D76" s="19" t="n">
        <v>15</v>
      </c>
      <c r="E76" s="37" t="s">
        <v>157</v>
      </c>
      <c r="F76" s="37" t="s">
        <v>158</v>
      </c>
      <c r="G76" s="36" t="s">
        <v>119</v>
      </c>
      <c r="H76" s="37" t="s">
        <v>610</v>
      </c>
    </row>
    <row r="77" customFormat="false" ht="15" hidden="false" customHeight="false" outlineLevel="0" collapsed="false">
      <c r="A77" s="36" t="s">
        <v>608</v>
      </c>
      <c r="B77" s="36" t="s">
        <v>609</v>
      </c>
      <c r="C77" s="37" t="s">
        <v>75</v>
      </c>
      <c r="D77" s="19" t="n">
        <v>16</v>
      </c>
      <c r="E77" s="37" t="s">
        <v>153</v>
      </c>
      <c r="F77" s="37" t="s">
        <v>154</v>
      </c>
      <c r="G77" s="36" t="s">
        <v>105</v>
      </c>
      <c r="H77" s="37" t="s">
        <v>610</v>
      </c>
    </row>
    <row r="78" customFormat="false" ht="15" hidden="false" customHeight="false" outlineLevel="0" collapsed="false">
      <c r="A78" s="36" t="s">
        <v>608</v>
      </c>
      <c r="B78" s="36" t="s">
        <v>609</v>
      </c>
      <c r="C78" s="37" t="s">
        <v>75</v>
      </c>
      <c r="D78" s="19" t="n">
        <v>17</v>
      </c>
      <c r="E78" s="37" t="s">
        <v>613</v>
      </c>
      <c r="F78" s="37" t="s">
        <v>614</v>
      </c>
      <c r="G78" s="36" t="s">
        <v>105</v>
      </c>
      <c r="H78" s="37" t="s">
        <v>610</v>
      </c>
    </row>
    <row r="79" customFormat="false" ht="15" hidden="false" customHeight="false" outlineLevel="0" collapsed="false">
      <c r="A79" s="36" t="s">
        <v>608</v>
      </c>
      <c r="B79" s="36" t="s">
        <v>609</v>
      </c>
      <c r="C79" s="37" t="s">
        <v>75</v>
      </c>
      <c r="D79" s="19" t="n">
        <v>18</v>
      </c>
      <c r="E79" s="37" t="s">
        <v>380</v>
      </c>
      <c r="F79" s="37" t="s">
        <v>381</v>
      </c>
      <c r="G79" s="36" t="s">
        <v>105</v>
      </c>
      <c r="H79" s="37" t="s">
        <v>610</v>
      </c>
    </row>
    <row r="80" customFormat="false" ht="15" hidden="false" customHeight="false" outlineLevel="0" collapsed="false">
      <c r="A80" s="36" t="s">
        <v>608</v>
      </c>
      <c r="B80" s="36" t="s">
        <v>609</v>
      </c>
      <c r="C80" s="37" t="s">
        <v>75</v>
      </c>
      <c r="D80" s="19" t="n">
        <v>19</v>
      </c>
      <c r="E80" s="37" t="s">
        <v>182</v>
      </c>
      <c r="F80" s="37" t="s">
        <v>425</v>
      </c>
      <c r="G80" s="36" t="s">
        <v>105</v>
      </c>
      <c r="H80" s="37" t="s">
        <v>610</v>
      </c>
    </row>
    <row r="81" customFormat="false" ht="17.15" hidden="false" customHeight="false" outlineLevel="0" collapsed="false">
      <c r="A81" s="36" t="s">
        <v>608</v>
      </c>
      <c r="B81" s="36" t="s">
        <v>609</v>
      </c>
      <c r="C81" s="37" t="s">
        <v>75</v>
      </c>
      <c r="D81" s="19" t="n">
        <v>20</v>
      </c>
      <c r="E81" s="36" t="s">
        <v>615</v>
      </c>
      <c r="F81" s="37" t="s">
        <v>616</v>
      </c>
      <c r="G81" s="36" t="s">
        <v>147</v>
      </c>
      <c r="H81" s="37" t="s">
        <v>610</v>
      </c>
    </row>
    <row r="82" customFormat="false" ht="15" hidden="false" customHeight="false" outlineLevel="0" collapsed="false">
      <c r="A82" s="38" t="s">
        <v>608</v>
      </c>
      <c r="B82" s="38" t="s">
        <v>617</v>
      </c>
      <c r="C82" s="39" t="s">
        <v>71</v>
      </c>
      <c r="D82" s="22" t="n">
        <v>1</v>
      </c>
      <c r="E82" s="39" t="s">
        <v>618</v>
      </c>
      <c r="F82" s="38" t="s">
        <v>619</v>
      </c>
      <c r="G82" s="38" t="s">
        <v>116</v>
      </c>
      <c r="H82" s="39" t="s">
        <v>620</v>
      </c>
    </row>
    <row r="83" customFormat="false" ht="17.15" hidden="false" customHeight="false" outlineLevel="0" collapsed="false">
      <c r="A83" s="36" t="s">
        <v>608</v>
      </c>
      <c r="B83" s="36" t="s">
        <v>617</v>
      </c>
      <c r="C83" s="37" t="s">
        <v>71</v>
      </c>
      <c r="D83" s="19" t="n">
        <v>2</v>
      </c>
      <c r="E83" s="36" t="s">
        <v>621</v>
      </c>
      <c r="F83" s="37" t="s">
        <v>622</v>
      </c>
      <c r="G83" s="37" t="s">
        <v>300</v>
      </c>
      <c r="H83" s="37" t="s">
        <v>620</v>
      </c>
    </row>
    <row r="84" customFormat="false" ht="15" hidden="false" customHeight="false" outlineLevel="0" collapsed="false">
      <c r="A84" s="36" t="s">
        <v>608</v>
      </c>
      <c r="B84" s="36" t="s">
        <v>617</v>
      </c>
      <c r="C84" s="37" t="s">
        <v>71</v>
      </c>
      <c r="D84" s="19" t="n">
        <v>3</v>
      </c>
      <c r="E84" s="37" t="s">
        <v>299</v>
      </c>
      <c r="F84" s="37" t="s">
        <v>160</v>
      </c>
      <c r="G84" s="37" t="s">
        <v>300</v>
      </c>
      <c r="H84" s="37" t="s">
        <v>620</v>
      </c>
    </row>
    <row r="85" customFormat="false" ht="17.15" hidden="false" customHeight="false" outlineLevel="0" collapsed="false">
      <c r="A85" s="36" t="s">
        <v>608</v>
      </c>
      <c r="B85" s="36" t="s">
        <v>617</v>
      </c>
      <c r="C85" s="37" t="s">
        <v>71</v>
      </c>
      <c r="D85" s="19" t="n">
        <v>4</v>
      </c>
      <c r="E85" s="36" t="s">
        <v>623</v>
      </c>
      <c r="F85" s="37" t="s">
        <v>624</v>
      </c>
      <c r="G85" s="36" t="s">
        <v>161</v>
      </c>
      <c r="H85" s="37" t="s">
        <v>620</v>
      </c>
    </row>
    <row r="86" customFormat="false" ht="15" hidden="false" customHeight="false" outlineLevel="0" collapsed="false">
      <c r="A86" s="36" t="s">
        <v>608</v>
      </c>
      <c r="B86" s="36" t="s">
        <v>617</v>
      </c>
      <c r="C86" s="37" t="s">
        <v>71</v>
      </c>
      <c r="D86" s="19" t="n">
        <v>5</v>
      </c>
      <c r="E86" s="37" t="s">
        <v>111</v>
      </c>
      <c r="F86" s="37" t="s">
        <v>112</v>
      </c>
      <c r="G86" s="36" t="s">
        <v>105</v>
      </c>
      <c r="H86" s="37" t="s">
        <v>620</v>
      </c>
    </row>
    <row r="87" customFormat="false" ht="15" hidden="false" customHeight="false" outlineLevel="0" collapsed="false">
      <c r="A87" s="36" t="s">
        <v>608</v>
      </c>
      <c r="B87" s="36" t="s">
        <v>617</v>
      </c>
      <c r="C87" s="37" t="s">
        <v>71</v>
      </c>
      <c r="D87" s="19" t="n">
        <v>6</v>
      </c>
      <c r="E87" s="37" t="s">
        <v>625</v>
      </c>
      <c r="F87" s="37" t="s">
        <v>626</v>
      </c>
      <c r="G87" s="36" t="s">
        <v>105</v>
      </c>
      <c r="H87" s="37" t="s">
        <v>620</v>
      </c>
    </row>
    <row r="88" customFormat="false" ht="15" hidden="false" customHeight="false" outlineLevel="0" collapsed="false">
      <c r="A88" s="36" t="s">
        <v>608</v>
      </c>
      <c r="B88" s="36" t="s">
        <v>617</v>
      </c>
      <c r="C88" s="37" t="s">
        <v>71</v>
      </c>
      <c r="D88" s="19" t="n">
        <v>7</v>
      </c>
      <c r="E88" s="37" t="s">
        <v>113</v>
      </c>
      <c r="F88" s="37" t="s">
        <v>109</v>
      </c>
      <c r="G88" s="36" t="s">
        <v>105</v>
      </c>
      <c r="H88" s="37" t="s">
        <v>620</v>
      </c>
    </row>
    <row r="89" customFormat="false" ht="15" hidden="false" customHeight="false" outlineLevel="0" collapsed="false">
      <c r="A89" s="36" t="s">
        <v>608</v>
      </c>
      <c r="B89" s="36" t="s">
        <v>617</v>
      </c>
      <c r="C89" s="37" t="s">
        <v>71</v>
      </c>
      <c r="D89" s="19" t="n">
        <v>8</v>
      </c>
      <c r="E89" s="37" t="s">
        <v>139</v>
      </c>
      <c r="F89" s="37" t="s">
        <v>140</v>
      </c>
      <c r="G89" s="36" t="s">
        <v>105</v>
      </c>
      <c r="H89" s="37" t="s">
        <v>620</v>
      </c>
    </row>
    <row r="90" customFormat="false" ht="15" hidden="false" customHeight="false" outlineLevel="0" collapsed="false">
      <c r="A90" s="36" t="s">
        <v>608</v>
      </c>
      <c r="B90" s="36" t="s">
        <v>617</v>
      </c>
      <c r="C90" s="37" t="s">
        <v>71</v>
      </c>
      <c r="D90" s="19" t="n">
        <v>9</v>
      </c>
      <c r="E90" s="37" t="s">
        <v>627</v>
      </c>
      <c r="F90" s="37" t="s">
        <v>626</v>
      </c>
      <c r="G90" s="36" t="s">
        <v>105</v>
      </c>
      <c r="H90" s="37" t="s">
        <v>620</v>
      </c>
    </row>
    <row r="91" customFormat="false" ht="17.15" hidden="false" customHeight="false" outlineLevel="0" collapsed="false">
      <c r="A91" s="36" t="s">
        <v>608</v>
      </c>
      <c r="B91" s="36" t="s">
        <v>617</v>
      </c>
      <c r="C91" s="37" t="s">
        <v>71</v>
      </c>
      <c r="D91" s="19" t="n">
        <v>10</v>
      </c>
      <c r="E91" s="37" t="s">
        <v>124</v>
      </c>
      <c r="F91" s="37" t="s">
        <v>125</v>
      </c>
      <c r="G91" s="36" t="s">
        <v>126</v>
      </c>
      <c r="H91" s="37" t="s">
        <v>620</v>
      </c>
    </row>
    <row r="92" customFormat="false" ht="17.15" hidden="false" customHeight="false" outlineLevel="0" collapsed="false">
      <c r="A92" s="36" t="s">
        <v>608</v>
      </c>
      <c r="B92" s="36" t="s">
        <v>617</v>
      </c>
      <c r="C92" s="37" t="s">
        <v>71</v>
      </c>
      <c r="D92" s="19" t="n">
        <v>11</v>
      </c>
      <c r="E92" s="36" t="s">
        <v>628</v>
      </c>
      <c r="F92" s="37" t="s">
        <v>624</v>
      </c>
      <c r="G92" s="36" t="s">
        <v>161</v>
      </c>
      <c r="H92" s="37" t="s">
        <v>620</v>
      </c>
    </row>
    <row r="93" customFormat="false" ht="15" hidden="false" customHeight="false" outlineLevel="0" collapsed="false">
      <c r="A93" s="36" t="s">
        <v>608</v>
      </c>
      <c r="B93" s="36" t="s">
        <v>617</v>
      </c>
      <c r="C93" s="37" t="s">
        <v>71</v>
      </c>
      <c r="D93" s="19" t="n">
        <v>12</v>
      </c>
      <c r="E93" s="37" t="s">
        <v>391</v>
      </c>
      <c r="F93" s="37" t="s">
        <v>392</v>
      </c>
      <c r="G93" s="37" t="s">
        <v>300</v>
      </c>
      <c r="H93" s="37" t="s">
        <v>620</v>
      </c>
    </row>
    <row r="94" customFormat="false" ht="15" hidden="false" customHeight="false" outlineLevel="0" collapsed="false">
      <c r="A94" s="38" t="s">
        <v>608</v>
      </c>
      <c r="B94" s="38" t="s">
        <v>617</v>
      </c>
      <c r="C94" s="39" t="s">
        <v>71</v>
      </c>
      <c r="D94" s="22" t="n">
        <v>13</v>
      </c>
      <c r="E94" s="39" t="s">
        <v>629</v>
      </c>
      <c r="F94" s="39" t="s">
        <v>630</v>
      </c>
      <c r="G94" s="38" t="s">
        <v>116</v>
      </c>
      <c r="H94" s="39" t="s">
        <v>620</v>
      </c>
    </row>
    <row r="95" customFormat="false" ht="15" hidden="false" customHeight="false" outlineLevel="0" collapsed="false">
      <c r="A95" s="36" t="s">
        <v>608</v>
      </c>
      <c r="B95" s="36" t="s">
        <v>617</v>
      </c>
      <c r="C95" s="37" t="s">
        <v>71</v>
      </c>
      <c r="D95" s="19" t="n">
        <v>14</v>
      </c>
      <c r="E95" s="37" t="s">
        <v>611</v>
      </c>
      <c r="F95" s="37" t="s">
        <v>612</v>
      </c>
      <c r="G95" s="36" t="s">
        <v>165</v>
      </c>
      <c r="H95" s="37" t="s">
        <v>620</v>
      </c>
    </row>
    <row r="96" customFormat="false" ht="17.15" hidden="false" customHeight="false" outlineLevel="0" collapsed="false">
      <c r="A96" s="36" t="s">
        <v>608</v>
      </c>
      <c r="B96" s="36" t="s">
        <v>617</v>
      </c>
      <c r="C96" s="37" t="s">
        <v>71</v>
      </c>
      <c r="D96" s="19" t="n">
        <v>15</v>
      </c>
      <c r="E96" s="36" t="s">
        <v>631</v>
      </c>
      <c r="F96" s="37" t="s">
        <v>632</v>
      </c>
      <c r="G96" s="37" t="s">
        <v>300</v>
      </c>
      <c r="H96" s="37" t="s">
        <v>620</v>
      </c>
    </row>
    <row r="97" customFormat="false" ht="15" hidden="false" customHeight="false" outlineLevel="0" collapsed="false">
      <c r="A97" s="36" t="s">
        <v>608</v>
      </c>
      <c r="B97" s="36" t="s">
        <v>617</v>
      </c>
      <c r="C97" s="37" t="s">
        <v>71</v>
      </c>
      <c r="D97" s="19" t="n">
        <v>16</v>
      </c>
      <c r="E97" s="37" t="s">
        <v>114</v>
      </c>
      <c r="F97" s="37" t="s">
        <v>369</v>
      </c>
      <c r="G97" s="36" t="s">
        <v>105</v>
      </c>
      <c r="H97" s="37" t="s">
        <v>620</v>
      </c>
    </row>
    <row r="98" customFormat="false" ht="15" hidden="false" customHeight="false" outlineLevel="0" collapsed="false">
      <c r="A98" s="36" t="s">
        <v>608</v>
      </c>
      <c r="B98" s="36" t="s">
        <v>617</v>
      </c>
      <c r="C98" s="37" t="s">
        <v>71</v>
      </c>
      <c r="D98" s="19" t="n">
        <v>17</v>
      </c>
      <c r="E98" s="37" t="s">
        <v>198</v>
      </c>
      <c r="F98" s="37" t="s">
        <v>154</v>
      </c>
      <c r="G98" s="36" t="s">
        <v>105</v>
      </c>
      <c r="H98" s="37" t="s">
        <v>620</v>
      </c>
    </row>
    <row r="99" customFormat="false" ht="15" hidden="false" customHeight="false" outlineLevel="0" collapsed="false">
      <c r="A99" s="36" t="s">
        <v>608</v>
      </c>
      <c r="B99" s="36" t="s">
        <v>617</v>
      </c>
      <c r="C99" s="37" t="s">
        <v>71</v>
      </c>
      <c r="D99" s="19" t="n">
        <v>18</v>
      </c>
      <c r="E99" s="37" t="s">
        <v>353</v>
      </c>
      <c r="F99" s="37" t="s">
        <v>104</v>
      </c>
      <c r="G99" s="36" t="s">
        <v>105</v>
      </c>
      <c r="H99" s="37" t="s">
        <v>620</v>
      </c>
    </row>
    <row r="100" customFormat="false" ht="15" hidden="false" customHeight="false" outlineLevel="0" collapsed="false">
      <c r="A100" s="36" t="s">
        <v>608</v>
      </c>
      <c r="B100" s="36" t="s">
        <v>617</v>
      </c>
      <c r="C100" s="37" t="s">
        <v>71</v>
      </c>
      <c r="D100" s="19" t="n">
        <v>19</v>
      </c>
      <c r="E100" s="37" t="s">
        <v>156</v>
      </c>
      <c r="F100" s="37" t="s">
        <v>112</v>
      </c>
      <c r="G100" s="36" t="s">
        <v>105</v>
      </c>
      <c r="H100" s="37" t="s">
        <v>620</v>
      </c>
    </row>
    <row r="101" customFormat="false" ht="15" hidden="false" customHeight="false" outlineLevel="0" collapsed="false">
      <c r="A101" s="36" t="s">
        <v>608</v>
      </c>
      <c r="B101" s="36" t="s">
        <v>617</v>
      </c>
      <c r="C101" s="37" t="s">
        <v>71</v>
      </c>
      <c r="D101" s="19" t="n">
        <v>20</v>
      </c>
      <c r="E101" s="37" t="s">
        <v>167</v>
      </c>
      <c r="F101" s="37" t="s">
        <v>168</v>
      </c>
      <c r="G101" s="36" t="s">
        <v>105</v>
      </c>
      <c r="H101" s="37" t="s">
        <v>620</v>
      </c>
    </row>
  </sheetData>
  <autoFilter ref="A1:H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1"/>
  </cols>
  <sheetData>
    <row r="1" customFormat="false" ht="17.15" hidden="false" customHeight="false" outlineLevel="0" collapsed="false">
      <c r="A1" s="33" t="s">
        <v>633</v>
      </c>
      <c r="B1" s="33" t="s">
        <v>570</v>
      </c>
      <c r="C1" s="33" t="s">
        <v>575</v>
      </c>
      <c r="D1" s="33" t="s">
        <v>594</v>
      </c>
      <c r="E1" s="33" t="s">
        <v>609</v>
      </c>
      <c r="F1" s="33" t="s">
        <v>617</v>
      </c>
    </row>
    <row r="2" customFormat="false" ht="17.15" hidden="false" customHeight="false" outlineLevel="0" collapsed="false">
      <c r="A2" s="17" t="s">
        <v>105</v>
      </c>
      <c r="B2" s="17" t="n">
        <f aca="false">COUNTIFS('2-2 국가별 Top20'!$B$2:$B$101,B$1,'2-2 국가별 Top20'!$G$2:$G$101,$A2)</f>
        <v>16</v>
      </c>
      <c r="C2" s="17" t="n">
        <f aca="false">COUNTIFS('2-2 국가별 Top20'!$B$2:$B$101,C$1,'2-2 국가별 Top20'!$G$2:$G$101,$A2)</f>
        <v>8</v>
      </c>
      <c r="D2" s="17" t="n">
        <f aca="false">COUNTIFS('2-2 국가별 Top20'!$B$2:$B$101,D$1,'2-2 국가별 Top20'!$G$2:$G$101,$A2)</f>
        <v>7</v>
      </c>
      <c r="E2" s="17" t="n">
        <f aca="false">COUNTIFS('2-2 국가별 Top20'!$B$2:$B$101,E$1,'2-2 국가별 Top20'!$G$2:$G$101,$A2)</f>
        <v>14</v>
      </c>
      <c r="F2" s="17" t="n">
        <f aca="false">COUNTIFS('2-2 국가별 Top20'!$B$2:$B$101,F$1,'2-2 국가별 Top20'!$G$2:$G$101,$A2)</f>
        <v>10</v>
      </c>
    </row>
    <row r="3" customFormat="false" ht="17.15" hidden="false" customHeight="false" outlineLevel="0" collapsed="false">
      <c r="A3" s="17" t="s">
        <v>119</v>
      </c>
      <c r="B3" s="17" t="n">
        <f aca="false">COUNTIFS('2-2 국가별 Top20'!$B$2:$B$101,B$1,'2-2 국가별 Top20'!$G$2:$G$101,$A3)</f>
        <v>2</v>
      </c>
      <c r="C3" s="17" t="n">
        <f aca="false">COUNTIFS('2-2 국가별 Top20'!$B$2:$B$101,C$1,'2-2 국가별 Top20'!$G$2:$G$101,$A3)</f>
        <v>3</v>
      </c>
      <c r="D3" s="17" t="n">
        <f aca="false">COUNTIFS('2-2 국가별 Top20'!$B$2:$B$101,D$1,'2-2 국가별 Top20'!$G$2:$G$101,$A3)</f>
        <v>2</v>
      </c>
      <c r="E3" s="17" t="n">
        <f aca="false">COUNTIFS('2-2 국가별 Top20'!$B$2:$B$101,E$1,'2-2 국가별 Top20'!$G$2:$G$101,$A3)</f>
        <v>2</v>
      </c>
      <c r="F3" s="17" t="n">
        <f aca="false">COUNTIFS('2-2 국가별 Top20'!$B$2:$B$101,F$1,'2-2 국가별 Top20'!$G$2:$G$101,$A3)</f>
        <v>0</v>
      </c>
    </row>
    <row r="4" customFormat="false" ht="17.15" hidden="false" customHeight="false" outlineLevel="0" collapsed="false">
      <c r="A4" s="17" t="s">
        <v>161</v>
      </c>
      <c r="B4" s="17" t="n">
        <f aca="false">COUNTIFS('2-2 국가별 Top20'!$B$2:$B$101,B$1,'2-2 국가별 Top20'!$G$2:$G$101,$A4)</f>
        <v>0</v>
      </c>
      <c r="C4" s="17" t="n">
        <f aca="false">COUNTIFS('2-2 국가별 Top20'!$B$2:$B$101,C$1,'2-2 국가별 Top20'!$G$2:$G$101,$A4)</f>
        <v>0</v>
      </c>
      <c r="D4" s="17" t="n">
        <f aca="false">COUNTIFS('2-2 국가별 Top20'!$B$2:$B$101,D$1,'2-2 국가별 Top20'!$G$2:$G$101,$A4)</f>
        <v>0</v>
      </c>
      <c r="E4" s="17" t="n">
        <f aca="false">COUNTIFS('2-2 국가별 Top20'!$B$2:$B$101,E$1,'2-2 국가별 Top20'!$G$2:$G$101,$A4)</f>
        <v>0</v>
      </c>
      <c r="F4" s="17" t="n">
        <f aca="false">COUNTIFS('2-2 국가별 Top20'!$B$2:$B$101,F$1,'2-2 국가별 Top20'!$G$2:$G$101,$A4)</f>
        <v>2</v>
      </c>
    </row>
    <row r="5" customFormat="false" ht="17.15" hidden="false" customHeight="false" outlineLevel="0" collapsed="false">
      <c r="A5" s="17" t="s">
        <v>147</v>
      </c>
      <c r="B5" s="17" t="n">
        <f aca="false">COUNTIFS('2-2 국가별 Top20'!$B$2:$B$101,B$1,'2-2 국가별 Top20'!$G$2:$G$101,$A5)</f>
        <v>0</v>
      </c>
      <c r="C5" s="17" t="n">
        <f aca="false">COUNTIFS('2-2 국가별 Top20'!$B$2:$B$101,C$1,'2-2 국가별 Top20'!$G$2:$G$101,$A5)</f>
        <v>4</v>
      </c>
      <c r="D5" s="17" t="n">
        <f aca="false">COUNTIFS('2-2 국가별 Top20'!$B$2:$B$101,D$1,'2-2 국가별 Top20'!$G$2:$G$101,$A5)</f>
        <v>4</v>
      </c>
      <c r="E5" s="17" t="n">
        <f aca="false">COUNTIFS('2-2 국가별 Top20'!$B$2:$B$101,E$1,'2-2 국가별 Top20'!$G$2:$G$101,$A5)</f>
        <v>1</v>
      </c>
      <c r="F5" s="17" t="n">
        <f aca="false">COUNTIFS('2-2 국가별 Top20'!$B$2:$B$101,F$1,'2-2 국가별 Top20'!$G$2:$G$101,$A5)</f>
        <v>0</v>
      </c>
    </row>
    <row r="6" customFormat="false" ht="17.15" hidden="false" customHeight="false" outlineLevel="0" collapsed="false">
      <c r="A6" s="17" t="s">
        <v>165</v>
      </c>
      <c r="B6" s="17" t="n">
        <f aca="false">COUNTIFS('2-2 국가별 Top20'!$B$2:$B$101,B$1,'2-2 국가별 Top20'!$G$2:$G$101,$A6)</f>
        <v>0</v>
      </c>
      <c r="C6" s="17" t="n">
        <f aca="false">COUNTIFS('2-2 국가별 Top20'!$B$2:$B$101,C$1,'2-2 국가별 Top20'!$G$2:$G$101,$A6)</f>
        <v>1</v>
      </c>
      <c r="D6" s="17" t="n">
        <f aca="false">COUNTIFS('2-2 국가별 Top20'!$B$2:$B$101,D$1,'2-2 국가별 Top20'!$G$2:$G$101,$A6)</f>
        <v>1</v>
      </c>
      <c r="E6" s="17" t="n">
        <f aca="false">COUNTIFS('2-2 국가별 Top20'!$B$2:$B$101,E$1,'2-2 국가별 Top20'!$G$2:$G$101,$A6)</f>
        <v>1</v>
      </c>
      <c r="F6" s="17" t="n">
        <f aca="false">COUNTIFS('2-2 국가별 Top20'!$B$2:$B$101,F$1,'2-2 국가별 Top20'!$G$2:$G$101,$A6)</f>
        <v>1</v>
      </c>
    </row>
    <row r="7" customFormat="false" ht="17.15" hidden="false" customHeight="false" outlineLevel="0" collapsed="false">
      <c r="A7" s="17" t="s">
        <v>151</v>
      </c>
      <c r="B7" s="17" t="n">
        <f aca="false">COUNTIFS('2-2 국가별 Top20'!$B$2:$B$101,B$1,'2-2 국가별 Top20'!$G$2:$G$101,$A7)</f>
        <v>0</v>
      </c>
      <c r="C7" s="17" t="n">
        <f aca="false">COUNTIFS('2-2 국가별 Top20'!$B$2:$B$101,C$1,'2-2 국가별 Top20'!$G$2:$G$101,$A7)</f>
        <v>1</v>
      </c>
      <c r="D7" s="17" t="n">
        <f aca="false">COUNTIFS('2-2 국가별 Top20'!$B$2:$B$101,D$1,'2-2 국가별 Top20'!$G$2:$G$101,$A7)</f>
        <v>1</v>
      </c>
      <c r="E7" s="17" t="n">
        <f aca="false">COUNTIFS('2-2 국가별 Top20'!$B$2:$B$101,E$1,'2-2 국가별 Top20'!$G$2:$G$101,$A7)</f>
        <v>0</v>
      </c>
      <c r="F7" s="17" t="n">
        <f aca="false">COUNTIFS('2-2 국가별 Top20'!$B$2:$B$101,F$1,'2-2 국가별 Top20'!$G$2:$G$101,$A7)</f>
        <v>0</v>
      </c>
    </row>
    <row r="8" customFormat="false" ht="17.15" hidden="false" customHeight="false" outlineLevel="0" collapsed="false">
      <c r="A8" s="17" t="s">
        <v>244</v>
      </c>
      <c r="B8" s="17" t="n">
        <f aca="false">COUNTIFS('2-2 국가별 Top20'!$B$2:$B$101,B$1,'2-2 국가별 Top20'!$G$2:$G$101,$A8)</f>
        <v>0</v>
      </c>
      <c r="C8" s="17" t="n">
        <f aca="false">COUNTIFS('2-2 국가별 Top20'!$B$2:$B$101,C$1,'2-2 국가별 Top20'!$G$2:$G$101,$A8)</f>
        <v>1</v>
      </c>
      <c r="D8" s="17" t="n">
        <f aca="false">COUNTIFS('2-2 국가별 Top20'!$B$2:$B$101,D$1,'2-2 국가별 Top20'!$G$2:$G$101,$A8)</f>
        <v>3</v>
      </c>
      <c r="E8" s="17" t="n">
        <f aca="false">COUNTIFS('2-2 국가별 Top20'!$B$2:$B$101,E$1,'2-2 국가별 Top20'!$G$2:$G$101,$A8)</f>
        <v>0</v>
      </c>
      <c r="F8" s="17" t="n">
        <f aca="false">COUNTIFS('2-2 국가별 Top20'!$B$2:$B$101,F$1,'2-2 국가별 Top20'!$G$2:$G$101,$A8)</f>
        <v>0</v>
      </c>
    </row>
    <row r="9" customFormat="false" ht="15" hidden="false" customHeight="false" outlineLevel="0" collapsed="false">
      <c r="A9" s="32" t="s">
        <v>300</v>
      </c>
      <c r="B9" s="17" t="n">
        <f aca="false">COUNTIFS('2-2 국가별 Top20'!$B$2:$B$101,B$1,'2-2 국가별 Top20'!$G$2:$G$101,$A9)</f>
        <v>0</v>
      </c>
      <c r="C9" s="17" t="n">
        <f aca="false">COUNTIFS('2-2 국가별 Top20'!$B$2:$B$101,C$1,'2-2 국가별 Top20'!$G$2:$G$101,$A9)</f>
        <v>0</v>
      </c>
      <c r="D9" s="17" t="n">
        <f aca="false">COUNTIFS('2-2 국가별 Top20'!$B$2:$B$101,D$1,'2-2 국가별 Top20'!$G$2:$G$101,$A9)</f>
        <v>0</v>
      </c>
      <c r="E9" s="17" t="n">
        <f aca="false">COUNTIFS('2-2 국가별 Top20'!$B$2:$B$101,E$1,'2-2 국가별 Top20'!$G$2:$G$101,$A9)</f>
        <v>1</v>
      </c>
      <c r="F9" s="17" t="n">
        <f aca="false">COUNTIFS('2-2 국가별 Top20'!$B$2:$B$101,F$1,'2-2 국가별 Top20'!$G$2:$G$101,$A9)</f>
        <v>4</v>
      </c>
    </row>
    <row r="10" customFormat="false" ht="17.15" hidden="false" customHeight="false" outlineLevel="0" collapsed="false">
      <c r="A10" s="17" t="s">
        <v>177</v>
      </c>
      <c r="B10" s="17" t="n">
        <f aca="false">COUNTIFS('2-2 국가별 Top20'!$B$2:$B$101,B$1,'2-2 국가별 Top20'!$G$2:$G$101,$A10)</f>
        <v>1</v>
      </c>
      <c r="C10" s="17" t="n">
        <f aca="false">COUNTIFS('2-2 국가별 Top20'!$B$2:$B$101,C$1,'2-2 국가별 Top20'!$G$2:$G$101,$A10)</f>
        <v>0</v>
      </c>
      <c r="D10" s="17" t="n">
        <f aca="false">COUNTIFS('2-2 국가별 Top20'!$B$2:$B$101,D$1,'2-2 국가별 Top20'!$G$2:$G$101,$A10)</f>
        <v>1</v>
      </c>
      <c r="E10" s="17" t="n">
        <f aca="false">COUNTIFS('2-2 국가별 Top20'!$B$2:$B$101,E$1,'2-2 국가별 Top20'!$G$2:$G$101,$A10)</f>
        <v>0</v>
      </c>
      <c r="F10" s="17" t="n">
        <f aca="false">COUNTIFS('2-2 국가별 Top20'!$B$2:$B$101,F$1,'2-2 국가별 Top20'!$G$2:$G$101,$A10)</f>
        <v>0</v>
      </c>
    </row>
    <row r="11" customFormat="false" ht="17.15" hidden="false" customHeight="false" outlineLevel="0" collapsed="false">
      <c r="A11" s="17" t="s">
        <v>126</v>
      </c>
      <c r="B11" s="17" t="n">
        <f aca="false">COUNTIFS('2-2 국가별 Top20'!$B$2:$B$101,B$1,'2-2 국가별 Top20'!$G$2:$G$101,$A11)</f>
        <v>1</v>
      </c>
      <c r="C11" s="17" t="n">
        <f aca="false">COUNTIFS('2-2 국가별 Top20'!$B$2:$B$101,C$1,'2-2 국가별 Top20'!$G$2:$G$101,$A11)</f>
        <v>1</v>
      </c>
      <c r="D11" s="17" t="n">
        <f aca="false">COUNTIFS('2-2 국가별 Top20'!$B$2:$B$101,D$1,'2-2 국가별 Top20'!$G$2:$G$101,$A11)</f>
        <v>1</v>
      </c>
      <c r="E11" s="17" t="n">
        <f aca="false">COUNTIFS('2-2 국가별 Top20'!$B$2:$B$101,E$1,'2-2 국가별 Top20'!$G$2:$G$101,$A11)</f>
        <v>1</v>
      </c>
      <c r="F11" s="17" t="n">
        <f aca="false">COUNTIFS('2-2 국가별 Top20'!$B$2:$B$101,F$1,'2-2 국가별 Top20'!$G$2:$G$101,$A11)</f>
        <v>1</v>
      </c>
    </row>
    <row r="12" customFormat="false" ht="17.15" hidden="false" customHeight="false" outlineLevel="0" collapsed="false">
      <c r="A12" s="17" t="s">
        <v>209</v>
      </c>
      <c r="B12" s="17" t="n">
        <f aca="false">COUNTIFS('2-2 국가별 Top20'!$B$2:$B$101,B$1,'2-2 국가별 Top20'!$G$2:$G$101,$A12)</f>
        <v>0</v>
      </c>
      <c r="C12" s="17" t="n">
        <f aca="false">COUNTIFS('2-2 국가별 Top20'!$B$2:$B$101,C$1,'2-2 국가별 Top20'!$G$2:$G$101,$A12)</f>
        <v>0</v>
      </c>
      <c r="D12" s="17" t="n">
        <f aca="false">COUNTIFS('2-2 국가별 Top20'!$B$2:$B$101,D$1,'2-2 국가별 Top20'!$G$2:$G$101,$A12)</f>
        <v>0</v>
      </c>
      <c r="E12" s="17" t="n">
        <f aca="false">COUNTIFS('2-2 국가별 Top20'!$B$2:$B$101,E$1,'2-2 국가별 Top20'!$G$2:$G$101,$A12)</f>
        <v>0</v>
      </c>
      <c r="F12" s="17" t="n">
        <f aca="false">COUNTIFS('2-2 국가별 Top20'!$B$2:$B$101,F$1,'2-2 국가별 Top20'!$G$2:$G$101,$A12)</f>
        <v>0</v>
      </c>
    </row>
    <row r="13" customFormat="false" ht="17.15" hidden="false" customHeight="false" outlineLevel="0" collapsed="false">
      <c r="A13" s="17" t="s">
        <v>116</v>
      </c>
      <c r="B13" s="17" t="n">
        <f aca="false">COUNTIFS('2-2 국가별 Top20'!$B$2:$B$101,B$1,'2-2 국가별 Top20'!$G$2:$G$101,$A13)</f>
        <v>0</v>
      </c>
      <c r="C13" s="17" t="n">
        <f aca="false">COUNTIFS('2-2 국가별 Top20'!$B$2:$B$101,C$1,'2-2 국가별 Top20'!$G$2:$G$101,$A13)</f>
        <v>1</v>
      </c>
      <c r="D13" s="17" t="n">
        <f aca="false">COUNTIFS('2-2 국가별 Top20'!$B$2:$B$101,D$1,'2-2 국가별 Top20'!$G$2:$G$101,$A13)</f>
        <v>0</v>
      </c>
      <c r="E13" s="17" t="n">
        <f aca="false">COUNTIFS('2-2 국가별 Top20'!$B$2:$B$101,E$1,'2-2 국가별 Top20'!$G$2:$G$101,$A13)</f>
        <v>0</v>
      </c>
      <c r="F13" s="17" t="n">
        <f aca="false">COUNTIFS('2-2 국가별 Top20'!$B$2:$B$101,F$1,'2-2 국가별 Top20'!$G$2:$G$101,$A13)</f>
        <v>2</v>
      </c>
    </row>
    <row r="14" customFormat="false" ht="17.15" hidden="false" customHeight="false" outlineLevel="0" collapsed="false">
      <c r="A14" s="34" t="s">
        <v>465</v>
      </c>
      <c r="B14" s="34" t="n">
        <f aca="false">SUM(B2:B13)</f>
        <v>20</v>
      </c>
      <c r="C14" s="34" t="n">
        <f aca="false">SUM(C2:C13)</f>
        <v>20</v>
      </c>
      <c r="D14" s="34" t="n">
        <f aca="false">SUM(D2:D13)</f>
        <v>20</v>
      </c>
      <c r="E14" s="34" t="n">
        <f aca="false">SUM(E2:E13)</f>
        <v>20</v>
      </c>
      <c r="F14" s="34" t="n">
        <f aca="false">SUM(F2:F13)</f>
        <v>20</v>
      </c>
    </row>
    <row r="16" customFormat="false" ht="17.15" hidden="false" customHeight="false" outlineLevel="0" collapsed="false">
      <c r="A16" s="40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0"/>
    <col collapsed="false" customWidth="true" hidden="false" outlineLevel="0" max="8" min="8" style="0" width="22"/>
  </cols>
  <sheetData>
    <row r="1" customFormat="false" ht="17.15" hidden="false" customHeight="false" outlineLevel="0" collapsed="false">
      <c r="A1" s="33" t="s">
        <v>99</v>
      </c>
      <c r="B1" s="33" t="s">
        <v>635</v>
      </c>
      <c r="C1" s="33" t="s">
        <v>570</v>
      </c>
      <c r="D1" s="33" t="s">
        <v>575</v>
      </c>
      <c r="E1" s="33" t="s">
        <v>594</v>
      </c>
      <c r="F1" s="33" t="s">
        <v>609</v>
      </c>
      <c r="G1" s="33" t="s">
        <v>617</v>
      </c>
      <c r="H1" s="33" t="s">
        <v>636</v>
      </c>
    </row>
    <row r="2" customFormat="false" ht="15" hidden="false" customHeight="false" outlineLevel="0" collapsed="false">
      <c r="A2" s="37" t="s">
        <v>139</v>
      </c>
      <c r="B2" s="19" t="n">
        <v>7</v>
      </c>
      <c r="C2" s="19" t="n">
        <v>7</v>
      </c>
      <c r="D2" s="19" t="n">
        <v>9</v>
      </c>
      <c r="E2" s="19" t="n">
        <v>4</v>
      </c>
      <c r="F2" s="19" t="n">
        <v>3</v>
      </c>
      <c r="G2" s="19" t="n">
        <v>8</v>
      </c>
      <c r="H2" s="19" t="n">
        <f aca="false">COUNT(B2:G2)</f>
        <v>6</v>
      </c>
    </row>
    <row r="3" customFormat="false" ht="15" hidden="false" customHeight="false" outlineLevel="0" collapsed="false">
      <c r="A3" s="37" t="s">
        <v>637</v>
      </c>
      <c r="B3" s="19" t="n">
        <v>2</v>
      </c>
      <c r="C3" s="19" t="n">
        <v>1</v>
      </c>
      <c r="D3" s="19" t="n">
        <v>4</v>
      </c>
      <c r="E3" s="19" t="n">
        <v>39</v>
      </c>
      <c r="F3" s="19" t="n">
        <v>1</v>
      </c>
      <c r="G3" s="19" t="n">
        <v>18</v>
      </c>
      <c r="H3" s="19" t="n">
        <f aca="false">COUNT(B3:G3)</f>
        <v>6</v>
      </c>
    </row>
    <row r="4" customFormat="false" ht="15" hidden="false" customHeight="false" outlineLevel="0" collapsed="false">
      <c r="A4" s="37" t="s">
        <v>113</v>
      </c>
      <c r="B4" s="19" t="n">
        <v>11</v>
      </c>
      <c r="C4" s="19" t="n">
        <v>4</v>
      </c>
      <c r="D4" s="19" t="n">
        <v>50</v>
      </c>
      <c r="E4" s="19" t="n">
        <v>33</v>
      </c>
      <c r="F4" s="19" t="n">
        <v>36</v>
      </c>
      <c r="G4" s="19" t="n">
        <v>7</v>
      </c>
      <c r="H4" s="19" t="n">
        <f aca="false">COUNT(B4:G4)</f>
        <v>6</v>
      </c>
    </row>
    <row r="5" customFormat="false" ht="15" hidden="false" customHeight="false" outlineLevel="0" collapsed="false">
      <c r="A5" s="37" t="s">
        <v>136</v>
      </c>
      <c r="B5" s="19" t="n">
        <v>8</v>
      </c>
      <c r="C5" s="19" t="n">
        <v>6</v>
      </c>
      <c r="D5" s="19" t="n">
        <v>3</v>
      </c>
      <c r="E5" s="19" t="n">
        <v>2</v>
      </c>
      <c r="F5" s="19" t="n">
        <v>10</v>
      </c>
      <c r="G5" s="19" t="n">
        <v>38</v>
      </c>
      <c r="H5" s="19" t="n">
        <f aca="false">COUNT(B5:G5)</f>
        <v>6</v>
      </c>
    </row>
    <row r="6" customFormat="false" ht="15" hidden="false" customHeight="false" outlineLevel="0" collapsed="false">
      <c r="A6" s="37" t="s">
        <v>124</v>
      </c>
      <c r="B6" s="19" t="n">
        <v>4</v>
      </c>
      <c r="C6" s="19" t="n">
        <v>3</v>
      </c>
      <c r="D6" s="19" t="n">
        <v>1</v>
      </c>
      <c r="E6" s="19" t="n">
        <v>1</v>
      </c>
      <c r="F6" s="19" t="n">
        <v>13</v>
      </c>
      <c r="G6" s="19" t="n">
        <v>10</v>
      </c>
      <c r="H6" s="19" t="n">
        <f aca="false">COUNT(B6:G6)</f>
        <v>6</v>
      </c>
    </row>
    <row r="7" customFormat="false" ht="15" hidden="false" customHeight="false" outlineLevel="0" collapsed="false">
      <c r="A7" s="37" t="s">
        <v>128</v>
      </c>
      <c r="B7" s="19" t="n">
        <v>5</v>
      </c>
      <c r="C7" s="19" t="n">
        <v>9</v>
      </c>
      <c r="D7" s="19" t="n">
        <v>29</v>
      </c>
      <c r="E7" s="19" t="n">
        <v>15</v>
      </c>
      <c r="F7" s="19" t="n">
        <v>34</v>
      </c>
      <c r="G7" s="19" t="n">
        <v>26</v>
      </c>
      <c r="H7" s="19" t="n">
        <f aca="false">COUNT(B7:G7)</f>
        <v>6</v>
      </c>
    </row>
    <row r="8" customFormat="false" ht="15" hidden="false" customHeight="false" outlineLevel="0" collapsed="false">
      <c r="A8" s="37" t="s">
        <v>111</v>
      </c>
      <c r="B8" s="19" t="n">
        <v>1</v>
      </c>
      <c r="C8" s="19" t="n">
        <v>2</v>
      </c>
      <c r="D8" s="19" t="n">
        <v>8</v>
      </c>
      <c r="E8" s="19" t="s">
        <v>427</v>
      </c>
      <c r="F8" s="19" t="n">
        <v>2</v>
      </c>
      <c r="G8" s="19" t="n">
        <v>5</v>
      </c>
      <c r="H8" s="19" t="n">
        <f aca="false">COUNT(B8:G8)</f>
        <v>5</v>
      </c>
    </row>
    <row r="9" customFormat="false" ht="15" hidden="false" customHeight="false" outlineLevel="0" collapsed="false">
      <c r="A9" s="37" t="s">
        <v>153</v>
      </c>
      <c r="B9" s="19" t="n">
        <v>42</v>
      </c>
      <c r="C9" s="19" t="n">
        <v>25</v>
      </c>
      <c r="D9" s="19" t="s">
        <v>427</v>
      </c>
      <c r="E9" s="19" t="s">
        <v>427</v>
      </c>
      <c r="F9" s="19" t="n">
        <v>16</v>
      </c>
      <c r="G9" s="19" t="n">
        <v>21</v>
      </c>
      <c r="H9" s="19" t="n">
        <f aca="false">COUNT(B9:G9)</f>
        <v>4</v>
      </c>
    </row>
    <row r="11" customFormat="false" ht="17.15" hidden="false" customHeight="false" outlineLevel="0" collapsed="false">
      <c r="A11" s="40" t="s">
        <v>638</v>
      </c>
    </row>
    <row r="12" customFormat="false" ht="17.15" hidden="false" customHeight="false" outlineLevel="0" collapsed="false">
      <c r="A12" s="41" t="s">
        <v>639</v>
      </c>
    </row>
    <row r="13" customFormat="false" ht="17.15" hidden="false" customHeight="false" outlineLevel="0" collapsed="false">
      <c r="A13" s="40" t="s"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80"/>
    <col collapsed="false" customWidth="true" hidden="false" outlineLevel="0" max="5" min="5" style="0" width="11"/>
  </cols>
  <sheetData>
    <row r="1" customFormat="false" ht="17.15" hidden="false" customHeight="false" outlineLevel="0" collapsed="false">
      <c r="A1" s="33" t="s">
        <v>565</v>
      </c>
      <c r="B1" s="33" t="s">
        <v>566</v>
      </c>
      <c r="C1" s="33" t="s">
        <v>641</v>
      </c>
      <c r="D1" s="33" t="s">
        <v>642</v>
      </c>
      <c r="E1" s="33" t="s">
        <v>643</v>
      </c>
    </row>
    <row r="2" customFormat="false" ht="17.15" hidden="false" customHeight="false" outlineLevel="0" collapsed="false">
      <c r="A2" s="17" t="s">
        <v>569</v>
      </c>
      <c r="B2" s="17" t="s">
        <v>570</v>
      </c>
      <c r="C2" s="17" t="s">
        <v>644</v>
      </c>
      <c r="D2" s="32" t="s">
        <v>645</v>
      </c>
      <c r="E2" s="17" t="s">
        <v>646</v>
      </c>
    </row>
    <row r="3" customFormat="false" ht="17.15" hidden="false" customHeight="false" outlineLevel="0" collapsed="false">
      <c r="A3" s="17" t="s">
        <v>569</v>
      </c>
      <c r="B3" s="17" t="s">
        <v>570</v>
      </c>
      <c r="C3" s="17" t="s">
        <v>647</v>
      </c>
      <c r="D3" s="32" t="s">
        <v>648</v>
      </c>
      <c r="E3" s="17" t="s">
        <v>646</v>
      </c>
    </row>
    <row r="4" customFormat="false" ht="17.15" hidden="false" customHeight="false" outlineLevel="0" collapsed="false">
      <c r="A4" s="17" t="s">
        <v>569</v>
      </c>
      <c r="B4" s="17" t="s">
        <v>570</v>
      </c>
      <c r="C4" s="17" t="s">
        <v>649</v>
      </c>
      <c r="D4" s="32" t="s">
        <v>650</v>
      </c>
      <c r="E4" s="17" t="s">
        <v>646</v>
      </c>
    </row>
    <row r="5" customFormat="false" ht="17.15" hidden="false" customHeight="false" outlineLevel="0" collapsed="false">
      <c r="A5" s="17" t="s">
        <v>574</v>
      </c>
      <c r="B5" s="17" t="s">
        <v>575</v>
      </c>
      <c r="C5" s="32" t="s">
        <v>651</v>
      </c>
      <c r="D5" s="32" t="s">
        <v>652</v>
      </c>
      <c r="E5" s="17" t="s">
        <v>646</v>
      </c>
    </row>
    <row r="6" customFormat="false" ht="32.8" hidden="false" customHeight="false" outlineLevel="0" collapsed="false">
      <c r="A6" s="17" t="s">
        <v>574</v>
      </c>
      <c r="B6" s="17" t="s">
        <v>575</v>
      </c>
      <c r="C6" s="32" t="s">
        <v>653</v>
      </c>
      <c r="D6" s="32" t="s">
        <v>654</v>
      </c>
      <c r="E6" s="42" t="s">
        <v>655</v>
      </c>
    </row>
    <row r="7" customFormat="false" ht="26.85" hidden="false" customHeight="false" outlineLevel="0" collapsed="false">
      <c r="A7" s="17" t="s">
        <v>574</v>
      </c>
      <c r="B7" s="17" t="s">
        <v>575</v>
      </c>
      <c r="C7" s="17" t="s">
        <v>656</v>
      </c>
      <c r="D7" s="32" t="s">
        <v>657</v>
      </c>
      <c r="E7" s="17" t="s">
        <v>646</v>
      </c>
    </row>
    <row r="8" customFormat="false" ht="26.85" hidden="false" customHeight="false" outlineLevel="0" collapsed="false">
      <c r="A8" s="17" t="s">
        <v>574</v>
      </c>
      <c r="B8" s="17" t="s">
        <v>575</v>
      </c>
      <c r="C8" s="17" t="s">
        <v>658</v>
      </c>
      <c r="D8" s="32" t="s">
        <v>659</v>
      </c>
      <c r="E8" s="17" t="s">
        <v>646</v>
      </c>
    </row>
    <row r="9" customFormat="false" ht="26.85" hidden="false" customHeight="false" outlineLevel="0" collapsed="false">
      <c r="A9" s="17" t="s">
        <v>574</v>
      </c>
      <c r="B9" s="17" t="s">
        <v>575</v>
      </c>
      <c r="C9" s="17" t="s">
        <v>660</v>
      </c>
      <c r="D9" s="32" t="s">
        <v>661</v>
      </c>
      <c r="E9" s="17" t="s">
        <v>646</v>
      </c>
    </row>
    <row r="10" customFormat="false" ht="26.85" hidden="false" customHeight="false" outlineLevel="0" collapsed="false">
      <c r="A10" s="17" t="s">
        <v>574</v>
      </c>
      <c r="B10" s="17" t="s">
        <v>575</v>
      </c>
      <c r="C10" s="17" t="s">
        <v>662</v>
      </c>
      <c r="D10" s="32" t="s">
        <v>663</v>
      </c>
      <c r="E10" s="17" t="s">
        <v>646</v>
      </c>
    </row>
    <row r="11" customFormat="false" ht="17.15" hidden="false" customHeight="false" outlineLevel="0" collapsed="false">
      <c r="A11" s="17" t="s">
        <v>574</v>
      </c>
      <c r="B11" s="17" t="s">
        <v>575</v>
      </c>
      <c r="C11" s="17" t="s">
        <v>664</v>
      </c>
      <c r="D11" s="32" t="s">
        <v>665</v>
      </c>
      <c r="E11" s="17" t="s">
        <v>646</v>
      </c>
    </row>
    <row r="12" customFormat="false" ht="17.15" hidden="false" customHeight="false" outlineLevel="0" collapsed="false">
      <c r="A12" s="17" t="s">
        <v>574</v>
      </c>
      <c r="B12" s="17" t="s">
        <v>594</v>
      </c>
      <c r="C12" s="17" t="s">
        <v>666</v>
      </c>
      <c r="D12" s="32" t="s">
        <v>667</v>
      </c>
      <c r="E12" s="17" t="s">
        <v>646</v>
      </c>
    </row>
    <row r="13" customFormat="false" ht="17.15" hidden="false" customHeight="false" outlineLevel="0" collapsed="false">
      <c r="A13" s="17" t="s">
        <v>574</v>
      </c>
      <c r="B13" s="17" t="s">
        <v>594</v>
      </c>
      <c r="C13" s="17" t="s">
        <v>668</v>
      </c>
      <c r="D13" s="32" t="s">
        <v>669</v>
      </c>
      <c r="E13" s="17" t="s">
        <v>646</v>
      </c>
    </row>
    <row r="14" customFormat="false" ht="17.15" hidden="false" customHeight="false" outlineLevel="0" collapsed="false">
      <c r="A14" s="17" t="s">
        <v>574</v>
      </c>
      <c r="B14" s="17" t="s">
        <v>594</v>
      </c>
      <c r="C14" s="17" t="s">
        <v>670</v>
      </c>
      <c r="D14" s="32" t="s">
        <v>671</v>
      </c>
      <c r="E14" s="17" t="s">
        <v>646</v>
      </c>
    </row>
    <row r="15" customFormat="false" ht="17.15" hidden="false" customHeight="false" outlineLevel="0" collapsed="false">
      <c r="A15" s="17" t="s">
        <v>574</v>
      </c>
      <c r="B15" s="17" t="s">
        <v>594</v>
      </c>
      <c r="C15" s="17" t="s">
        <v>672</v>
      </c>
      <c r="D15" s="32" t="s">
        <v>673</v>
      </c>
      <c r="E15" s="17" t="s">
        <v>646</v>
      </c>
    </row>
    <row r="16" customFormat="false" ht="17.15" hidden="false" customHeight="false" outlineLevel="0" collapsed="false">
      <c r="A16" s="17" t="s">
        <v>608</v>
      </c>
      <c r="B16" s="17" t="s">
        <v>609</v>
      </c>
      <c r="C16" s="17" t="s">
        <v>674</v>
      </c>
      <c r="D16" s="32" t="s">
        <v>675</v>
      </c>
      <c r="E16" s="17" t="s">
        <v>646</v>
      </c>
    </row>
    <row r="17" customFormat="false" ht="45.5" hidden="false" customHeight="false" outlineLevel="0" collapsed="false">
      <c r="A17" s="17" t="s">
        <v>608</v>
      </c>
      <c r="B17" s="17" t="s">
        <v>609</v>
      </c>
      <c r="C17" s="17" t="s">
        <v>676</v>
      </c>
      <c r="D17" s="17" t="s">
        <v>677</v>
      </c>
      <c r="E17" s="17" t="s">
        <v>646</v>
      </c>
    </row>
    <row r="18" customFormat="false" ht="17.15" hidden="false" customHeight="false" outlineLevel="0" collapsed="false">
      <c r="A18" s="17" t="s">
        <v>608</v>
      </c>
      <c r="B18" s="17" t="s">
        <v>609</v>
      </c>
      <c r="C18" s="17" t="s">
        <v>678</v>
      </c>
      <c r="D18" s="17" t="s">
        <v>679</v>
      </c>
      <c r="E18" s="17" t="s">
        <v>646</v>
      </c>
    </row>
    <row r="19" customFormat="false" ht="17.15" hidden="false" customHeight="false" outlineLevel="0" collapsed="false">
      <c r="A19" s="17" t="s">
        <v>608</v>
      </c>
      <c r="B19" s="17" t="s">
        <v>609</v>
      </c>
      <c r="C19" s="17" t="s">
        <v>680</v>
      </c>
      <c r="D19" s="17" t="s">
        <v>681</v>
      </c>
      <c r="E19" s="17" t="s">
        <v>646</v>
      </c>
    </row>
    <row r="20" customFormat="false" ht="17.15" hidden="false" customHeight="false" outlineLevel="0" collapsed="false">
      <c r="A20" s="17" t="s">
        <v>608</v>
      </c>
      <c r="B20" s="17" t="s">
        <v>609</v>
      </c>
      <c r="C20" s="17" t="s">
        <v>682</v>
      </c>
      <c r="D20" s="32" t="s">
        <v>683</v>
      </c>
      <c r="E20" s="17" t="s">
        <v>646</v>
      </c>
    </row>
    <row r="21" customFormat="false" ht="32.8" hidden="false" customHeight="false" outlineLevel="0" collapsed="false">
      <c r="A21" s="17" t="s">
        <v>608</v>
      </c>
      <c r="B21" s="17" t="s">
        <v>609</v>
      </c>
      <c r="C21" s="17" t="s">
        <v>684</v>
      </c>
      <c r="D21" s="32" t="s">
        <v>685</v>
      </c>
      <c r="E21" s="42" t="s">
        <v>655</v>
      </c>
    </row>
    <row r="22" customFormat="false" ht="32.8" hidden="false" customHeight="false" outlineLevel="0" collapsed="false">
      <c r="A22" s="17" t="s">
        <v>608</v>
      </c>
      <c r="B22" s="17" t="s">
        <v>617</v>
      </c>
      <c r="C22" s="17" t="s">
        <v>686</v>
      </c>
      <c r="D22" s="17" t="s">
        <v>687</v>
      </c>
      <c r="E22" s="17" t="s">
        <v>646</v>
      </c>
    </row>
    <row r="23" customFormat="false" ht="17.15" hidden="false" customHeight="false" outlineLevel="0" collapsed="false">
      <c r="A23" s="17" t="s">
        <v>608</v>
      </c>
      <c r="B23" s="17" t="s">
        <v>617</v>
      </c>
      <c r="C23" s="17" t="s">
        <v>688</v>
      </c>
      <c r="D23" s="17" t="s">
        <v>689</v>
      </c>
      <c r="E23" s="17" t="s">
        <v>646</v>
      </c>
    </row>
    <row r="24" customFormat="false" ht="17.15" hidden="false" customHeight="false" outlineLevel="0" collapsed="false">
      <c r="A24" s="17" t="s">
        <v>608</v>
      </c>
      <c r="B24" s="17" t="s">
        <v>617</v>
      </c>
      <c r="C24" s="17" t="s">
        <v>690</v>
      </c>
      <c r="D24" s="17" t="s">
        <v>691</v>
      </c>
      <c r="E24" s="17" t="s">
        <v>646</v>
      </c>
    </row>
    <row r="25" customFormat="false" ht="17.15" hidden="false" customHeight="false" outlineLevel="0" collapsed="false">
      <c r="A25" s="17" t="s">
        <v>608</v>
      </c>
      <c r="B25" s="17" t="s">
        <v>617</v>
      </c>
      <c r="C25" s="17" t="s">
        <v>692</v>
      </c>
      <c r="D25" s="32" t="s">
        <v>693</v>
      </c>
      <c r="E25" s="17" t="s">
        <v>646</v>
      </c>
    </row>
    <row r="26" customFormat="false" ht="17.15" hidden="false" customHeight="false" outlineLevel="0" collapsed="false">
      <c r="A26" s="17" t="s">
        <v>608</v>
      </c>
      <c r="B26" s="17" t="s">
        <v>617</v>
      </c>
      <c r="C26" s="17" t="s">
        <v>694</v>
      </c>
      <c r="D26" s="32" t="s">
        <v>695</v>
      </c>
      <c r="E26" s="17" t="s">
        <v>646</v>
      </c>
    </row>
    <row r="27" customFormat="false" ht="17.15" hidden="false" customHeight="false" outlineLevel="0" collapsed="false">
      <c r="A27" s="17" t="s">
        <v>608</v>
      </c>
      <c r="B27" s="17" t="s">
        <v>617</v>
      </c>
      <c r="C27" s="17" t="s">
        <v>696</v>
      </c>
      <c r="D27" s="32" t="s">
        <v>697</v>
      </c>
      <c r="E27" s="17" t="s">
        <v>646</v>
      </c>
    </row>
  </sheetData>
  <autoFilter ref="A1:E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58"/>
    <col collapsed="false" customWidth="true" hidden="false" outlineLevel="0" max="9" min="9" style="0" width="52"/>
  </cols>
  <sheetData>
    <row r="1" customFormat="false" ht="19.4" hidden="false" customHeight="false" outlineLevel="0" collapsed="false">
      <c r="A1" s="43" t="s">
        <v>698</v>
      </c>
    </row>
    <row r="2" customFormat="false" ht="17.15" hidden="false" customHeight="false" outlineLevel="0" collapsed="false">
      <c r="A2" s="44" t="s">
        <v>699</v>
      </c>
      <c r="B2" s="44" t="s">
        <v>565</v>
      </c>
      <c r="C2" s="45" t="s">
        <v>700</v>
      </c>
      <c r="D2" s="45" t="s">
        <v>701</v>
      </c>
      <c r="E2" s="44" t="s">
        <v>702</v>
      </c>
      <c r="F2" s="44" t="s">
        <v>703</v>
      </c>
      <c r="G2" s="44" t="s">
        <v>704</v>
      </c>
      <c r="H2" s="44" t="s">
        <v>568</v>
      </c>
      <c r="I2" s="44" t="s">
        <v>6</v>
      </c>
    </row>
    <row r="3" customFormat="false" ht="15" hidden="false" customHeight="false" outlineLevel="0" collapsed="false">
      <c r="A3" s="36" t="s">
        <v>705</v>
      </c>
      <c r="B3" s="36" t="s">
        <v>705</v>
      </c>
      <c r="C3" s="46" t="n">
        <v>0.6917</v>
      </c>
      <c r="D3" s="46" t="n">
        <v>0.3081</v>
      </c>
      <c r="E3" s="47" t="n">
        <f aca="false">IF(ISNUMBER(C3),1-C3-D3,"")</f>
        <v>0.000200000000000033</v>
      </c>
      <c r="F3" s="36" t="str">
        <f aca="false">IF(ISNUMBER(C3),IF(C3&gt;=D3,"Android","iOS"),"미조사")</f>
        <v>Android</v>
      </c>
      <c r="G3" s="37" t="s">
        <v>706</v>
      </c>
      <c r="H3" s="37" t="s">
        <v>707</v>
      </c>
      <c r="I3" s="36"/>
    </row>
    <row r="4" customFormat="false" ht="17.15" hidden="false" customHeight="false" outlineLevel="0" collapsed="false">
      <c r="A4" s="36" t="s">
        <v>708</v>
      </c>
      <c r="B4" s="36" t="s">
        <v>709</v>
      </c>
      <c r="C4" s="46" t="n">
        <v>0.4695</v>
      </c>
      <c r="D4" s="46" t="n">
        <v>0.5303</v>
      </c>
      <c r="E4" s="47" t="n">
        <f aca="false">IF(ISNUMBER(C4),1-C4-D4,"")</f>
        <v>0.000199999999999978</v>
      </c>
      <c r="F4" s="36" t="str">
        <f aca="false">IF(ISNUMBER(C4),IF(C4&gt;=D4,"Android","iOS"),"미조사")</f>
        <v>iOS</v>
      </c>
      <c r="G4" s="37" t="s">
        <v>706</v>
      </c>
      <c r="H4" s="37" t="s">
        <v>710</v>
      </c>
      <c r="I4" s="37" t="s">
        <v>711</v>
      </c>
    </row>
    <row r="5" customFormat="false" ht="15" hidden="false" customHeight="false" outlineLevel="0" collapsed="false">
      <c r="A5" s="36" t="s">
        <v>708</v>
      </c>
      <c r="B5" s="36" t="s">
        <v>574</v>
      </c>
      <c r="C5" s="46" t="n">
        <v>0.8353</v>
      </c>
      <c r="D5" s="46" t="n">
        <v>0.1646</v>
      </c>
      <c r="E5" s="47" t="n">
        <f aca="false">IF(ISNUMBER(C5),1-C5-D5,"")</f>
        <v>9.99999999999612E-005</v>
      </c>
      <c r="F5" s="36" t="str">
        <f aca="false">IF(ISNUMBER(C5),IF(C5&gt;=D5,"Android","iOS"),"미조사")</f>
        <v>Android</v>
      </c>
      <c r="G5" s="37" t="s">
        <v>706</v>
      </c>
      <c r="H5" s="37" t="s">
        <v>712</v>
      </c>
      <c r="I5" s="36"/>
    </row>
    <row r="6" customFormat="false" ht="15" hidden="false" customHeight="false" outlineLevel="0" collapsed="false">
      <c r="A6" s="36" t="s">
        <v>708</v>
      </c>
      <c r="B6" s="36" t="s">
        <v>713</v>
      </c>
      <c r="C6" s="46" t="n">
        <v>0.6468</v>
      </c>
      <c r="D6" s="46" t="n">
        <v>0.3531</v>
      </c>
      <c r="E6" s="47" t="n">
        <f aca="false">IF(ISNUMBER(C6),1-C6-D6,"")</f>
        <v>9.99999999999335E-005</v>
      </c>
      <c r="F6" s="36" t="str">
        <f aca="false">IF(ISNUMBER(C6),IF(C6&gt;=D6,"Android","iOS"),"미조사")</f>
        <v>Android</v>
      </c>
      <c r="G6" s="37" t="s">
        <v>706</v>
      </c>
      <c r="H6" s="37" t="s">
        <v>714</v>
      </c>
      <c r="I6" s="36"/>
    </row>
    <row r="7" customFormat="false" ht="15" hidden="false" customHeight="false" outlineLevel="0" collapsed="false">
      <c r="A7" s="36" t="s">
        <v>708</v>
      </c>
      <c r="B7" s="36" t="s">
        <v>608</v>
      </c>
      <c r="C7" s="46" t="n">
        <v>0.7847</v>
      </c>
      <c r="D7" s="46" t="n">
        <v>0.2149</v>
      </c>
      <c r="E7" s="47" t="n">
        <f aca="false">IF(ISNUMBER(C7),1-C7-D7,"")</f>
        <v>0.000400000000000039</v>
      </c>
      <c r="F7" s="36" t="str">
        <f aca="false">IF(ISNUMBER(C7),IF(C7&gt;=D7,"Android","iOS"),"미조사")</f>
        <v>Android</v>
      </c>
      <c r="G7" s="37" t="s">
        <v>706</v>
      </c>
      <c r="H7" s="37" t="s">
        <v>715</v>
      </c>
      <c r="I7" s="36"/>
    </row>
    <row r="8" customFormat="false" ht="17.15" hidden="false" customHeight="false" outlineLevel="0" collapsed="false">
      <c r="A8" s="36" t="s">
        <v>708</v>
      </c>
      <c r="B8" s="36" t="s">
        <v>716</v>
      </c>
      <c r="C8" s="46" t="n">
        <v>0.3825</v>
      </c>
      <c r="D8" s="46" t="n">
        <v>0.6173</v>
      </c>
      <c r="E8" s="47" t="n">
        <f aca="false">IF(ISNUMBER(C8),1-C8-D8,"")</f>
        <v>0.000199999999999978</v>
      </c>
      <c r="F8" s="36" t="str">
        <f aca="false">IF(ISNUMBER(C8),IF(C8&gt;=D8,"Android","iOS"),"미조사")</f>
        <v>iOS</v>
      </c>
      <c r="G8" s="37" t="s">
        <v>717</v>
      </c>
      <c r="H8" s="37" t="s">
        <v>718</v>
      </c>
      <c r="I8" s="38" t="s">
        <v>719</v>
      </c>
    </row>
    <row r="9" customFormat="false" ht="15" hidden="false" customHeight="false" outlineLevel="0" collapsed="false">
      <c r="A9" s="36" t="s">
        <v>708</v>
      </c>
      <c r="B9" s="36" t="s">
        <v>720</v>
      </c>
      <c r="C9" s="46" t="n">
        <v>0.8338</v>
      </c>
      <c r="D9" s="46" t="n">
        <v>0.1658</v>
      </c>
      <c r="E9" s="47" t="n">
        <f aca="false">IF(ISNUMBER(C9),1-C9-D9,"")</f>
        <v>0.000400000000000011</v>
      </c>
      <c r="F9" s="36" t="str">
        <f aca="false">IF(ISNUMBER(C9),IF(C9&gt;=D9,"Android","iOS"),"미조사")</f>
        <v>Android</v>
      </c>
      <c r="G9" s="37" t="s">
        <v>706</v>
      </c>
      <c r="H9" s="37" t="s">
        <v>721</v>
      </c>
      <c r="I9" s="36"/>
    </row>
    <row r="10" customFormat="false" ht="15" hidden="false" customHeight="false" outlineLevel="0" collapsed="false">
      <c r="A10" s="36" t="s">
        <v>566</v>
      </c>
      <c r="B10" s="36" t="s">
        <v>722</v>
      </c>
      <c r="C10" s="46" t="n">
        <v>0.4639</v>
      </c>
      <c r="D10" s="46" t="n">
        <v>0.5359</v>
      </c>
      <c r="E10" s="47" t="n">
        <f aca="false">IF(ISNUMBER(C10),1-C10-D10,"")</f>
        <v>0.000199999999999978</v>
      </c>
      <c r="F10" s="36" t="str">
        <f aca="false">IF(ISNUMBER(C10),IF(C10&gt;=D10,"Android","iOS"),"미조사")</f>
        <v>iOS</v>
      </c>
      <c r="G10" s="37" t="s">
        <v>706</v>
      </c>
      <c r="H10" s="37" t="s">
        <v>723</v>
      </c>
      <c r="I10" s="36"/>
    </row>
    <row r="11" customFormat="false" ht="15" hidden="false" customHeight="false" outlineLevel="0" collapsed="false">
      <c r="A11" s="36" t="s">
        <v>566</v>
      </c>
      <c r="B11" s="36" t="s">
        <v>570</v>
      </c>
      <c r="C11" s="46" t="n">
        <v>0.3513</v>
      </c>
      <c r="D11" s="46" t="n">
        <v>0.6487</v>
      </c>
      <c r="E11" s="47" t="n">
        <f aca="false">IF(ISNUMBER(C11),1-C11-D11,"")</f>
        <v>0</v>
      </c>
      <c r="F11" s="36" t="str">
        <f aca="false">IF(ISNUMBER(C11),IF(C11&gt;=D11,"Android","iOS"),"미조사")</f>
        <v>iOS</v>
      </c>
      <c r="G11" s="37" t="s">
        <v>706</v>
      </c>
      <c r="H11" s="37" t="s">
        <v>724</v>
      </c>
      <c r="I11" s="36"/>
    </row>
    <row r="12" customFormat="false" ht="15" hidden="false" customHeight="false" outlineLevel="0" collapsed="false">
      <c r="A12" s="36" t="s">
        <v>566</v>
      </c>
      <c r="B12" s="36" t="s">
        <v>575</v>
      </c>
      <c r="C12" s="46" t="n">
        <v>0.7878</v>
      </c>
      <c r="D12" s="46" t="n">
        <v>0.2121</v>
      </c>
      <c r="E12" s="47" t="n">
        <f aca="false">IF(ISNUMBER(C12),1-C12-D12,"")</f>
        <v>0.000100000000000045</v>
      </c>
      <c r="F12" s="36" t="str">
        <f aca="false">IF(ISNUMBER(C12),IF(C12&gt;=D12,"Android","iOS"),"미조사")</f>
        <v>Android</v>
      </c>
      <c r="G12" s="37" t="s">
        <v>706</v>
      </c>
      <c r="H12" s="37" t="s">
        <v>725</v>
      </c>
      <c r="I12" s="36"/>
    </row>
    <row r="13" customFormat="false" ht="15" hidden="false" customHeight="false" outlineLevel="0" collapsed="false">
      <c r="A13" s="36" t="s">
        <v>566</v>
      </c>
      <c r="B13" s="36" t="s">
        <v>594</v>
      </c>
      <c r="C13" s="46" t="n">
        <v>0.7204</v>
      </c>
      <c r="D13" s="46" t="n">
        <v>0.2796</v>
      </c>
      <c r="E13" s="47" t="n">
        <f aca="false">IF(ISNUMBER(C13),1-C13-D13,"")</f>
        <v>0</v>
      </c>
      <c r="F13" s="36" t="str">
        <f aca="false">IF(ISNUMBER(C13),IF(C13&gt;=D13,"Android","iOS"),"미조사")</f>
        <v>Android</v>
      </c>
      <c r="G13" s="37" t="s">
        <v>706</v>
      </c>
      <c r="H13" s="37" t="s">
        <v>726</v>
      </c>
      <c r="I13" s="36"/>
    </row>
    <row r="14" customFormat="false" ht="17.15" hidden="false" customHeight="false" outlineLevel="0" collapsed="false">
      <c r="A14" s="36" t="s">
        <v>566</v>
      </c>
      <c r="B14" s="36" t="s">
        <v>609</v>
      </c>
      <c r="C14" s="46" t="n">
        <v>0.3949</v>
      </c>
      <c r="D14" s="46" t="n">
        <v>0.6051</v>
      </c>
      <c r="E14" s="47" t="n">
        <f aca="false">IF(ISNUMBER(C14),1-C14-D14,"")</f>
        <v>0</v>
      </c>
      <c r="F14" s="36" t="str">
        <f aca="false">IF(ISNUMBER(C14),IF(C14&gt;=D14,"Android","iOS"),"미조사")</f>
        <v>iOS</v>
      </c>
      <c r="G14" s="37" t="s">
        <v>706</v>
      </c>
      <c r="H14" s="37" t="s">
        <v>727</v>
      </c>
      <c r="I14" s="36" t="s">
        <v>728</v>
      </c>
    </row>
    <row r="15" customFormat="false" ht="15" hidden="false" customHeight="false" outlineLevel="0" collapsed="false">
      <c r="A15" s="36" t="s">
        <v>566</v>
      </c>
      <c r="B15" s="36" t="s">
        <v>617</v>
      </c>
      <c r="C15" s="46" t="n">
        <v>0.6218</v>
      </c>
      <c r="D15" s="46" t="n">
        <v>0.3782</v>
      </c>
      <c r="E15" s="47" t="n">
        <f aca="false">IF(ISNUMBER(C15),1-C15-D15,"")</f>
        <v>0</v>
      </c>
      <c r="F15" s="36" t="str">
        <f aca="false">IF(ISNUMBER(C15),IF(C15&gt;=D15,"Android","iOS"),"미조사")</f>
        <v>Android</v>
      </c>
      <c r="G15" s="37" t="s">
        <v>706</v>
      </c>
      <c r="H15" s="37" t="s">
        <v>729</v>
      </c>
      <c r="I15" s="36"/>
    </row>
    <row r="16" customFormat="false" ht="15" hidden="false" customHeight="false" outlineLevel="0" collapsed="false">
      <c r="A16" s="36" t="s">
        <v>566</v>
      </c>
      <c r="B16" s="36" t="s">
        <v>730</v>
      </c>
      <c r="C16" s="46" t="n">
        <v>0.7916</v>
      </c>
      <c r="D16" s="46" t="n">
        <v>0.2079</v>
      </c>
      <c r="E16" s="47" t="n">
        <f aca="false">IF(ISNUMBER(C16),1-C16-D16,"")</f>
        <v>0.000500000000000028</v>
      </c>
      <c r="F16" s="36" t="str">
        <f aca="false">IF(ISNUMBER(C16),IF(C16&gt;=D16,"Android","iOS"),"미조사")</f>
        <v>Android</v>
      </c>
      <c r="G16" s="37" t="s">
        <v>706</v>
      </c>
      <c r="H16" s="37" t="s">
        <v>731</v>
      </c>
      <c r="I16" s="36"/>
    </row>
    <row r="17" customFormat="false" ht="15" hidden="false" customHeight="false" outlineLevel="0" collapsed="false">
      <c r="A17" s="36" t="s">
        <v>566</v>
      </c>
      <c r="B17" s="36" t="s">
        <v>732</v>
      </c>
      <c r="C17" s="46" t="n">
        <v>0.7396</v>
      </c>
      <c r="D17" s="46" t="n">
        <v>0.2601</v>
      </c>
      <c r="E17" s="47" t="n">
        <f aca="false">IF(ISNUMBER(C17),1-C17-D17,"")</f>
        <v>0.000299999999999967</v>
      </c>
      <c r="F17" s="36" t="str">
        <f aca="false">IF(ISNUMBER(C17),IF(C17&gt;=D17,"Android","iOS"),"미조사")</f>
        <v>Android</v>
      </c>
      <c r="G17" s="37" t="s">
        <v>706</v>
      </c>
      <c r="H17" s="37" t="s">
        <v>733</v>
      </c>
      <c r="I17" s="36"/>
    </row>
    <row r="18" customFormat="false" ht="15" hidden="false" customHeight="false" outlineLevel="0" collapsed="false">
      <c r="A18" s="36" t="s">
        <v>566</v>
      </c>
      <c r="B18" s="36" t="s">
        <v>734</v>
      </c>
      <c r="C18" s="46" t="n">
        <v>0.5979</v>
      </c>
      <c r="D18" s="46" t="n">
        <v>0.4019</v>
      </c>
      <c r="E18" s="47" t="n">
        <f aca="false">IF(ISNUMBER(C18),1-C18-D18,"")</f>
        <v>0.000200000000000033</v>
      </c>
      <c r="F18" s="36" t="str">
        <f aca="false">IF(ISNUMBER(C18),IF(C18&gt;=D18,"Android","iOS"),"미조사")</f>
        <v>Android</v>
      </c>
      <c r="G18" s="37" t="s">
        <v>706</v>
      </c>
      <c r="H18" s="37" t="s">
        <v>735</v>
      </c>
      <c r="I18" s="36"/>
    </row>
    <row r="19" customFormat="false" ht="15" hidden="false" customHeight="false" outlineLevel="0" collapsed="false">
      <c r="A19" s="36" t="s">
        <v>566</v>
      </c>
      <c r="B19" s="36" t="s">
        <v>736</v>
      </c>
      <c r="C19" s="46" t="n">
        <v>0.8653</v>
      </c>
      <c r="D19" s="46" t="n">
        <v>0.1347</v>
      </c>
      <c r="E19" s="47" t="n">
        <f aca="false">IF(ISNUMBER(C19),1-C19-D19,"")</f>
        <v>0</v>
      </c>
      <c r="F19" s="36" t="str">
        <f aca="false">IF(ISNUMBER(C19),IF(C19&gt;=D19,"Android","iOS"),"미조사")</f>
        <v>Android</v>
      </c>
      <c r="G19" s="37" t="s">
        <v>706</v>
      </c>
      <c r="H19" s="37" t="s">
        <v>737</v>
      </c>
      <c r="I19" s="36"/>
    </row>
    <row r="20" customFormat="false" ht="15" hidden="false" customHeight="false" outlineLevel="0" collapsed="false">
      <c r="A20" s="36" t="s">
        <v>566</v>
      </c>
      <c r="B20" s="36" t="s">
        <v>738</v>
      </c>
      <c r="C20" s="46" t="n">
        <v>0.5523</v>
      </c>
      <c r="D20" s="46" t="n">
        <v>0.4475</v>
      </c>
      <c r="E20" s="47" t="n">
        <f aca="false">IF(ISNUMBER(C20),1-C20-D20,"")</f>
        <v>0.000199999999999978</v>
      </c>
      <c r="F20" s="36" t="str">
        <f aca="false">IF(ISNUMBER(C20),IF(C20&gt;=D20,"Android","iOS"),"미조사")</f>
        <v>Android</v>
      </c>
      <c r="G20" s="37" t="s">
        <v>706</v>
      </c>
      <c r="H20" s="37" t="s">
        <v>739</v>
      </c>
      <c r="I20" s="36"/>
    </row>
    <row r="21" customFormat="false" ht="17.15" hidden="false" customHeight="false" outlineLevel="0" collapsed="false">
      <c r="A21" s="36" t="s">
        <v>740</v>
      </c>
      <c r="B21" s="36" t="s">
        <v>741</v>
      </c>
      <c r="C21" s="46" t="n">
        <v>0.5625</v>
      </c>
      <c r="D21" s="46" t="n">
        <v>0.4369</v>
      </c>
      <c r="E21" s="47" t="n">
        <f aca="false">IF(ISNUMBER(C21),1-C21-D21,"")</f>
        <v>0.000599999999999989</v>
      </c>
      <c r="F21" s="36" t="str">
        <f aca="false">IF(ISNUMBER(C21),IF(C21&gt;=D21,"Android","iOS"),"미조사")</f>
        <v>Android</v>
      </c>
      <c r="G21" s="37" t="s">
        <v>706</v>
      </c>
      <c r="H21" s="37" t="s">
        <v>742</v>
      </c>
      <c r="I21" s="37" t="s">
        <v>743</v>
      </c>
    </row>
    <row r="23" customFormat="false" ht="19.4" hidden="false" customHeight="false" outlineLevel="0" collapsed="false">
      <c r="A23" s="43" t="s">
        <v>744</v>
      </c>
    </row>
    <row r="24" customFormat="false" ht="17.15" hidden="false" customHeight="false" outlineLevel="0" collapsed="false">
      <c r="A24" s="44" t="s">
        <v>699</v>
      </c>
      <c r="B24" s="44" t="s">
        <v>565</v>
      </c>
      <c r="C24" s="45" t="s">
        <v>700</v>
      </c>
      <c r="D24" s="45" t="s">
        <v>701</v>
      </c>
      <c r="E24" s="44" t="s">
        <v>6</v>
      </c>
    </row>
    <row r="25" customFormat="false" ht="17.15" hidden="false" customHeight="false" outlineLevel="0" collapsed="false">
      <c r="A25" s="36"/>
      <c r="B25" s="36" t="s">
        <v>705</v>
      </c>
      <c r="C25" s="38" t="s">
        <v>209</v>
      </c>
      <c r="D25" s="38" t="s">
        <v>209</v>
      </c>
      <c r="E25" s="38" t="s">
        <v>745</v>
      </c>
    </row>
    <row r="26" customFormat="false" ht="17.15" hidden="false" customHeight="false" outlineLevel="0" collapsed="false">
      <c r="A26" s="36"/>
      <c r="B26" s="36" t="s">
        <v>709</v>
      </c>
      <c r="C26" s="38" t="s">
        <v>209</v>
      </c>
      <c r="D26" s="38" t="s">
        <v>209</v>
      </c>
      <c r="E26" s="38" t="s">
        <v>745</v>
      </c>
    </row>
    <row r="27" customFormat="false" ht="17.15" hidden="false" customHeight="false" outlineLevel="0" collapsed="false">
      <c r="A27" s="36"/>
      <c r="B27" s="36" t="s">
        <v>574</v>
      </c>
      <c r="C27" s="38" t="s">
        <v>209</v>
      </c>
      <c r="D27" s="38" t="s">
        <v>209</v>
      </c>
      <c r="E27" s="38" t="s">
        <v>745</v>
      </c>
    </row>
    <row r="28" customFormat="false" ht="17.15" hidden="false" customHeight="false" outlineLevel="0" collapsed="false">
      <c r="A28" s="36"/>
      <c r="B28" s="36" t="s">
        <v>713</v>
      </c>
      <c r="C28" s="38" t="s">
        <v>209</v>
      </c>
      <c r="D28" s="38" t="s">
        <v>209</v>
      </c>
      <c r="E28" s="38" t="s">
        <v>745</v>
      </c>
    </row>
    <row r="29" customFormat="false" ht="17.15" hidden="false" customHeight="false" outlineLevel="0" collapsed="false">
      <c r="A29" s="36"/>
      <c r="B29" s="36" t="s">
        <v>608</v>
      </c>
      <c r="C29" s="38" t="s">
        <v>209</v>
      </c>
      <c r="D29" s="38" t="s">
        <v>209</v>
      </c>
      <c r="E29" s="38" t="s">
        <v>745</v>
      </c>
    </row>
    <row r="30" customFormat="false" ht="17.15" hidden="false" customHeight="false" outlineLevel="0" collapsed="false">
      <c r="A30" s="36"/>
      <c r="B30" s="36" t="s">
        <v>716</v>
      </c>
      <c r="C30" s="38" t="s">
        <v>209</v>
      </c>
      <c r="D30" s="38" t="s">
        <v>209</v>
      </c>
      <c r="E30" s="38" t="s">
        <v>745</v>
      </c>
    </row>
    <row r="31" customFormat="false" ht="17.15" hidden="false" customHeight="false" outlineLevel="0" collapsed="false">
      <c r="A31" s="36"/>
      <c r="B31" s="36" t="s">
        <v>720</v>
      </c>
      <c r="C31" s="38" t="s">
        <v>209</v>
      </c>
      <c r="D31" s="38" t="s">
        <v>209</v>
      </c>
      <c r="E31" s="38" t="s">
        <v>745</v>
      </c>
    </row>
    <row r="33" customFormat="false" ht="19.4" hidden="false" customHeight="false" outlineLevel="0" collapsed="false">
      <c r="A33" s="43" t="s">
        <v>746</v>
      </c>
    </row>
    <row r="34" customFormat="false" ht="32.8" hidden="false" customHeight="false" outlineLevel="0" collapsed="false">
      <c r="A34" s="44" t="s">
        <v>565</v>
      </c>
      <c r="B34" s="45" t="s">
        <v>747</v>
      </c>
      <c r="C34" s="45" t="s">
        <v>748</v>
      </c>
      <c r="D34" s="45" t="s">
        <v>749</v>
      </c>
      <c r="E34" s="45" t="s">
        <v>750</v>
      </c>
      <c r="F34" s="44" t="s">
        <v>568</v>
      </c>
    </row>
    <row r="35" customFormat="false" ht="17.15" hidden="false" customHeight="false" outlineLevel="0" collapsed="false">
      <c r="A35" s="36" t="s">
        <v>705</v>
      </c>
      <c r="B35" s="48" t="n">
        <v>52.5</v>
      </c>
      <c r="C35" s="48" t="n">
        <v>30</v>
      </c>
      <c r="D35" s="49" t="n">
        <f aca="false">B35/(B35+C35)</f>
        <v>0.636363636363636</v>
      </c>
      <c r="E35" s="49" t="n">
        <f aca="false">C35/(B35+C35)</f>
        <v>0.363636363636364</v>
      </c>
      <c r="F35" s="37" t="s">
        <v>751</v>
      </c>
    </row>
    <row r="36" customFormat="false" ht="17.15" hidden="false" customHeight="false" outlineLevel="0" collapsed="false">
      <c r="A36" s="36" t="s">
        <v>752</v>
      </c>
      <c r="B36" s="38" t="s">
        <v>209</v>
      </c>
      <c r="C36" s="38" t="s">
        <v>209</v>
      </c>
      <c r="D36" s="36"/>
      <c r="E36" s="36"/>
      <c r="F36" s="36" t="s">
        <v>753</v>
      </c>
    </row>
    <row r="37" customFormat="false" ht="17.15" hidden="false" customHeight="false" outlineLevel="0" collapsed="false">
      <c r="A37" s="41" t="s">
        <v>754</v>
      </c>
    </row>
    <row r="39" customFormat="false" ht="19.4" hidden="false" customHeight="false" outlineLevel="0" collapsed="false">
      <c r="A39" s="43" t="s">
        <v>755</v>
      </c>
    </row>
    <row r="40" customFormat="false" ht="32.8" hidden="false" customHeight="false" outlineLevel="0" collapsed="false">
      <c r="A40" s="44" t="s">
        <v>565</v>
      </c>
      <c r="B40" s="45" t="s">
        <v>756</v>
      </c>
      <c r="C40" s="45" t="s">
        <v>757</v>
      </c>
      <c r="D40" s="45" t="s">
        <v>749</v>
      </c>
      <c r="E40" s="45" t="s">
        <v>750</v>
      </c>
      <c r="F40" s="44" t="s">
        <v>568</v>
      </c>
    </row>
    <row r="41" customFormat="false" ht="17.15" hidden="false" customHeight="false" outlineLevel="0" collapsed="false">
      <c r="A41" s="36" t="s">
        <v>705</v>
      </c>
      <c r="B41" s="48" t="n">
        <v>78</v>
      </c>
      <c r="C41" s="48" t="n">
        <v>424</v>
      </c>
      <c r="D41" s="49" t="n">
        <f aca="false">B41/(B41+C41)</f>
        <v>0.155378486055777</v>
      </c>
      <c r="E41" s="49" t="n">
        <f aca="false">C41/(B41+C41)</f>
        <v>0.844621513944223</v>
      </c>
      <c r="F41" s="37" t="s">
        <v>758</v>
      </c>
    </row>
    <row r="43" customFormat="false" ht="19.4" hidden="false" customHeight="false" outlineLevel="0" collapsed="false">
      <c r="A43" s="50" t="s">
        <v>759</v>
      </c>
    </row>
    <row r="44" customFormat="false" ht="17.15" hidden="false" customHeight="false" outlineLevel="0" collapsed="false">
      <c r="A44" s="51" t="s">
        <v>760</v>
      </c>
      <c r="C44" s="52" t="n">
        <v>0.5</v>
      </c>
      <c r="D44" s="40" t="s">
        <v>761</v>
      </c>
    </row>
    <row r="45" customFormat="false" ht="17.15" hidden="false" customHeight="false" outlineLevel="0" collapsed="false">
      <c r="A45" s="44" t="s">
        <v>565</v>
      </c>
      <c r="B45" s="45" t="s">
        <v>762</v>
      </c>
      <c r="C45" s="44" t="s">
        <v>763</v>
      </c>
      <c r="D45" s="44" t="s">
        <v>764</v>
      </c>
    </row>
    <row r="46" customFormat="false" ht="48.5" hidden="false" customHeight="false" outlineLevel="0" collapsed="false">
      <c r="A46" s="17" t="s">
        <v>709</v>
      </c>
      <c r="B46" s="53" t="n">
        <f aca="false">D4</f>
        <v>0.5303</v>
      </c>
      <c r="C46" s="17" t="str">
        <f aca="false">IF(B46&gt;=$C$44,"iOS 먼저(또는 동시)","Android 먼저")</f>
        <v>iOS 먼저(또는 동시)</v>
      </c>
      <c r="D46" s="35" t="s">
        <v>765</v>
      </c>
    </row>
    <row r="47" customFormat="false" ht="17.15" hidden="false" customHeight="false" outlineLevel="0" collapsed="false">
      <c r="A47" s="17" t="s">
        <v>716</v>
      </c>
      <c r="B47" s="53" t="n">
        <f aca="false">D8</f>
        <v>0.6173</v>
      </c>
      <c r="C47" s="17" t="str">
        <f aca="false">IF(B47&gt;=$C$44,"iOS 먼저(또는 동시)","Android 먼저")</f>
        <v>iOS 먼저(또는 동시)</v>
      </c>
      <c r="D47" s="35" t="s">
        <v>766</v>
      </c>
    </row>
    <row r="48" customFormat="false" ht="48.5" hidden="false" customHeight="false" outlineLevel="0" collapsed="false">
      <c r="A48" s="17" t="s">
        <v>713</v>
      </c>
      <c r="B48" s="53" t="n">
        <f aca="false">D6</f>
        <v>0.3531</v>
      </c>
      <c r="C48" s="17" t="str">
        <f aca="false">IF(B48&gt;=$C$44,"iOS 먼저(또는 동시)","Android 먼저")</f>
        <v>Android 먼저</v>
      </c>
      <c r="D48" s="35" t="s">
        <v>767</v>
      </c>
    </row>
    <row r="49" customFormat="false" ht="32.8" hidden="false" customHeight="false" outlineLevel="0" collapsed="false">
      <c r="A49" s="17" t="s">
        <v>574</v>
      </c>
      <c r="B49" s="53" t="n">
        <f aca="false">D5</f>
        <v>0.1646</v>
      </c>
      <c r="C49" s="17" t="str">
        <f aca="false">IF(B49&gt;=$C$44,"iOS 먼저(또는 동시)","Android 먼저")</f>
        <v>Android 먼저</v>
      </c>
      <c r="D49" s="54" t="s">
        <v>768</v>
      </c>
    </row>
    <row r="50" customFormat="false" ht="64.15" hidden="false" customHeight="false" outlineLevel="0" collapsed="false">
      <c r="A50" s="17" t="s">
        <v>608</v>
      </c>
      <c r="B50" s="53" t="n">
        <f aca="false">D7</f>
        <v>0.2149</v>
      </c>
      <c r="C50" s="17" t="str">
        <f aca="false">IF(B50&gt;=$C$44,"iOS 먼저(또는 동시)","Android 먼저")</f>
        <v>Android 먼저</v>
      </c>
      <c r="D50" s="54" t="s">
        <v>769</v>
      </c>
    </row>
    <row r="51" customFormat="false" ht="32.8" hidden="false" customHeight="false" outlineLevel="0" collapsed="false">
      <c r="A51" s="17" t="s">
        <v>720</v>
      </c>
      <c r="B51" s="53" t="n">
        <f aca="false">D9</f>
        <v>0.1658</v>
      </c>
      <c r="C51" s="17" t="str">
        <f aca="false">IF(B51&gt;=$C$44,"iOS 먼저(또는 동시)","Android 먼저")</f>
        <v>Android 먼저</v>
      </c>
      <c r="D51" s="54" t="s">
        <v>768</v>
      </c>
    </row>
    <row r="52" customFormat="false" ht="32.8" hidden="false" customHeight="false" outlineLevel="0" collapsed="false">
      <c r="A52" s="17" t="s">
        <v>722</v>
      </c>
      <c r="B52" s="53" t="n">
        <f aca="false">D10</f>
        <v>0.5359</v>
      </c>
      <c r="C52" s="17" t="str">
        <f aca="false">IF(B52&gt;=$C$44,"iOS 먼저(또는 동시)","Android 먼저")</f>
        <v>iOS 먼저(또는 동시)</v>
      </c>
      <c r="D52" s="35" t="str">
        <f aca="false">"안드로이드 "&amp;TEXT(C10,"0.0%")&amp;" · 아이폰 "&amp;TEXT(D10,"0.0%")</f>
        <v>안드로이드 46.4% · 아이폰 53.6%</v>
      </c>
    </row>
    <row r="53" customFormat="false" ht="32.8" hidden="false" customHeight="false" outlineLevel="0" collapsed="false">
      <c r="A53" s="17" t="s">
        <v>570</v>
      </c>
      <c r="B53" s="53" t="n">
        <f aca="false">D11</f>
        <v>0.6487</v>
      </c>
      <c r="C53" s="17" t="str">
        <f aca="false">IF(B53&gt;=$C$44,"iOS 먼저(또는 동시)","Android 먼저")</f>
        <v>iOS 먼저(또는 동시)</v>
      </c>
      <c r="D53" s="35" t="str">
        <f aca="false">"안드로이드 "&amp;TEXT(C11,"0.0%")&amp;" · 아이폰 "&amp;TEXT(D11,"0.0%")</f>
        <v>안드로이드 35.1% · 아이폰 64.9%</v>
      </c>
    </row>
    <row r="54" customFormat="false" ht="32.8" hidden="false" customHeight="false" outlineLevel="0" collapsed="false">
      <c r="A54" s="17" t="s">
        <v>575</v>
      </c>
      <c r="B54" s="53" t="n">
        <f aca="false">D12</f>
        <v>0.2121</v>
      </c>
      <c r="C54" s="17" t="str">
        <f aca="false">IF(B54&gt;=$C$44,"iOS 먼저(또는 동시)","Android 먼저")</f>
        <v>Android 먼저</v>
      </c>
      <c r="D54" s="35" t="str">
        <f aca="false">"안드로이드 "&amp;TEXT(C12,"0.0%")&amp;" · 아이폰 "&amp;TEXT(D12,"0.0%")</f>
        <v>안드로이드 78.8% · 아이폰 21.2%</v>
      </c>
    </row>
    <row r="55" customFormat="false" ht="32.8" hidden="false" customHeight="false" outlineLevel="0" collapsed="false">
      <c r="A55" s="17" t="s">
        <v>594</v>
      </c>
      <c r="B55" s="53" t="n">
        <f aca="false">D13</f>
        <v>0.2796</v>
      </c>
      <c r="C55" s="17" t="str">
        <f aca="false">IF(B55&gt;=$C$44,"iOS 먼저(또는 동시)","Android 먼저")</f>
        <v>Android 먼저</v>
      </c>
      <c r="D55" s="35" t="str">
        <f aca="false">"안드로이드 "&amp;TEXT(C13,"0.0%")&amp;" · 아이폰 "&amp;TEXT(D13,"0.0%")</f>
        <v>안드로이드 72.0% · 아이폰 28.0%</v>
      </c>
    </row>
    <row r="56" customFormat="false" ht="32.8" hidden="false" customHeight="false" outlineLevel="0" collapsed="false">
      <c r="A56" s="17" t="s">
        <v>609</v>
      </c>
      <c r="B56" s="53" t="n">
        <f aca="false">D14</f>
        <v>0.6051</v>
      </c>
      <c r="C56" s="17" t="str">
        <f aca="false">IF(B56&gt;=$C$44,"iOS 먼저(또는 동시)","Android 먼저")</f>
        <v>iOS 먼저(또는 동시)</v>
      </c>
      <c r="D56" s="35" t="str">
        <f aca="false">"안드로이드 "&amp;TEXT(C14,"0.0%")&amp;" · 아이폰 "&amp;TEXT(D14,"0.0%")</f>
        <v>안드로이드 39.5% · 아이폰 60.5%</v>
      </c>
    </row>
    <row r="57" customFormat="false" ht="32.8" hidden="false" customHeight="false" outlineLevel="0" collapsed="false">
      <c r="A57" s="17" t="s">
        <v>617</v>
      </c>
      <c r="B57" s="53" t="n">
        <f aca="false">D15</f>
        <v>0.3782</v>
      </c>
      <c r="C57" s="17" t="str">
        <f aca="false">IF(B57&gt;=$C$44,"iOS 먼저(또는 동시)","Android 먼저")</f>
        <v>Android 먼저</v>
      </c>
      <c r="D57" s="35" t="str">
        <f aca="false">"안드로이드 "&amp;TEXT(C15,"0.0%")&amp;" · 아이폰 "&amp;TEXT(D15,"0.0%")</f>
        <v>안드로이드 62.2% · 아이폰 37.8%</v>
      </c>
    </row>
    <row r="58" customFormat="false" ht="32.8" hidden="false" customHeight="false" outlineLevel="0" collapsed="false">
      <c r="A58" s="17" t="s">
        <v>730</v>
      </c>
      <c r="B58" s="53" t="n">
        <f aca="false">D16</f>
        <v>0.2079</v>
      </c>
      <c r="C58" s="17" t="str">
        <f aca="false">IF(B58&gt;=$C$44,"iOS 먼저(또는 동시)","Android 먼저")</f>
        <v>Android 먼저</v>
      </c>
      <c r="D58" s="54" t="s">
        <v>770</v>
      </c>
    </row>
    <row r="59" customFormat="false" ht="32.8" hidden="false" customHeight="false" outlineLevel="0" collapsed="false">
      <c r="A59" s="17" t="s">
        <v>732</v>
      </c>
      <c r="B59" s="53" t="n">
        <f aca="false">D17</f>
        <v>0.2601</v>
      </c>
      <c r="C59" s="17" t="str">
        <f aca="false">IF(B59&gt;=$C$44,"iOS 먼저(또는 동시)","Android 먼저")</f>
        <v>Android 먼저</v>
      </c>
      <c r="D59" s="35" t="str">
        <f aca="false">"안드로이드 "&amp;TEXT(C17,"0.0%")&amp;" · 아이폰 "&amp;TEXT(D17,"0.0%")</f>
        <v>안드로이드 74.0% · 아이폰 26.0%</v>
      </c>
    </row>
    <row r="60" customFormat="false" ht="32.8" hidden="false" customHeight="false" outlineLevel="0" collapsed="false">
      <c r="A60" s="17" t="s">
        <v>734</v>
      </c>
      <c r="B60" s="53" t="n">
        <f aca="false">D18</f>
        <v>0.4019</v>
      </c>
      <c r="C60" s="17" t="str">
        <f aca="false">IF(B60&gt;=$C$44,"iOS 먼저(또는 동시)","Android 먼저")</f>
        <v>Android 먼저</v>
      </c>
      <c r="D60" s="35" t="str">
        <f aca="false">"안드로이드 "&amp;TEXT(C18,"0.0%")&amp;" · 아이폰 "&amp;TEXT(D18,"0.0%")</f>
        <v>안드로이드 59.8% · 아이폰 40.2%</v>
      </c>
    </row>
    <row r="61" customFormat="false" ht="32.8" hidden="false" customHeight="false" outlineLevel="0" collapsed="false">
      <c r="A61" s="17" t="s">
        <v>736</v>
      </c>
      <c r="B61" s="53" t="n">
        <f aca="false">D19</f>
        <v>0.1347</v>
      </c>
      <c r="C61" s="17" t="str">
        <f aca="false">IF(B61&gt;=$C$44,"iOS 먼저(또는 동시)","Android 먼저")</f>
        <v>Android 먼저</v>
      </c>
      <c r="D61" s="35" t="str">
        <f aca="false">"안드로이드 "&amp;TEXT(C19,"0.0%")&amp;" · 아이폰 "&amp;TEXT(D19,"0.0%")</f>
        <v>안드로이드 86.5% · 아이폰 13.5%</v>
      </c>
    </row>
    <row r="62" customFormat="false" ht="32.8" hidden="false" customHeight="false" outlineLevel="0" collapsed="false">
      <c r="A62" s="17" t="s">
        <v>738</v>
      </c>
      <c r="B62" s="53" t="n">
        <f aca="false">D20</f>
        <v>0.4475</v>
      </c>
      <c r="C62" s="17" t="str">
        <f aca="false">IF(B62&gt;=$C$44,"iOS 먼저(또는 동시)","Android 먼저")</f>
        <v>Android 먼저</v>
      </c>
      <c r="D62" s="35" t="str">
        <f aca="false">"안드로이드 "&amp;TEXT(C20,"0.0%")&amp;" · 아이폰 "&amp;TEXT(D20,"0.0%")</f>
        <v>안드로이드 55.2% · 아이폰 44.8%</v>
      </c>
    </row>
    <row r="64" customFormat="false" ht="17.15" hidden="false" customHeight="false" outlineLevel="0" collapsed="false">
      <c r="A64" s="55" t="s">
        <v>771</v>
      </c>
    </row>
    <row r="65" customFormat="false" ht="17.15" hidden="false" customHeight="false" outlineLevel="0" collapsed="false">
      <c r="A65" s="55" t="s">
        <v>772</v>
      </c>
    </row>
    <row r="66" customFormat="false" ht="17.15" hidden="false" customHeight="false" outlineLevel="0" collapsed="false">
      <c r="A66" s="55" t="s">
        <v>773</v>
      </c>
    </row>
    <row r="67" customFormat="false" ht="17.15" hidden="false" customHeight="false" outlineLevel="0" collapsed="false">
      <c r="A67" s="55" t="s">
        <v>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8"/>
  </cols>
  <sheetData>
    <row r="1" customFormat="false" ht="19.4" hidden="false" customHeight="false" outlineLevel="0" collapsed="false">
      <c r="A1" s="43" t="s">
        <v>775</v>
      </c>
    </row>
    <row r="2" customFormat="false" ht="17.15" hidden="false" customHeight="false" outlineLevel="0" collapsed="false">
      <c r="A2" s="44" t="s">
        <v>565</v>
      </c>
      <c r="B2" s="44" t="s">
        <v>566</v>
      </c>
      <c r="C2" s="44" t="s">
        <v>567</v>
      </c>
      <c r="D2" s="44" t="s">
        <v>98</v>
      </c>
      <c r="E2" s="44" t="s">
        <v>99</v>
      </c>
      <c r="F2" s="44" t="s">
        <v>100</v>
      </c>
      <c r="G2" s="44" t="s">
        <v>101</v>
      </c>
      <c r="H2" s="44" t="s">
        <v>568</v>
      </c>
      <c r="I2" s="44" t="s">
        <v>6</v>
      </c>
    </row>
    <row r="3" customFormat="false" ht="17.15" hidden="false" customHeight="false" outlineLevel="0" collapsed="false">
      <c r="A3" s="36" t="s">
        <v>776</v>
      </c>
      <c r="B3" s="36" t="s">
        <v>730</v>
      </c>
      <c r="C3" s="37" t="s">
        <v>777</v>
      </c>
      <c r="D3" s="19" t="n">
        <v>1</v>
      </c>
      <c r="E3" s="37" t="s">
        <v>124</v>
      </c>
      <c r="F3" s="37" t="s">
        <v>125</v>
      </c>
      <c r="G3" s="36" t="s">
        <v>126</v>
      </c>
      <c r="H3" s="37" t="s">
        <v>778</v>
      </c>
      <c r="I3" s="36"/>
    </row>
    <row r="4" customFormat="false" ht="17.15" hidden="false" customHeight="false" outlineLevel="0" collapsed="false">
      <c r="A4" s="36" t="s">
        <v>776</v>
      </c>
      <c r="B4" s="36" t="s">
        <v>730</v>
      </c>
      <c r="C4" s="37" t="s">
        <v>777</v>
      </c>
      <c r="D4" s="19" t="n">
        <v>2</v>
      </c>
      <c r="E4" s="37" t="s">
        <v>779</v>
      </c>
      <c r="F4" s="37" t="s">
        <v>780</v>
      </c>
      <c r="G4" s="36" t="s">
        <v>151</v>
      </c>
      <c r="H4" s="37" t="s">
        <v>778</v>
      </c>
      <c r="I4" s="37" t="s">
        <v>781</v>
      </c>
    </row>
    <row r="5" customFormat="false" ht="15" hidden="false" customHeight="false" outlineLevel="0" collapsed="false">
      <c r="A5" s="36" t="s">
        <v>776</v>
      </c>
      <c r="B5" s="36" t="s">
        <v>730</v>
      </c>
      <c r="C5" s="37" t="s">
        <v>777</v>
      </c>
      <c r="D5" s="19" t="n">
        <v>3</v>
      </c>
      <c r="E5" s="37" t="s">
        <v>139</v>
      </c>
      <c r="F5" s="37" t="s">
        <v>782</v>
      </c>
      <c r="G5" s="36" t="s">
        <v>105</v>
      </c>
      <c r="H5" s="37" t="s">
        <v>778</v>
      </c>
      <c r="I5" s="36"/>
    </row>
    <row r="6" customFormat="false" ht="17.15" hidden="false" customHeight="false" outlineLevel="0" collapsed="false">
      <c r="A6" s="36" t="s">
        <v>776</v>
      </c>
      <c r="B6" s="36" t="s">
        <v>730</v>
      </c>
      <c r="C6" s="37" t="s">
        <v>777</v>
      </c>
      <c r="D6" s="19" t="n">
        <v>4</v>
      </c>
      <c r="E6" s="37" t="s">
        <v>456</v>
      </c>
      <c r="F6" s="37" t="s">
        <v>457</v>
      </c>
      <c r="G6" s="36" t="s">
        <v>151</v>
      </c>
      <c r="H6" s="37" t="s">
        <v>778</v>
      </c>
      <c r="I6" s="36" t="s">
        <v>152</v>
      </c>
    </row>
    <row r="7" customFormat="false" ht="17.15" hidden="false" customHeight="false" outlineLevel="0" collapsed="false">
      <c r="A7" s="38" t="s">
        <v>776</v>
      </c>
      <c r="B7" s="38" t="s">
        <v>730</v>
      </c>
      <c r="C7" s="39" t="s">
        <v>777</v>
      </c>
      <c r="D7" s="22" t="n">
        <v>5</v>
      </c>
      <c r="E7" s="39" t="s">
        <v>783</v>
      </c>
      <c r="F7" s="39" t="s">
        <v>784</v>
      </c>
      <c r="G7" s="38" t="s">
        <v>177</v>
      </c>
      <c r="H7" s="39" t="s">
        <v>778</v>
      </c>
      <c r="I7" s="38" t="s">
        <v>785</v>
      </c>
    </row>
    <row r="8" customFormat="false" ht="15" hidden="false" customHeight="false" outlineLevel="0" collapsed="false">
      <c r="A8" s="36" t="s">
        <v>776</v>
      </c>
      <c r="B8" s="36" t="s">
        <v>730</v>
      </c>
      <c r="C8" s="37" t="s">
        <v>777</v>
      </c>
      <c r="D8" s="19" t="n">
        <v>6</v>
      </c>
      <c r="E8" s="37" t="s">
        <v>231</v>
      </c>
      <c r="F8" s="37" t="s">
        <v>360</v>
      </c>
      <c r="G8" s="36" t="s">
        <v>105</v>
      </c>
      <c r="H8" s="37" t="s">
        <v>778</v>
      </c>
      <c r="I8" s="36"/>
    </row>
    <row r="9" customFormat="false" ht="15" hidden="false" customHeight="false" outlineLevel="0" collapsed="false">
      <c r="A9" s="36" t="s">
        <v>776</v>
      </c>
      <c r="B9" s="36" t="s">
        <v>730</v>
      </c>
      <c r="C9" s="37" t="s">
        <v>777</v>
      </c>
      <c r="D9" s="19" t="n">
        <v>7</v>
      </c>
      <c r="E9" s="37" t="s">
        <v>380</v>
      </c>
      <c r="F9" s="37" t="s">
        <v>381</v>
      </c>
      <c r="G9" s="36" t="s">
        <v>105</v>
      </c>
      <c r="H9" s="37" t="s">
        <v>778</v>
      </c>
      <c r="I9" s="36"/>
    </row>
    <row r="10" customFormat="false" ht="15" hidden="false" customHeight="false" outlineLevel="0" collapsed="false">
      <c r="A10" s="38" t="s">
        <v>776</v>
      </c>
      <c r="B10" s="38" t="s">
        <v>730</v>
      </c>
      <c r="C10" s="39" t="s">
        <v>777</v>
      </c>
      <c r="D10" s="22" t="n">
        <v>8</v>
      </c>
      <c r="E10" s="39" t="s">
        <v>786</v>
      </c>
      <c r="F10" s="39" t="s">
        <v>787</v>
      </c>
      <c r="G10" s="38" t="s">
        <v>116</v>
      </c>
      <c r="H10" s="39" t="s">
        <v>778</v>
      </c>
      <c r="I10" s="38" t="s">
        <v>788</v>
      </c>
    </row>
    <row r="11" customFormat="false" ht="15" hidden="false" customHeight="false" outlineLevel="0" collapsed="false">
      <c r="A11" s="36" t="s">
        <v>776</v>
      </c>
      <c r="B11" s="36" t="s">
        <v>730</v>
      </c>
      <c r="C11" s="37" t="s">
        <v>777</v>
      </c>
      <c r="D11" s="19" t="n">
        <v>9</v>
      </c>
      <c r="E11" s="37" t="s">
        <v>131</v>
      </c>
      <c r="F11" s="37" t="s">
        <v>360</v>
      </c>
      <c r="G11" s="36" t="s">
        <v>105</v>
      </c>
      <c r="H11" s="37" t="s">
        <v>778</v>
      </c>
      <c r="I11" s="36"/>
    </row>
    <row r="12" customFormat="false" ht="15" hidden="false" customHeight="false" outlineLevel="0" collapsed="false">
      <c r="A12" s="36" t="s">
        <v>776</v>
      </c>
      <c r="B12" s="36" t="s">
        <v>730</v>
      </c>
      <c r="C12" s="37" t="s">
        <v>777</v>
      </c>
      <c r="D12" s="19" t="n">
        <v>10</v>
      </c>
      <c r="E12" s="37" t="s">
        <v>167</v>
      </c>
      <c r="F12" s="37" t="s">
        <v>168</v>
      </c>
      <c r="G12" s="36" t="s">
        <v>105</v>
      </c>
      <c r="H12" s="37" t="s">
        <v>778</v>
      </c>
      <c r="I12" s="36" t="s">
        <v>169</v>
      </c>
    </row>
    <row r="13" customFormat="false" ht="15" hidden="false" customHeight="false" outlineLevel="0" collapsed="false">
      <c r="A13" s="38" t="s">
        <v>776</v>
      </c>
      <c r="B13" s="38" t="s">
        <v>730</v>
      </c>
      <c r="C13" s="39" t="s">
        <v>777</v>
      </c>
      <c r="D13" s="22" t="n">
        <v>11</v>
      </c>
      <c r="E13" s="39" t="s">
        <v>789</v>
      </c>
      <c r="F13" s="39" t="s">
        <v>790</v>
      </c>
      <c r="G13" s="38" t="s">
        <v>116</v>
      </c>
      <c r="H13" s="39" t="s">
        <v>778</v>
      </c>
      <c r="I13" s="38" t="s">
        <v>788</v>
      </c>
    </row>
    <row r="14" customFormat="false" ht="17.15" hidden="false" customHeight="false" outlineLevel="0" collapsed="false">
      <c r="A14" s="36" t="s">
        <v>776</v>
      </c>
      <c r="B14" s="36" t="s">
        <v>730</v>
      </c>
      <c r="C14" s="37" t="s">
        <v>777</v>
      </c>
      <c r="D14" s="19" t="n">
        <v>12</v>
      </c>
      <c r="E14" s="37" t="s">
        <v>791</v>
      </c>
      <c r="F14" s="37" t="s">
        <v>792</v>
      </c>
      <c r="G14" s="36" t="s">
        <v>177</v>
      </c>
      <c r="H14" s="37" t="s">
        <v>778</v>
      </c>
      <c r="I14" s="36" t="s">
        <v>793</v>
      </c>
    </row>
    <row r="15" customFormat="false" ht="15" hidden="false" customHeight="false" outlineLevel="0" collapsed="false">
      <c r="A15" s="36" t="s">
        <v>776</v>
      </c>
      <c r="B15" s="36" t="s">
        <v>730</v>
      </c>
      <c r="C15" s="37" t="s">
        <v>777</v>
      </c>
      <c r="D15" s="19" t="n">
        <v>13</v>
      </c>
      <c r="E15" s="37" t="s">
        <v>136</v>
      </c>
      <c r="F15" s="37" t="s">
        <v>137</v>
      </c>
      <c r="G15" s="36" t="s">
        <v>105</v>
      </c>
      <c r="H15" s="37" t="s">
        <v>778</v>
      </c>
      <c r="I15" s="36" t="s">
        <v>138</v>
      </c>
    </row>
    <row r="16" customFormat="false" ht="15" hidden="false" customHeight="false" outlineLevel="0" collapsed="false">
      <c r="A16" s="36" t="s">
        <v>776</v>
      </c>
      <c r="B16" s="36" t="s">
        <v>730</v>
      </c>
      <c r="C16" s="37" t="s">
        <v>777</v>
      </c>
      <c r="D16" s="19" t="n">
        <v>14</v>
      </c>
      <c r="E16" s="37" t="s">
        <v>606</v>
      </c>
      <c r="F16" s="37" t="s">
        <v>794</v>
      </c>
      <c r="G16" s="36" t="s">
        <v>147</v>
      </c>
      <c r="H16" s="37" t="s">
        <v>778</v>
      </c>
      <c r="I16" s="36" t="s">
        <v>364</v>
      </c>
    </row>
    <row r="17" customFormat="false" ht="17.15" hidden="false" customHeight="false" outlineLevel="0" collapsed="false">
      <c r="A17" s="36" t="s">
        <v>776</v>
      </c>
      <c r="B17" s="36" t="s">
        <v>730</v>
      </c>
      <c r="C17" s="37" t="s">
        <v>777</v>
      </c>
      <c r="D17" s="19" t="n">
        <v>15</v>
      </c>
      <c r="E17" s="37" t="s">
        <v>357</v>
      </c>
      <c r="F17" s="37" t="s">
        <v>795</v>
      </c>
      <c r="G17" s="36" t="s">
        <v>177</v>
      </c>
      <c r="H17" s="37" t="s">
        <v>778</v>
      </c>
      <c r="I17" s="36"/>
    </row>
    <row r="18" customFormat="false" ht="15" hidden="false" customHeight="false" outlineLevel="0" collapsed="false">
      <c r="A18" s="36" t="s">
        <v>776</v>
      </c>
      <c r="B18" s="36" t="s">
        <v>730</v>
      </c>
      <c r="C18" s="37" t="s">
        <v>777</v>
      </c>
      <c r="D18" s="19" t="n">
        <v>16</v>
      </c>
      <c r="E18" s="37" t="s">
        <v>796</v>
      </c>
      <c r="F18" s="37" t="s">
        <v>797</v>
      </c>
      <c r="G18" s="36" t="s">
        <v>147</v>
      </c>
      <c r="H18" s="37" t="s">
        <v>778</v>
      </c>
      <c r="I18" s="36" t="s">
        <v>798</v>
      </c>
    </row>
    <row r="19" customFormat="false" ht="15" hidden="false" customHeight="false" outlineLevel="0" collapsed="false">
      <c r="A19" s="36" t="s">
        <v>776</v>
      </c>
      <c r="B19" s="36" t="s">
        <v>730</v>
      </c>
      <c r="C19" s="37" t="s">
        <v>777</v>
      </c>
      <c r="D19" s="19" t="n">
        <v>17</v>
      </c>
      <c r="E19" s="37" t="s">
        <v>581</v>
      </c>
      <c r="F19" s="37" t="s">
        <v>582</v>
      </c>
      <c r="G19" s="36" t="s">
        <v>244</v>
      </c>
      <c r="H19" s="37" t="s">
        <v>778</v>
      </c>
      <c r="I19" s="36" t="s">
        <v>273</v>
      </c>
    </row>
    <row r="20" customFormat="false" ht="17.15" hidden="false" customHeight="false" outlineLevel="0" collapsed="false">
      <c r="A20" s="36" t="s">
        <v>776</v>
      </c>
      <c r="B20" s="36" t="s">
        <v>730</v>
      </c>
      <c r="C20" s="37" t="s">
        <v>777</v>
      </c>
      <c r="D20" s="19" t="n">
        <v>18</v>
      </c>
      <c r="E20" s="37" t="s">
        <v>799</v>
      </c>
      <c r="F20" s="37" t="s">
        <v>800</v>
      </c>
      <c r="G20" s="36" t="s">
        <v>151</v>
      </c>
      <c r="H20" s="37" t="s">
        <v>778</v>
      </c>
      <c r="I20" s="37" t="s">
        <v>801</v>
      </c>
    </row>
    <row r="21" customFormat="false" ht="17.15" hidden="false" customHeight="false" outlineLevel="0" collapsed="false">
      <c r="A21" s="36" t="s">
        <v>776</v>
      </c>
      <c r="B21" s="36" t="s">
        <v>730</v>
      </c>
      <c r="C21" s="37" t="s">
        <v>777</v>
      </c>
      <c r="D21" s="19" t="n">
        <v>19</v>
      </c>
      <c r="E21" s="37" t="s">
        <v>802</v>
      </c>
      <c r="F21" s="37" t="s">
        <v>803</v>
      </c>
      <c r="G21" s="36" t="s">
        <v>119</v>
      </c>
      <c r="H21" s="37" t="s">
        <v>778</v>
      </c>
      <c r="I21" s="37" t="s">
        <v>804</v>
      </c>
    </row>
    <row r="22" customFormat="false" ht="17.15" hidden="false" customHeight="false" outlineLevel="0" collapsed="false">
      <c r="A22" s="36" t="s">
        <v>776</v>
      </c>
      <c r="B22" s="36" t="s">
        <v>730</v>
      </c>
      <c r="C22" s="37" t="s">
        <v>777</v>
      </c>
      <c r="D22" s="19" t="n">
        <v>20</v>
      </c>
      <c r="E22" s="37" t="s">
        <v>242</v>
      </c>
      <c r="F22" s="37" t="s">
        <v>805</v>
      </c>
      <c r="G22" s="36" t="s">
        <v>244</v>
      </c>
      <c r="H22" s="37" t="s">
        <v>778</v>
      </c>
      <c r="I22" s="36" t="s">
        <v>245</v>
      </c>
    </row>
    <row r="24" customFormat="false" ht="17.15" hidden="false" customHeight="false" outlineLevel="0" collapsed="false">
      <c r="A24" s="55" t="s">
        <v>806</v>
      </c>
    </row>
    <row r="26" customFormat="false" ht="19.4" hidden="false" customHeight="false" outlineLevel="0" collapsed="false">
      <c r="A26" s="43" t="s">
        <v>807</v>
      </c>
    </row>
    <row r="27" customFormat="false" ht="17.15" hidden="false" customHeight="false" outlineLevel="0" collapsed="false">
      <c r="A27" s="44" t="s">
        <v>633</v>
      </c>
      <c r="B27" s="44" t="s">
        <v>730</v>
      </c>
      <c r="C27" s="44" t="s">
        <v>732</v>
      </c>
      <c r="D27" s="44" t="s">
        <v>734</v>
      </c>
      <c r="E27" s="44" t="s">
        <v>736</v>
      </c>
      <c r="F27" s="44" t="s">
        <v>738</v>
      </c>
    </row>
    <row r="28" customFormat="false" ht="15" hidden="false" customHeight="false" outlineLevel="0" collapsed="false">
      <c r="A28" s="56" t="s">
        <v>105</v>
      </c>
      <c r="B28" s="19" t="n">
        <f aca="false">COUNTIFS($B$3:$B$22,B$27,$G$3:$G$22,$A28)</f>
        <v>6</v>
      </c>
      <c r="C28" s="57" t="s">
        <v>209</v>
      </c>
      <c r="D28" s="57" t="s">
        <v>209</v>
      </c>
      <c r="E28" s="57" t="s">
        <v>209</v>
      </c>
      <c r="F28" s="57" t="s">
        <v>209</v>
      </c>
    </row>
    <row r="29" customFormat="false" ht="17.15" hidden="false" customHeight="false" outlineLevel="0" collapsed="false">
      <c r="A29" s="56" t="s">
        <v>808</v>
      </c>
      <c r="B29" s="19" t="n">
        <f aca="false">COUNTIFS($B$3:$B$22,B$27,$G$3:$G$22,$A29)</f>
        <v>1</v>
      </c>
      <c r="C29" s="57" t="s">
        <v>209</v>
      </c>
      <c r="D29" s="57" t="s">
        <v>209</v>
      </c>
      <c r="E29" s="57" t="s">
        <v>209</v>
      </c>
      <c r="F29" s="57" t="s">
        <v>209</v>
      </c>
    </row>
    <row r="30" customFormat="false" ht="17.15" hidden="false" customHeight="false" outlineLevel="0" collapsed="false">
      <c r="A30" s="56" t="s">
        <v>809</v>
      </c>
      <c r="B30" s="19" t="n">
        <f aca="false">COUNTIFS($B$3:$B$22,B$27,$G$3:$G$22,$A30)</f>
        <v>0</v>
      </c>
      <c r="C30" s="57" t="s">
        <v>209</v>
      </c>
      <c r="D30" s="57" t="s">
        <v>209</v>
      </c>
      <c r="E30" s="57" t="s">
        <v>209</v>
      </c>
      <c r="F30" s="57" t="s">
        <v>209</v>
      </c>
    </row>
    <row r="31" customFormat="false" ht="15" hidden="false" customHeight="false" outlineLevel="0" collapsed="false">
      <c r="A31" s="56" t="s">
        <v>147</v>
      </c>
      <c r="B31" s="19" t="n">
        <f aca="false">COUNTIFS($B$3:$B$22,B$27,$G$3:$G$22,$A31)</f>
        <v>2</v>
      </c>
      <c r="C31" s="57" t="s">
        <v>209</v>
      </c>
      <c r="D31" s="57" t="s">
        <v>209</v>
      </c>
      <c r="E31" s="57" t="s">
        <v>209</v>
      </c>
      <c r="F31" s="57" t="s">
        <v>209</v>
      </c>
    </row>
    <row r="32" customFormat="false" ht="15" hidden="false" customHeight="false" outlineLevel="0" collapsed="false">
      <c r="A32" s="56" t="s">
        <v>165</v>
      </c>
      <c r="B32" s="19" t="n">
        <f aca="false">COUNTIFS($B$3:$B$22,B$27,$G$3:$G$22,$A32)</f>
        <v>0</v>
      </c>
      <c r="C32" s="57" t="s">
        <v>209</v>
      </c>
      <c r="D32" s="57" t="s">
        <v>209</v>
      </c>
      <c r="E32" s="57" t="s">
        <v>209</v>
      </c>
      <c r="F32" s="57" t="s">
        <v>209</v>
      </c>
    </row>
    <row r="33" customFormat="false" ht="17.15" hidden="false" customHeight="false" outlineLevel="0" collapsed="false">
      <c r="A33" s="56" t="s">
        <v>810</v>
      </c>
      <c r="B33" s="19" t="n">
        <f aca="false">COUNTIFS($B$3:$B$22,B$27,$G$3:$G$22,$A33)</f>
        <v>3</v>
      </c>
      <c r="C33" s="57" t="s">
        <v>209</v>
      </c>
      <c r="D33" s="57" t="s">
        <v>209</v>
      </c>
      <c r="E33" s="57" t="s">
        <v>209</v>
      </c>
      <c r="F33" s="57" t="s">
        <v>209</v>
      </c>
    </row>
    <row r="34" customFormat="false" ht="15" hidden="false" customHeight="false" outlineLevel="0" collapsed="false">
      <c r="A34" s="56" t="s">
        <v>244</v>
      </c>
      <c r="B34" s="19" t="n">
        <f aca="false">COUNTIFS($B$3:$B$22,B$27,$G$3:$G$22,$A34)</f>
        <v>2</v>
      </c>
      <c r="C34" s="57" t="s">
        <v>209</v>
      </c>
      <c r="D34" s="57" t="s">
        <v>209</v>
      </c>
      <c r="E34" s="57" t="s">
        <v>209</v>
      </c>
      <c r="F34" s="57" t="s">
        <v>209</v>
      </c>
    </row>
    <row r="35" customFormat="false" ht="15" hidden="false" customHeight="false" outlineLevel="0" collapsed="false">
      <c r="A35" s="58" t="s">
        <v>300</v>
      </c>
      <c r="B35" s="19" t="n">
        <f aca="false">COUNTIFS($B$3:$B$22,B$27,$G$3:$G$22,$A35)</f>
        <v>0</v>
      </c>
      <c r="C35" s="57" t="s">
        <v>209</v>
      </c>
      <c r="D35" s="57" t="s">
        <v>209</v>
      </c>
      <c r="E35" s="57" t="s">
        <v>209</v>
      </c>
      <c r="F35" s="57" t="s">
        <v>209</v>
      </c>
    </row>
    <row r="36" customFormat="false" ht="17.15" hidden="false" customHeight="false" outlineLevel="0" collapsed="false">
      <c r="A36" s="56" t="s">
        <v>811</v>
      </c>
      <c r="B36" s="19" t="n">
        <f aca="false">COUNTIFS($B$3:$B$22,B$27,$G$3:$G$22,$A36)</f>
        <v>3</v>
      </c>
      <c r="C36" s="57" t="s">
        <v>209</v>
      </c>
      <c r="D36" s="57" t="s">
        <v>209</v>
      </c>
      <c r="E36" s="57" t="s">
        <v>209</v>
      </c>
      <c r="F36" s="57" t="s">
        <v>209</v>
      </c>
    </row>
    <row r="37" customFormat="false" ht="17.15" hidden="false" customHeight="false" outlineLevel="0" collapsed="false">
      <c r="A37" s="56" t="s">
        <v>812</v>
      </c>
      <c r="B37" s="19" t="n">
        <f aca="false">COUNTIFS($B$3:$B$22,B$27,$G$3:$G$22,$A37)</f>
        <v>1</v>
      </c>
      <c r="C37" s="57" t="s">
        <v>209</v>
      </c>
      <c r="D37" s="57" t="s">
        <v>209</v>
      </c>
      <c r="E37" s="57" t="s">
        <v>209</v>
      </c>
      <c r="F37" s="57" t="s">
        <v>209</v>
      </c>
    </row>
    <row r="38" customFormat="false" ht="15" hidden="false" customHeight="false" outlineLevel="0" collapsed="false">
      <c r="A38" s="56" t="s">
        <v>209</v>
      </c>
      <c r="B38" s="19" t="n">
        <f aca="false">COUNTIFS($B$3:$B$22,B$27,$G$3:$G$22,$A38)</f>
        <v>0</v>
      </c>
      <c r="C38" s="57" t="s">
        <v>209</v>
      </c>
      <c r="D38" s="57" t="s">
        <v>209</v>
      </c>
      <c r="E38" s="57" t="s">
        <v>209</v>
      </c>
      <c r="F38" s="57" t="s">
        <v>209</v>
      </c>
    </row>
    <row r="39" customFormat="false" ht="15" hidden="false" customHeight="false" outlineLevel="0" collapsed="false">
      <c r="A39" s="56" t="s">
        <v>116</v>
      </c>
      <c r="B39" s="19" t="n">
        <f aca="false">COUNTIFS($B$3:$B$22,B$27,$G$3:$G$22,$A39)</f>
        <v>2</v>
      </c>
      <c r="C39" s="57" t="s">
        <v>209</v>
      </c>
      <c r="D39" s="57" t="s">
        <v>209</v>
      </c>
      <c r="E39" s="57" t="s">
        <v>209</v>
      </c>
      <c r="F39" s="57" t="s">
        <v>209</v>
      </c>
    </row>
    <row r="40" customFormat="false" ht="15" hidden="false" customHeight="false" outlineLevel="0" collapsed="false">
      <c r="A40" s="56" t="s">
        <v>465</v>
      </c>
      <c r="B40" s="19" t="n">
        <f aca="false">SUM(B28:B39)</f>
        <v>20</v>
      </c>
      <c r="C40" s="59" t="s">
        <v>209</v>
      </c>
      <c r="D40" s="59" t="s">
        <v>209</v>
      </c>
      <c r="E40" s="59" t="s">
        <v>209</v>
      </c>
      <c r="F40" s="59" t="s">
        <v>209</v>
      </c>
    </row>
    <row r="42" customFormat="false" ht="19.4" hidden="false" customHeight="false" outlineLevel="0" collapsed="false">
      <c r="A42" s="43" t="s">
        <v>813</v>
      </c>
    </row>
    <row r="43" customFormat="false" ht="29.85" hidden="false" customHeight="false" outlineLevel="0" collapsed="false">
      <c r="A43" s="44" t="s">
        <v>99</v>
      </c>
      <c r="B43" s="44" t="s">
        <v>814</v>
      </c>
      <c r="C43" s="44" t="s">
        <v>815</v>
      </c>
      <c r="D43" s="45" t="s">
        <v>816</v>
      </c>
    </row>
    <row r="44" customFormat="false" ht="15" hidden="false" customHeight="false" outlineLevel="0" collapsed="false">
      <c r="A44" s="37" t="s">
        <v>139</v>
      </c>
      <c r="B44" s="59" t="n">
        <f aca="false">'2-4 공통 인기 게임'!H2</f>
        <v>6</v>
      </c>
      <c r="C44" s="59" t="n">
        <v>3</v>
      </c>
      <c r="D44" s="59" t="n">
        <f aca="false">B44+COUNT(C44)</f>
        <v>7</v>
      </c>
    </row>
    <row r="45" customFormat="false" ht="15" hidden="false" customHeight="false" outlineLevel="0" collapsed="false">
      <c r="A45" s="37" t="s">
        <v>637</v>
      </c>
      <c r="B45" s="59" t="n">
        <f aca="false">'2-4 공통 인기 게임'!H3</f>
        <v>6</v>
      </c>
      <c r="C45" s="19" t="s">
        <v>427</v>
      </c>
      <c r="D45" s="59" t="n">
        <f aca="false">B45+COUNT(C45)</f>
        <v>6</v>
      </c>
    </row>
    <row r="46" customFormat="false" ht="15" hidden="false" customHeight="false" outlineLevel="0" collapsed="false">
      <c r="A46" s="37" t="s">
        <v>113</v>
      </c>
      <c r="B46" s="59" t="n">
        <f aca="false">'2-4 공통 인기 게임'!H4</f>
        <v>6</v>
      </c>
      <c r="C46" s="19" t="s">
        <v>427</v>
      </c>
      <c r="D46" s="59" t="n">
        <f aca="false">B46+COUNT(C46)</f>
        <v>6</v>
      </c>
    </row>
    <row r="47" customFormat="false" ht="15" hidden="false" customHeight="false" outlineLevel="0" collapsed="false">
      <c r="A47" s="37" t="s">
        <v>136</v>
      </c>
      <c r="B47" s="59" t="n">
        <f aca="false">'2-4 공통 인기 게임'!H5</f>
        <v>6</v>
      </c>
      <c r="C47" s="59" t="n">
        <v>13</v>
      </c>
      <c r="D47" s="59" t="n">
        <f aca="false">B47+COUNT(C47)</f>
        <v>7</v>
      </c>
    </row>
    <row r="48" customFormat="false" ht="15" hidden="false" customHeight="false" outlineLevel="0" collapsed="false">
      <c r="A48" s="37" t="s">
        <v>124</v>
      </c>
      <c r="B48" s="59" t="n">
        <f aca="false">'2-4 공통 인기 게임'!H6</f>
        <v>6</v>
      </c>
      <c r="C48" s="59" t="n">
        <v>1</v>
      </c>
      <c r="D48" s="59" t="n">
        <f aca="false">B48+COUNT(C48)</f>
        <v>7</v>
      </c>
    </row>
    <row r="49" customFormat="false" ht="15" hidden="false" customHeight="false" outlineLevel="0" collapsed="false">
      <c r="A49" s="37" t="s">
        <v>128</v>
      </c>
      <c r="B49" s="59" t="n">
        <f aca="false">'2-4 공통 인기 게임'!H7</f>
        <v>6</v>
      </c>
      <c r="C49" s="19" t="s">
        <v>427</v>
      </c>
      <c r="D49" s="59" t="n">
        <f aca="false">B49+COUNT(C49)</f>
        <v>6</v>
      </c>
    </row>
    <row r="50" customFormat="false" ht="15" hidden="false" customHeight="false" outlineLevel="0" collapsed="false">
      <c r="A50" s="37" t="s">
        <v>111</v>
      </c>
      <c r="B50" s="59" t="n">
        <f aca="false">'2-4 공통 인기 게임'!H8</f>
        <v>5</v>
      </c>
      <c r="C50" s="19" t="s">
        <v>427</v>
      </c>
      <c r="D50" s="59" t="n">
        <f aca="false">B50+COUNT(C50)</f>
        <v>5</v>
      </c>
    </row>
    <row r="51" customFormat="false" ht="15" hidden="false" customHeight="false" outlineLevel="0" collapsed="false">
      <c r="A51" s="37" t="s">
        <v>153</v>
      </c>
      <c r="B51" s="59" t="n">
        <f aca="false">'2-4 공통 인기 게임'!H9</f>
        <v>4</v>
      </c>
      <c r="C51" s="19" t="s">
        <v>427</v>
      </c>
      <c r="D51" s="59" t="n">
        <f aca="false">B51+COUNT(C51)</f>
        <v>4</v>
      </c>
    </row>
    <row r="52" customFormat="false" ht="17.15" hidden="false" customHeight="false" outlineLevel="0" collapsed="false">
      <c r="A52" s="40" t="s">
        <v>817</v>
      </c>
    </row>
    <row r="54" customFormat="false" ht="19.4" hidden="false" customHeight="false" outlineLevel="0" collapsed="false">
      <c r="A54" s="43" t="s">
        <v>818</v>
      </c>
    </row>
    <row r="55" customFormat="false" ht="17.15" hidden="false" customHeight="false" outlineLevel="0" collapsed="false">
      <c r="A55" s="44" t="s">
        <v>819</v>
      </c>
      <c r="B55" s="44" t="s">
        <v>642</v>
      </c>
      <c r="C55" s="44" t="s">
        <v>643</v>
      </c>
    </row>
    <row r="56" customFormat="false" ht="26.85" hidden="false" customHeight="false" outlineLevel="0" collapsed="false">
      <c r="A56" s="32" t="s">
        <v>820</v>
      </c>
      <c r="B56" s="32" t="s">
        <v>821</v>
      </c>
      <c r="C56" s="17" t="s">
        <v>822</v>
      </c>
    </row>
    <row r="57" customFormat="false" ht="26.85" hidden="false" customHeight="false" outlineLevel="0" collapsed="false">
      <c r="A57" s="17" t="s">
        <v>823</v>
      </c>
      <c r="B57" s="32" t="s">
        <v>824</v>
      </c>
      <c r="C57" s="17" t="s">
        <v>822</v>
      </c>
    </row>
    <row r="58" customFormat="false" ht="39.55" hidden="false" customHeight="false" outlineLevel="0" collapsed="false">
      <c r="A58" s="17" t="s">
        <v>825</v>
      </c>
      <c r="B58" s="32" t="s">
        <v>826</v>
      </c>
      <c r="C58" s="17" t="s">
        <v>822</v>
      </c>
    </row>
    <row r="59" customFormat="false" ht="39.55" hidden="false" customHeight="false" outlineLevel="0" collapsed="false">
      <c r="A59" s="17" t="s">
        <v>827</v>
      </c>
      <c r="B59" s="32" t="s">
        <v>828</v>
      </c>
      <c r="C59" s="17" t="s">
        <v>822</v>
      </c>
    </row>
    <row r="60" customFormat="false" ht="26.85" hidden="false" customHeight="false" outlineLevel="0" collapsed="false">
      <c r="A60" s="17" t="s">
        <v>829</v>
      </c>
      <c r="B60" s="32" t="s">
        <v>830</v>
      </c>
      <c r="C60" s="17" t="s">
        <v>822</v>
      </c>
    </row>
    <row r="61" customFormat="false" ht="17.15" hidden="false" customHeight="false" outlineLevel="0" collapsed="false">
      <c r="A61" s="17" t="s">
        <v>831</v>
      </c>
      <c r="B61" s="32" t="s">
        <v>832</v>
      </c>
      <c r="C61" s="17" t="s">
        <v>822</v>
      </c>
    </row>
    <row r="62" customFormat="false" ht="32.8" hidden="false" customHeight="false" outlineLevel="0" collapsed="false">
      <c r="A62" s="35" t="s">
        <v>833</v>
      </c>
      <c r="B62" s="54" t="s">
        <v>834</v>
      </c>
      <c r="C62" s="35" t="s">
        <v>835</v>
      </c>
    </row>
    <row r="63" customFormat="false" ht="32.8" hidden="false" customHeight="false" outlineLevel="0" collapsed="false">
      <c r="A63" s="35" t="s">
        <v>836</v>
      </c>
      <c r="B63" s="35" t="s">
        <v>837</v>
      </c>
      <c r="C63" s="35" t="s">
        <v>838</v>
      </c>
    </row>
    <row r="65" customFormat="false" ht="19.4" hidden="false" customHeight="false" outlineLevel="0" collapsed="false">
      <c r="A65" s="43" t="s">
        <v>839</v>
      </c>
    </row>
    <row r="66" customFormat="false" ht="17.15" hidden="false" customHeight="false" outlineLevel="0" collapsed="false">
      <c r="A66" s="44" t="s">
        <v>840</v>
      </c>
      <c r="B66" s="44" t="s">
        <v>776</v>
      </c>
      <c r="C66" s="44" t="s">
        <v>608</v>
      </c>
      <c r="D66" s="44" t="s">
        <v>709</v>
      </c>
      <c r="E66" s="44" t="s">
        <v>841</v>
      </c>
      <c r="F66" s="44" t="s">
        <v>842</v>
      </c>
    </row>
    <row r="67" customFormat="false" ht="17.15" hidden="false" customHeight="false" outlineLevel="0" collapsed="false">
      <c r="A67" s="37" t="s">
        <v>843</v>
      </c>
      <c r="B67" s="46" t="n">
        <v>0.1828</v>
      </c>
      <c r="C67" s="46" t="n">
        <v>0.1757</v>
      </c>
      <c r="D67" s="46" t="n">
        <v>0.2048</v>
      </c>
      <c r="E67" s="37" t="s">
        <v>844</v>
      </c>
      <c r="F67" s="37" t="s">
        <v>845</v>
      </c>
    </row>
    <row r="68" customFormat="false" ht="17.15" hidden="false" customHeight="false" outlineLevel="0" collapsed="false">
      <c r="A68" s="37" t="s">
        <v>846</v>
      </c>
      <c r="B68" s="46" t="n">
        <v>0.0333</v>
      </c>
      <c r="C68" s="46" t="n">
        <v>0.0314</v>
      </c>
      <c r="D68" s="46" t="n">
        <v>0.0464</v>
      </c>
      <c r="E68" s="37" t="s">
        <v>844</v>
      </c>
      <c r="F68" s="37" t="s">
        <v>845</v>
      </c>
    </row>
    <row r="69" customFormat="false" ht="17.15" hidden="false" customHeight="false" outlineLevel="0" collapsed="false">
      <c r="A69" s="37" t="s">
        <v>847</v>
      </c>
      <c r="B69" s="46" t="n">
        <v>0.0082</v>
      </c>
      <c r="C69" s="46" t="n">
        <v>0.0075</v>
      </c>
      <c r="D69" s="46" t="n">
        <v>0.0146</v>
      </c>
      <c r="E69" s="37" t="s">
        <v>844</v>
      </c>
      <c r="F69" s="37" t="s">
        <v>848</v>
      </c>
    </row>
    <row r="70" customFormat="false" ht="17.15" hidden="false" customHeight="false" outlineLevel="0" collapsed="false">
      <c r="A70" s="36" t="s">
        <v>849</v>
      </c>
      <c r="B70" s="60" t="n">
        <v>20.85</v>
      </c>
      <c r="C70" s="60" t="n">
        <v>22.15</v>
      </c>
      <c r="D70" s="60" t="n">
        <v>21.7</v>
      </c>
      <c r="E70" s="36" t="s">
        <v>850</v>
      </c>
      <c r="F70" s="37" t="s">
        <v>851</v>
      </c>
    </row>
    <row r="71" customFormat="false" ht="17.15" hidden="false" customHeight="false" outlineLevel="0" collapsed="false">
      <c r="A71" s="36" t="s">
        <v>852</v>
      </c>
      <c r="B71" s="60" t="n">
        <v>5.5</v>
      </c>
      <c r="C71" s="60" t="n">
        <v>5.05</v>
      </c>
      <c r="D71" s="60" t="n">
        <v>5.9</v>
      </c>
      <c r="E71" s="36" t="s">
        <v>850</v>
      </c>
      <c r="F71" s="37" t="s">
        <v>853</v>
      </c>
    </row>
    <row r="72" customFormat="false" ht="17.15" hidden="false" customHeight="false" outlineLevel="0" collapsed="false">
      <c r="A72" s="36" t="s">
        <v>854</v>
      </c>
      <c r="B72" s="60" t="n">
        <v>4.09</v>
      </c>
      <c r="C72" s="60" t="n">
        <v>4.31</v>
      </c>
      <c r="D72" s="60" t="n">
        <v>3.67</v>
      </c>
      <c r="E72" s="36" t="s">
        <v>855</v>
      </c>
      <c r="F72" s="37" t="s">
        <v>856</v>
      </c>
    </row>
    <row r="74" customFormat="false" ht="17.15" hidden="false" customHeight="false" outlineLevel="0" collapsed="false">
      <c r="A74" s="61" t="s">
        <v>857</v>
      </c>
    </row>
    <row r="75" customFormat="false" ht="17.15" hidden="false" customHeight="false" outlineLevel="0" collapsed="false">
      <c r="A75" s="40" t="s">
        <v>858</v>
      </c>
    </row>
    <row r="76" customFormat="false" ht="17.15" hidden="false" customHeight="false" outlineLevel="0" collapsed="false">
      <c r="A76" s="40" t="s">
        <v>859</v>
      </c>
    </row>
    <row r="77" customFormat="false" ht="17.15" hidden="false" customHeight="false" outlineLevel="0" collapsed="false">
      <c r="A77" s="40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110"/>
  </cols>
  <sheetData>
    <row r="1" customFormat="false" ht="17.15" hidden="false" customHeight="false" outlineLevel="0" collapsed="false">
      <c r="A1" s="33" t="s">
        <v>566</v>
      </c>
      <c r="B1" s="33" t="s">
        <v>567</v>
      </c>
      <c r="C1" s="33" t="s">
        <v>568</v>
      </c>
      <c r="D1" s="62" t="s">
        <v>861</v>
      </c>
    </row>
    <row r="2" customFormat="false" ht="26.85" hidden="false" customHeight="false" outlineLevel="0" collapsed="false">
      <c r="A2" s="17" t="s">
        <v>722</v>
      </c>
      <c r="B2" s="32" t="s">
        <v>71</v>
      </c>
      <c r="C2" s="32" t="s">
        <v>862</v>
      </c>
      <c r="D2" s="32" t="s">
        <v>863</v>
      </c>
    </row>
    <row r="3" customFormat="false" ht="26.85" hidden="false" customHeight="false" outlineLevel="0" collapsed="false">
      <c r="A3" s="17" t="s">
        <v>575</v>
      </c>
      <c r="B3" s="32" t="s">
        <v>864</v>
      </c>
      <c r="C3" s="32" t="s">
        <v>865</v>
      </c>
      <c r="D3" s="32" t="s">
        <v>866</v>
      </c>
    </row>
    <row r="4" customFormat="false" ht="32.8" hidden="false" customHeight="false" outlineLevel="0" collapsed="false">
      <c r="A4" s="17" t="s">
        <v>609</v>
      </c>
      <c r="B4" s="32" t="s">
        <v>75</v>
      </c>
      <c r="C4" s="32" t="s">
        <v>867</v>
      </c>
      <c r="D4" s="32" t="s">
        <v>868</v>
      </c>
    </row>
    <row r="5" customFormat="false" ht="32.8" hidden="false" customHeight="false" outlineLevel="0" collapsed="false">
      <c r="A5" s="17" t="s">
        <v>617</v>
      </c>
      <c r="B5" s="32" t="s">
        <v>71</v>
      </c>
      <c r="C5" s="32" t="s">
        <v>869</v>
      </c>
      <c r="D5" s="32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5" min="4" style="0" width="24"/>
    <col collapsed="false" customWidth="true" hidden="false" outlineLevel="0" max="6" min="6" style="0" width="2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1"/>
    <col collapsed="false" customWidth="true" hidden="false" outlineLevel="0" max="13" min="13" style="0" width="15"/>
  </cols>
  <sheetData>
    <row r="1" customFormat="false" ht="32.8" hidden="false" customHeight="false" outlineLevel="0" collapsed="false">
      <c r="A1" s="33" t="s">
        <v>98</v>
      </c>
      <c r="B1" s="33" t="s">
        <v>99</v>
      </c>
      <c r="C1" s="33" t="s">
        <v>100</v>
      </c>
      <c r="D1" s="33" t="s">
        <v>101</v>
      </c>
      <c r="E1" s="33" t="s">
        <v>102</v>
      </c>
      <c r="F1" s="33" t="s">
        <v>6</v>
      </c>
      <c r="H1" s="44" t="s">
        <v>101</v>
      </c>
      <c r="I1" s="44" t="s">
        <v>871</v>
      </c>
      <c r="J1" s="44" t="s">
        <v>872</v>
      </c>
      <c r="K1" s="44" t="s">
        <v>873</v>
      </c>
      <c r="L1" s="44" t="s">
        <v>874</v>
      </c>
      <c r="M1" s="44" t="s">
        <v>875</v>
      </c>
    </row>
    <row r="2" customFormat="false" ht="17.15" hidden="false" customHeight="false" outlineLevel="0" collapsed="false">
      <c r="A2" s="59" t="n">
        <v>1</v>
      </c>
      <c r="B2" s="37" t="s">
        <v>159</v>
      </c>
      <c r="C2" s="37" t="s">
        <v>160</v>
      </c>
      <c r="D2" s="36" t="s">
        <v>161</v>
      </c>
      <c r="E2" s="36" t="s">
        <v>162</v>
      </c>
      <c r="F2" s="36"/>
      <c r="H2" s="56" t="s">
        <v>105</v>
      </c>
      <c r="I2" s="36" t="n">
        <f aca="false">COUNTIF($D$2:$D$101,H2)</f>
        <v>31</v>
      </c>
      <c r="J2" s="63" t="n">
        <f aca="false">I2/$I$13</f>
        <v>0.31</v>
      </c>
      <c r="K2" s="36" t="n">
        <f aca="false">COUNTIF('1-2 Google Play Top100'!$D$2:$D$101,H2)</f>
        <v>53</v>
      </c>
      <c r="L2" s="63" t="n">
        <f aca="false">K2/$K$13</f>
        <v>0.53</v>
      </c>
      <c r="M2" s="63" t="n">
        <f aca="false">J2-L2</f>
        <v>-0.22</v>
      </c>
    </row>
    <row r="3" customFormat="false" ht="17.15" hidden="false" customHeight="false" outlineLevel="0" collapsed="false">
      <c r="A3" s="59" t="n">
        <v>2</v>
      </c>
      <c r="B3" s="37" t="s">
        <v>124</v>
      </c>
      <c r="C3" s="37" t="s">
        <v>125</v>
      </c>
      <c r="D3" s="36" t="s">
        <v>126</v>
      </c>
      <c r="E3" s="37" t="s">
        <v>127</v>
      </c>
      <c r="F3" s="36"/>
      <c r="H3" s="56" t="s">
        <v>808</v>
      </c>
      <c r="I3" s="36" t="n">
        <f aca="false">COUNTIF($D$2:$D$101,H3)</f>
        <v>3</v>
      </c>
      <c r="J3" s="63" t="n">
        <f aca="false">I3/$I$13</f>
        <v>0.03</v>
      </c>
      <c r="K3" s="36" t="n">
        <f aca="false">COUNTIF('1-2 Google Play Top100'!$D$2:$D$101,H3)</f>
        <v>17</v>
      </c>
      <c r="L3" s="63" t="n">
        <f aca="false">K3/$K$13</f>
        <v>0.17</v>
      </c>
      <c r="M3" s="63" t="n">
        <f aca="false">J3-L3</f>
        <v>-0.14</v>
      </c>
    </row>
    <row r="4" customFormat="false" ht="17.15" hidden="false" customHeight="false" outlineLevel="0" collapsed="false">
      <c r="A4" s="59" t="n">
        <v>3</v>
      </c>
      <c r="B4" s="37" t="s">
        <v>219</v>
      </c>
      <c r="C4" s="37" t="s">
        <v>220</v>
      </c>
      <c r="D4" s="36" t="s">
        <v>105</v>
      </c>
      <c r="E4" s="36" t="s">
        <v>155</v>
      </c>
      <c r="F4" s="36"/>
      <c r="H4" s="56" t="s">
        <v>809</v>
      </c>
      <c r="I4" s="36" t="n">
        <f aca="false">COUNTIF($D$2:$D$101,H4)</f>
        <v>23</v>
      </c>
      <c r="J4" s="63" t="n">
        <f aca="false">I4/$I$13</f>
        <v>0.23</v>
      </c>
      <c r="K4" s="36" t="n">
        <f aca="false">COUNTIF('1-2 Google Play Top100'!$D$2:$D$101,H4)</f>
        <v>7</v>
      </c>
      <c r="L4" s="63" t="n">
        <f aca="false">K4/$K$13</f>
        <v>0.07</v>
      </c>
      <c r="M4" s="63" t="n">
        <f aca="false">J4-L4</f>
        <v>0.16</v>
      </c>
    </row>
    <row r="5" customFormat="false" ht="17.15" hidden="false" customHeight="false" outlineLevel="0" collapsed="false">
      <c r="A5" s="59" t="n">
        <v>4</v>
      </c>
      <c r="B5" s="37" t="s">
        <v>153</v>
      </c>
      <c r="C5" s="37" t="s">
        <v>154</v>
      </c>
      <c r="D5" s="36" t="s">
        <v>105</v>
      </c>
      <c r="E5" s="36" t="s">
        <v>155</v>
      </c>
      <c r="F5" s="36"/>
      <c r="H5" s="56" t="s">
        <v>147</v>
      </c>
      <c r="I5" s="36" t="n">
        <f aca="false">COUNTIF($D$2:$D$101,H5)</f>
        <v>3</v>
      </c>
      <c r="J5" s="63" t="n">
        <f aca="false">I5/$I$13</f>
        <v>0.03</v>
      </c>
      <c r="K5" s="36" t="n">
        <f aca="false">COUNTIF('1-2 Google Play Top100'!$D$2:$D$101,H5)</f>
        <v>6</v>
      </c>
      <c r="L5" s="63" t="n">
        <f aca="false">K5/$K$13</f>
        <v>0.06</v>
      </c>
      <c r="M5" s="63" t="n">
        <f aca="false">J5-L5</f>
        <v>-0.03</v>
      </c>
    </row>
    <row r="6" customFormat="false" ht="15" hidden="false" customHeight="false" outlineLevel="0" collapsed="false">
      <c r="A6" s="59" t="n">
        <v>5</v>
      </c>
      <c r="B6" s="37" t="s">
        <v>167</v>
      </c>
      <c r="C6" s="37" t="s">
        <v>168</v>
      </c>
      <c r="D6" s="36" t="s">
        <v>105</v>
      </c>
      <c r="E6" s="36" t="s">
        <v>169</v>
      </c>
      <c r="F6" s="36" t="s">
        <v>170</v>
      </c>
      <c r="H6" s="56" t="s">
        <v>165</v>
      </c>
      <c r="I6" s="36" t="n">
        <f aca="false">COUNTIF($D$2:$D$101,H6)</f>
        <v>17</v>
      </c>
      <c r="J6" s="63" t="n">
        <f aca="false">I6/$I$13</f>
        <v>0.17</v>
      </c>
      <c r="K6" s="36" t="n">
        <f aca="false">COUNTIF('1-2 Google Play Top100'!$D$2:$D$101,H6)</f>
        <v>3</v>
      </c>
      <c r="L6" s="63" t="n">
        <f aca="false">K6/$K$13</f>
        <v>0.03</v>
      </c>
      <c r="M6" s="63" t="n">
        <f aca="false">J6-L6</f>
        <v>0.14</v>
      </c>
    </row>
    <row r="7" customFormat="false" ht="17.15" hidden="false" customHeight="false" outlineLevel="0" collapsed="false">
      <c r="A7" s="59" t="n">
        <v>6</v>
      </c>
      <c r="B7" s="37" t="s">
        <v>145</v>
      </c>
      <c r="C7" s="37" t="s">
        <v>146</v>
      </c>
      <c r="D7" s="36" t="s">
        <v>147</v>
      </c>
      <c r="E7" s="36" t="s">
        <v>148</v>
      </c>
      <c r="F7" s="36"/>
      <c r="H7" s="56" t="s">
        <v>810</v>
      </c>
      <c r="I7" s="36" t="n">
        <f aca="false">COUNTIF($D$2:$D$101,H7)</f>
        <v>4</v>
      </c>
      <c r="J7" s="63" t="n">
        <f aca="false">I7/$I$13</f>
        <v>0.04</v>
      </c>
      <c r="K7" s="36" t="n">
        <f aca="false">COUNTIF('1-2 Google Play Top100'!$D$2:$D$101,H7)</f>
        <v>5</v>
      </c>
      <c r="L7" s="63" t="n">
        <f aca="false">K7/$K$13</f>
        <v>0.05</v>
      </c>
      <c r="M7" s="63" t="n">
        <f aca="false">J7-L7</f>
        <v>-0.01</v>
      </c>
    </row>
    <row r="8" customFormat="false" ht="17.15" hidden="false" customHeight="false" outlineLevel="0" collapsed="false">
      <c r="A8" s="59" t="n">
        <v>7</v>
      </c>
      <c r="B8" s="37" t="s">
        <v>279</v>
      </c>
      <c r="C8" s="37" t="s">
        <v>280</v>
      </c>
      <c r="D8" s="36" t="s">
        <v>161</v>
      </c>
      <c r="E8" s="36" t="s">
        <v>162</v>
      </c>
      <c r="F8" s="36"/>
      <c r="H8" s="56" t="s">
        <v>244</v>
      </c>
      <c r="I8" s="36" t="n">
        <f aca="false">COUNTIF($D$2:$D$101,H8)</f>
        <v>2</v>
      </c>
      <c r="J8" s="63" t="n">
        <f aca="false">I8/$I$13</f>
        <v>0.02</v>
      </c>
      <c r="K8" s="36" t="n">
        <f aca="false">COUNTIF('1-2 Google Play Top100'!$D$2:$D$101,H8)</f>
        <v>2</v>
      </c>
      <c r="L8" s="63" t="n">
        <f aca="false">K8/$K$13</f>
        <v>0.02</v>
      </c>
      <c r="M8" s="63" t="n">
        <f aca="false">J8-L8</f>
        <v>0</v>
      </c>
    </row>
    <row r="9" customFormat="false" ht="15" hidden="false" customHeight="false" outlineLevel="0" collapsed="false">
      <c r="A9" s="59" t="n">
        <v>8</v>
      </c>
      <c r="B9" s="37" t="s">
        <v>212</v>
      </c>
      <c r="C9" s="37" t="s">
        <v>164</v>
      </c>
      <c r="D9" s="36" t="s">
        <v>165</v>
      </c>
      <c r="E9" s="37" t="s">
        <v>166</v>
      </c>
      <c r="F9" s="36"/>
      <c r="H9" s="58" t="s">
        <v>300</v>
      </c>
      <c r="I9" s="36" t="n">
        <f aca="false">COUNTIF($D$2:$D$101,H9)</f>
        <v>12</v>
      </c>
      <c r="J9" s="63" t="n">
        <f aca="false">I9/$I$13</f>
        <v>0.12</v>
      </c>
      <c r="K9" s="36" t="n">
        <f aca="false">COUNTIF('1-2 Google Play Top100'!$D$2:$D$101,H9)</f>
        <v>2</v>
      </c>
      <c r="L9" s="63" t="n">
        <f aca="false">K9/$K$13</f>
        <v>0.02</v>
      </c>
      <c r="M9" s="63" t="n">
        <f aca="false">J9-L9</f>
        <v>0.1</v>
      </c>
    </row>
    <row r="10" customFormat="false" ht="17.15" hidden="false" customHeight="false" outlineLevel="0" collapsed="false">
      <c r="A10" s="59" t="n">
        <v>9</v>
      </c>
      <c r="B10" s="37" t="s">
        <v>198</v>
      </c>
      <c r="C10" s="37" t="s">
        <v>154</v>
      </c>
      <c r="D10" s="36" t="s">
        <v>105</v>
      </c>
      <c r="E10" s="36" t="s">
        <v>155</v>
      </c>
      <c r="F10" s="36"/>
      <c r="H10" s="56" t="s">
        <v>811</v>
      </c>
      <c r="I10" s="36" t="n">
        <f aca="false">COUNTIF($D$2:$D$101,H10)</f>
        <v>0</v>
      </c>
      <c r="J10" s="63" t="n">
        <f aca="false">I10/$I$13</f>
        <v>0</v>
      </c>
      <c r="K10" s="36" t="n">
        <f aca="false">COUNTIF('1-2 Google Play Top100'!$D$2:$D$101,H10)</f>
        <v>3</v>
      </c>
      <c r="L10" s="63" t="n">
        <f aca="false">K10/$K$13</f>
        <v>0.03</v>
      </c>
      <c r="M10" s="63" t="n">
        <f aca="false">J10-L10</f>
        <v>-0.03</v>
      </c>
    </row>
    <row r="11" customFormat="false" ht="17.15" hidden="false" customHeight="false" outlineLevel="0" collapsed="false">
      <c r="A11" s="59" t="n">
        <v>10</v>
      </c>
      <c r="B11" s="37" t="s">
        <v>163</v>
      </c>
      <c r="C11" s="37" t="s">
        <v>164</v>
      </c>
      <c r="D11" s="36" t="s">
        <v>165</v>
      </c>
      <c r="E11" s="37" t="s">
        <v>166</v>
      </c>
      <c r="F11" s="36"/>
      <c r="H11" s="56" t="s">
        <v>812</v>
      </c>
      <c r="I11" s="36" t="n">
        <f aca="false">COUNTIF($D$2:$D$101,H11)</f>
        <v>1</v>
      </c>
      <c r="J11" s="63" t="n">
        <f aca="false">I11/$I$13</f>
        <v>0.01</v>
      </c>
      <c r="K11" s="36" t="n">
        <f aca="false">COUNTIF('1-2 Google Play Top100'!$D$2:$D$101,H11)</f>
        <v>1</v>
      </c>
      <c r="L11" s="63" t="n">
        <f aca="false">K11/$K$13</f>
        <v>0.01</v>
      </c>
      <c r="M11" s="63" t="n">
        <f aca="false">J11-L11</f>
        <v>0</v>
      </c>
    </row>
    <row r="12" customFormat="false" ht="15" hidden="false" customHeight="false" outlineLevel="0" collapsed="false">
      <c r="A12" s="59" t="n">
        <v>11</v>
      </c>
      <c r="B12" s="37" t="s">
        <v>299</v>
      </c>
      <c r="C12" s="37" t="s">
        <v>876</v>
      </c>
      <c r="D12" s="37" t="s">
        <v>300</v>
      </c>
      <c r="E12" s="36" t="s">
        <v>301</v>
      </c>
      <c r="F12" s="36"/>
      <c r="H12" s="56" t="s">
        <v>209</v>
      </c>
      <c r="I12" s="36" t="n">
        <f aca="false">COUNTIF($D$2:$D$101,H12)</f>
        <v>4</v>
      </c>
      <c r="J12" s="63" t="n">
        <f aca="false">I12/$I$13</f>
        <v>0.04</v>
      </c>
      <c r="K12" s="36" t="n">
        <f aca="false">COUNTIF('1-2 Google Play Top100'!$D$2:$D$101,H12)</f>
        <v>1</v>
      </c>
      <c r="L12" s="63" t="n">
        <f aca="false">K12/$K$13</f>
        <v>0.01</v>
      </c>
      <c r="M12" s="63" t="n">
        <f aca="false">J12-L12</f>
        <v>0.03</v>
      </c>
    </row>
    <row r="13" customFormat="false" ht="15" hidden="false" customHeight="false" outlineLevel="0" collapsed="false">
      <c r="A13" s="59" t="n">
        <v>12</v>
      </c>
      <c r="B13" s="37" t="s">
        <v>877</v>
      </c>
      <c r="C13" s="37" t="s">
        <v>878</v>
      </c>
      <c r="D13" s="36" t="s">
        <v>165</v>
      </c>
      <c r="E13" s="37" t="s">
        <v>166</v>
      </c>
      <c r="F13" s="36"/>
      <c r="H13" s="56" t="s">
        <v>465</v>
      </c>
      <c r="I13" s="36" t="n">
        <f aca="false">SUM(I2:I12)</f>
        <v>100</v>
      </c>
      <c r="J13" s="63" t="n">
        <f aca="false">SUM(J2:J12)</f>
        <v>1</v>
      </c>
      <c r="K13" s="36" t="n">
        <f aca="false">SUM(K2:K12)</f>
        <v>100</v>
      </c>
      <c r="L13" s="63" t="n">
        <f aca="false">SUM(L2:L12)</f>
        <v>1</v>
      </c>
      <c r="M13" s="63"/>
    </row>
    <row r="14" customFormat="false" ht="17.15" hidden="false" customHeight="false" outlineLevel="0" collapsed="false">
      <c r="A14" s="59" t="n">
        <v>13</v>
      </c>
      <c r="B14" s="37" t="s">
        <v>879</v>
      </c>
      <c r="C14" s="37" t="s">
        <v>880</v>
      </c>
      <c r="D14" s="37" t="s">
        <v>300</v>
      </c>
      <c r="E14" s="36" t="s">
        <v>881</v>
      </c>
      <c r="F14" s="37" t="s">
        <v>207</v>
      </c>
    </row>
    <row r="15" customFormat="false" ht="17.15" hidden="false" customHeight="false" outlineLevel="0" collapsed="false">
      <c r="A15" s="59" t="n">
        <v>14</v>
      </c>
      <c r="B15" s="37" t="s">
        <v>302</v>
      </c>
      <c r="C15" s="37" t="s">
        <v>432</v>
      </c>
      <c r="D15" s="36" t="s">
        <v>105</v>
      </c>
      <c r="E15" s="36" t="s">
        <v>155</v>
      </c>
      <c r="F15" s="36" t="s">
        <v>303</v>
      </c>
      <c r="H15" s="40" t="s">
        <v>882</v>
      </c>
    </row>
    <row r="16" customFormat="false" ht="17.15" hidden="false" customHeight="false" outlineLevel="0" collapsed="false">
      <c r="A16" s="59" t="n">
        <v>15</v>
      </c>
      <c r="B16" s="37" t="s">
        <v>883</v>
      </c>
      <c r="C16" s="37" t="s">
        <v>884</v>
      </c>
      <c r="D16" s="36" t="s">
        <v>165</v>
      </c>
      <c r="E16" s="37" t="s">
        <v>166</v>
      </c>
      <c r="F16" s="36"/>
      <c r="H16" s="41" t="s">
        <v>885</v>
      </c>
    </row>
    <row r="17" customFormat="false" ht="17.15" hidden="false" customHeight="false" outlineLevel="0" collapsed="false">
      <c r="A17" s="59" t="n">
        <v>16</v>
      </c>
      <c r="B17" s="37" t="s">
        <v>886</v>
      </c>
      <c r="C17" s="37" t="s">
        <v>887</v>
      </c>
      <c r="D17" s="36" t="s">
        <v>165</v>
      </c>
      <c r="E17" s="37" t="s">
        <v>166</v>
      </c>
      <c r="F17" s="36"/>
      <c r="H17" s="40" t="s">
        <v>888</v>
      </c>
    </row>
    <row r="18" customFormat="false" ht="17.15" hidden="false" customHeight="false" outlineLevel="0" collapsed="false">
      <c r="A18" s="59" t="n">
        <v>17</v>
      </c>
      <c r="B18" s="37" t="s">
        <v>889</v>
      </c>
      <c r="C18" s="37" t="s">
        <v>890</v>
      </c>
      <c r="D18" s="36" t="s">
        <v>165</v>
      </c>
      <c r="E18" s="37" t="s">
        <v>166</v>
      </c>
      <c r="F18" s="36"/>
      <c r="H18" s="40" t="s">
        <v>891</v>
      </c>
    </row>
    <row r="19" customFormat="false" ht="17.15" hidden="false" customHeight="false" outlineLevel="0" collapsed="false">
      <c r="A19" s="59" t="n">
        <v>18</v>
      </c>
      <c r="B19" s="37" t="s">
        <v>892</v>
      </c>
      <c r="C19" s="37" t="s">
        <v>893</v>
      </c>
      <c r="D19" s="37" t="s">
        <v>300</v>
      </c>
      <c r="E19" s="36" t="s">
        <v>881</v>
      </c>
      <c r="F19" s="36"/>
      <c r="H19" s="41" t="s">
        <v>894</v>
      </c>
    </row>
    <row r="20" customFormat="false" ht="17.15" hidden="false" customHeight="false" outlineLevel="0" collapsed="false">
      <c r="A20" s="59" t="n">
        <v>19</v>
      </c>
      <c r="B20" s="37" t="s">
        <v>895</v>
      </c>
      <c r="C20" s="37" t="s">
        <v>146</v>
      </c>
      <c r="D20" s="36" t="s">
        <v>105</v>
      </c>
      <c r="E20" s="36" t="s">
        <v>155</v>
      </c>
      <c r="F20" s="36"/>
      <c r="H20" s="61" t="s">
        <v>896</v>
      </c>
    </row>
    <row r="21" customFormat="false" ht="17.15" hidden="false" customHeight="false" outlineLevel="0" collapsed="false">
      <c r="A21" s="59" t="n">
        <v>20</v>
      </c>
      <c r="B21" s="37" t="s">
        <v>294</v>
      </c>
      <c r="C21" s="37" t="s">
        <v>205</v>
      </c>
      <c r="D21" s="36" t="s">
        <v>161</v>
      </c>
      <c r="E21" s="36" t="s">
        <v>162</v>
      </c>
      <c r="F21" s="36"/>
      <c r="H21" s="40" t="s">
        <v>897</v>
      </c>
    </row>
    <row r="22" customFormat="false" ht="17.15" hidden="false" customHeight="false" outlineLevel="0" collapsed="false">
      <c r="A22" s="59" t="n">
        <v>21</v>
      </c>
      <c r="B22" s="37" t="s">
        <v>898</v>
      </c>
      <c r="C22" s="37" t="s">
        <v>899</v>
      </c>
      <c r="D22" s="36" t="s">
        <v>161</v>
      </c>
      <c r="E22" s="36" t="s">
        <v>900</v>
      </c>
      <c r="F22" s="36"/>
    </row>
    <row r="23" customFormat="false" ht="17.15" hidden="false" customHeight="false" outlineLevel="0" collapsed="false">
      <c r="A23" s="59" t="n">
        <v>22</v>
      </c>
      <c r="B23" s="37" t="s">
        <v>901</v>
      </c>
      <c r="C23" s="37" t="s">
        <v>902</v>
      </c>
      <c r="D23" s="36" t="s">
        <v>161</v>
      </c>
      <c r="E23" s="36" t="s">
        <v>195</v>
      </c>
      <c r="F23" s="36"/>
    </row>
    <row r="24" customFormat="false" ht="15" hidden="false" customHeight="false" outlineLevel="0" collapsed="false">
      <c r="A24" s="57" t="n">
        <v>23</v>
      </c>
      <c r="B24" s="39" t="s">
        <v>903</v>
      </c>
      <c r="C24" s="39" t="s">
        <v>904</v>
      </c>
      <c r="D24" s="38" t="s">
        <v>165</v>
      </c>
      <c r="E24" s="39" t="s">
        <v>166</v>
      </c>
      <c r="F24" s="38" t="s">
        <v>116</v>
      </c>
    </row>
    <row r="25" customFormat="false" ht="17.15" hidden="false" customHeight="false" outlineLevel="0" collapsed="false">
      <c r="A25" s="59" t="n">
        <v>24</v>
      </c>
      <c r="B25" s="37" t="s">
        <v>905</v>
      </c>
      <c r="C25" s="37" t="s">
        <v>146</v>
      </c>
      <c r="D25" s="36" t="s">
        <v>105</v>
      </c>
      <c r="E25" s="36" t="s">
        <v>155</v>
      </c>
      <c r="F25" s="36"/>
    </row>
    <row r="26" customFormat="false" ht="17.15" hidden="false" customHeight="false" outlineLevel="0" collapsed="false">
      <c r="A26" s="59" t="n">
        <v>25</v>
      </c>
      <c r="B26" s="37" t="s">
        <v>906</v>
      </c>
      <c r="C26" s="37" t="s">
        <v>907</v>
      </c>
      <c r="D26" s="36" t="s">
        <v>161</v>
      </c>
      <c r="E26" s="36" t="s">
        <v>195</v>
      </c>
      <c r="F26" s="36"/>
    </row>
    <row r="27" customFormat="false" ht="17.15" hidden="false" customHeight="false" outlineLevel="0" collapsed="false">
      <c r="A27" s="57" t="n">
        <v>26</v>
      </c>
      <c r="B27" s="38" t="s">
        <v>908</v>
      </c>
      <c r="C27" s="39" t="s">
        <v>427</v>
      </c>
      <c r="D27" s="38" t="s">
        <v>209</v>
      </c>
      <c r="E27" s="39" t="s">
        <v>427</v>
      </c>
      <c r="F27" s="38" t="s">
        <v>909</v>
      </c>
    </row>
    <row r="28" customFormat="false" ht="17.15" hidden="false" customHeight="false" outlineLevel="0" collapsed="false">
      <c r="A28" s="59" t="n">
        <v>27</v>
      </c>
      <c r="B28" s="37" t="s">
        <v>255</v>
      </c>
      <c r="C28" s="37" t="s">
        <v>432</v>
      </c>
      <c r="D28" s="36" t="s">
        <v>105</v>
      </c>
      <c r="E28" s="36" t="s">
        <v>130</v>
      </c>
      <c r="F28" s="37" t="s">
        <v>257</v>
      </c>
    </row>
    <row r="29" customFormat="false" ht="17.15" hidden="false" customHeight="false" outlineLevel="0" collapsed="false">
      <c r="A29" s="59" t="n">
        <v>28</v>
      </c>
      <c r="B29" s="37" t="s">
        <v>456</v>
      </c>
      <c r="C29" s="37" t="s">
        <v>457</v>
      </c>
      <c r="D29" s="36" t="s">
        <v>151</v>
      </c>
      <c r="E29" s="36" t="s">
        <v>152</v>
      </c>
      <c r="F29" s="36"/>
    </row>
    <row r="30" customFormat="false" ht="17.15" hidden="false" customHeight="false" outlineLevel="0" collapsed="false">
      <c r="A30" s="59" t="n">
        <v>29</v>
      </c>
      <c r="B30" s="37" t="s">
        <v>413</v>
      </c>
      <c r="C30" s="37" t="s">
        <v>414</v>
      </c>
      <c r="D30" s="36" t="s">
        <v>161</v>
      </c>
      <c r="E30" s="36" t="s">
        <v>181</v>
      </c>
      <c r="F30" s="36" t="s">
        <v>415</v>
      </c>
    </row>
    <row r="31" customFormat="false" ht="15" hidden="false" customHeight="false" outlineLevel="0" collapsed="false">
      <c r="A31" s="59" t="n">
        <v>30</v>
      </c>
      <c r="B31" s="37" t="s">
        <v>184</v>
      </c>
      <c r="C31" s="37" t="s">
        <v>164</v>
      </c>
      <c r="D31" s="36" t="s">
        <v>105</v>
      </c>
      <c r="E31" s="36" t="s">
        <v>169</v>
      </c>
      <c r="F31" s="36"/>
    </row>
    <row r="32" customFormat="false" ht="17.15" hidden="false" customHeight="false" outlineLevel="0" collapsed="false">
      <c r="A32" s="59" t="n">
        <v>31</v>
      </c>
      <c r="B32" s="37" t="s">
        <v>910</v>
      </c>
      <c r="C32" s="37" t="s">
        <v>277</v>
      </c>
      <c r="D32" s="36" t="s">
        <v>165</v>
      </c>
      <c r="E32" s="37" t="s">
        <v>166</v>
      </c>
      <c r="F32" s="36" t="s">
        <v>911</v>
      </c>
    </row>
    <row r="33" customFormat="false" ht="17.15" hidden="false" customHeight="false" outlineLevel="0" collapsed="false">
      <c r="A33" s="59" t="n">
        <v>32</v>
      </c>
      <c r="B33" s="37" t="s">
        <v>912</v>
      </c>
      <c r="C33" s="37" t="s">
        <v>220</v>
      </c>
      <c r="D33" s="36" t="s">
        <v>105</v>
      </c>
      <c r="E33" s="36" t="s">
        <v>155</v>
      </c>
      <c r="F33" s="36"/>
    </row>
    <row r="34" customFormat="false" ht="17.15" hidden="false" customHeight="false" outlineLevel="0" collapsed="false">
      <c r="A34" s="59" t="n">
        <v>33</v>
      </c>
      <c r="B34" s="37" t="s">
        <v>913</v>
      </c>
      <c r="C34" s="37" t="s">
        <v>907</v>
      </c>
      <c r="D34" s="36" t="s">
        <v>161</v>
      </c>
      <c r="E34" s="36" t="s">
        <v>195</v>
      </c>
      <c r="F34" s="36"/>
    </row>
    <row r="35" customFormat="false" ht="17.15" hidden="false" customHeight="false" outlineLevel="0" collapsed="false">
      <c r="A35" s="57" t="n">
        <v>34</v>
      </c>
      <c r="B35" s="39" t="s">
        <v>914</v>
      </c>
      <c r="C35" s="39" t="s">
        <v>915</v>
      </c>
      <c r="D35" s="39" t="s">
        <v>300</v>
      </c>
      <c r="E35" s="38" t="s">
        <v>916</v>
      </c>
      <c r="F35" s="38" t="s">
        <v>116</v>
      </c>
    </row>
    <row r="36" customFormat="false" ht="17.15" hidden="false" customHeight="false" outlineLevel="0" collapsed="false">
      <c r="A36" s="59" t="n">
        <v>35</v>
      </c>
      <c r="B36" s="37" t="s">
        <v>261</v>
      </c>
      <c r="C36" s="37" t="s">
        <v>262</v>
      </c>
      <c r="D36" s="36" t="s">
        <v>105</v>
      </c>
      <c r="E36" s="36" t="s">
        <v>144</v>
      </c>
      <c r="F36" s="36"/>
    </row>
    <row r="37" customFormat="false" ht="17.15" hidden="false" customHeight="false" outlineLevel="0" collapsed="false">
      <c r="A37" s="59" t="n">
        <v>36</v>
      </c>
      <c r="B37" s="37" t="s">
        <v>917</v>
      </c>
      <c r="C37" s="37" t="s">
        <v>918</v>
      </c>
      <c r="D37" s="36" t="s">
        <v>161</v>
      </c>
      <c r="E37" s="36" t="s">
        <v>195</v>
      </c>
      <c r="F37" s="36"/>
    </row>
    <row r="38" customFormat="false" ht="17.15" hidden="false" customHeight="false" outlineLevel="0" collapsed="false">
      <c r="A38" s="59" t="n">
        <v>37</v>
      </c>
      <c r="B38" s="37" t="s">
        <v>919</v>
      </c>
      <c r="C38" s="37" t="s">
        <v>146</v>
      </c>
      <c r="D38" s="36" t="s">
        <v>105</v>
      </c>
      <c r="E38" s="36" t="s">
        <v>155</v>
      </c>
      <c r="F38" s="36"/>
    </row>
    <row r="39" customFormat="false" ht="15" hidden="false" customHeight="false" outlineLevel="0" collapsed="false">
      <c r="A39" s="59" t="n">
        <v>38</v>
      </c>
      <c r="B39" s="37" t="s">
        <v>920</v>
      </c>
      <c r="C39" s="37" t="s">
        <v>887</v>
      </c>
      <c r="D39" s="36" t="s">
        <v>165</v>
      </c>
      <c r="E39" s="37" t="s">
        <v>166</v>
      </c>
      <c r="F39" s="36"/>
    </row>
    <row r="40" customFormat="false" ht="17.15" hidden="false" customHeight="false" outlineLevel="0" collapsed="false">
      <c r="A40" s="57" t="n">
        <v>39</v>
      </c>
      <c r="B40" s="39" t="s">
        <v>378</v>
      </c>
      <c r="C40" s="39" t="s">
        <v>379</v>
      </c>
      <c r="D40" s="38" t="s">
        <v>105</v>
      </c>
      <c r="E40" s="38" t="s">
        <v>110</v>
      </c>
      <c r="F40" s="38" t="s">
        <v>116</v>
      </c>
    </row>
    <row r="41" customFormat="false" ht="17.15" hidden="false" customHeight="false" outlineLevel="0" collapsed="false">
      <c r="A41" s="59" t="n">
        <v>40</v>
      </c>
      <c r="B41" s="37" t="s">
        <v>921</v>
      </c>
      <c r="C41" s="37" t="s">
        <v>922</v>
      </c>
      <c r="D41" s="37" t="s">
        <v>300</v>
      </c>
      <c r="E41" s="36" t="s">
        <v>881</v>
      </c>
      <c r="F41" s="36"/>
    </row>
    <row r="42" customFormat="false" ht="17.15" hidden="false" customHeight="false" outlineLevel="0" collapsed="false">
      <c r="A42" s="59" t="n">
        <v>41</v>
      </c>
      <c r="B42" s="37" t="s">
        <v>923</v>
      </c>
      <c r="C42" s="37" t="s">
        <v>924</v>
      </c>
      <c r="D42" s="36" t="s">
        <v>161</v>
      </c>
      <c r="E42" s="36" t="s">
        <v>206</v>
      </c>
      <c r="F42" s="36"/>
    </row>
    <row r="43" customFormat="false" ht="15" hidden="false" customHeight="false" outlineLevel="0" collapsed="false">
      <c r="A43" s="59" t="n">
        <v>42</v>
      </c>
      <c r="B43" s="37" t="s">
        <v>925</v>
      </c>
      <c r="C43" s="37" t="s">
        <v>926</v>
      </c>
      <c r="D43" s="37" t="s">
        <v>300</v>
      </c>
      <c r="E43" s="36" t="s">
        <v>343</v>
      </c>
      <c r="F43" s="36"/>
    </row>
    <row r="44" customFormat="false" ht="17.15" hidden="false" customHeight="false" outlineLevel="0" collapsed="false">
      <c r="A44" s="59" t="n">
        <v>43</v>
      </c>
      <c r="B44" s="37" t="s">
        <v>204</v>
      </c>
      <c r="C44" s="37" t="s">
        <v>205</v>
      </c>
      <c r="D44" s="36" t="s">
        <v>161</v>
      </c>
      <c r="E44" s="36" t="s">
        <v>206</v>
      </c>
      <c r="F44" s="37" t="s">
        <v>207</v>
      </c>
    </row>
    <row r="45" customFormat="false" ht="17.15" hidden="false" customHeight="false" outlineLevel="0" collapsed="false">
      <c r="A45" s="57" t="n">
        <v>44</v>
      </c>
      <c r="B45" s="39" t="s">
        <v>927</v>
      </c>
      <c r="C45" s="39" t="s">
        <v>280</v>
      </c>
      <c r="D45" s="38" t="s">
        <v>161</v>
      </c>
      <c r="E45" s="38" t="s">
        <v>162</v>
      </c>
      <c r="F45" s="38" t="s">
        <v>116</v>
      </c>
    </row>
    <row r="46" customFormat="false" ht="15" hidden="false" customHeight="false" outlineLevel="0" collapsed="false">
      <c r="A46" s="59" t="n">
        <v>45</v>
      </c>
      <c r="B46" s="37" t="s">
        <v>928</v>
      </c>
      <c r="C46" s="37" t="s">
        <v>929</v>
      </c>
      <c r="D46" s="36" t="s">
        <v>105</v>
      </c>
      <c r="E46" s="36" t="s">
        <v>169</v>
      </c>
      <c r="F46" s="36"/>
    </row>
    <row r="47" customFormat="false" ht="17.15" hidden="false" customHeight="false" outlineLevel="0" collapsed="false">
      <c r="A47" s="59" t="n">
        <v>46</v>
      </c>
      <c r="B47" s="37" t="s">
        <v>930</v>
      </c>
      <c r="C47" s="37" t="s">
        <v>918</v>
      </c>
      <c r="D47" s="36" t="s">
        <v>161</v>
      </c>
      <c r="E47" s="36" t="s">
        <v>195</v>
      </c>
      <c r="F47" s="36"/>
    </row>
    <row r="48" customFormat="false" ht="17.15" hidden="false" customHeight="false" outlineLevel="0" collapsed="false">
      <c r="A48" s="59" t="n">
        <v>47</v>
      </c>
      <c r="B48" s="37" t="s">
        <v>931</v>
      </c>
      <c r="C48" s="37" t="s">
        <v>412</v>
      </c>
      <c r="D48" s="36" t="s">
        <v>165</v>
      </c>
      <c r="E48" s="37" t="s">
        <v>166</v>
      </c>
      <c r="F48" s="36" t="s">
        <v>932</v>
      </c>
    </row>
    <row r="49" customFormat="false" ht="17.15" hidden="false" customHeight="false" outlineLevel="0" collapsed="false">
      <c r="A49" s="57" t="n">
        <v>48</v>
      </c>
      <c r="B49" s="39" t="s">
        <v>933</v>
      </c>
      <c r="C49" s="39" t="s">
        <v>934</v>
      </c>
      <c r="D49" s="38" t="s">
        <v>119</v>
      </c>
      <c r="E49" s="38" t="s">
        <v>190</v>
      </c>
      <c r="F49" s="38" t="s">
        <v>116</v>
      </c>
    </row>
    <row r="50" customFormat="false" ht="15" hidden="false" customHeight="false" outlineLevel="0" collapsed="false">
      <c r="A50" s="57" t="n">
        <v>49</v>
      </c>
      <c r="B50" s="39" t="s">
        <v>283</v>
      </c>
      <c r="C50" s="39" t="s">
        <v>904</v>
      </c>
      <c r="D50" s="38" t="s">
        <v>165</v>
      </c>
      <c r="E50" s="39" t="s">
        <v>166</v>
      </c>
      <c r="F50" s="38" t="s">
        <v>116</v>
      </c>
    </row>
    <row r="51" customFormat="false" ht="17.15" hidden="false" customHeight="false" outlineLevel="0" collapsed="false">
      <c r="A51" s="59" t="n">
        <v>50</v>
      </c>
      <c r="B51" s="37" t="s">
        <v>935</v>
      </c>
      <c r="C51" s="37" t="s">
        <v>907</v>
      </c>
      <c r="D51" s="36" t="s">
        <v>161</v>
      </c>
      <c r="E51" s="36" t="s">
        <v>195</v>
      </c>
      <c r="F51" s="36"/>
    </row>
    <row r="52" customFormat="false" ht="15" hidden="false" customHeight="false" outlineLevel="0" collapsed="false">
      <c r="A52" s="59" t="n">
        <v>51</v>
      </c>
      <c r="B52" s="37" t="s">
        <v>936</v>
      </c>
      <c r="C52" s="37" t="s">
        <v>168</v>
      </c>
      <c r="D52" s="36" t="s">
        <v>105</v>
      </c>
      <c r="E52" s="36" t="s">
        <v>169</v>
      </c>
      <c r="F52" s="36" t="s">
        <v>346</v>
      </c>
    </row>
    <row r="53" customFormat="false" ht="15" hidden="false" customHeight="false" outlineLevel="0" collapsed="false">
      <c r="A53" s="59" t="n">
        <v>52</v>
      </c>
      <c r="B53" s="37" t="s">
        <v>937</v>
      </c>
      <c r="C53" s="37" t="s">
        <v>938</v>
      </c>
      <c r="D53" s="36" t="s">
        <v>105</v>
      </c>
      <c r="E53" s="36" t="s">
        <v>169</v>
      </c>
      <c r="F53" s="36" t="s">
        <v>346</v>
      </c>
    </row>
    <row r="54" customFormat="false" ht="17.15" hidden="false" customHeight="false" outlineLevel="0" collapsed="false">
      <c r="A54" s="57" t="n">
        <v>53</v>
      </c>
      <c r="B54" s="39" t="s">
        <v>939</v>
      </c>
      <c r="C54" s="39" t="s">
        <v>940</v>
      </c>
      <c r="D54" s="38" t="s">
        <v>105</v>
      </c>
      <c r="E54" s="38" t="s">
        <v>130</v>
      </c>
      <c r="F54" s="38" t="s">
        <v>116</v>
      </c>
    </row>
    <row r="55" customFormat="false" ht="17.15" hidden="false" customHeight="false" outlineLevel="0" collapsed="false">
      <c r="A55" s="59" t="n">
        <v>54</v>
      </c>
      <c r="B55" s="37" t="s">
        <v>941</v>
      </c>
      <c r="C55" s="37" t="s">
        <v>277</v>
      </c>
      <c r="D55" s="36" t="s">
        <v>147</v>
      </c>
      <c r="E55" s="36" t="s">
        <v>148</v>
      </c>
      <c r="F55" s="36"/>
    </row>
    <row r="56" customFormat="false" ht="15" hidden="false" customHeight="false" outlineLevel="0" collapsed="false">
      <c r="A56" s="59" t="n">
        <v>55</v>
      </c>
      <c r="B56" s="37" t="s">
        <v>942</v>
      </c>
      <c r="C56" s="37" t="s">
        <v>943</v>
      </c>
      <c r="D56" s="36" t="s">
        <v>105</v>
      </c>
      <c r="E56" s="36" t="s">
        <v>317</v>
      </c>
      <c r="F56" s="36" t="s">
        <v>170</v>
      </c>
    </row>
    <row r="57" customFormat="false" ht="17.15" hidden="false" customHeight="false" outlineLevel="0" collapsed="false">
      <c r="A57" s="59" t="n">
        <v>56</v>
      </c>
      <c r="B57" s="37" t="s">
        <v>944</v>
      </c>
      <c r="C57" s="37" t="s">
        <v>945</v>
      </c>
      <c r="D57" s="36" t="s">
        <v>161</v>
      </c>
      <c r="E57" s="36" t="s">
        <v>181</v>
      </c>
      <c r="F57" s="36"/>
    </row>
    <row r="58" customFormat="false" ht="17.15" hidden="false" customHeight="false" outlineLevel="0" collapsed="false">
      <c r="A58" s="59" t="n">
        <v>57</v>
      </c>
      <c r="B58" s="37" t="s">
        <v>113</v>
      </c>
      <c r="C58" s="37" t="s">
        <v>109</v>
      </c>
      <c r="D58" s="36" t="s">
        <v>105</v>
      </c>
      <c r="E58" s="36" t="s">
        <v>110</v>
      </c>
      <c r="F58" s="36"/>
    </row>
    <row r="59" customFormat="false" ht="17.15" hidden="false" customHeight="false" outlineLevel="0" collapsed="false">
      <c r="A59" s="59" t="n">
        <v>58</v>
      </c>
      <c r="B59" s="37" t="s">
        <v>946</v>
      </c>
      <c r="C59" s="37" t="s">
        <v>902</v>
      </c>
      <c r="D59" s="36" t="s">
        <v>161</v>
      </c>
      <c r="E59" s="36" t="s">
        <v>195</v>
      </c>
      <c r="F59" s="36"/>
    </row>
    <row r="60" customFormat="false" ht="15" hidden="false" customHeight="false" outlineLevel="0" collapsed="false">
      <c r="A60" s="59" t="n">
        <v>59</v>
      </c>
      <c r="B60" s="37" t="s">
        <v>947</v>
      </c>
      <c r="C60" s="37" t="s">
        <v>948</v>
      </c>
      <c r="D60" s="36" t="s">
        <v>105</v>
      </c>
      <c r="E60" s="36" t="s">
        <v>169</v>
      </c>
      <c r="F60" s="36"/>
    </row>
    <row r="61" customFormat="false" ht="17.15" hidden="false" customHeight="false" outlineLevel="0" collapsed="false">
      <c r="A61" s="59" t="n">
        <v>60</v>
      </c>
      <c r="B61" s="37" t="s">
        <v>949</v>
      </c>
      <c r="C61" s="37" t="s">
        <v>800</v>
      </c>
      <c r="D61" s="36" t="s">
        <v>151</v>
      </c>
      <c r="E61" s="36" t="s">
        <v>152</v>
      </c>
      <c r="F61" s="36"/>
    </row>
    <row r="62" customFormat="false" ht="17.15" hidden="false" customHeight="false" outlineLevel="0" collapsed="false">
      <c r="A62" s="59" t="n">
        <v>61</v>
      </c>
      <c r="B62" s="37" t="s">
        <v>950</v>
      </c>
      <c r="C62" s="37" t="s">
        <v>412</v>
      </c>
      <c r="D62" s="36" t="s">
        <v>165</v>
      </c>
      <c r="E62" s="37" t="s">
        <v>166</v>
      </c>
      <c r="F62" s="36" t="s">
        <v>932</v>
      </c>
    </row>
    <row r="63" customFormat="false" ht="17.15" hidden="false" customHeight="false" outlineLevel="0" collapsed="false">
      <c r="A63" s="59" t="n">
        <v>62</v>
      </c>
      <c r="B63" s="37" t="s">
        <v>951</v>
      </c>
      <c r="C63" s="37" t="s">
        <v>800</v>
      </c>
      <c r="D63" s="37" t="s">
        <v>300</v>
      </c>
      <c r="E63" s="36" t="s">
        <v>881</v>
      </c>
      <c r="F63" s="36" t="s">
        <v>952</v>
      </c>
    </row>
    <row r="64" customFormat="false" ht="17.15" hidden="false" customHeight="false" outlineLevel="0" collapsed="false">
      <c r="A64" s="59" t="n">
        <v>63</v>
      </c>
      <c r="B64" s="37" t="s">
        <v>953</v>
      </c>
      <c r="C64" s="37" t="s">
        <v>940</v>
      </c>
      <c r="D64" s="36" t="s">
        <v>161</v>
      </c>
      <c r="E64" s="36" t="s">
        <v>900</v>
      </c>
      <c r="F64" s="36"/>
    </row>
    <row r="65" customFormat="false" ht="15" hidden="false" customHeight="false" outlineLevel="0" collapsed="false">
      <c r="A65" s="59" t="n">
        <v>64</v>
      </c>
      <c r="B65" s="37" t="s">
        <v>319</v>
      </c>
      <c r="C65" s="37" t="s">
        <v>320</v>
      </c>
      <c r="D65" s="36" t="s">
        <v>105</v>
      </c>
      <c r="E65" s="36" t="s">
        <v>135</v>
      </c>
      <c r="F65" s="36"/>
    </row>
    <row r="66" customFormat="false" ht="17.15" hidden="false" customHeight="false" outlineLevel="0" collapsed="false">
      <c r="A66" s="57" t="n">
        <v>65</v>
      </c>
      <c r="B66" s="38" t="s">
        <v>954</v>
      </c>
      <c r="C66" s="39" t="s">
        <v>427</v>
      </c>
      <c r="D66" s="38" t="s">
        <v>209</v>
      </c>
      <c r="E66" s="39" t="s">
        <v>427</v>
      </c>
      <c r="F66" s="38" t="s">
        <v>909</v>
      </c>
    </row>
    <row r="67" customFormat="false" ht="17.15" hidden="false" customHeight="false" outlineLevel="0" collapsed="false">
      <c r="A67" s="57" t="n">
        <v>66</v>
      </c>
      <c r="B67" s="39" t="s">
        <v>114</v>
      </c>
      <c r="C67" s="39" t="s">
        <v>955</v>
      </c>
      <c r="D67" s="38" t="s">
        <v>105</v>
      </c>
      <c r="E67" s="38" t="s">
        <v>110</v>
      </c>
      <c r="F67" s="38" t="s">
        <v>116</v>
      </c>
    </row>
    <row r="68" customFormat="false" ht="17.15" hidden="false" customHeight="false" outlineLevel="0" collapsed="false">
      <c r="A68" s="59" t="n">
        <v>67</v>
      </c>
      <c r="B68" s="37" t="s">
        <v>276</v>
      </c>
      <c r="C68" s="37" t="s">
        <v>277</v>
      </c>
      <c r="D68" s="36" t="s">
        <v>151</v>
      </c>
      <c r="E68" s="36" t="s">
        <v>278</v>
      </c>
      <c r="F68" s="36"/>
    </row>
    <row r="69" customFormat="false" ht="15" hidden="false" customHeight="false" outlineLevel="0" collapsed="false">
      <c r="A69" s="57" t="n">
        <v>68</v>
      </c>
      <c r="B69" s="39" t="s">
        <v>437</v>
      </c>
      <c r="C69" s="39" t="s">
        <v>956</v>
      </c>
      <c r="D69" s="38" t="s">
        <v>165</v>
      </c>
      <c r="E69" s="39" t="s">
        <v>166</v>
      </c>
      <c r="F69" s="38" t="s">
        <v>116</v>
      </c>
    </row>
    <row r="70" customFormat="false" ht="15" hidden="false" customHeight="false" outlineLevel="0" collapsed="false">
      <c r="A70" s="59" t="n">
        <v>69</v>
      </c>
      <c r="B70" s="37" t="s">
        <v>957</v>
      </c>
      <c r="C70" s="37" t="s">
        <v>958</v>
      </c>
      <c r="D70" s="36" t="s">
        <v>244</v>
      </c>
      <c r="E70" s="36" t="s">
        <v>273</v>
      </c>
      <c r="F70" s="36"/>
    </row>
    <row r="71" customFormat="false" ht="17.15" hidden="false" customHeight="false" outlineLevel="0" collapsed="false">
      <c r="A71" s="59" t="n">
        <v>70</v>
      </c>
      <c r="B71" s="37" t="s">
        <v>157</v>
      </c>
      <c r="C71" s="37" t="s">
        <v>158</v>
      </c>
      <c r="D71" s="36" t="s">
        <v>119</v>
      </c>
      <c r="E71" s="36" t="s">
        <v>120</v>
      </c>
      <c r="F71" s="36"/>
    </row>
    <row r="72" customFormat="false" ht="15" hidden="false" customHeight="false" outlineLevel="0" collapsed="false">
      <c r="A72" s="59" t="n">
        <v>71</v>
      </c>
      <c r="B72" s="37" t="s">
        <v>959</v>
      </c>
      <c r="C72" s="37" t="s">
        <v>586</v>
      </c>
      <c r="D72" s="36" t="s">
        <v>147</v>
      </c>
      <c r="E72" s="36" t="s">
        <v>364</v>
      </c>
      <c r="F72" s="36" t="s">
        <v>960</v>
      </c>
    </row>
    <row r="73" customFormat="false" ht="15" hidden="false" customHeight="false" outlineLevel="0" collapsed="false">
      <c r="A73" s="57" t="n">
        <v>72</v>
      </c>
      <c r="B73" s="39" t="s">
        <v>961</v>
      </c>
      <c r="C73" s="39" t="s">
        <v>592</v>
      </c>
      <c r="D73" s="38" t="s">
        <v>105</v>
      </c>
      <c r="E73" s="38" t="s">
        <v>169</v>
      </c>
      <c r="F73" s="38" t="s">
        <v>116</v>
      </c>
    </row>
    <row r="74" customFormat="false" ht="15" hidden="false" customHeight="false" outlineLevel="0" collapsed="false">
      <c r="A74" s="57" t="n">
        <v>73</v>
      </c>
      <c r="B74" s="39" t="s">
        <v>962</v>
      </c>
      <c r="C74" s="39" t="s">
        <v>963</v>
      </c>
      <c r="D74" s="38" t="s">
        <v>209</v>
      </c>
      <c r="E74" s="39" t="s">
        <v>427</v>
      </c>
      <c r="F74" s="38" t="s">
        <v>964</v>
      </c>
    </row>
    <row r="75" customFormat="false" ht="17.15" hidden="false" customHeight="false" outlineLevel="0" collapsed="false">
      <c r="A75" s="59" t="n">
        <v>74</v>
      </c>
      <c r="B75" s="37" t="s">
        <v>965</v>
      </c>
      <c r="C75" s="37" t="s">
        <v>160</v>
      </c>
      <c r="D75" s="37" t="s">
        <v>300</v>
      </c>
      <c r="E75" s="36" t="s">
        <v>881</v>
      </c>
      <c r="F75" s="37" t="s">
        <v>207</v>
      </c>
    </row>
    <row r="76" customFormat="false" ht="15" hidden="false" customHeight="false" outlineLevel="0" collapsed="false">
      <c r="A76" s="59" t="n">
        <v>75</v>
      </c>
      <c r="B76" s="37" t="s">
        <v>966</v>
      </c>
      <c r="C76" s="37" t="s">
        <v>272</v>
      </c>
      <c r="D76" s="36" t="s">
        <v>244</v>
      </c>
      <c r="E76" s="36" t="s">
        <v>967</v>
      </c>
      <c r="F76" s="36"/>
    </row>
    <row r="77" customFormat="false" ht="17.15" hidden="false" customHeight="false" outlineLevel="0" collapsed="false">
      <c r="A77" s="59" t="n">
        <v>76</v>
      </c>
      <c r="B77" s="37" t="s">
        <v>968</v>
      </c>
      <c r="C77" s="37" t="s">
        <v>940</v>
      </c>
      <c r="D77" s="36" t="s">
        <v>161</v>
      </c>
      <c r="E77" s="36" t="s">
        <v>900</v>
      </c>
      <c r="F77" s="36"/>
    </row>
    <row r="78" customFormat="false" ht="15" hidden="false" customHeight="false" outlineLevel="0" collapsed="false">
      <c r="A78" s="57" t="n">
        <v>77</v>
      </c>
      <c r="B78" s="39" t="s">
        <v>969</v>
      </c>
      <c r="C78" s="39" t="s">
        <v>970</v>
      </c>
      <c r="D78" s="38" t="s">
        <v>209</v>
      </c>
      <c r="E78" s="39" t="s">
        <v>427</v>
      </c>
      <c r="F78" s="38" t="s">
        <v>964</v>
      </c>
    </row>
    <row r="79" customFormat="false" ht="17.15" hidden="false" customHeight="false" outlineLevel="0" collapsed="false">
      <c r="A79" s="59" t="n">
        <v>78</v>
      </c>
      <c r="B79" s="37" t="s">
        <v>971</v>
      </c>
      <c r="C79" s="37" t="s">
        <v>972</v>
      </c>
      <c r="D79" s="36" t="s">
        <v>161</v>
      </c>
      <c r="E79" s="36" t="s">
        <v>973</v>
      </c>
      <c r="F79" s="36"/>
    </row>
    <row r="80" customFormat="false" ht="17.15" hidden="false" customHeight="false" outlineLevel="0" collapsed="false">
      <c r="A80" s="59" t="n">
        <v>79</v>
      </c>
      <c r="B80" s="37" t="s">
        <v>974</v>
      </c>
      <c r="C80" s="37" t="s">
        <v>432</v>
      </c>
      <c r="D80" s="36" t="s">
        <v>105</v>
      </c>
      <c r="E80" s="36" t="s">
        <v>155</v>
      </c>
      <c r="F80" s="36" t="s">
        <v>303</v>
      </c>
    </row>
    <row r="81" customFormat="false" ht="17.15" hidden="false" customHeight="false" outlineLevel="0" collapsed="false">
      <c r="A81" s="59" t="n">
        <v>80</v>
      </c>
      <c r="B81" s="37" t="s">
        <v>975</v>
      </c>
      <c r="C81" s="37" t="s">
        <v>918</v>
      </c>
      <c r="D81" s="36" t="s">
        <v>161</v>
      </c>
      <c r="E81" s="36" t="s">
        <v>195</v>
      </c>
      <c r="F81" s="36"/>
    </row>
    <row r="82" customFormat="false" ht="17.15" hidden="false" customHeight="false" outlineLevel="0" collapsed="false">
      <c r="A82" s="59" t="n">
        <v>81</v>
      </c>
      <c r="B82" s="37" t="s">
        <v>976</v>
      </c>
      <c r="C82" s="37" t="s">
        <v>977</v>
      </c>
      <c r="D82" s="36" t="s">
        <v>161</v>
      </c>
      <c r="E82" s="36" t="s">
        <v>237</v>
      </c>
      <c r="F82" s="36" t="s">
        <v>978</v>
      </c>
    </row>
    <row r="83" customFormat="false" ht="15" hidden="false" customHeight="false" outlineLevel="0" collapsed="false">
      <c r="A83" s="59" t="n">
        <v>82</v>
      </c>
      <c r="B83" s="37" t="s">
        <v>291</v>
      </c>
      <c r="C83" s="37" t="s">
        <v>280</v>
      </c>
      <c r="D83" s="36" t="s">
        <v>105</v>
      </c>
      <c r="E83" s="36" t="s">
        <v>292</v>
      </c>
      <c r="F83" s="36" t="s">
        <v>293</v>
      </c>
    </row>
    <row r="84" customFormat="false" ht="17.15" hidden="false" customHeight="false" outlineLevel="0" collapsed="false">
      <c r="A84" s="59" t="n">
        <v>83</v>
      </c>
      <c r="B84" s="37" t="s">
        <v>979</v>
      </c>
      <c r="C84" s="37" t="s">
        <v>980</v>
      </c>
      <c r="D84" s="36" t="s">
        <v>151</v>
      </c>
      <c r="E84" s="36" t="s">
        <v>215</v>
      </c>
      <c r="F84" s="36" t="s">
        <v>402</v>
      </c>
    </row>
    <row r="85" customFormat="false" ht="17.15" hidden="false" customHeight="false" outlineLevel="0" collapsed="false">
      <c r="A85" s="59" t="n">
        <v>84</v>
      </c>
      <c r="B85" s="37" t="s">
        <v>376</v>
      </c>
      <c r="C85" s="37" t="s">
        <v>269</v>
      </c>
      <c r="D85" s="36" t="s">
        <v>105</v>
      </c>
      <c r="E85" s="36" t="s">
        <v>110</v>
      </c>
      <c r="F85" s="36"/>
    </row>
    <row r="86" customFormat="false" ht="17.15" hidden="false" customHeight="false" outlineLevel="0" collapsed="false">
      <c r="A86" s="59" t="n">
        <v>85</v>
      </c>
      <c r="B86" s="37" t="s">
        <v>981</v>
      </c>
      <c r="C86" s="37" t="s">
        <v>272</v>
      </c>
      <c r="D86" s="37" t="s">
        <v>300</v>
      </c>
      <c r="E86" s="36" t="s">
        <v>881</v>
      </c>
      <c r="F86" s="37" t="s">
        <v>207</v>
      </c>
    </row>
    <row r="87" customFormat="false" ht="17.15" hidden="false" customHeight="false" outlineLevel="0" collapsed="false">
      <c r="A87" s="59" t="n">
        <v>86</v>
      </c>
      <c r="B87" s="37" t="s">
        <v>982</v>
      </c>
      <c r="C87" s="37" t="s">
        <v>160</v>
      </c>
      <c r="D87" s="36" t="s">
        <v>161</v>
      </c>
      <c r="E87" s="36" t="s">
        <v>206</v>
      </c>
      <c r="F87" s="36"/>
    </row>
    <row r="88" customFormat="false" ht="17.15" hidden="false" customHeight="false" outlineLevel="0" collapsed="false">
      <c r="A88" s="59" t="n">
        <v>87</v>
      </c>
      <c r="B88" s="37" t="s">
        <v>983</v>
      </c>
      <c r="C88" s="37" t="s">
        <v>984</v>
      </c>
      <c r="D88" s="37" t="s">
        <v>300</v>
      </c>
      <c r="E88" s="36" t="s">
        <v>881</v>
      </c>
      <c r="F88" s="37" t="s">
        <v>207</v>
      </c>
    </row>
    <row r="89" customFormat="false" ht="17.15" hidden="false" customHeight="false" outlineLevel="0" collapsed="false">
      <c r="A89" s="59" t="n">
        <v>88</v>
      </c>
      <c r="B89" s="37" t="s">
        <v>985</v>
      </c>
      <c r="C89" s="37" t="s">
        <v>160</v>
      </c>
      <c r="D89" s="36" t="s">
        <v>161</v>
      </c>
      <c r="E89" s="36" t="s">
        <v>162</v>
      </c>
      <c r="F89" s="36"/>
    </row>
    <row r="90" customFormat="false" ht="17.15" hidden="false" customHeight="false" outlineLevel="0" collapsed="false">
      <c r="A90" s="59" t="n">
        <v>89</v>
      </c>
      <c r="B90" s="37" t="s">
        <v>986</v>
      </c>
      <c r="C90" s="37" t="s">
        <v>987</v>
      </c>
      <c r="D90" s="37" t="s">
        <v>300</v>
      </c>
      <c r="E90" s="36" t="s">
        <v>881</v>
      </c>
      <c r="F90" s="36"/>
    </row>
    <row r="91" customFormat="false" ht="15" hidden="false" customHeight="false" outlineLevel="0" collapsed="false">
      <c r="A91" s="57" t="n">
        <v>90</v>
      </c>
      <c r="B91" s="39" t="s">
        <v>591</v>
      </c>
      <c r="C91" s="39" t="s">
        <v>592</v>
      </c>
      <c r="D91" s="38" t="s">
        <v>165</v>
      </c>
      <c r="E91" s="39" t="s">
        <v>166</v>
      </c>
      <c r="F91" s="38" t="s">
        <v>116</v>
      </c>
    </row>
    <row r="92" customFormat="false" ht="17.15" hidden="false" customHeight="false" outlineLevel="0" collapsed="false">
      <c r="A92" s="59" t="n">
        <v>91</v>
      </c>
      <c r="B92" s="37" t="s">
        <v>141</v>
      </c>
      <c r="C92" s="37" t="s">
        <v>122</v>
      </c>
      <c r="D92" s="36" t="s">
        <v>105</v>
      </c>
      <c r="E92" s="36" t="s">
        <v>110</v>
      </c>
      <c r="F92" s="36" t="s">
        <v>138</v>
      </c>
    </row>
    <row r="93" customFormat="false" ht="15" hidden="false" customHeight="false" outlineLevel="0" collapsed="false">
      <c r="A93" s="59" t="n">
        <v>92</v>
      </c>
      <c r="B93" s="37" t="s">
        <v>988</v>
      </c>
      <c r="C93" s="37" t="s">
        <v>989</v>
      </c>
      <c r="D93" s="36" t="s">
        <v>165</v>
      </c>
      <c r="E93" s="37" t="s">
        <v>166</v>
      </c>
      <c r="F93" s="36"/>
    </row>
    <row r="94" customFormat="false" ht="17.15" hidden="false" customHeight="false" outlineLevel="0" collapsed="false">
      <c r="A94" s="59" t="n">
        <v>93</v>
      </c>
      <c r="B94" s="37" t="s">
        <v>990</v>
      </c>
      <c r="C94" s="37" t="s">
        <v>160</v>
      </c>
      <c r="D94" s="36" t="s">
        <v>165</v>
      </c>
      <c r="E94" s="37" t="s">
        <v>166</v>
      </c>
      <c r="F94" s="37" t="s">
        <v>207</v>
      </c>
    </row>
    <row r="95" customFormat="false" ht="15" hidden="false" customHeight="false" outlineLevel="0" collapsed="false">
      <c r="A95" s="59" t="n">
        <v>94</v>
      </c>
      <c r="B95" s="37" t="s">
        <v>171</v>
      </c>
      <c r="C95" s="37" t="s">
        <v>172</v>
      </c>
      <c r="D95" s="36" t="s">
        <v>105</v>
      </c>
      <c r="E95" s="36" t="s">
        <v>173</v>
      </c>
      <c r="F95" s="36" t="s">
        <v>174</v>
      </c>
    </row>
    <row r="96" customFormat="false" ht="15" hidden="false" customHeight="false" outlineLevel="0" collapsed="false">
      <c r="A96" s="59" t="n">
        <v>95</v>
      </c>
      <c r="B96" s="37" t="s">
        <v>991</v>
      </c>
      <c r="C96" s="37" t="s">
        <v>168</v>
      </c>
      <c r="D96" s="36" t="s">
        <v>105</v>
      </c>
      <c r="E96" s="36" t="s">
        <v>169</v>
      </c>
      <c r="F96" s="36" t="s">
        <v>170</v>
      </c>
    </row>
    <row r="97" customFormat="false" ht="15" hidden="false" customHeight="false" outlineLevel="0" collapsed="false">
      <c r="A97" s="59" t="n">
        <v>96</v>
      </c>
      <c r="B97" s="37" t="s">
        <v>309</v>
      </c>
      <c r="C97" s="37" t="s">
        <v>277</v>
      </c>
      <c r="D97" s="36" t="s">
        <v>165</v>
      </c>
      <c r="E97" s="36" t="s">
        <v>310</v>
      </c>
      <c r="F97" s="36"/>
    </row>
    <row r="98" customFormat="false" ht="17.15" hidden="false" customHeight="false" outlineLevel="0" collapsed="false">
      <c r="A98" s="59" t="n">
        <v>97</v>
      </c>
      <c r="B98" s="37" t="s">
        <v>371</v>
      </c>
      <c r="C98" s="37" t="s">
        <v>992</v>
      </c>
      <c r="D98" s="36" t="s">
        <v>105</v>
      </c>
      <c r="E98" s="36" t="s">
        <v>110</v>
      </c>
      <c r="F98" s="36"/>
    </row>
    <row r="99" customFormat="false" ht="17.15" hidden="false" customHeight="false" outlineLevel="0" collapsed="false">
      <c r="A99" s="59" t="n">
        <v>98</v>
      </c>
      <c r="B99" s="37" t="s">
        <v>354</v>
      </c>
      <c r="C99" s="37" t="s">
        <v>355</v>
      </c>
      <c r="D99" s="36" t="s">
        <v>119</v>
      </c>
      <c r="E99" s="36" t="s">
        <v>120</v>
      </c>
      <c r="F99" s="36"/>
    </row>
    <row r="100" customFormat="false" ht="17.15" hidden="false" customHeight="false" outlineLevel="0" collapsed="false">
      <c r="A100" s="59" t="n">
        <v>99</v>
      </c>
      <c r="B100" s="37" t="s">
        <v>993</v>
      </c>
      <c r="C100" s="37" t="s">
        <v>994</v>
      </c>
      <c r="D100" s="36" t="s">
        <v>105</v>
      </c>
      <c r="E100" s="36" t="s">
        <v>155</v>
      </c>
      <c r="F100" s="37" t="s">
        <v>995</v>
      </c>
    </row>
    <row r="101" customFormat="false" ht="15" hidden="false" customHeight="false" outlineLevel="0" collapsed="false">
      <c r="A101" s="59" t="n">
        <v>100</v>
      </c>
      <c r="B101" s="37" t="s">
        <v>996</v>
      </c>
      <c r="C101" s="37" t="s">
        <v>922</v>
      </c>
      <c r="D101" s="37" t="s">
        <v>300</v>
      </c>
      <c r="E101" s="36" t="s">
        <v>343</v>
      </c>
      <c r="F101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M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40"/>
    <col collapsed="false" customWidth="true" hidden="false" outlineLevel="0" max="11" min="11" style="0" width="18"/>
    <col collapsed="false" customWidth="true" hidden="false" outlineLevel="0" max="12" min="12" style="0" width="9"/>
    <col collapsed="false" customWidth="true" hidden="false" outlineLevel="0" max="13" min="13" style="0" width="44"/>
  </cols>
  <sheetData>
    <row r="1" customFormat="false" ht="19.4" hidden="false" customHeight="false" outlineLevel="0" collapsed="false">
      <c r="A1" s="43" t="s">
        <v>997</v>
      </c>
    </row>
    <row r="2" customFormat="false" ht="17.15" hidden="false" customHeight="false" outlineLevel="0" collapsed="false">
      <c r="A2" s="64" t="s">
        <v>998</v>
      </c>
      <c r="B2" s="65" t="n">
        <v>30</v>
      </c>
      <c r="C2" s="40" t="s">
        <v>999</v>
      </c>
    </row>
    <row r="3" customFormat="false" ht="17.15" hidden="false" customHeight="false" outlineLevel="0" collapsed="false">
      <c r="A3" s="64" t="s">
        <v>1000</v>
      </c>
      <c r="B3" s="65" t="n">
        <v>30</v>
      </c>
    </row>
    <row r="5" customFormat="false" ht="45.5" hidden="false" customHeight="false" outlineLevel="0" collapsed="false">
      <c r="A5" s="44" t="s">
        <v>99</v>
      </c>
      <c r="B5" s="44" t="s">
        <v>1001</v>
      </c>
      <c r="C5" s="44" t="s">
        <v>1002</v>
      </c>
      <c r="D5" s="45" t="s">
        <v>1003</v>
      </c>
      <c r="E5" s="44" t="s">
        <v>1004</v>
      </c>
      <c r="F5" s="45" t="s">
        <v>1005</v>
      </c>
      <c r="G5" s="44" t="s">
        <v>1006</v>
      </c>
      <c r="H5" s="44" t="s">
        <v>1007</v>
      </c>
      <c r="I5" s="44" t="s">
        <v>6</v>
      </c>
      <c r="K5" s="44" t="s">
        <v>643</v>
      </c>
      <c r="L5" s="44" t="s">
        <v>1008</v>
      </c>
      <c r="M5" s="44" t="s">
        <v>1009</v>
      </c>
    </row>
    <row r="6" customFormat="false" ht="17.15" hidden="false" customHeight="false" outlineLevel="0" collapsed="false">
      <c r="A6" s="37" t="s">
        <v>159</v>
      </c>
      <c r="B6" s="59" t="n">
        <v>1</v>
      </c>
      <c r="C6" s="59" t="n">
        <v>26</v>
      </c>
      <c r="D6" s="66" t="n">
        <v>130000000</v>
      </c>
      <c r="E6" s="38" t="str">
        <f aca="false">IF(D6="","",IF(D6&gt;=1000000000,"1B+",IF(D6&gt;=500000000,"500M+",IF(D6&gt;=100000000,"100M+",IF(D6&gt;=50000000,"50M+",IF(D6&gt;=10000000,"10M+",IF(D6&gt;=5000000,"5M+",IF(D6&gt;=1000000,"1M+","1M 미만"))))))))</f>
        <v>100M+</v>
      </c>
      <c r="F6" s="38" t="s">
        <v>1010</v>
      </c>
      <c r="G6" s="38" t="s">
        <v>1010</v>
      </c>
      <c r="H6" s="36" t="str">
        <f aca="false">IF(AND(ISNUMBER(B6),B6&lt;=$B$2,ISNUMBER(C6),C6&lt;=$B$3),"① 둘 다 높음",IF(AND(ISNUMBER(B6),B6&lt;=$B$2),"② 매출만 높음",IF(AND(ISNUMBER(C6),C6&lt;=$B$3),"③ 다운로드만 높음","④ 둘 다 기준 밖")))</f>
        <v>① 둘 다 높음</v>
      </c>
      <c r="I6" s="36"/>
      <c r="K6" s="17" t="s">
        <v>1011</v>
      </c>
      <c r="L6" s="17" t="n">
        <f aca="false">COUNTIF($H$6:$H$177,K6)</f>
        <v>4</v>
      </c>
      <c r="M6" s="17" t="s">
        <v>1012</v>
      </c>
    </row>
    <row r="7" customFormat="false" ht="32.8" hidden="false" customHeight="false" outlineLevel="0" collapsed="false">
      <c r="A7" s="37" t="s">
        <v>124</v>
      </c>
      <c r="B7" s="59" t="n">
        <v>2</v>
      </c>
      <c r="C7" s="59" t="n">
        <v>4</v>
      </c>
      <c r="D7" s="66" t="n">
        <v>1700000000</v>
      </c>
      <c r="E7" s="38" t="str">
        <f aca="false">IF(D7="","",IF(D7&gt;=1000000000,"1B+",IF(D7&gt;=500000000,"500M+",IF(D7&gt;=100000000,"100M+",IF(D7&gt;=50000000,"50M+",IF(D7&gt;=10000000,"10M+",IF(D7&gt;=5000000,"5M+",IF(D7&gt;=1000000,"1M+","1M 미만"))))))))</f>
        <v>1B+</v>
      </c>
      <c r="F7" s="38" t="s">
        <v>1010</v>
      </c>
      <c r="G7" s="38" t="s">
        <v>1010</v>
      </c>
      <c r="H7" s="36" t="str">
        <f aca="false">IF(AND(ISNUMBER(B7),B7&lt;=$B$2,ISNUMBER(C7),C7&lt;=$B$3),"① 둘 다 높음",IF(AND(ISNUMBER(B7),B7&lt;=$B$2),"② 매출만 높음",IF(AND(ISNUMBER(C7),C7&lt;=$B$3),"③ 다운로드만 높음","④ 둘 다 기준 밖")))</f>
        <v>① 둘 다 높음</v>
      </c>
      <c r="I7" s="36"/>
      <c r="K7" s="17" t="s">
        <v>1013</v>
      </c>
      <c r="L7" s="17" t="n">
        <f aca="false">COUNTIF($H$6:$H$177,K7)</f>
        <v>25</v>
      </c>
      <c r="M7" s="17" t="s">
        <v>1014</v>
      </c>
    </row>
    <row r="8" customFormat="false" ht="32.8" hidden="false" customHeight="false" outlineLevel="0" collapsed="false">
      <c r="A8" s="37" t="s">
        <v>219</v>
      </c>
      <c r="B8" s="59" t="n">
        <v>3</v>
      </c>
      <c r="C8" s="59" t="n">
        <v>48</v>
      </c>
      <c r="D8" s="66" t="n">
        <v>2300000000</v>
      </c>
      <c r="E8" s="38" t="str">
        <f aca="false">IF(D8="","",IF(D8&gt;=1000000000,"1B+",IF(D8&gt;=500000000,"500M+",IF(D8&gt;=100000000,"100M+",IF(D8&gt;=50000000,"50M+",IF(D8&gt;=10000000,"10M+",IF(D8&gt;=5000000,"5M+",IF(D8&gt;=1000000,"1M+","1M 미만"))))))))</f>
        <v>1B+</v>
      </c>
      <c r="F8" s="38" t="s">
        <v>1010</v>
      </c>
      <c r="G8" s="38" t="s">
        <v>1010</v>
      </c>
      <c r="H8" s="36" t="str">
        <f aca="false">IF(AND(ISNUMBER(B8),B8&lt;=$B$2,ISNUMBER(C8),C8&lt;=$B$3),"① 둘 다 높음",IF(AND(ISNUMBER(B8),B8&lt;=$B$2),"② 매출만 높음",IF(AND(ISNUMBER(C8),C8&lt;=$B$3),"③ 다운로드만 높음","④ 둘 다 기준 밖")))</f>
        <v>② 매출만 높음</v>
      </c>
      <c r="I8" s="36"/>
      <c r="K8" s="17" t="s">
        <v>1015</v>
      </c>
      <c r="L8" s="17" t="n">
        <f aca="false">COUNTIF($H$6:$H$177,K8)</f>
        <v>26</v>
      </c>
      <c r="M8" s="35" t="s">
        <v>1016</v>
      </c>
    </row>
    <row r="9" customFormat="false" ht="17.15" hidden="false" customHeight="false" outlineLevel="0" collapsed="false">
      <c r="A9" s="37" t="s">
        <v>153</v>
      </c>
      <c r="B9" s="59" t="n">
        <v>4</v>
      </c>
      <c r="C9" s="59" t="n">
        <v>42</v>
      </c>
      <c r="D9" s="66" t="n">
        <v>370000000</v>
      </c>
      <c r="E9" s="38" t="str">
        <f aca="false">IF(D9="","",IF(D9&gt;=1000000000,"1B+",IF(D9&gt;=500000000,"500M+",IF(D9&gt;=100000000,"100M+",IF(D9&gt;=50000000,"50M+",IF(D9&gt;=10000000,"10M+",IF(D9&gt;=5000000,"5M+",IF(D9&gt;=1000000,"1M+","1M 미만"))))))))</f>
        <v>100M+</v>
      </c>
      <c r="F9" s="38" t="s">
        <v>1010</v>
      </c>
      <c r="G9" s="38" t="s">
        <v>1010</v>
      </c>
      <c r="H9" s="36" t="str">
        <f aca="false">IF(AND(ISNUMBER(B9),B9&lt;=$B$2,ISNUMBER(C9),C9&lt;=$B$3),"① 둘 다 높음",IF(AND(ISNUMBER(B9),B9&lt;=$B$2),"② 매출만 높음",IF(AND(ISNUMBER(C9),C9&lt;=$B$3),"③ 다운로드만 높음","④ 둘 다 기준 밖")))</f>
        <v>② 매출만 높음</v>
      </c>
      <c r="I9" s="36"/>
      <c r="K9" s="17" t="s">
        <v>1017</v>
      </c>
      <c r="L9" s="17" t="n">
        <f aca="false">COUNTIF($H$6:$H$177,K9)</f>
        <v>117</v>
      </c>
      <c r="M9" s="17" t="s">
        <v>1018</v>
      </c>
    </row>
    <row r="10" customFormat="false" ht="15" hidden="false" customHeight="false" outlineLevel="0" collapsed="false">
      <c r="A10" s="37" t="s">
        <v>167</v>
      </c>
      <c r="B10" s="59" t="n">
        <v>5</v>
      </c>
      <c r="C10" s="59" t="n">
        <v>17</v>
      </c>
      <c r="D10" s="66" t="n">
        <v>91000000</v>
      </c>
      <c r="E10" s="38" t="str">
        <f aca="false">IF(D10="","",IF(D10&gt;=1000000000,"1B+",IF(D10&gt;=500000000,"500M+",IF(D10&gt;=100000000,"100M+",IF(D10&gt;=50000000,"50M+",IF(D10&gt;=10000000,"10M+",IF(D10&gt;=5000000,"5M+",IF(D10&gt;=1000000,"1M+","1M 미만"))))))))</f>
        <v>50M+</v>
      </c>
      <c r="F10" s="38" t="s">
        <v>1010</v>
      </c>
      <c r="G10" s="38" t="s">
        <v>1010</v>
      </c>
      <c r="H10" s="36" t="str">
        <f aca="false">IF(AND(ISNUMBER(B10),B10&lt;=$B$2,ISNUMBER(C10),C10&lt;=$B$3),"① 둘 다 높음",IF(AND(ISNUMBER(B10),B10&lt;=$B$2),"② 매출만 높음",IF(AND(ISNUMBER(C10),C10&lt;=$B$3),"③ 다운로드만 높음","④ 둘 다 기준 밖")))</f>
        <v>① 둘 다 높음</v>
      </c>
      <c r="I10" s="36"/>
      <c r="K10" s="36" t="s">
        <v>465</v>
      </c>
      <c r="L10" s="36" t="n">
        <f aca="false">SUM(L6:L9)</f>
        <v>172</v>
      </c>
      <c r="M10" s="36"/>
    </row>
    <row r="11" customFormat="false" ht="15" hidden="false" customHeight="false" outlineLevel="0" collapsed="false">
      <c r="A11" s="37" t="s">
        <v>145</v>
      </c>
      <c r="B11" s="59" t="n">
        <v>6</v>
      </c>
      <c r="C11" s="59" t="n">
        <v>22</v>
      </c>
      <c r="D11" s="66" t="n">
        <v>520000000</v>
      </c>
      <c r="E11" s="38" t="str">
        <f aca="false">IF(D11="","",IF(D11&gt;=1000000000,"1B+",IF(D11&gt;=500000000,"500M+",IF(D11&gt;=100000000,"100M+",IF(D11&gt;=50000000,"50M+",IF(D11&gt;=10000000,"10M+",IF(D11&gt;=5000000,"5M+",IF(D11&gt;=1000000,"1M+","1M 미만"))))))))</f>
        <v>500M+</v>
      </c>
      <c r="F11" s="38" t="s">
        <v>1010</v>
      </c>
      <c r="G11" s="38" t="s">
        <v>1010</v>
      </c>
      <c r="H11" s="36" t="str">
        <f aca="false">IF(AND(ISNUMBER(B11),B11&lt;=$B$2,ISNUMBER(C11),C11&lt;=$B$3),"① 둘 다 높음",IF(AND(ISNUMBER(B11),B11&lt;=$B$2),"② 매출만 높음",IF(AND(ISNUMBER(C11),C11&lt;=$B$3),"③ 다운로드만 높음","④ 둘 다 기준 밖")))</f>
        <v>① 둘 다 높음</v>
      </c>
      <c r="I11" s="36"/>
    </row>
    <row r="12" customFormat="false" ht="17.15" hidden="false" customHeight="false" outlineLevel="0" collapsed="false">
      <c r="A12" s="37" t="s">
        <v>279</v>
      </c>
      <c r="B12" s="59" t="n">
        <v>7</v>
      </c>
      <c r="C12" s="19" t="s">
        <v>427</v>
      </c>
      <c r="D12" s="66" t="n">
        <v>350000000</v>
      </c>
      <c r="E12" s="38" t="str">
        <f aca="false">IF(D12="","",IF(D12&gt;=1000000000,"1B+",IF(D12&gt;=500000000,"500M+",IF(D12&gt;=100000000,"100M+",IF(D12&gt;=50000000,"50M+",IF(D12&gt;=10000000,"10M+",IF(D12&gt;=5000000,"5M+",IF(D12&gt;=1000000,"1M+","1M 미만"))))))))</f>
        <v>100M+</v>
      </c>
      <c r="F12" s="38" t="s">
        <v>1010</v>
      </c>
      <c r="G12" s="38" t="s">
        <v>1010</v>
      </c>
      <c r="H12" s="36" t="str">
        <f aca="false">IF(AND(ISNUMBER(B12),B12&lt;=$B$2,ISNUMBER(C12),C12&lt;=$B$3),"① 둘 다 높음",IF(AND(ISNUMBER(B12),B12&lt;=$B$2),"② 매출만 높음",IF(AND(ISNUMBER(C12),C12&lt;=$B$3),"③ 다운로드만 높음","④ 둘 다 기준 밖")))</f>
        <v>② 매출만 높음</v>
      </c>
      <c r="I12" s="36"/>
      <c r="K12" s="40" t="s">
        <v>1019</v>
      </c>
    </row>
    <row r="13" customFormat="false" ht="17.15" hidden="false" customHeight="false" outlineLevel="0" collapsed="false">
      <c r="A13" s="37" t="s">
        <v>212</v>
      </c>
      <c r="B13" s="59" t="n">
        <v>8</v>
      </c>
      <c r="C13" s="19" t="s">
        <v>427</v>
      </c>
      <c r="D13" s="66" t="n">
        <v>59000000</v>
      </c>
      <c r="E13" s="38" t="str">
        <f aca="false">IF(D13="","",IF(D13&gt;=1000000000,"1B+",IF(D13&gt;=500000000,"500M+",IF(D13&gt;=100000000,"100M+",IF(D13&gt;=50000000,"50M+",IF(D13&gt;=10000000,"10M+",IF(D13&gt;=5000000,"5M+",IF(D13&gt;=1000000,"1M+","1M 미만"))))))))</f>
        <v>50M+</v>
      </c>
      <c r="F13" s="37" t="s">
        <v>1020</v>
      </c>
      <c r="G13" s="37" t="s">
        <v>1021</v>
      </c>
      <c r="H13" s="36" t="str">
        <f aca="false">IF(AND(ISNUMBER(B13),B13&lt;=$B$2,ISNUMBER(C13),C13&lt;=$B$3),"① 둘 다 높음",IF(AND(ISNUMBER(B13),B13&lt;=$B$2),"② 매출만 높음",IF(AND(ISNUMBER(C13),C13&lt;=$B$3),"③ 다운로드만 높음","④ 둘 다 기준 밖")))</f>
        <v>② 매출만 높음</v>
      </c>
      <c r="I13" s="37" t="s">
        <v>1022</v>
      </c>
      <c r="K13" s="41" t="s">
        <v>1023</v>
      </c>
    </row>
    <row r="14" customFormat="false" ht="17.15" hidden="false" customHeight="false" outlineLevel="0" collapsed="false">
      <c r="A14" s="37" t="s">
        <v>198</v>
      </c>
      <c r="B14" s="59" t="n">
        <v>9</v>
      </c>
      <c r="C14" s="59" t="n">
        <v>47</v>
      </c>
      <c r="D14" s="66" t="n">
        <v>110000000</v>
      </c>
      <c r="E14" s="38" t="str">
        <f aca="false">IF(D14="","",IF(D14&gt;=1000000000,"1B+",IF(D14&gt;=500000000,"500M+",IF(D14&gt;=100000000,"100M+",IF(D14&gt;=50000000,"50M+",IF(D14&gt;=10000000,"10M+",IF(D14&gt;=5000000,"5M+",IF(D14&gt;=1000000,"1M+","1M 미만"))))))))</f>
        <v>100M+</v>
      </c>
      <c r="F14" s="38" t="s">
        <v>1010</v>
      </c>
      <c r="G14" s="38" t="s">
        <v>1010</v>
      </c>
      <c r="H14" s="36" t="str">
        <f aca="false">IF(AND(ISNUMBER(B14),B14&lt;=$B$2,ISNUMBER(C14),C14&lt;=$B$3),"① 둘 다 높음",IF(AND(ISNUMBER(B14),B14&lt;=$B$2),"② 매출만 높음",IF(AND(ISNUMBER(C14),C14&lt;=$B$3),"③ 다운로드만 높음","④ 둘 다 기준 밖")))</f>
        <v>② 매출만 높음</v>
      </c>
      <c r="I14" s="36"/>
      <c r="K14" s="41" t="s">
        <v>1024</v>
      </c>
    </row>
    <row r="15" customFormat="false" ht="17.15" hidden="false" customHeight="false" outlineLevel="0" collapsed="false">
      <c r="A15" s="37" t="s">
        <v>163</v>
      </c>
      <c r="B15" s="59" t="n">
        <v>10</v>
      </c>
      <c r="C15" s="59" t="n">
        <v>63</v>
      </c>
      <c r="D15" s="66" t="n">
        <v>100000000</v>
      </c>
      <c r="E15" s="38" t="str">
        <f aca="false">IF(D15="","",IF(D15&gt;=1000000000,"1B+",IF(D15&gt;=500000000,"500M+",IF(D15&gt;=100000000,"100M+",IF(D15&gt;=50000000,"50M+",IF(D15&gt;=10000000,"10M+",IF(D15&gt;=5000000,"5M+",IF(D15&gt;=1000000,"1M+","1M 미만"))))))))</f>
        <v>100M+</v>
      </c>
      <c r="F15" s="38" t="s">
        <v>1010</v>
      </c>
      <c r="G15" s="38" t="s">
        <v>1010</v>
      </c>
      <c r="H15" s="36" t="str">
        <f aca="false">IF(AND(ISNUMBER(B15),B15&lt;=$B$2,ISNUMBER(C15),C15&lt;=$B$3),"① 둘 다 높음",IF(AND(ISNUMBER(B15),B15&lt;=$B$2),"② 매출만 높음",IF(AND(ISNUMBER(C15),C15&lt;=$B$3),"③ 다운로드만 높음","④ 둘 다 기준 밖")))</f>
        <v>② 매출만 높음</v>
      </c>
      <c r="I15" s="36"/>
      <c r="K15" s="41" t="s">
        <v>1025</v>
      </c>
    </row>
    <row r="16" customFormat="false" ht="17.15" hidden="false" customHeight="false" outlineLevel="0" collapsed="false">
      <c r="A16" s="37" t="s">
        <v>299</v>
      </c>
      <c r="B16" s="59" t="n">
        <v>11</v>
      </c>
      <c r="C16" s="19" t="s">
        <v>427</v>
      </c>
      <c r="D16" s="66" t="n">
        <v>560000000</v>
      </c>
      <c r="E16" s="38" t="str">
        <f aca="false">IF(D16="","",IF(D16&gt;=1000000000,"1B+",IF(D16&gt;=500000000,"500M+",IF(D16&gt;=100000000,"100M+",IF(D16&gt;=50000000,"50M+",IF(D16&gt;=10000000,"10M+",IF(D16&gt;=5000000,"5M+",IF(D16&gt;=1000000,"1M+","1M 미만"))))))))</f>
        <v>500M+</v>
      </c>
      <c r="F16" s="38" t="s">
        <v>1010</v>
      </c>
      <c r="G16" s="38" t="s">
        <v>1010</v>
      </c>
      <c r="H16" s="36" t="str">
        <f aca="false">IF(AND(ISNUMBER(B16),B16&lt;=$B$2,ISNUMBER(C16),C16&lt;=$B$3),"① 둘 다 높음",IF(AND(ISNUMBER(B16),B16&lt;=$B$2),"② 매출만 높음",IF(AND(ISNUMBER(C16),C16&lt;=$B$3),"③ 다운로드만 높음","④ 둘 다 기준 밖")))</f>
        <v>② 매출만 높음</v>
      </c>
      <c r="I16" s="36"/>
      <c r="K16" s="40" t="s">
        <v>1026</v>
      </c>
    </row>
    <row r="17" customFormat="false" ht="17.15" hidden="false" customHeight="false" outlineLevel="0" collapsed="false">
      <c r="A17" s="37" t="s">
        <v>877</v>
      </c>
      <c r="B17" s="59" t="n">
        <v>12</v>
      </c>
      <c r="C17" s="19" t="s">
        <v>427</v>
      </c>
      <c r="D17" s="66" t="n">
        <v>110000000</v>
      </c>
      <c r="E17" s="38" t="str">
        <f aca="false">IF(D17="","",IF(D17&gt;=1000000000,"1B+",IF(D17&gt;=500000000,"500M+",IF(D17&gt;=100000000,"100M+",IF(D17&gt;=50000000,"50M+",IF(D17&gt;=10000000,"10M+",IF(D17&gt;=5000000,"5M+",IF(D17&gt;=1000000,"1M+","1M 미만"))))))))</f>
        <v>100M+</v>
      </c>
      <c r="F17" s="38" t="s">
        <v>1010</v>
      </c>
      <c r="G17" s="38" t="s">
        <v>1010</v>
      </c>
      <c r="H17" s="36" t="str">
        <f aca="false">IF(AND(ISNUMBER(B17),B17&lt;=$B$2,ISNUMBER(C17),C17&lt;=$B$3),"① 둘 다 높음",IF(AND(ISNUMBER(B17),B17&lt;=$B$2),"② 매출만 높음",IF(AND(ISNUMBER(C17),C17&lt;=$B$3),"③ 다운로드만 높음","④ 둘 다 기준 밖")))</f>
        <v>② 매출만 높음</v>
      </c>
      <c r="I17" s="36"/>
      <c r="K17" s="41" t="s">
        <v>1027</v>
      </c>
    </row>
    <row r="18" customFormat="false" ht="15" hidden="false" customHeight="false" outlineLevel="0" collapsed="false">
      <c r="A18" s="37" t="s">
        <v>879</v>
      </c>
      <c r="B18" s="59" t="n">
        <v>13</v>
      </c>
      <c r="C18" s="19" t="s">
        <v>427</v>
      </c>
      <c r="D18" s="66" t="n">
        <v>93000000</v>
      </c>
      <c r="E18" s="38" t="str">
        <f aca="false">IF(D18="","",IF(D18&gt;=1000000000,"1B+",IF(D18&gt;=500000000,"500M+",IF(D18&gt;=100000000,"100M+",IF(D18&gt;=50000000,"50M+",IF(D18&gt;=10000000,"10M+",IF(D18&gt;=5000000,"5M+",IF(D18&gt;=1000000,"1M+","1M 미만"))))))))</f>
        <v>50M+</v>
      </c>
      <c r="F18" s="38" t="s">
        <v>1010</v>
      </c>
      <c r="G18" s="38" t="s">
        <v>1010</v>
      </c>
      <c r="H18" s="36" t="str">
        <f aca="false">IF(AND(ISNUMBER(B18),B18&lt;=$B$2,ISNUMBER(C18),C18&lt;=$B$3),"① 둘 다 높음",IF(AND(ISNUMBER(B18),B18&lt;=$B$2),"② 매출만 높음",IF(AND(ISNUMBER(C18),C18&lt;=$B$3),"③ 다운로드만 높음","④ 둘 다 기준 밖")))</f>
        <v>② 매출만 높음</v>
      </c>
      <c r="I18" s="36"/>
    </row>
    <row r="19" customFormat="false" ht="15" hidden="false" customHeight="false" outlineLevel="0" collapsed="false">
      <c r="A19" s="37" t="s">
        <v>302</v>
      </c>
      <c r="B19" s="59" t="n">
        <v>14</v>
      </c>
      <c r="C19" s="19" t="s">
        <v>427</v>
      </c>
      <c r="D19" s="66" t="n">
        <v>130000000</v>
      </c>
      <c r="E19" s="38" t="str">
        <f aca="false">IF(D19="","",IF(D19&gt;=1000000000,"1B+",IF(D19&gt;=500000000,"500M+",IF(D19&gt;=100000000,"100M+",IF(D19&gt;=50000000,"50M+",IF(D19&gt;=10000000,"10M+",IF(D19&gt;=5000000,"5M+",IF(D19&gt;=1000000,"1M+","1M 미만"))))))))</f>
        <v>100M+</v>
      </c>
      <c r="F19" s="38" t="s">
        <v>1010</v>
      </c>
      <c r="G19" s="38" t="s">
        <v>1010</v>
      </c>
      <c r="H19" s="36" t="str">
        <f aca="false">IF(AND(ISNUMBER(B19),B19&lt;=$B$2,ISNUMBER(C19),C19&lt;=$B$3),"① 둘 다 높음",IF(AND(ISNUMBER(B19),B19&lt;=$B$2),"② 매출만 높음",IF(AND(ISNUMBER(C19),C19&lt;=$B$3),"③ 다운로드만 높음","④ 둘 다 기준 밖")))</f>
        <v>② 매출만 높음</v>
      </c>
      <c r="I19" s="36"/>
    </row>
    <row r="20" customFormat="false" ht="15" hidden="false" customHeight="false" outlineLevel="0" collapsed="false">
      <c r="A20" s="37" t="s">
        <v>883</v>
      </c>
      <c r="B20" s="59" t="n">
        <v>15</v>
      </c>
      <c r="C20" s="19" t="s">
        <v>427</v>
      </c>
      <c r="D20" s="66" t="n">
        <v>72000000</v>
      </c>
      <c r="E20" s="38" t="str">
        <f aca="false">IF(D20="","",IF(D20&gt;=1000000000,"1B+",IF(D20&gt;=500000000,"500M+",IF(D20&gt;=100000000,"100M+",IF(D20&gt;=50000000,"50M+",IF(D20&gt;=10000000,"10M+",IF(D20&gt;=5000000,"5M+",IF(D20&gt;=1000000,"1M+","1M 미만"))))))))</f>
        <v>50M+</v>
      </c>
      <c r="F20" s="38" t="s">
        <v>1010</v>
      </c>
      <c r="G20" s="38" t="s">
        <v>1010</v>
      </c>
      <c r="H20" s="36" t="str">
        <f aca="false">IF(AND(ISNUMBER(B20),B20&lt;=$B$2,ISNUMBER(C20),C20&lt;=$B$3),"① 둘 다 높음",IF(AND(ISNUMBER(B20),B20&lt;=$B$2),"② 매출만 높음",IF(AND(ISNUMBER(C20),C20&lt;=$B$3),"③ 다운로드만 높음","④ 둘 다 기준 밖")))</f>
        <v>② 매출만 높음</v>
      </c>
      <c r="I20" s="36"/>
    </row>
    <row r="21" customFormat="false" ht="15" hidden="false" customHeight="false" outlineLevel="0" collapsed="false">
      <c r="A21" s="37" t="s">
        <v>886</v>
      </c>
      <c r="B21" s="59" t="n">
        <v>16</v>
      </c>
      <c r="C21" s="19" t="s">
        <v>427</v>
      </c>
      <c r="D21" s="66" t="n">
        <v>41000000</v>
      </c>
      <c r="E21" s="38" t="str">
        <f aca="false">IF(D21="","",IF(D21&gt;=1000000000,"1B+",IF(D21&gt;=500000000,"500M+",IF(D21&gt;=100000000,"100M+",IF(D21&gt;=50000000,"50M+",IF(D21&gt;=10000000,"10M+",IF(D21&gt;=5000000,"5M+",IF(D21&gt;=1000000,"1M+","1M 미만"))))))))</f>
        <v>10M+</v>
      </c>
      <c r="F21" s="38" t="s">
        <v>1010</v>
      </c>
      <c r="G21" s="38" t="s">
        <v>1010</v>
      </c>
      <c r="H21" s="36" t="str">
        <f aca="false">IF(AND(ISNUMBER(B21),B21&lt;=$B$2,ISNUMBER(C21),C21&lt;=$B$3),"① 둘 다 높음",IF(AND(ISNUMBER(B21),B21&lt;=$B$2),"② 매출만 높음",IF(AND(ISNUMBER(C21),C21&lt;=$B$3),"③ 다운로드만 높음","④ 둘 다 기준 밖")))</f>
        <v>② 매출만 높음</v>
      </c>
      <c r="I21" s="36"/>
    </row>
    <row r="22" customFormat="false" ht="15" hidden="false" customHeight="false" outlineLevel="0" collapsed="false">
      <c r="A22" s="37" t="s">
        <v>889</v>
      </c>
      <c r="B22" s="59" t="n">
        <v>17</v>
      </c>
      <c r="C22" s="19" t="s">
        <v>427</v>
      </c>
      <c r="D22" s="66" t="n">
        <v>220000000</v>
      </c>
      <c r="E22" s="38" t="str">
        <f aca="false">IF(D22="","",IF(D22&gt;=1000000000,"1B+",IF(D22&gt;=500000000,"500M+",IF(D22&gt;=100000000,"100M+",IF(D22&gt;=50000000,"50M+",IF(D22&gt;=10000000,"10M+",IF(D22&gt;=5000000,"5M+",IF(D22&gt;=1000000,"1M+","1M 미만"))))))))</f>
        <v>100M+</v>
      </c>
      <c r="F22" s="38" t="s">
        <v>1010</v>
      </c>
      <c r="G22" s="38" t="s">
        <v>1010</v>
      </c>
      <c r="H22" s="36" t="str">
        <f aca="false">IF(AND(ISNUMBER(B22),B22&lt;=$B$2,ISNUMBER(C22),C22&lt;=$B$3),"① 둘 다 높음",IF(AND(ISNUMBER(B22),B22&lt;=$B$2),"② 매출만 높음",IF(AND(ISNUMBER(C22),C22&lt;=$B$3),"③ 다운로드만 높음","④ 둘 다 기준 밖")))</f>
        <v>② 매출만 높음</v>
      </c>
      <c r="I22" s="36"/>
    </row>
    <row r="23" customFormat="false" ht="15" hidden="false" customHeight="false" outlineLevel="0" collapsed="false">
      <c r="A23" s="37" t="s">
        <v>892</v>
      </c>
      <c r="B23" s="59" t="n">
        <v>18</v>
      </c>
      <c r="C23" s="19" t="s">
        <v>427</v>
      </c>
      <c r="D23" s="66" t="n">
        <v>77000000</v>
      </c>
      <c r="E23" s="38" t="str">
        <f aca="false">IF(D23="","",IF(D23&gt;=1000000000,"1B+",IF(D23&gt;=500000000,"500M+",IF(D23&gt;=100000000,"100M+",IF(D23&gt;=50000000,"50M+",IF(D23&gt;=10000000,"10M+",IF(D23&gt;=5000000,"5M+",IF(D23&gt;=1000000,"1M+","1M 미만"))))))))</f>
        <v>50M+</v>
      </c>
      <c r="F23" s="38" t="s">
        <v>1010</v>
      </c>
      <c r="G23" s="38" t="s">
        <v>1010</v>
      </c>
      <c r="H23" s="36" t="str">
        <f aca="false">IF(AND(ISNUMBER(B23),B23&lt;=$B$2,ISNUMBER(C23),C23&lt;=$B$3),"① 둘 다 높음",IF(AND(ISNUMBER(B23),B23&lt;=$B$2),"② 매출만 높음",IF(AND(ISNUMBER(C23),C23&lt;=$B$3),"③ 다운로드만 높음","④ 둘 다 기준 밖")))</f>
        <v>② 매출만 높음</v>
      </c>
      <c r="I23" s="36"/>
    </row>
    <row r="24" customFormat="false" ht="15" hidden="false" customHeight="false" outlineLevel="0" collapsed="false">
      <c r="A24" s="37" t="s">
        <v>895</v>
      </c>
      <c r="B24" s="59" t="n">
        <v>19</v>
      </c>
      <c r="C24" s="19" t="s">
        <v>427</v>
      </c>
      <c r="D24" s="66" t="n">
        <v>610000000</v>
      </c>
      <c r="E24" s="38" t="str">
        <f aca="false">IF(D24="","",IF(D24&gt;=1000000000,"1B+",IF(D24&gt;=500000000,"500M+",IF(D24&gt;=100000000,"100M+",IF(D24&gt;=50000000,"50M+",IF(D24&gt;=10000000,"10M+",IF(D24&gt;=5000000,"5M+",IF(D24&gt;=1000000,"1M+","1M 미만"))))))))</f>
        <v>500M+</v>
      </c>
      <c r="F24" s="38" t="s">
        <v>1010</v>
      </c>
      <c r="G24" s="38" t="s">
        <v>1010</v>
      </c>
      <c r="H24" s="36" t="str">
        <f aca="false">IF(AND(ISNUMBER(B24),B24&lt;=$B$2,ISNUMBER(C24),C24&lt;=$B$3),"① 둘 다 높음",IF(AND(ISNUMBER(B24),B24&lt;=$B$2),"② 매출만 높음",IF(AND(ISNUMBER(C24),C24&lt;=$B$3),"③ 다운로드만 높음","④ 둘 다 기준 밖")))</f>
        <v>② 매출만 높음</v>
      </c>
      <c r="I24" s="36"/>
    </row>
    <row r="25" customFormat="false" ht="15" hidden="false" customHeight="false" outlineLevel="0" collapsed="false">
      <c r="A25" s="37" t="s">
        <v>294</v>
      </c>
      <c r="B25" s="59" t="n">
        <v>20</v>
      </c>
      <c r="C25" s="59" t="n">
        <v>98</v>
      </c>
      <c r="D25" s="66" t="n">
        <v>67000000</v>
      </c>
      <c r="E25" s="38" t="str">
        <f aca="false">IF(D25="","",IF(D25&gt;=1000000000,"1B+",IF(D25&gt;=500000000,"500M+",IF(D25&gt;=100000000,"100M+",IF(D25&gt;=50000000,"50M+",IF(D25&gt;=10000000,"10M+",IF(D25&gt;=5000000,"5M+",IF(D25&gt;=1000000,"1M+","1M 미만"))))))))</f>
        <v>50M+</v>
      </c>
      <c r="F25" s="38" t="s">
        <v>1010</v>
      </c>
      <c r="G25" s="38" t="s">
        <v>1010</v>
      </c>
      <c r="H25" s="36" t="str">
        <f aca="false">IF(AND(ISNUMBER(B25),B25&lt;=$B$2,ISNUMBER(C25),C25&lt;=$B$3),"① 둘 다 높음",IF(AND(ISNUMBER(B25),B25&lt;=$B$2),"② 매출만 높음",IF(AND(ISNUMBER(C25),C25&lt;=$B$3),"③ 다운로드만 높음","④ 둘 다 기준 밖")))</f>
        <v>② 매출만 높음</v>
      </c>
      <c r="I25" s="36"/>
    </row>
    <row r="26" customFormat="false" ht="15" hidden="false" customHeight="false" outlineLevel="0" collapsed="false">
      <c r="A26" s="37" t="s">
        <v>898</v>
      </c>
      <c r="B26" s="59" t="n">
        <v>21</v>
      </c>
      <c r="C26" s="19" t="s">
        <v>427</v>
      </c>
      <c r="D26" s="66" t="n">
        <v>83000000</v>
      </c>
      <c r="E26" s="38" t="str">
        <f aca="false">IF(D26="","",IF(D26&gt;=1000000000,"1B+",IF(D26&gt;=500000000,"500M+",IF(D26&gt;=100000000,"100M+",IF(D26&gt;=50000000,"50M+",IF(D26&gt;=10000000,"10M+",IF(D26&gt;=5000000,"5M+",IF(D26&gt;=1000000,"1M+","1M 미만"))))))))</f>
        <v>50M+</v>
      </c>
      <c r="F26" s="38" t="s">
        <v>1010</v>
      </c>
      <c r="G26" s="38" t="s">
        <v>1010</v>
      </c>
      <c r="H26" s="36" t="str">
        <f aca="false">IF(AND(ISNUMBER(B26),B26&lt;=$B$2,ISNUMBER(C26),C26&lt;=$B$3),"① 둘 다 높음",IF(AND(ISNUMBER(B26),B26&lt;=$B$2),"② 매출만 높음",IF(AND(ISNUMBER(C26),C26&lt;=$B$3),"③ 다운로드만 높음","④ 둘 다 기준 밖")))</f>
        <v>② 매출만 높음</v>
      </c>
      <c r="I26" s="36"/>
    </row>
    <row r="27" customFormat="false" ht="15" hidden="false" customHeight="false" outlineLevel="0" collapsed="false">
      <c r="A27" s="37" t="s">
        <v>901</v>
      </c>
      <c r="B27" s="59" t="n">
        <v>22</v>
      </c>
      <c r="C27" s="19" t="s">
        <v>427</v>
      </c>
      <c r="D27" s="66" t="n">
        <v>36000000</v>
      </c>
      <c r="E27" s="38" t="str">
        <f aca="false">IF(D27="","",IF(D27&gt;=1000000000,"1B+",IF(D27&gt;=500000000,"500M+",IF(D27&gt;=100000000,"100M+",IF(D27&gt;=50000000,"50M+",IF(D27&gt;=10000000,"10M+",IF(D27&gt;=5000000,"5M+",IF(D27&gt;=1000000,"1M+","1M 미만"))))))))</f>
        <v>10M+</v>
      </c>
      <c r="F27" s="38" t="s">
        <v>1010</v>
      </c>
      <c r="G27" s="38" t="s">
        <v>1010</v>
      </c>
      <c r="H27" s="36" t="str">
        <f aca="false">IF(AND(ISNUMBER(B27),B27&lt;=$B$2,ISNUMBER(C27),C27&lt;=$B$3),"① 둘 다 높음",IF(AND(ISNUMBER(B27),B27&lt;=$B$2),"② 매출만 높음",IF(AND(ISNUMBER(C27),C27&lt;=$B$3),"③ 다운로드만 높음","④ 둘 다 기준 밖")))</f>
        <v>② 매출만 높음</v>
      </c>
      <c r="I27" s="36"/>
    </row>
    <row r="28" customFormat="false" ht="15" hidden="false" customHeight="false" outlineLevel="0" collapsed="false">
      <c r="A28" s="37" t="s">
        <v>903</v>
      </c>
      <c r="B28" s="59" t="n">
        <v>23</v>
      </c>
      <c r="C28" s="19" t="s">
        <v>427</v>
      </c>
      <c r="D28" s="66" t="n">
        <v>18000000</v>
      </c>
      <c r="E28" s="38" t="str">
        <f aca="false">IF(D28="","",IF(D28&gt;=1000000000,"1B+",IF(D28&gt;=500000000,"500M+",IF(D28&gt;=100000000,"100M+",IF(D28&gt;=50000000,"50M+",IF(D28&gt;=10000000,"10M+",IF(D28&gt;=5000000,"5M+",IF(D28&gt;=1000000,"1M+","1M 미만"))))))))</f>
        <v>10M+</v>
      </c>
      <c r="F28" s="38" t="s">
        <v>1010</v>
      </c>
      <c r="G28" s="38" t="s">
        <v>1010</v>
      </c>
      <c r="H28" s="36" t="str">
        <f aca="false">IF(AND(ISNUMBER(B28),B28&lt;=$B$2,ISNUMBER(C28),C28&lt;=$B$3),"① 둘 다 높음",IF(AND(ISNUMBER(B28),B28&lt;=$B$2),"② 매출만 높음",IF(AND(ISNUMBER(C28),C28&lt;=$B$3),"③ 다운로드만 높음","④ 둘 다 기준 밖")))</f>
        <v>② 매출만 높음</v>
      </c>
      <c r="I28" s="36"/>
    </row>
    <row r="29" customFormat="false" ht="15" hidden="false" customHeight="false" outlineLevel="0" collapsed="false">
      <c r="A29" s="37" t="s">
        <v>905</v>
      </c>
      <c r="B29" s="59" t="n">
        <v>24</v>
      </c>
      <c r="C29" s="19" t="s">
        <v>427</v>
      </c>
      <c r="D29" s="66" t="n">
        <v>470000000</v>
      </c>
      <c r="E29" s="38" t="str">
        <f aca="false">IF(D29="","",IF(D29&gt;=1000000000,"1B+",IF(D29&gt;=500000000,"500M+",IF(D29&gt;=100000000,"100M+",IF(D29&gt;=50000000,"50M+",IF(D29&gt;=10000000,"10M+",IF(D29&gt;=5000000,"5M+",IF(D29&gt;=1000000,"1M+","1M 미만"))))))))</f>
        <v>100M+</v>
      </c>
      <c r="F29" s="38" t="s">
        <v>1010</v>
      </c>
      <c r="G29" s="38" t="s">
        <v>1010</v>
      </c>
      <c r="H29" s="36" t="str">
        <f aca="false">IF(AND(ISNUMBER(B29),B29&lt;=$B$2,ISNUMBER(C29),C29&lt;=$B$3),"① 둘 다 높음",IF(AND(ISNUMBER(B29),B29&lt;=$B$2),"② 매출만 높음",IF(AND(ISNUMBER(C29),C29&lt;=$B$3),"③ 다운로드만 높음","④ 둘 다 기준 밖")))</f>
        <v>② 매출만 높음</v>
      </c>
      <c r="I29" s="36"/>
    </row>
    <row r="30" customFormat="false" ht="15" hidden="false" customHeight="false" outlineLevel="0" collapsed="false">
      <c r="A30" s="37" t="s">
        <v>906</v>
      </c>
      <c r="B30" s="59" t="n">
        <v>25</v>
      </c>
      <c r="C30" s="19" t="s">
        <v>427</v>
      </c>
      <c r="D30" s="66" t="n">
        <v>22000000</v>
      </c>
      <c r="E30" s="38" t="str">
        <f aca="false">IF(D30="","",IF(D30&gt;=1000000000,"1B+",IF(D30&gt;=500000000,"500M+",IF(D30&gt;=100000000,"100M+",IF(D30&gt;=50000000,"50M+",IF(D30&gt;=10000000,"10M+",IF(D30&gt;=5000000,"5M+",IF(D30&gt;=1000000,"1M+","1M 미만"))))))))</f>
        <v>10M+</v>
      </c>
      <c r="F30" s="38" t="s">
        <v>1010</v>
      </c>
      <c r="G30" s="38" t="s">
        <v>1010</v>
      </c>
      <c r="H30" s="36" t="str">
        <f aca="false">IF(AND(ISNUMBER(B30),B30&lt;=$B$2,ISNUMBER(C30),C30&lt;=$B$3),"① 둘 다 높음",IF(AND(ISNUMBER(B30),B30&lt;=$B$2),"② 매출만 높음",IF(AND(ISNUMBER(C30),C30&lt;=$B$3),"③ 다운로드만 높음","④ 둘 다 기준 밖")))</f>
        <v>② 매출만 높음</v>
      </c>
      <c r="I30" s="36"/>
    </row>
    <row r="31" customFormat="false" ht="15" hidden="false" customHeight="false" outlineLevel="0" collapsed="false">
      <c r="A31" s="37" t="s">
        <v>255</v>
      </c>
      <c r="B31" s="59" t="n">
        <v>27</v>
      </c>
      <c r="C31" s="59" t="n">
        <v>83</v>
      </c>
      <c r="D31" s="66" t="n">
        <v>29000000</v>
      </c>
      <c r="E31" s="38" t="str">
        <f aca="false">IF(D31="","",IF(D31&gt;=1000000000,"1B+",IF(D31&gt;=500000000,"500M+",IF(D31&gt;=100000000,"100M+",IF(D31&gt;=50000000,"50M+",IF(D31&gt;=10000000,"10M+",IF(D31&gt;=5000000,"5M+",IF(D31&gt;=1000000,"1M+","1M 미만"))))))))</f>
        <v>10M+</v>
      </c>
      <c r="F31" s="38" t="s">
        <v>1010</v>
      </c>
      <c r="G31" s="38" t="s">
        <v>1010</v>
      </c>
      <c r="H31" s="36" t="str">
        <f aca="false">IF(AND(ISNUMBER(B31),B31&lt;=$B$2,ISNUMBER(C31),C31&lt;=$B$3),"① 둘 다 높음",IF(AND(ISNUMBER(B31),B31&lt;=$B$2),"② 매출만 높음",IF(AND(ISNUMBER(C31),C31&lt;=$B$3),"③ 다운로드만 높음","④ 둘 다 기준 밖")))</f>
        <v>② 매출만 높음</v>
      </c>
      <c r="I31" s="36"/>
    </row>
    <row r="32" customFormat="false" ht="15" hidden="false" customHeight="false" outlineLevel="0" collapsed="false">
      <c r="A32" s="37" t="s">
        <v>456</v>
      </c>
      <c r="B32" s="59" t="n">
        <v>28</v>
      </c>
      <c r="C32" s="59" t="n">
        <v>97</v>
      </c>
      <c r="D32" s="66" t="n">
        <v>2200000000</v>
      </c>
      <c r="E32" s="38" t="str">
        <f aca="false">IF(D32="","",IF(D32&gt;=1000000000,"1B+",IF(D32&gt;=500000000,"500M+",IF(D32&gt;=100000000,"100M+",IF(D32&gt;=50000000,"50M+",IF(D32&gt;=10000000,"10M+",IF(D32&gt;=5000000,"5M+",IF(D32&gt;=1000000,"1M+","1M 미만"))))))))</f>
        <v>1B+</v>
      </c>
      <c r="F32" s="38" t="s">
        <v>1010</v>
      </c>
      <c r="G32" s="38" t="s">
        <v>1010</v>
      </c>
      <c r="H32" s="36" t="str">
        <f aca="false">IF(AND(ISNUMBER(B32),B32&lt;=$B$2,ISNUMBER(C32),C32&lt;=$B$3),"① 둘 다 높음",IF(AND(ISNUMBER(B32),B32&lt;=$B$2),"② 매출만 높음",IF(AND(ISNUMBER(C32),C32&lt;=$B$3),"③ 다운로드만 높음","④ 둘 다 기준 밖")))</f>
        <v>② 매출만 높음</v>
      </c>
      <c r="I32" s="36"/>
    </row>
    <row r="33" customFormat="false" ht="15" hidden="false" customHeight="false" outlineLevel="0" collapsed="false">
      <c r="A33" s="37" t="s">
        <v>413</v>
      </c>
      <c r="B33" s="59" t="n">
        <v>29</v>
      </c>
      <c r="C33" s="59" t="n">
        <v>68</v>
      </c>
      <c r="D33" s="66" t="n">
        <v>69000000</v>
      </c>
      <c r="E33" s="38" t="str">
        <f aca="false">IF(D33="","",IF(D33&gt;=1000000000,"1B+",IF(D33&gt;=500000000,"500M+",IF(D33&gt;=100000000,"100M+",IF(D33&gt;=50000000,"50M+",IF(D33&gt;=10000000,"10M+",IF(D33&gt;=5000000,"5M+",IF(D33&gt;=1000000,"1M+","1M 미만"))))))))</f>
        <v>50M+</v>
      </c>
      <c r="F33" s="38" t="s">
        <v>1010</v>
      </c>
      <c r="G33" s="38" t="s">
        <v>1010</v>
      </c>
      <c r="H33" s="36" t="str">
        <f aca="false">IF(AND(ISNUMBER(B33),B33&lt;=$B$2,ISNUMBER(C33),C33&lt;=$B$3),"① 둘 다 높음",IF(AND(ISNUMBER(B33),B33&lt;=$B$2),"② 매출만 높음",IF(AND(ISNUMBER(C33),C33&lt;=$B$3),"③ 다운로드만 높음","④ 둘 다 기준 밖")))</f>
        <v>② 매출만 높음</v>
      </c>
      <c r="I33" s="36"/>
    </row>
    <row r="34" customFormat="false" ht="15" hidden="false" customHeight="false" outlineLevel="0" collapsed="false">
      <c r="A34" s="37" t="s">
        <v>184</v>
      </c>
      <c r="B34" s="59" t="n">
        <v>30</v>
      </c>
      <c r="C34" s="19" t="s">
        <v>427</v>
      </c>
      <c r="D34" s="66" t="n">
        <v>27000000</v>
      </c>
      <c r="E34" s="38" t="str">
        <f aca="false">IF(D34="","",IF(D34&gt;=1000000000,"1B+",IF(D34&gt;=500000000,"500M+",IF(D34&gt;=100000000,"100M+",IF(D34&gt;=50000000,"50M+",IF(D34&gt;=10000000,"10M+",IF(D34&gt;=5000000,"5M+",IF(D34&gt;=1000000,"1M+","1M 미만"))))))))</f>
        <v>10M+</v>
      </c>
      <c r="F34" s="38" t="s">
        <v>1010</v>
      </c>
      <c r="G34" s="38" t="s">
        <v>1010</v>
      </c>
      <c r="H34" s="36" t="str">
        <f aca="false">IF(AND(ISNUMBER(B34),B34&lt;=$B$2,ISNUMBER(C34),C34&lt;=$B$3),"① 둘 다 높음",IF(AND(ISNUMBER(B34),B34&lt;=$B$2),"② 매출만 높음",IF(AND(ISNUMBER(C34),C34&lt;=$B$3),"③ 다운로드만 높음","④ 둘 다 기준 밖")))</f>
        <v>② 매출만 높음</v>
      </c>
      <c r="I34" s="36"/>
    </row>
    <row r="35" customFormat="false" ht="15" hidden="false" customHeight="false" outlineLevel="0" collapsed="false">
      <c r="A35" s="37" t="s">
        <v>910</v>
      </c>
      <c r="B35" s="59" t="n">
        <v>31</v>
      </c>
      <c r="C35" s="19" t="s">
        <v>427</v>
      </c>
      <c r="D35" s="66" t="n">
        <v>880000000</v>
      </c>
      <c r="E35" s="38" t="str">
        <f aca="false">IF(D35="","",IF(D35&gt;=1000000000,"1B+",IF(D35&gt;=500000000,"500M+",IF(D35&gt;=100000000,"100M+",IF(D35&gt;=50000000,"50M+",IF(D35&gt;=10000000,"10M+",IF(D35&gt;=5000000,"5M+",IF(D35&gt;=1000000,"1M+","1M 미만"))))))))</f>
        <v>500M+</v>
      </c>
      <c r="F35" s="38" t="s">
        <v>1010</v>
      </c>
      <c r="G35" s="38" t="s">
        <v>1010</v>
      </c>
      <c r="H35" s="36" t="str">
        <f aca="false">IF(AND(ISNUMBER(B35),B35&lt;=$B$2,ISNUMBER(C35),C35&lt;=$B$3),"① 둘 다 높음",IF(AND(ISNUMBER(B35),B35&lt;=$B$2),"② 매출만 높음",IF(AND(ISNUMBER(C35),C35&lt;=$B$3),"③ 다운로드만 높음","④ 둘 다 기준 밖")))</f>
        <v>④ 둘 다 기준 밖</v>
      </c>
      <c r="I35" s="36"/>
    </row>
    <row r="36" customFormat="false" ht="15" hidden="false" customHeight="false" outlineLevel="0" collapsed="false">
      <c r="A36" s="37" t="s">
        <v>912</v>
      </c>
      <c r="B36" s="59" t="n">
        <v>32</v>
      </c>
      <c r="C36" s="19" t="s">
        <v>427</v>
      </c>
      <c r="D36" s="66" t="n">
        <v>630000000</v>
      </c>
      <c r="E36" s="38" t="str">
        <f aca="false">IF(D36="","",IF(D36&gt;=1000000000,"1B+",IF(D36&gt;=500000000,"500M+",IF(D36&gt;=100000000,"100M+",IF(D36&gt;=50000000,"50M+",IF(D36&gt;=10000000,"10M+",IF(D36&gt;=5000000,"5M+",IF(D36&gt;=1000000,"1M+","1M 미만"))))))))</f>
        <v>500M+</v>
      </c>
      <c r="F36" s="38" t="s">
        <v>1010</v>
      </c>
      <c r="G36" s="38" t="s">
        <v>1010</v>
      </c>
      <c r="H36" s="36" t="str">
        <f aca="false">IF(AND(ISNUMBER(B36),B36&lt;=$B$2,ISNUMBER(C36),C36&lt;=$B$3),"① 둘 다 높음",IF(AND(ISNUMBER(B36),B36&lt;=$B$2),"② 매출만 높음",IF(AND(ISNUMBER(C36),C36&lt;=$B$3),"③ 다운로드만 높음","④ 둘 다 기준 밖")))</f>
        <v>④ 둘 다 기준 밖</v>
      </c>
      <c r="I36" s="36"/>
    </row>
    <row r="37" customFormat="false" ht="15" hidden="false" customHeight="false" outlineLevel="0" collapsed="false">
      <c r="A37" s="37" t="s">
        <v>913</v>
      </c>
      <c r="B37" s="59" t="n">
        <v>33</v>
      </c>
      <c r="C37" s="19" t="s">
        <v>427</v>
      </c>
      <c r="D37" s="66" t="n">
        <v>15000000</v>
      </c>
      <c r="E37" s="38" t="str">
        <f aca="false">IF(D37="","",IF(D37&gt;=1000000000,"1B+",IF(D37&gt;=500000000,"500M+",IF(D37&gt;=100000000,"100M+",IF(D37&gt;=50000000,"50M+",IF(D37&gt;=10000000,"10M+",IF(D37&gt;=5000000,"5M+",IF(D37&gt;=1000000,"1M+","1M 미만"))))))))</f>
        <v>10M+</v>
      </c>
      <c r="F37" s="38" t="s">
        <v>1010</v>
      </c>
      <c r="G37" s="38" t="s">
        <v>1010</v>
      </c>
      <c r="H37" s="36" t="str">
        <f aca="false">IF(AND(ISNUMBER(B37),B37&lt;=$B$2,ISNUMBER(C37),C37&lt;=$B$3),"① 둘 다 높음",IF(AND(ISNUMBER(B37),B37&lt;=$B$2),"② 매출만 높음",IF(AND(ISNUMBER(C37),C37&lt;=$B$3),"③ 다운로드만 높음","④ 둘 다 기준 밖")))</f>
        <v>④ 둘 다 기준 밖</v>
      </c>
      <c r="I37" s="36"/>
    </row>
    <row r="38" customFormat="false" ht="15" hidden="false" customHeight="false" outlineLevel="0" collapsed="false">
      <c r="A38" s="37" t="s">
        <v>914</v>
      </c>
      <c r="B38" s="59" t="n">
        <v>34</v>
      </c>
      <c r="C38" s="19" t="s">
        <v>427</v>
      </c>
      <c r="D38" s="66" t="n">
        <v>2600000</v>
      </c>
      <c r="E38" s="38" t="str">
        <f aca="false">IF(D38="","",IF(D38&gt;=1000000000,"1B+",IF(D38&gt;=500000000,"500M+",IF(D38&gt;=100000000,"100M+",IF(D38&gt;=50000000,"50M+",IF(D38&gt;=10000000,"10M+",IF(D38&gt;=5000000,"5M+",IF(D38&gt;=1000000,"1M+","1M 미만"))))))))</f>
        <v>1M+</v>
      </c>
      <c r="F38" s="38" t="s">
        <v>1010</v>
      </c>
      <c r="G38" s="38" t="s">
        <v>1010</v>
      </c>
      <c r="H38" s="36" t="str">
        <f aca="false">IF(AND(ISNUMBER(B38),B38&lt;=$B$2,ISNUMBER(C38),C38&lt;=$B$3),"① 둘 다 높음",IF(AND(ISNUMBER(B38),B38&lt;=$B$2),"② 매출만 높음",IF(AND(ISNUMBER(C38),C38&lt;=$B$3),"③ 다운로드만 높음","④ 둘 다 기준 밖")))</f>
        <v>④ 둘 다 기준 밖</v>
      </c>
      <c r="I38" s="36"/>
    </row>
    <row r="39" customFormat="false" ht="15" hidden="false" customHeight="false" outlineLevel="0" collapsed="false">
      <c r="A39" s="37" t="s">
        <v>261</v>
      </c>
      <c r="B39" s="59" t="n">
        <v>35</v>
      </c>
      <c r="C39" s="59" t="n">
        <v>49</v>
      </c>
      <c r="D39" s="66" t="n">
        <v>13000000</v>
      </c>
      <c r="E39" s="38" t="str">
        <f aca="false">IF(D39="","",IF(D39&gt;=1000000000,"1B+",IF(D39&gt;=500000000,"500M+",IF(D39&gt;=100000000,"100M+",IF(D39&gt;=50000000,"50M+",IF(D39&gt;=10000000,"10M+",IF(D39&gt;=5000000,"5M+",IF(D39&gt;=1000000,"1M+","1M 미만"))))))))</f>
        <v>10M+</v>
      </c>
      <c r="F39" s="38" t="s">
        <v>1010</v>
      </c>
      <c r="G39" s="38" t="s">
        <v>1010</v>
      </c>
      <c r="H39" s="36" t="str">
        <f aca="false">IF(AND(ISNUMBER(B39),B39&lt;=$B$2,ISNUMBER(C39),C39&lt;=$B$3),"① 둘 다 높음",IF(AND(ISNUMBER(B39),B39&lt;=$B$2),"② 매출만 높음",IF(AND(ISNUMBER(C39),C39&lt;=$B$3),"③ 다운로드만 높음","④ 둘 다 기준 밖")))</f>
        <v>④ 둘 다 기준 밖</v>
      </c>
      <c r="I39" s="36"/>
    </row>
    <row r="40" customFormat="false" ht="15" hidden="false" customHeight="false" outlineLevel="0" collapsed="false">
      <c r="A40" s="37" t="s">
        <v>917</v>
      </c>
      <c r="B40" s="59" t="n">
        <v>36</v>
      </c>
      <c r="C40" s="19" t="s">
        <v>427</v>
      </c>
      <c r="D40" s="66" t="n">
        <v>34000000</v>
      </c>
      <c r="E40" s="38" t="str">
        <f aca="false">IF(D40="","",IF(D40&gt;=1000000000,"1B+",IF(D40&gt;=500000000,"500M+",IF(D40&gt;=100000000,"100M+",IF(D40&gt;=50000000,"50M+",IF(D40&gt;=10000000,"10M+",IF(D40&gt;=5000000,"5M+",IF(D40&gt;=1000000,"1M+","1M 미만"))))))))</f>
        <v>10M+</v>
      </c>
      <c r="F40" s="38" t="s">
        <v>1010</v>
      </c>
      <c r="G40" s="38" t="s">
        <v>1010</v>
      </c>
      <c r="H40" s="36" t="str">
        <f aca="false">IF(AND(ISNUMBER(B40),B40&lt;=$B$2,ISNUMBER(C40),C40&lt;=$B$3),"① 둘 다 높음",IF(AND(ISNUMBER(B40),B40&lt;=$B$2),"② 매출만 높음",IF(AND(ISNUMBER(C40),C40&lt;=$B$3),"③ 다운로드만 높음","④ 둘 다 기준 밖")))</f>
        <v>④ 둘 다 기준 밖</v>
      </c>
      <c r="I40" s="36"/>
    </row>
    <row r="41" customFormat="false" ht="15" hidden="false" customHeight="false" outlineLevel="0" collapsed="false">
      <c r="A41" s="37" t="s">
        <v>919</v>
      </c>
      <c r="B41" s="59" t="n">
        <v>37</v>
      </c>
      <c r="C41" s="19" t="s">
        <v>427</v>
      </c>
      <c r="D41" s="66" t="n">
        <v>520000000</v>
      </c>
      <c r="E41" s="38" t="str">
        <f aca="false">IF(D41="","",IF(D41&gt;=1000000000,"1B+",IF(D41&gt;=500000000,"500M+",IF(D41&gt;=100000000,"100M+",IF(D41&gt;=50000000,"50M+",IF(D41&gt;=10000000,"10M+",IF(D41&gt;=5000000,"5M+",IF(D41&gt;=1000000,"1M+","1M 미만"))))))))</f>
        <v>500M+</v>
      </c>
      <c r="F41" s="38" t="s">
        <v>1010</v>
      </c>
      <c r="G41" s="38" t="s">
        <v>1010</v>
      </c>
      <c r="H41" s="36" t="str">
        <f aca="false">IF(AND(ISNUMBER(B41),B41&lt;=$B$2,ISNUMBER(C41),C41&lt;=$B$3),"① 둘 다 높음",IF(AND(ISNUMBER(B41),B41&lt;=$B$2),"② 매출만 높음",IF(AND(ISNUMBER(C41),C41&lt;=$B$3),"③ 다운로드만 높음","④ 둘 다 기준 밖")))</f>
        <v>④ 둘 다 기준 밖</v>
      </c>
      <c r="I41" s="36"/>
    </row>
    <row r="42" customFormat="false" ht="15" hidden="false" customHeight="false" outlineLevel="0" collapsed="false">
      <c r="A42" s="37" t="s">
        <v>920</v>
      </c>
      <c r="B42" s="59" t="n">
        <v>38</v>
      </c>
      <c r="C42" s="19" t="s">
        <v>427</v>
      </c>
      <c r="D42" s="66" t="n">
        <v>33000000</v>
      </c>
      <c r="E42" s="38" t="str">
        <f aca="false">IF(D42="","",IF(D42&gt;=1000000000,"1B+",IF(D42&gt;=500000000,"500M+",IF(D42&gt;=100000000,"100M+",IF(D42&gt;=50000000,"50M+",IF(D42&gt;=10000000,"10M+",IF(D42&gt;=5000000,"5M+",IF(D42&gt;=1000000,"1M+","1M 미만"))))))))</f>
        <v>10M+</v>
      </c>
      <c r="F42" s="38" t="s">
        <v>1010</v>
      </c>
      <c r="G42" s="38" t="s">
        <v>1010</v>
      </c>
      <c r="H42" s="36" t="str">
        <f aca="false">IF(AND(ISNUMBER(B42),B42&lt;=$B$2,ISNUMBER(C42),C42&lt;=$B$3),"① 둘 다 높음",IF(AND(ISNUMBER(B42),B42&lt;=$B$2),"② 매출만 높음",IF(AND(ISNUMBER(C42),C42&lt;=$B$3),"③ 다운로드만 높음","④ 둘 다 기준 밖")))</f>
        <v>④ 둘 다 기준 밖</v>
      </c>
      <c r="I42" s="36"/>
    </row>
    <row r="43" customFormat="false" ht="15" hidden="false" customHeight="false" outlineLevel="0" collapsed="false">
      <c r="A43" s="37" t="s">
        <v>378</v>
      </c>
      <c r="B43" s="59" t="n">
        <v>39</v>
      </c>
      <c r="C43" s="59" t="n">
        <v>40</v>
      </c>
      <c r="D43" s="66" t="n">
        <v>3400000</v>
      </c>
      <c r="E43" s="38" t="str">
        <f aca="false">IF(D43="","",IF(D43&gt;=1000000000,"1B+",IF(D43&gt;=500000000,"500M+",IF(D43&gt;=100000000,"100M+",IF(D43&gt;=50000000,"50M+",IF(D43&gt;=10000000,"10M+",IF(D43&gt;=5000000,"5M+",IF(D43&gt;=1000000,"1M+","1M 미만"))))))))</f>
        <v>1M+</v>
      </c>
      <c r="F43" s="38" t="s">
        <v>1010</v>
      </c>
      <c r="G43" s="38" t="s">
        <v>1010</v>
      </c>
      <c r="H43" s="36" t="str">
        <f aca="false">IF(AND(ISNUMBER(B43),B43&lt;=$B$2,ISNUMBER(C43),C43&lt;=$B$3),"① 둘 다 높음",IF(AND(ISNUMBER(B43),B43&lt;=$B$2),"② 매출만 높음",IF(AND(ISNUMBER(C43),C43&lt;=$B$3),"③ 다운로드만 높음","④ 둘 다 기준 밖")))</f>
        <v>④ 둘 다 기준 밖</v>
      </c>
      <c r="I43" s="36"/>
    </row>
    <row r="44" customFormat="false" ht="15" hidden="false" customHeight="false" outlineLevel="0" collapsed="false">
      <c r="A44" s="37" t="s">
        <v>921</v>
      </c>
      <c r="B44" s="59" t="n">
        <v>40</v>
      </c>
      <c r="C44" s="19" t="s">
        <v>427</v>
      </c>
      <c r="D44" s="66" t="n">
        <v>37000000</v>
      </c>
      <c r="E44" s="38" t="str">
        <f aca="false">IF(D44="","",IF(D44&gt;=1000000000,"1B+",IF(D44&gt;=500000000,"500M+",IF(D44&gt;=100000000,"100M+",IF(D44&gt;=50000000,"50M+",IF(D44&gt;=10000000,"10M+",IF(D44&gt;=5000000,"5M+",IF(D44&gt;=1000000,"1M+","1M 미만"))))))))</f>
        <v>10M+</v>
      </c>
      <c r="F44" s="38" t="s">
        <v>1010</v>
      </c>
      <c r="G44" s="38" t="s">
        <v>1010</v>
      </c>
      <c r="H44" s="36" t="str">
        <f aca="false">IF(AND(ISNUMBER(B44),B44&lt;=$B$2,ISNUMBER(C44),C44&lt;=$B$3),"① 둘 다 높음",IF(AND(ISNUMBER(B44),B44&lt;=$B$2),"② 매출만 높음",IF(AND(ISNUMBER(C44),C44&lt;=$B$3),"③ 다운로드만 높음","④ 둘 다 기준 밖")))</f>
        <v>④ 둘 다 기준 밖</v>
      </c>
      <c r="I44" s="36"/>
    </row>
    <row r="45" customFormat="false" ht="15" hidden="false" customHeight="false" outlineLevel="0" collapsed="false">
      <c r="A45" s="37" t="s">
        <v>923</v>
      </c>
      <c r="B45" s="59" t="n">
        <v>41</v>
      </c>
      <c r="C45" s="19" t="s">
        <v>427</v>
      </c>
      <c r="D45" s="66" t="n">
        <v>69000000</v>
      </c>
      <c r="E45" s="38" t="str">
        <f aca="false">IF(D45="","",IF(D45&gt;=1000000000,"1B+",IF(D45&gt;=500000000,"500M+",IF(D45&gt;=100000000,"100M+",IF(D45&gt;=50000000,"50M+",IF(D45&gt;=10000000,"10M+",IF(D45&gt;=5000000,"5M+",IF(D45&gt;=1000000,"1M+","1M 미만"))))))))</f>
        <v>50M+</v>
      </c>
      <c r="F45" s="38" t="s">
        <v>1010</v>
      </c>
      <c r="G45" s="38" t="s">
        <v>1010</v>
      </c>
      <c r="H45" s="36" t="str">
        <f aca="false">IF(AND(ISNUMBER(B45),B45&lt;=$B$2,ISNUMBER(C45),C45&lt;=$B$3),"① 둘 다 높음",IF(AND(ISNUMBER(B45),B45&lt;=$B$2),"② 매출만 높음",IF(AND(ISNUMBER(C45),C45&lt;=$B$3),"③ 다운로드만 높음","④ 둘 다 기준 밖")))</f>
        <v>④ 둘 다 기준 밖</v>
      </c>
      <c r="I45" s="36"/>
    </row>
    <row r="46" customFormat="false" ht="15" hidden="false" customHeight="false" outlineLevel="0" collapsed="false">
      <c r="A46" s="37" t="s">
        <v>925</v>
      </c>
      <c r="B46" s="59" t="n">
        <v>42</v>
      </c>
      <c r="C46" s="19" t="s">
        <v>427</v>
      </c>
      <c r="D46" s="66" t="n">
        <v>18000000</v>
      </c>
      <c r="E46" s="38" t="str">
        <f aca="false">IF(D46="","",IF(D46&gt;=1000000000,"1B+",IF(D46&gt;=500000000,"500M+",IF(D46&gt;=100000000,"100M+",IF(D46&gt;=50000000,"50M+",IF(D46&gt;=10000000,"10M+",IF(D46&gt;=5000000,"5M+",IF(D46&gt;=1000000,"1M+","1M 미만"))))))))</f>
        <v>10M+</v>
      </c>
      <c r="F46" s="38" t="s">
        <v>1010</v>
      </c>
      <c r="G46" s="38" t="s">
        <v>1010</v>
      </c>
      <c r="H46" s="36" t="str">
        <f aca="false">IF(AND(ISNUMBER(B46),B46&lt;=$B$2,ISNUMBER(C46),C46&lt;=$B$3),"① 둘 다 높음",IF(AND(ISNUMBER(B46),B46&lt;=$B$2),"② 매출만 높음",IF(AND(ISNUMBER(C46),C46&lt;=$B$3),"③ 다운로드만 높음","④ 둘 다 기준 밖")))</f>
        <v>④ 둘 다 기준 밖</v>
      </c>
      <c r="I46" s="36"/>
    </row>
    <row r="47" customFormat="false" ht="15" hidden="false" customHeight="false" outlineLevel="0" collapsed="false">
      <c r="A47" s="37" t="s">
        <v>204</v>
      </c>
      <c r="B47" s="59" t="n">
        <v>43</v>
      </c>
      <c r="C47" s="59" t="n">
        <v>62</v>
      </c>
      <c r="D47" s="66" t="n">
        <v>19000000</v>
      </c>
      <c r="E47" s="38" t="str">
        <f aca="false">IF(D47="","",IF(D47&gt;=1000000000,"1B+",IF(D47&gt;=500000000,"500M+",IF(D47&gt;=100000000,"100M+",IF(D47&gt;=50000000,"50M+",IF(D47&gt;=10000000,"10M+",IF(D47&gt;=5000000,"5M+",IF(D47&gt;=1000000,"1M+","1M 미만"))))))))</f>
        <v>10M+</v>
      </c>
      <c r="F47" s="38" t="s">
        <v>1010</v>
      </c>
      <c r="G47" s="38" t="s">
        <v>1010</v>
      </c>
      <c r="H47" s="36" t="str">
        <f aca="false">IF(AND(ISNUMBER(B47),B47&lt;=$B$2,ISNUMBER(C47),C47&lt;=$B$3),"① 둘 다 높음",IF(AND(ISNUMBER(B47),B47&lt;=$B$2),"② 매출만 높음",IF(AND(ISNUMBER(C47),C47&lt;=$B$3),"③ 다운로드만 높음","④ 둘 다 기준 밖")))</f>
        <v>④ 둘 다 기준 밖</v>
      </c>
      <c r="I47" s="36"/>
    </row>
    <row r="48" customFormat="false" ht="15" hidden="false" customHeight="false" outlineLevel="0" collapsed="false">
      <c r="A48" s="37" t="s">
        <v>927</v>
      </c>
      <c r="B48" s="59" t="n">
        <v>44</v>
      </c>
      <c r="C48" s="19" t="s">
        <v>427</v>
      </c>
      <c r="D48" s="66" t="n">
        <v>7300000</v>
      </c>
      <c r="E48" s="38" t="str">
        <f aca="false">IF(D48="","",IF(D48&gt;=1000000000,"1B+",IF(D48&gt;=500000000,"500M+",IF(D48&gt;=100000000,"100M+",IF(D48&gt;=50000000,"50M+",IF(D48&gt;=10000000,"10M+",IF(D48&gt;=5000000,"5M+",IF(D48&gt;=1000000,"1M+","1M 미만"))))))))</f>
        <v>5M+</v>
      </c>
      <c r="F48" s="38" t="s">
        <v>1010</v>
      </c>
      <c r="G48" s="38" t="s">
        <v>1010</v>
      </c>
      <c r="H48" s="36" t="str">
        <f aca="false">IF(AND(ISNUMBER(B48),B48&lt;=$B$2,ISNUMBER(C48),C48&lt;=$B$3),"① 둘 다 높음",IF(AND(ISNUMBER(B48),B48&lt;=$B$2),"② 매출만 높음",IF(AND(ISNUMBER(C48),C48&lt;=$B$3),"③ 다운로드만 높음","④ 둘 다 기준 밖")))</f>
        <v>④ 둘 다 기준 밖</v>
      </c>
      <c r="I48" s="36"/>
    </row>
    <row r="49" customFormat="false" ht="15" hidden="false" customHeight="false" outlineLevel="0" collapsed="false">
      <c r="A49" s="37" t="s">
        <v>928</v>
      </c>
      <c r="B49" s="59" t="n">
        <v>45</v>
      </c>
      <c r="C49" s="19" t="s">
        <v>427</v>
      </c>
      <c r="D49" s="66" t="n">
        <v>5800000</v>
      </c>
      <c r="E49" s="38" t="str">
        <f aca="false">IF(D49="","",IF(D49&gt;=1000000000,"1B+",IF(D49&gt;=500000000,"500M+",IF(D49&gt;=100000000,"100M+",IF(D49&gt;=50000000,"50M+",IF(D49&gt;=10000000,"10M+",IF(D49&gt;=5000000,"5M+",IF(D49&gt;=1000000,"1M+","1M 미만"))))))))</f>
        <v>5M+</v>
      </c>
      <c r="F49" s="38" t="s">
        <v>1010</v>
      </c>
      <c r="G49" s="38" t="s">
        <v>1010</v>
      </c>
      <c r="H49" s="36" t="str">
        <f aca="false">IF(AND(ISNUMBER(B49),B49&lt;=$B$2,ISNUMBER(C49),C49&lt;=$B$3),"① 둘 다 높음",IF(AND(ISNUMBER(B49),B49&lt;=$B$2),"② 매출만 높음",IF(AND(ISNUMBER(C49),C49&lt;=$B$3),"③ 다운로드만 높음","④ 둘 다 기준 밖")))</f>
        <v>④ 둘 다 기준 밖</v>
      </c>
      <c r="I49" s="36"/>
    </row>
    <row r="50" customFormat="false" ht="15" hidden="false" customHeight="false" outlineLevel="0" collapsed="false">
      <c r="A50" s="37" t="s">
        <v>930</v>
      </c>
      <c r="B50" s="59" t="n">
        <v>46</v>
      </c>
      <c r="C50" s="19" t="s">
        <v>427</v>
      </c>
      <c r="D50" s="66" t="n">
        <v>32000000</v>
      </c>
      <c r="E50" s="38" t="str">
        <f aca="false">IF(D50="","",IF(D50&gt;=1000000000,"1B+",IF(D50&gt;=500000000,"500M+",IF(D50&gt;=100000000,"100M+",IF(D50&gt;=50000000,"50M+",IF(D50&gt;=10000000,"10M+",IF(D50&gt;=5000000,"5M+",IF(D50&gt;=1000000,"1M+","1M 미만"))))))))</f>
        <v>10M+</v>
      </c>
      <c r="F50" s="38" t="s">
        <v>1010</v>
      </c>
      <c r="G50" s="38" t="s">
        <v>1010</v>
      </c>
      <c r="H50" s="36" t="str">
        <f aca="false">IF(AND(ISNUMBER(B50),B50&lt;=$B$2,ISNUMBER(C50),C50&lt;=$B$3),"① 둘 다 높음",IF(AND(ISNUMBER(B50),B50&lt;=$B$2),"② 매출만 높음",IF(AND(ISNUMBER(C50),C50&lt;=$B$3),"③ 다운로드만 높음","④ 둘 다 기준 밖")))</f>
        <v>④ 둘 다 기준 밖</v>
      </c>
      <c r="I50" s="36"/>
    </row>
    <row r="51" customFormat="false" ht="15" hidden="false" customHeight="false" outlineLevel="0" collapsed="false">
      <c r="A51" s="37" t="s">
        <v>931</v>
      </c>
      <c r="B51" s="59" t="n">
        <v>47</v>
      </c>
      <c r="C51" s="19" t="s">
        <v>427</v>
      </c>
      <c r="D51" s="66" t="n">
        <v>41000000</v>
      </c>
      <c r="E51" s="38" t="str">
        <f aca="false">IF(D51="","",IF(D51&gt;=1000000000,"1B+",IF(D51&gt;=500000000,"500M+",IF(D51&gt;=100000000,"100M+",IF(D51&gt;=50000000,"50M+",IF(D51&gt;=10000000,"10M+",IF(D51&gt;=5000000,"5M+",IF(D51&gt;=1000000,"1M+","1M 미만"))))))))</f>
        <v>10M+</v>
      </c>
      <c r="F51" s="38" t="s">
        <v>1010</v>
      </c>
      <c r="G51" s="38" t="s">
        <v>1010</v>
      </c>
      <c r="H51" s="36" t="str">
        <f aca="false">IF(AND(ISNUMBER(B51),B51&lt;=$B$2,ISNUMBER(C51),C51&lt;=$B$3),"① 둘 다 높음",IF(AND(ISNUMBER(B51),B51&lt;=$B$2),"② 매출만 높음",IF(AND(ISNUMBER(C51),C51&lt;=$B$3),"③ 다운로드만 높음","④ 둘 다 기준 밖")))</f>
        <v>④ 둘 다 기준 밖</v>
      </c>
      <c r="I51" s="36"/>
    </row>
    <row r="52" customFormat="false" ht="15" hidden="false" customHeight="false" outlineLevel="0" collapsed="false">
      <c r="A52" s="37" t="s">
        <v>933</v>
      </c>
      <c r="B52" s="59" t="n">
        <v>48</v>
      </c>
      <c r="C52" s="19" t="s">
        <v>427</v>
      </c>
      <c r="D52" s="66" t="n">
        <v>12000000</v>
      </c>
      <c r="E52" s="38" t="str">
        <f aca="false">IF(D52="","",IF(D52&gt;=1000000000,"1B+",IF(D52&gt;=500000000,"500M+",IF(D52&gt;=100000000,"100M+",IF(D52&gt;=50000000,"50M+",IF(D52&gt;=10000000,"10M+",IF(D52&gt;=5000000,"5M+",IF(D52&gt;=1000000,"1M+","1M 미만"))))))))</f>
        <v>10M+</v>
      </c>
      <c r="F52" s="38" t="s">
        <v>1010</v>
      </c>
      <c r="G52" s="38" t="s">
        <v>1010</v>
      </c>
      <c r="H52" s="36" t="str">
        <f aca="false">IF(AND(ISNUMBER(B52),B52&lt;=$B$2,ISNUMBER(C52),C52&lt;=$B$3),"① 둘 다 높음",IF(AND(ISNUMBER(B52),B52&lt;=$B$2),"② 매출만 높음",IF(AND(ISNUMBER(C52),C52&lt;=$B$3),"③ 다운로드만 높음","④ 둘 다 기준 밖")))</f>
        <v>④ 둘 다 기준 밖</v>
      </c>
      <c r="I52" s="36"/>
    </row>
    <row r="53" customFormat="false" ht="15" hidden="false" customHeight="false" outlineLevel="0" collapsed="false">
      <c r="A53" s="37" t="s">
        <v>283</v>
      </c>
      <c r="B53" s="59" t="n">
        <v>49</v>
      </c>
      <c r="C53" s="59" t="n">
        <v>67</v>
      </c>
      <c r="D53" s="66" t="n">
        <v>9300000</v>
      </c>
      <c r="E53" s="38" t="str">
        <f aca="false">IF(D53="","",IF(D53&gt;=1000000000,"1B+",IF(D53&gt;=500000000,"500M+",IF(D53&gt;=100000000,"100M+",IF(D53&gt;=50000000,"50M+",IF(D53&gt;=10000000,"10M+",IF(D53&gt;=5000000,"5M+",IF(D53&gt;=1000000,"1M+","1M 미만"))))))))</f>
        <v>5M+</v>
      </c>
      <c r="F53" s="38" t="s">
        <v>1010</v>
      </c>
      <c r="G53" s="38" t="s">
        <v>1010</v>
      </c>
      <c r="H53" s="36" t="str">
        <f aca="false">IF(AND(ISNUMBER(B53),B53&lt;=$B$2,ISNUMBER(C53),C53&lt;=$B$3),"① 둘 다 높음",IF(AND(ISNUMBER(B53),B53&lt;=$B$2),"② 매출만 높음",IF(AND(ISNUMBER(C53),C53&lt;=$B$3),"③ 다운로드만 높음","④ 둘 다 기준 밖")))</f>
        <v>④ 둘 다 기준 밖</v>
      </c>
      <c r="I53" s="36"/>
    </row>
    <row r="54" customFormat="false" ht="15" hidden="false" customHeight="false" outlineLevel="0" collapsed="false">
      <c r="A54" s="37" t="s">
        <v>935</v>
      </c>
      <c r="B54" s="59" t="n">
        <v>50</v>
      </c>
      <c r="C54" s="19" t="s">
        <v>427</v>
      </c>
      <c r="D54" s="66" t="n">
        <v>25000000</v>
      </c>
      <c r="E54" s="38" t="str">
        <f aca="false">IF(D54="","",IF(D54&gt;=1000000000,"1B+",IF(D54&gt;=500000000,"500M+",IF(D54&gt;=100000000,"100M+",IF(D54&gt;=50000000,"50M+",IF(D54&gt;=10000000,"10M+",IF(D54&gt;=5000000,"5M+",IF(D54&gt;=1000000,"1M+","1M 미만"))))))))</f>
        <v>10M+</v>
      </c>
      <c r="F54" s="38" t="s">
        <v>1010</v>
      </c>
      <c r="G54" s="38" t="s">
        <v>1010</v>
      </c>
      <c r="H54" s="36" t="str">
        <f aca="false">IF(AND(ISNUMBER(B54),B54&lt;=$B$2,ISNUMBER(C54),C54&lt;=$B$3),"① 둘 다 높음",IF(AND(ISNUMBER(B54),B54&lt;=$B$2),"② 매출만 높음",IF(AND(ISNUMBER(C54),C54&lt;=$B$3),"③ 다운로드만 높음","④ 둘 다 기준 밖")))</f>
        <v>④ 둘 다 기준 밖</v>
      </c>
      <c r="I54" s="36"/>
    </row>
    <row r="55" customFormat="false" ht="15" hidden="false" customHeight="false" outlineLevel="0" collapsed="false">
      <c r="A55" s="37" t="s">
        <v>936</v>
      </c>
      <c r="B55" s="59" t="n">
        <v>51</v>
      </c>
      <c r="C55" s="19" t="s">
        <v>427</v>
      </c>
      <c r="D55" s="66" t="n">
        <v>7600000</v>
      </c>
      <c r="E55" s="38" t="str">
        <f aca="false">IF(D55="","",IF(D55&gt;=1000000000,"1B+",IF(D55&gt;=500000000,"500M+",IF(D55&gt;=100000000,"100M+",IF(D55&gt;=50000000,"50M+",IF(D55&gt;=10000000,"10M+",IF(D55&gt;=5000000,"5M+",IF(D55&gt;=1000000,"1M+","1M 미만"))))))))</f>
        <v>5M+</v>
      </c>
      <c r="F55" s="38" t="s">
        <v>1010</v>
      </c>
      <c r="G55" s="38" t="s">
        <v>1010</v>
      </c>
      <c r="H55" s="36" t="str">
        <f aca="false">IF(AND(ISNUMBER(B55),B55&lt;=$B$2,ISNUMBER(C55),C55&lt;=$B$3),"① 둘 다 높음",IF(AND(ISNUMBER(B55),B55&lt;=$B$2),"② 매출만 높음",IF(AND(ISNUMBER(C55),C55&lt;=$B$3),"③ 다운로드만 높음","④ 둘 다 기준 밖")))</f>
        <v>④ 둘 다 기준 밖</v>
      </c>
      <c r="I55" s="36"/>
    </row>
    <row r="56" customFormat="false" ht="15" hidden="false" customHeight="false" outlineLevel="0" collapsed="false">
      <c r="A56" s="37" t="s">
        <v>937</v>
      </c>
      <c r="B56" s="59" t="n">
        <v>52</v>
      </c>
      <c r="C56" s="19" t="s">
        <v>427</v>
      </c>
      <c r="D56" s="66" t="n">
        <v>23000000</v>
      </c>
      <c r="E56" s="38" t="str">
        <f aca="false">IF(D56="","",IF(D56&gt;=1000000000,"1B+",IF(D56&gt;=500000000,"500M+",IF(D56&gt;=100000000,"100M+",IF(D56&gt;=50000000,"50M+",IF(D56&gt;=10000000,"10M+",IF(D56&gt;=5000000,"5M+",IF(D56&gt;=1000000,"1M+","1M 미만"))))))))</f>
        <v>10M+</v>
      </c>
      <c r="F56" s="38" t="s">
        <v>1010</v>
      </c>
      <c r="G56" s="38" t="s">
        <v>1010</v>
      </c>
      <c r="H56" s="36" t="str">
        <f aca="false">IF(AND(ISNUMBER(B56),B56&lt;=$B$2,ISNUMBER(C56),C56&lt;=$B$3),"① 둘 다 높음",IF(AND(ISNUMBER(B56),B56&lt;=$B$2),"② 매출만 높음",IF(AND(ISNUMBER(C56),C56&lt;=$B$3),"③ 다운로드만 높음","④ 둘 다 기준 밖")))</f>
        <v>④ 둘 다 기준 밖</v>
      </c>
      <c r="I56" s="36"/>
    </row>
    <row r="57" customFormat="false" ht="15" hidden="false" customHeight="false" outlineLevel="0" collapsed="false">
      <c r="A57" s="37" t="s">
        <v>939</v>
      </c>
      <c r="B57" s="59" t="n">
        <v>53</v>
      </c>
      <c r="C57" s="19" t="s">
        <v>427</v>
      </c>
      <c r="D57" s="66" t="n">
        <v>11000000</v>
      </c>
      <c r="E57" s="38" t="str">
        <f aca="false">IF(D57="","",IF(D57&gt;=1000000000,"1B+",IF(D57&gt;=500000000,"500M+",IF(D57&gt;=100000000,"100M+",IF(D57&gt;=50000000,"50M+",IF(D57&gt;=10000000,"10M+",IF(D57&gt;=5000000,"5M+",IF(D57&gt;=1000000,"1M+","1M 미만"))))))))</f>
        <v>10M+</v>
      </c>
      <c r="F57" s="38" t="s">
        <v>1010</v>
      </c>
      <c r="G57" s="38" t="s">
        <v>1010</v>
      </c>
      <c r="H57" s="36" t="str">
        <f aca="false">IF(AND(ISNUMBER(B57),B57&lt;=$B$2,ISNUMBER(C57),C57&lt;=$B$3),"① 둘 다 높음",IF(AND(ISNUMBER(B57),B57&lt;=$B$2),"② 매출만 높음",IF(AND(ISNUMBER(C57),C57&lt;=$B$3),"③ 다운로드만 높음","④ 둘 다 기준 밖")))</f>
        <v>④ 둘 다 기준 밖</v>
      </c>
      <c r="I57" s="36"/>
    </row>
    <row r="58" customFormat="false" ht="15" hidden="false" customHeight="false" outlineLevel="0" collapsed="false">
      <c r="A58" s="37" t="s">
        <v>941</v>
      </c>
      <c r="B58" s="59" t="n">
        <v>54</v>
      </c>
      <c r="C58" s="19" t="s">
        <v>427</v>
      </c>
      <c r="D58" s="66" t="n">
        <v>370000000</v>
      </c>
      <c r="E58" s="38" t="str">
        <f aca="false">IF(D58="","",IF(D58&gt;=1000000000,"1B+",IF(D58&gt;=500000000,"500M+",IF(D58&gt;=100000000,"100M+",IF(D58&gt;=50000000,"50M+",IF(D58&gt;=10000000,"10M+",IF(D58&gt;=5000000,"5M+",IF(D58&gt;=1000000,"1M+","1M 미만"))))))))</f>
        <v>100M+</v>
      </c>
      <c r="F58" s="38" t="s">
        <v>1010</v>
      </c>
      <c r="G58" s="38" t="s">
        <v>1010</v>
      </c>
      <c r="H58" s="36" t="str">
        <f aca="false">IF(AND(ISNUMBER(B58),B58&lt;=$B$2,ISNUMBER(C58),C58&lt;=$B$3),"① 둘 다 높음",IF(AND(ISNUMBER(B58),B58&lt;=$B$2),"② 매출만 높음",IF(AND(ISNUMBER(C58),C58&lt;=$B$3),"③ 다운로드만 높음","④ 둘 다 기준 밖")))</f>
        <v>④ 둘 다 기준 밖</v>
      </c>
      <c r="I58" s="36"/>
    </row>
    <row r="59" customFormat="false" ht="15" hidden="false" customHeight="false" outlineLevel="0" collapsed="false">
      <c r="A59" s="37" t="s">
        <v>942</v>
      </c>
      <c r="B59" s="59" t="n">
        <v>55</v>
      </c>
      <c r="C59" s="19" t="s">
        <v>427</v>
      </c>
      <c r="D59" s="66" t="n">
        <v>78000000</v>
      </c>
      <c r="E59" s="38" t="str">
        <f aca="false">IF(D59="","",IF(D59&gt;=1000000000,"1B+",IF(D59&gt;=500000000,"500M+",IF(D59&gt;=100000000,"100M+",IF(D59&gt;=50000000,"50M+",IF(D59&gt;=10000000,"10M+",IF(D59&gt;=5000000,"5M+",IF(D59&gt;=1000000,"1M+","1M 미만"))))))))</f>
        <v>50M+</v>
      </c>
      <c r="F59" s="38" t="s">
        <v>1010</v>
      </c>
      <c r="G59" s="38" t="s">
        <v>1010</v>
      </c>
      <c r="H59" s="36" t="str">
        <f aca="false">IF(AND(ISNUMBER(B59),B59&lt;=$B$2,ISNUMBER(C59),C59&lt;=$B$3),"① 둘 다 높음",IF(AND(ISNUMBER(B59),B59&lt;=$B$2),"② 매출만 높음",IF(AND(ISNUMBER(C59),C59&lt;=$B$3),"③ 다운로드만 높음","④ 둘 다 기준 밖")))</f>
        <v>④ 둘 다 기준 밖</v>
      </c>
      <c r="I59" s="36"/>
    </row>
    <row r="60" customFormat="false" ht="15" hidden="false" customHeight="false" outlineLevel="0" collapsed="false">
      <c r="A60" s="37" t="s">
        <v>944</v>
      </c>
      <c r="B60" s="59" t="n">
        <v>56</v>
      </c>
      <c r="C60" s="19" t="s">
        <v>427</v>
      </c>
      <c r="D60" s="66" t="n">
        <v>8400000</v>
      </c>
      <c r="E60" s="38" t="str">
        <f aca="false">IF(D60="","",IF(D60&gt;=1000000000,"1B+",IF(D60&gt;=500000000,"500M+",IF(D60&gt;=100000000,"100M+",IF(D60&gt;=50000000,"50M+",IF(D60&gt;=10000000,"10M+",IF(D60&gt;=5000000,"5M+",IF(D60&gt;=1000000,"1M+","1M 미만"))))))))</f>
        <v>5M+</v>
      </c>
      <c r="F60" s="38" t="s">
        <v>1010</v>
      </c>
      <c r="G60" s="38" t="s">
        <v>1010</v>
      </c>
      <c r="H60" s="36" t="str">
        <f aca="false">IF(AND(ISNUMBER(B60),B60&lt;=$B$2,ISNUMBER(C60),C60&lt;=$B$3),"① 둘 다 높음",IF(AND(ISNUMBER(B60),B60&lt;=$B$2),"② 매출만 높음",IF(AND(ISNUMBER(C60),C60&lt;=$B$3),"③ 다운로드만 높음","④ 둘 다 기준 밖")))</f>
        <v>④ 둘 다 기준 밖</v>
      </c>
      <c r="I60" s="36"/>
    </row>
    <row r="61" customFormat="false" ht="15" hidden="false" customHeight="false" outlineLevel="0" collapsed="false">
      <c r="A61" s="37" t="s">
        <v>113</v>
      </c>
      <c r="B61" s="59" t="n">
        <v>57</v>
      </c>
      <c r="C61" s="59" t="n">
        <v>11</v>
      </c>
      <c r="D61" s="66" t="n">
        <v>40000000</v>
      </c>
      <c r="E61" s="38" t="str">
        <f aca="false">IF(D61="","",IF(D61&gt;=1000000000,"1B+",IF(D61&gt;=500000000,"500M+",IF(D61&gt;=100000000,"100M+",IF(D61&gt;=50000000,"50M+",IF(D61&gt;=10000000,"10M+",IF(D61&gt;=5000000,"5M+",IF(D61&gt;=1000000,"1M+","1M 미만"))))))))</f>
        <v>10M+</v>
      </c>
      <c r="F61" s="38" t="s">
        <v>1010</v>
      </c>
      <c r="G61" s="38" t="s">
        <v>1010</v>
      </c>
      <c r="H61" s="36" t="str">
        <f aca="false">IF(AND(ISNUMBER(B61),B61&lt;=$B$2,ISNUMBER(C61),C61&lt;=$B$3),"① 둘 다 높음",IF(AND(ISNUMBER(B61),B61&lt;=$B$2),"② 매출만 높음",IF(AND(ISNUMBER(C61),C61&lt;=$B$3),"③ 다운로드만 높음","④ 둘 다 기준 밖")))</f>
        <v>③ 다운로드만 높음</v>
      </c>
      <c r="I61" s="36"/>
    </row>
    <row r="62" customFormat="false" ht="15" hidden="false" customHeight="false" outlineLevel="0" collapsed="false">
      <c r="A62" s="37" t="s">
        <v>946</v>
      </c>
      <c r="B62" s="59" t="n">
        <v>58</v>
      </c>
      <c r="C62" s="19" t="s">
        <v>427</v>
      </c>
      <c r="D62" s="66" t="n">
        <v>23000000</v>
      </c>
      <c r="E62" s="38" t="str">
        <f aca="false">IF(D62="","",IF(D62&gt;=1000000000,"1B+",IF(D62&gt;=500000000,"500M+",IF(D62&gt;=100000000,"100M+",IF(D62&gt;=50000000,"50M+",IF(D62&gt;=10000000,"10M+",IF(D62&gt;=5000000,"5M+",IF(D62&gt;=1000000,"1M+","1M 미만"))))))))</f>
        <v>10M+</v>
      </c>
      <c r="F62" s="38" t="s">
        <v>1010</v>
      </c>
      <c r="G62" s="38" t="s">
        <v>1010</v>
      </c>
      <c r="H62" s="36" t="str">
        <f aca="false">IF(AND(ISNUMBER(B62),B62&lt;=$B$2,ISNUMBER(C62),C62&lt;=$B$3),"① 둘 다 높음",IF(AND(ISNUMBER(B62),B62&lt;=$B$2),"② 매출만 높음",IF(AND(ISNUMBER(C62),C62&lt;=$B$3),"③ 다운로드만 높음","④ 둘 다 기준 밖")))</f>
        <v>④ 둘 다 기준 밖</v>
      </c>
      <c r="I62" s="36"/>
    </row>
    <row r="63" customFormat="false" ht="15" hidden="false" customHeight="false" outlineLevel="0" collapsed="false">
      <c r="A63" s="37" t="s">
        <v>947</v>
      </c>
      <c r="B63" s="59" t="n">
        <v>59</v>
      </c>
      <c r="C63" s="19" t="s">
        <v>427</v>
      </c>
      <c r="D63" s="66" t="n">
        <v>50000000</v>
      </c>
      <c r="E63" s="38" t="str">
        <f aca="false">IF(D63="","",IF(D63&gt;=1000000000,"1B+",IF(D63&gt;=500000000,"500M+",IF(D63&gt;=100000000,"100M+",IF(D63&gt;=50000000,"50M+",IF(D63&gt;=10000000,"10M+",IF(D63&gt;=5000000,"5M+",IF(D63&gt;=1000000,"1M+","1M 미만"))))))))</f>
        <v>50M+</v>
      </c>
      <c r="F63" s="38" t="s">
        <v>1010</v>
      </c>
      <c r="G63" s="38" t="s">
        <v>1010</v>
      </c>
      <c r="H63" s="36" t="str">
        <f aca="false">IF(AND(ISNUMBER(B63),B63&lt;=$B$2,ISNUMBER(C63),C63&lt;=$B$3),"① 둘 다 높음",IF(AND(ISNUMBER(B63),B63&lt;=$B$2),"② 매출만 높음",IF(AND(ISNUMBER(C63),C63&lt;=$B$3),"③ 다운로드만 높음","④ 둘 다 기준 밖")))</f>
        <v>④ 둘 다 기준 밖</v>
      </c>
      <c r="I63" s="36"/>
    </row>
    <row r="64" customFormat="false" ht="15" hidden="false" customHeight="false" outlineLevel="0" collapsed="false">
      <c r="A64" s="37" t="s">
        <v>949</v>
      </c>
      <c r="B64" s="59" t="n">
        <v>60</v>
      </c>
      <c r="C64" s="19" t="s">
        <v>427</v>
      </c>
      <c r="D64" s="66" t="n">
        <v>1100000000</v>
      </c>
      <c r="E64" s="38" t="str">
        <f aca="false">IF(D64="","",IF(D64&gt;=1000000000,"1B+",IF(D64&gt;=500000000,"500M+",IF(D64&gt;=100000000,"100M+",IF(D64&gt;=50000000,"50M+",IF(D64&gt;=10000000,"10M+",IF(D64&gt;=5000000,"5M+",IF(D64&gt;=1000000,"1M+","1M 미만"))))))))</f>
        <v>1B+</v>
      </c>
      <c r="F64" s="38" t="s">
        <v>1010</v>
      </c>
      <c r="G64" s="38" t="s">
        <v>1010</v>
      </c>
      <c r="H64" s="36" t="str">
        <f aca="false">IF(AND(ISNUMBER(B64),B64&lt;=$B$2,ISNUMBER(C64),C64&lt;=$B$3),"① 둘 다 높음",IF(AND(ISNUMBER(B64),B64&lt;=$B$2),"② 매출만 높음",IF(AND(ISNUMBER(C64),C64&lt;=$B$3),"③ 다운로드만 높음","④ 둘 다 기준 밖")))</f>
        <v>④ 둘 다 기준 밖</v>
      </c>
      <c r="I64" s="36"/>
    </row>
    <row r="65" customFormat="false" ht="15" hidden="false" customHeight="false" outlineLevel="0" collapsed="false">
      <c r="A65" s="37" t="s">
        <v>950</v>
      </c>
      <c r="B65" s="59" t="n">
        <v>61</v>
      </c>
      <c r="C65" s="19" t="s">
        <v>427</v>
      </c>
      <c r="D65" s="66" t="n">
        <v>16000000</v>
      </c>
      <c r="E65" s="38" t="str">
        <f aca="false">IF(D65="","",IF(D65&gt;=1000000000,"1B+",IF(D65&gt;=500000000,"500M+",IF(D65&gt;=100000000,"100M+",IF(D65&gt;=50000000,"50M+",IF(D65&gt;=10000000,"10M+",IF(D65&gt;=5000000,"5M+",IF(D65&gt;=1000000,"1M+","1M 미만"))))))))</f>
        <v>10M+</v>
      </c>
      <c r="F65" s="38" t="s">
        <v>1010</v>
      </c>
      <c r="G65" s="38" t="s">
        <v>1010</v>
      </c>
      <c r="H65" s="36" t="str">
        <f aca="false">IF(AND(ISNUMBER(B65),B65&lt;=$B$2,ISNUMBER(C65),C65&lt;=$B$3),"① 둘 다 높음",IF(AND(ISNUMBER(B65),B65&lt;=$B$2),"② 매출만 높음",IF(AND(ISNUMBER(C65),C65&lt;=$B$3),"③ 다운로드만 높음","④ 둘 다 기준 밖")))</f>
        <v>④ 둘 다 기준 밖</v>
      </c>
      <c r="I65" s="36"/>
    </row>
    <row r="66" customFormat="false" ht="15" hidden="false" customHeight="false" outlineLevel="0" collapsed="false">
      <c r="A66" s="37" t="s">
        <v>951</v>
      </c>
      <c r="B66" s="59" t="n">
        <v>62</v>
      </c>
      <c r="C66" s="19" t="s">
        <v>427</v>
      </c>
      <c r="D66" s="66" t="n">
        <v>11000000</v>
      </c>
      <c r="E66" s="38" t="str">
        <f aca="false">IF(D66="","",IF(D66&gt;=1000000000,"1B+",IF(D66&gt;=500000000,"500M+",IF(D66&gt;=100000000,"100M+",IF(D66&gt;=50000000,"50M+",IF(D66&gt;=10000000,"10M+",IF(D66&gt;=5000000,"5M+",IF(D66&gt;=1000000,"1M+","1M 미만"))))))))</f>
        <v>10M+</v>
      </c>
      <c r="F66" s="38" t="s">
        <v>1010</v>
      </c>
      <c r="G66" s="38" t="s">
        <v>1010</v>
      </c>
      <c r="H66" s="36" t="str">
        <f aca="false">IF(AND(ISNUMBER(B66),B66&lt;=$B$2,ISNUMBER(C66),C66&lt;=$B$3),"① 둘 다 높음",IF(AND(ISNUMBER(B66),B66&lt;=$B$2),"② 매출만 높음",IF(AND(ISNUMBER(C66),C66&lt;=$B$3),"③ 다운로드만 높음","④ 둘 다 기준 밖")))</f>
        <v>④ 둘 다 기준 밖</v>
      </c>
      <c r="I66" s="36"/>
    </row>
    <row r="67" customFormat="false" ht="15" hidden="false" customHeight="false" outlineLevel="0" collapsed="false">
      <c r="A67" s="37" t="s">
        <v>953</v>
      </c>
      <c r="B67" s="59" t="n">
        <v>63</v>
      </c>
      <c r="C67" s="19" t="s">
        <v>427</v>
      </c>
      <c r="D67" s="66" t="n">
        <v>6600000</v>
      </c>
      <c r="E67" s="38" t="str">
        <f aca="false">IF(D67="","",IF(D67&gt;=1000000000,"1B+",IF(D67&gt;=500000000,"500M+",IF(D67&gt;=100000000,"100M+",IF(D67&gt;=50000000,"50M+",IF(D67&gt;=10000000,"10M+",IF(D67&gt;=5000000,"5M+",IF(D67&gt;=1000000,"1M+","1M 미만"))))))))</f>
        <v>5M+</v>
      </c>
      <c r="F67" s="38" t="s">
        <v>1010</v>
      </c>
      <c r="G67" s="38" t="s">
        <v>1010</v>
      </c>
      <c r="H67" s="36" t="str">
        <f aca="false">IF(AND(ISNUMBER(B67),B67&lt;=$B$2,ISNUMBER(C67),C67&lt;=$B$3),"① 둘 다 높음",IF(AND(ISNUMBER(B67),B67&lt;=$B$2),"② 매출만 높음",IF(AND(ISNUMBER(C67),C67&lt;=$B$3),"③ 다운로드만 높음","④ 둘 다 기준 밖")))</f>
        <v>④ 둘 다 기준 밖</v>
      </c>
      <c r="I67" s="36"/>
    </row>
    <row r="68" customFormat="false" ht="15" hidden="false" customHeight="false" outlineLevel="0" collapsed="false">
      <c r="A68" s="37" t="s">
        <v>319</v>
      </c>
      <c r="B68" s="59" t="n">
        <v>64</v>
      </c>
      <c r="C68" s="59" t="n">
        <v>27</v>
      </c>
      <c r="D68" s="66" t="n">
        <v>3000000</v>
      </c>
      <c r="E68" s="38" t="str">
        <f aca="false">IF(D68="","",IF(D68&gt;=1000000000,"1B+",IF(D68&gt;=500000000,"500M+",IF(D68&gt;=100000000,"100M+",IF(D68&gt;=50000000,"50M+",IF(D68&gt;=10000000,"10M+",IF(D68&gt;=5000000,"5M+",IF(D68&gt;=1000000,"1M+","1M 미만"))))))))</f>
        <v>1M+</v>
      </c>
      <c r="F68" s="38" t="s">
        <v>1010</v>
      </c>
      <c r="G68" s="38" t="s">
        <v>1010</v>
      </c>
      <c r="H68" s="36" t="str">
        <f aca="false">IF(AND(ISNUMBER(B68),B68&lt;=$B$2,ISNUMBER(C68),C68&lt;=$B$3),"① 둘 다 높음",IF(AND(ISNUMBER(B68),B68&lt;=$B$2),"② 매출만 높음",IF(AND(ISNUMBER(C68),C68&lt;=$B$3),"③ 다운로드만 높음","④ 둘 다 기준 밖")))</f>
        <v>③ 다운로드만 높음</v>
      </c>
      <c r="I68" s="36"/>
    </row>
    <row r="69" customFormat="false" ht="15" hidden="false" customHeight="false" outlineLevel="0" collapsed="false">
      <c r="A69" s="37" t="s">
        <v>114</v>
      </c>
      <c r="B69" s="59" t="n">
        <v>66</v>
      </c>
      <c r="C69" s="59" t="n">
        <v>21</v>
      </c>
      <c r="D69" s="66" t="n">
        <v>3500000</v>
      </c>
      <c r="E69" s="38" t="str">
        <f aca="false">IF(D69="","",IF(D69&gt;=1000000000,"1B+",IF(D69&gt;=500000000,"500M+",IF(D69&gt;=100000000,"100M+",IF(D69&gt;=50000000,"50M+",IF(D69&gt;=10000000,"10M+",IF(D69&gt;=5000000,"5M+",IF(D69&gt;=1000000,"1M+","1M 미만"))))))))</f>
        <v>1M+</v>
      </c>
      <c r="F69" s="38" t="s">
        <v>1010</v>
      </c>
      <c r="G69" s="38" t="s">
        <v>1010</v>
      </c>
      <c r="H69" s="36" t="str">
        <f aca="false">IF(AND(ISNUMBER(B69),B69&lt;=$B$2,ISNUMBER(C69),C69&lt;=$B$3),"① 둘 다 높음",IF(AND(ISNUMBER(B69),B69&lt;=$B$2),"② 매출만 높음",IF(AND(ISNUMBER(C69),C69&lt;=$B$3),"③ 다운로드만 높음","④ 둘 다 기준 밖")))</f>
        <v>③ 다운로드만 높음</v>
      </c>
      <c r="I69" s="36"/>
    </row>
    <row r="70" customFormat="false" ht="15" hidden="false" customHeight="false" outlineLevel="0" collapsed="false">
      <c r="A70" s="37" t="s">
        <v>276</v>
      </c>
      <c r="B70" s="59" t="n">
        <v>67</v>
      </c>
      <c r="C70" s="19" t="s">
        <v>427</v>
      </c>
      <c r="D70" s="66" t="n">
        <v>550000000</v>
      </c>
      <c r="E70" s="38" t="str">
        <f aca="false">IF(D70="","",IF(D70&gt;=1000000000,"1B+",IF(D70&gt;=500000000,"500M+",IF(D70&gt;=100000000,"100M+",IF(D70&gt;=50000000,"50M+",IF(D70&gt;=10000000,"10M+",IF(D70&gt;=5000000,"5M+",IF(D70&gt;=1000000,"1M+","1M 미만"))))))))</f>
        <v>500M+</v>
      </c>
      <c r="F70" s="38" t="s">
        <v>1010</v>
      </c>
      <c r="G70" s="38" t="s">
        <v>1010</v>
      </c>
      <c r="H70" s="36" t="str">
        <f aca="false">IF(AND(ISNUMBER(B70),B70&lt;=$B$2,ISNUMBER(C70),C70&lt;=$B$3),"① 둘 다 높음",IF(AND(ISNUMBER(B70),B70&lt;=$B$2),"② 매출만 높음",IF(AND(ISNUMBER(C70),C70&lt;=$B$3),"③ 다운로드만 높음","④ 둘 다 기준 밖")))</f>
        <v>④ 둘 다 기준 밖</v>
      </c>
      <c r="I70" s="36"/>
    </row>
    <row r="71" customFormat="false" ht="15" hidden="false" customHeight="false" outlineLevel="0" collapsed="false">
      <c r="A71" s="37" t="s">
        <v>437</v>
      </c>
      <c r="B71" s="59" t="n">
        <v>68</v>
      </c>
      <c r="C71" s="59" t="n">
        <v>87</v>
      </c>
      <c r="D71" s="66" t="n">
        <v>2700000</v>
      </c>
      <c r="E71" s="38" t="str">
        <f aca="false">IF(D71="","",IF(D71&gt;=1000000000,"1B+",IF(D71&gt;=500000000,"500M+",IF(D71&gt;=100000000,"100M+",IF(D71&gt;=50000000,"50M+",IF(D71&gt;=10000000,"10M+",IF(D71&gt;=5000000,"5M+",IF(D71&gt;=1000000,"1M+","1M 미만"))))))))</f>
        <v>1M+</v>
      </c>
      <c r="F71" s="38" t="s">
        <v>1010</v>
      </c>
      <c r="G71" s="38" t="s">
        <v>1010</v>
      </c>
      <c r="H71" s="36" t="str">
        <f aca="false">IF(AND(ISNUMBER(B71),B71&lt;=$B$2,ISNUMBER(C71),C71&lt;=$B$3),"① 둘 다 높음",IF(AND(ISNUMBER(B71),B71&lt;=$B$2),"② 매출만 높음",IF(AND(ISNUMBER(C71),C71&lt;=$B$3),"③ 다운로드만 높음","④ 둘 다 기준 밖")))</f>
        <v>④ 둘 다 기준 밖</v>
      </c>
      <c r="I71" s="36"/>
    </row>
    <row r="72" customFormat="false" ht="15" hidden="false" customHeight="false" outlineLevel="0" collapsed="false">
      <c r="A72" s="37" t="s">
        <v>957</v>
      </c>
      <c r="B72" s="59" t="n">
        <v>69</v>
      </c>
      <c r="C72" s="19" t="s">
        <v>427</v>
      </c>
      <c r="D72" s="66" t="n">
        <v>400000000</v>
      </c>
      <c r="E72" s="38" t="str">
        <f aca="false">IF(D72="","",IF(D72&gt;=1000000000,"1B+",IF(D72&gt;=500000000,"500M+",IF(D72&gt;=100000000,"100M+",IF(D72&gt;=50000000,"50M+",IF(D72&gt;=10000000,"10M+",IF(D72&gt;=5000000,"5M+",IF(D72&gt;=1000000,"1M+","1M 미만"))))))))</f>
        <v>100M+</v>
      </c>
      <c r="F72" s="38" t="s">
        <v>1010</v>
      </c>
      <c r="G72" s="38" t="s">
        <v>1010</v>
      </c>
      <c r="H72" s="36" t="str">
        <f aca="false">IF(AND(ISNUMBER(B72),B72&lt;=$B$2,ISNUMBER(C72),C72&lt;=$B$3),"① 둘 다 높음",IF(AND(ISNUMBER(B72),B72&lt;=$B$2),"② 매출만 높음",IF(AND(ISNUMBER(C72),C72&lt;=$B$3),"③ 다운로드만 높음","④ 둘 다 기준 밖")))</f>
        <v>④ 둘 다 기준 밖</v>
      </c>
      <c r="I72" s="36"/>
    </row>
    <row r="73" customFormat="false" ht="15" hidden="false" customHeight="false" outlineLevel="0" collapsed="false">
      <c r="A73" s="37" t="s">
        <v>157</v>
      </c>
      <c r="B73" s="59" t="n">
        <v>70</v>
      </c>
      <c r="C73" s="59" t="n">
        <v>9</v>
      </c>
      <c r="D73" s="66" t="n">
        <v>10000000</v>
      </c>
      <c r="E73" s="38" t="str">
        <f aca="false">IF(D73="","",IF(D73&gt;=1000000000,"1B+",IF(D73&gt;=500000000,"500M+",IF(D73&gt;=100000000,"100M+",IF(D73&gt;=50000000,"50M+",IF(D73&gt;=10000000,"10M+",IF(D73&gt;=5000000,"5M+",IF(D73&gt;=1000000,"1M+","1M 미만"))))))))</f>
        <v>10M+</v>
      </c>
      <c r="F73" s="38" t="s">
        <v>1010</v>
      </c>
      <c r="G73" s="38" t="s">
        <v>1010</v>
      </c>
      <c r="H73" s="36" t="str">
        <f aca="false">IF(AND(ISNUMBER(B73),B73&lt;=$B$2,ISNUMBER(C73),C73&lt;=$B$3),"① 둘 다 높음",IF(AND(ISNUMBER(B73),B73&lt;=$B$2),"② 매출만 높음",IF(AND(ISNUMBER(C73),C73&lt;=$B$3),"③ 다운로드만 높음","④ 둘 다 기준 밖")))</f>
        <v>③ 다운로드만 높음</v>
      </c>
      <c r="I73" s="36"/>
    </row>
    <row r="74" customFormat="false" ht="15" hidden="false" customHeight="false" outlineLevel="0" collapsed="false">
      <c r="A74" s="37" t="s">
        <v>959</v>
      </c>
      <c r="B74" s="59" t="n">
        <v>71</v>
      </c>
      <c r="C74" s="19" t="s">
        <v>427</v>
      </c>
      <c r="D74" s="66" t="n">
        <v>98000000</v>
      </c>
      <c r="E74" s="38" t="str">
        <f aca="false">IF(D74="","",IF(D74&gt;=1000000000,"1B+",IF(D74&gt;=500000000,"500M+",IF(D74&gt;=100000000,"100M+",IF(D74&gt;=50000000,"50M+",IF(D74&gt;=10000000,"10M+",IF(D74&gt;=5000000,"5M+",IF(D74&gt;=1000000,"1M+","1M 미만"))))))))</f>
        <v>50M+</v>
      </c>
      <c r="F74" s="38" t="s">
        <v>1010</v>
      </c>
      <c r="G74" s="38" t="s">
        <v>1010</v>
      </c>
      <c r="H74" s="36" t="str">
        <f aca="false">IF(AND(ISNUMBER(B74),B74&lt;=$B$2,ISNUMBER(C74),C74&lt;=$B$3),"① 둘 다 높음",IF(AND(ISNUMBER(B74),B74&lt;=$B$2),"② 매출만 높음",IF(AND(ISNUMBER(C74),C74&lt;=$B$3),"③ 다운로드만 높음","④ 둘 다 기준 밖")))</f>
        <v>④ 둘 다 기준 밖</v>
      </c>
      <c r="I74" s="36"/>
    </row>
    <row r="75" customFormat="false" ht="15" hidden="false" customHeight="false" outlineLevel="0" collapsed="false">
      <c r="A75" s="37" t="s">
        <v>961</v>
      </c>
      <c r="B75" s="59" t="n">
        <v>72</v>
      </c>
      <c r="C75" s="19" t="s">
        <v>427</v>
      </c>
      <c r="D75" s="66" t="n">
        <v>8100000</v>
      </c>
      <c r="E75" s="38" t="str">
        <f aca="false">IF(D75="","",IF(D75&gt;=1000000000,"1B+",IF(D75&gt;=500000000,"500M+",IF(D75&gt;=100000000,"100M+",IF(D75&gt;=50000000,"50M+",IF(D75&gt;=10000000,"10M+",IF(D75&gt;=5000000,"5M+",IF(D75&gt;=1000000,"1M+","1M 미만"))))))))</f>
        <v>5M+</v>
      </c>
      <c r="F75" s="38" t="s">
        <v>1010</v>
      </c>
      <c r="G75" s="38" t="s">
        <v>1010</v>
      </c>
      <c r="H75" s="36" t="str">
        <f aca="false">IF(AND(ISNUMBER(B75),B75&lt;=$B$2,ISNUMBER(C75),C75&lt;=$B$3),"① 둘 다 높음",IF(AND(ISNUMBER(B75),B75&lt;=$B$2),"② 매출만 높음",IF(AND(ISNUMBER(C75),C75&lt;=$B$3),"③ 다운로드만 높음","④ 둘 다 기준 밖")))</f>
        <v>④ 둘 다 기준 밖</v>
      </c>
      <c r="I75" s="36"/>
    </row>
    <row r="76" customFormat="false" ht="15" hidden="false" customHeight="false" outlineLevel="0" collapsed="false">
      <c r="A76" s="37" t="s">
        <v>962</v>
      </c>
      <c r="B76" s="59" t="n">
        <v>73</v>
      </c>
      <c r="C76" s="19" t="s">
        <v>427</v>
      </c>
      <c r="D76" s="66" t="n">
        <v>4600000</v>
      </c>
      <c r="E76" s="38" t="str">
        <f aca="false">IF(D76="","",IF(D76&gt;=1000000000,"1B+",IF(D76&gt;=500000000,"500M+",IF(D76&gt;=100000000,"100M+",IF(D76&gt;=50000000,"50M+",IF(D76&gt;=10000000,"10M+",IF(D76&gt;=5000000,"5M+",IF(D76&gt;=1000000,"1M+","1M 미만"))))))))</f>
        <v>1M+</v>
      </c>
      <c r="F76" s="38" t="s">
        <v>1010</v>
      </c>
      <c r="G76" s="38" t="s">
        <v>1010</v>
      </c>
      <c r="H76" s="36" t="str">
        <f aca="false">IF(AND(ISNUMBER(B76),B76&lt;=$B$2,ISNUMBER(C76),C76&lt;=$B$3),"① 둘 다 높음",IF(AND(ISNUMBER(B76),B76&lt;=$B$2),"② 매출만 높음",IF(AND(ISNUMBER(C76),C76&lt;=$B$3),"③ 다운로드만 높음","④ 둘 다 기준 밖")))</f>
        <v>④ 둘 다 기준 밖</v>
      </c>
      <c r="I76" s="36"/>
    </row>
    <row r="77" customFormat="false" ht="15" hidden="false" customHeight="false" outlineLevel="0" collapsed="false">
      <c r="A77" s="37" t="s">
        <v>965</v>
      </c>
      <c r="B77" s="59" t="n">
        <v>74</v>
      </c>
      <c r="C77" s="19" t="s">
        <v>427</v>
      </c>
      <c r="D77" s="66" t="n">
        <v>65000000</v>
      </c>
      <c r="E77" s="38" t="str">
        <f aca="false">IF(D77="","",IF(D77&gt;=1000000000,"1B+",IF(D77&gt;=500000000,"500M+",IF(D77&gt;=100000000,"100M+",IF(D77&gt;=50000000,"50M+",IF(D77&gt;=10000000,"10M+",IF(D77&gt;=5000000,"5M+",IF(D77&gt;=1000000,"1M+","1M 미만"))))))))</f>
        <v>50M+</v>
      </c>
      <c r="F77" s="38" t="s">
        <v>1010</v>
      </c>
      <c r="G77" s="38" t="s">
        <v>1010</v>
      </c>
      <c r="H77" s="36" t="str">
        <f aca="false">IF(AND(ISNUMBER(B77),B77&lt;=$B$2,ISNUMBER(C77),C77&lt;=$B$3),"① 둘 다 높음",IF(AND(ISNUMBER(B77),B77&lt;=$B$2),"② 매출만 높음",IF(AND(ISNUMBER(C77),C77&lt;=$B$3),"③ 다운로드만 높음","④ 둘 다 기준 밖")))</f>
        <v>④ 둘 다 기준 밖</v>
      </c>
      <c r="I77" s="36"/>
    </row>
    <row r="78" customFormat="false" ht="15" hidden="false" customHeight="false" outlineLevel="0" collapsed="false">
      <c r="A78" s="37" t="s">
        <v>966</v>
      </c>
      <c r="B78" s="59" t="n">
        <v>75</v>
      </c>
      <c r="C78" s="19" t="s">
        <v>427</v>
      </c>
      <c r="D78" s="66" t="n">
        <v>45000000</v>
      </c>
      <c r="E78" s="38" t="str">
        <f aca="false">IF(D78="","",IF(D78&gt;=1000000000,"1B+",IF(D78&gt;=500000000,"500M+",IF(D78&gt;=100000000,"100M+",IF(D78&gt;=50000000,"50M+",IF(D78&gt;=10000000,"10M+",IF(D78&gt;=5000000,"5M+",IF(D78&gt;=1000000,"1M+","1M 미만"))))))))</f>
        <v>10M+</v>
      </c>
      <c r="F78" s="38" t="s">
        <v>1010</v>
      </c>
      <c r="G78" s="38" t="s">
        <v>1010</v>
      </c>
      <c r="H78" s="36" t="str">
        <f aca="false">IF(AND(ISNUMBER(B78),B78&lt;=$B$2,ISNUMBER(C78),C78&lt;=$B$3),"① 둘 다 높음",IF(AND(ISNUMBER(B78),B78&lt;=$B$2),"② 매출만 높음",IF(AND(ISNUMBER(C78),C78&lt;=$B$3),"③ 다운로드만 높음","④ 둘 다 기준 밖")))</f>
        <v>④ 둘 다 기준 밖</v>
      </c>
      <c r="I78" s="36"/>
    </row>
    <row r="79" customFormat="false" ht="15" hidden="false" customHeight="false" outlineLevel="0" collapsed="false">
      <c r="A79" s="37" t="s">
        <v>968</v>
      </c>
      <c r="B79" s="59" t="n">
        <v>76</v>
      </c>
      <c r="C79" s="19" t="s">
        <v>427</v>
      </c>
      <c r="D79" s="66" t="n">
        <v>13000000</v>
      </c>
      <c r="E79" s="38" t="str">
        <f aca="false">IF(D79="","",IF(D79&gt;=1000000000,"1B+",IF(D79&gt;=500000000,"500M+",IF(D79&gt;=100000000,"100M+",IF(D79&gt;=50000000,"50M+",IF(D79&gt;=10000000,"10M+",IF(D79&gt;=5000000,"5M+",IF(D79&gt;=1000000,"1M+","1M 미만"))))))))</f>
        <v>10M+</v>
      </c>
      <c r="F79" s="38" t="s">
        <v>1010</v>
      </c>
      <c r="G79" s="38" t="s">
        <v>1010</v>
      </c>
      <c r="H79" s="36" t="str">
        <f aca="false">IF(AND(ISNUMBER(B79),B79&lt;=$B$2,ISNUMBER(C79),C79&lt;=$B$3),"① 둘 다 높음",IF(AND(ISNUMBER(B79),B79&lt;=$B$2),"② 매출만 높음",IF(AND(ISNUMBER(C79),C79&lt;=$B$3),"③ 다운로드만 높음","④ 둘 다 기준 밖")))</f>
        <v>④ 둘 다 기준 밖</v>
      </c>
      <c r="I79" s="36"/>
    </row>
    <row r="80" customFormat="false" ht="15" hidden="false" customHeight="false" outlineLevel="0" collapsed="false">
      <c r="A80" s="37" t="s">
        <v>969</v>
      </c>
      <c r="B80" s="59" t="n">
        <v>77</v>
      </c>
      <c r="C80" s="19" t="s">
        <v>427</v>
      </c>
      <c r="D80" s="66" t="n">
        <v>6000000</v>
      </c>
      <c r="E80" s="38" t="str">
        <f aca="false">IF(D80="","",IF(D80&gt;=1000000000,"1B+",IF(D80&gt;=500000000,"500M+",IF(D80&gt;=100000000,"100M+",IF(D80&gt;=50000000,"50M+",IF(D80&gt;=10000000,"10M+",IF(D80&gt;=5000000,"5M+",IF(D80&gt;=1000000,"1M+","1M 미만"))))))))</f>
        <v>5M+</v>
      </c>
      <c r="F80" s="38" t="s">
        <v>1010</v>
      </c>
      <c r="G80" s="38" t="s">
        <v>1010</v>
      </c>
      <c r="H80" s="36" t="str">
        <f aca="false">IF(AND(ISNUMBER(B80),B80&lt;=$B$2,ISNUMBER(C80),C80&lt;=$B$3),"① 둘 다 높음",IF(AND(ISNUMBER(B80),B80&lt;=$B$2),"② 매출만 높음",IF(AND(ISNUMBER(C80),C80&lt;=$B$3),"③ 다운로드만 높음","④ 둘 다 기준 밖")))</f>
        <v>④ 둘 다 기준 밖</v>
      </c>
      <c r="I80" s="36"/>
    </row>
    <row r="81" customFormat="false" ht="15" hidden="false" customHeight="false" outlineLevel="0" collapsed="false">
      <c r="A81" s="37" t="s">
        <v>971</v>
      </c>
      <c r="B81" s="59" t="n">
        <v>78</v>
      </c>
      <c r="C81" s="19" t="s">
        <v>427</v>
      </c>
      <c r="D81" s="66" t="n">
        <v>83000000</v>
      </c>
      <c r="E81" s="38" t="str">
        <f aca="false">IF(D81="","",IF(D81&gt;=1000000000,"1B+",IF(D81&gt;=500000000,"500M+",IF(D81&gt;=100000000,"100M+",IF(D81&gt;=50000000,"50M+",IF(D81&gt;=10000000,"10M+",IF(D81&gt;=5000000,"5M+",IF(D81&gt;=1000000,"1M+","1M 미만"))))))))</f>
        <v>50M+</v>
      </c>
      <c r="F81" s="38" t="s">
        <v>1010</v>
      </c>
      <c r="G81" s="38" t="s">
        <v>1010</v>
      </c>
      <c r="H81" s="36" t="str">
        <f aca="false">IF(AND(ISNUMBER(B81),B81&lt;=$B$2,ISNUMBER(C81),C81&lt;=$B$3),"① 둘 다 높음",IF(AND(ISNUMBER(B81),B81&lt;=$B$2),"② 매출만 높음",IF(AND(ISNUMBER(C81),C81&lt;=$B$3),"③ 다운로드만 높음","④ 둘 다 기준 밖")))</f>
        <v>④ 둘 다 기준 밖</v>
      </c>
      <c r="I81" s="36"/>
    </row>
    <row r="82" customFormat="false" ht="15" hidden="false" customHeight="false" outlineLevel="0" collapsed="false">
      <c r="A82" s="37" t="s">
        <v>974</v>
      </c>
      <c r="B82" s="59" t="n">
        <v>79</v>
      </c>
      <c r="C82" s="19" t="s">
        <v>427</v>
      </c>
      <c r="D82" s="66" t="n">
        <v>110000000</v>
      </c>
      <c r="E82" s="38" t="str">
        <f aca="false">IF(D82="","",IF(D82&gt;=1000000000,"1B+",IF(D82&gt;=500000000,"500M+",IF(D82&gt;=100000000,"100M+",IF(D82&gt;=50000000,"50M+",IF(D82&gt;=10000000,"10M+",IF(D82&gt;=5000000,"5M+",IF(D82&gt;=1000000,"1M+","1M 미만"))))))))</f>
        <v>100M+</v>
      </c>
      <c r="F82" s="38" t="s">
        <v>1010</v>
      </c>
      <c r="G82" s="38" t="s">
        <v>1010</v>
      </c>
      <c r="H82" s="36" t="str">
        <f aca="false">IF(AND(ISNUMBER(B82),B82&lt;=$B$2,ISNUMBER(C82),C82&lt;=$B$3),"① 둘 다 높음",IF(AND(ISNUMBER(B82),B82&lt;=$B$2),"② 매출만 높음",IF(AND(ISNUMBER(C82),C82&lt;=$B$3),"③ 다운로드만 높음","④ 둘 다 기준 밖")))</f>
        <v>④ 둘 다 기준 밖</v>
      </c>
      <c r="I82" s="36"/>
    </row>
    <row r="83" customFormat="false" ht="15" hidden="false" customHeight="false" outlineLevel="0" collapsed="false">
      <c r="A83" s="37" t="s">
        <v>975</v>
      </c>
      <c r="B83" s="59" t="n">
        <v>80</v>
      </c>
      <c r="C83" s="19" t="s">
        <v>427</v>
      </c>
      <c r="D83" s="66" t="n">
        <v>38000000</v>
      </c>
      <c r="E83" s="38" t="str">
        <f aca="false">IF(D83="","",IF(D83&gt;=1000000000,"1B+",IF(D83&gt;=500000000,"500M+",IF(D83&gt;=100000000,"100M+",IF(D83&gt;=50000000,"50M+",IF(D83&gt;=10000000,"10M+",IF(D83&gt;=5000000,"5M+",IF(D83&gt;=1000000,"1M+","1M 미만"))))))))</f>
        <v>10M+</v>
      </c>
      <c r="F83" s="38" t="s">
        <v>1010</v>
      </c>
      <c r="G83" s="38" t="s">
        <v>1010</v>
      </c>
      <c r="H83" s="36" t="str">
        <f aca="false">IF(AND(ISNUMBER(B83),B83&lt;=$B$2,ISNUMBER(C83),C83&lt;=$B$3),"① 둘 다 높음",IF(AND(ISNUMBER(B83),B83&lt;=$B$2),"② 매출만 높음",IF(AND(ISNUMBER(C83),C83&lt;=$B$3),"③ 다운로드만 높음","④ 둘 다 기준 밖")))</f>
        <v>④ 둘 다 기준 밖</v>
      </c>
      <c r="I83" s="36"/>
    </row>
    <row r="84" customFormat="false" ht="15" hidden="false" customHeight="false" outlineLevel="0" collapsed="false">
      <c r="A84" s="37" t="s">
        <v>976</v>
      </c>
      <c r="B84" s="59" t="n">
        <v>81</v>
      </c>
      <c r="C84" s="19" t="s">
        <v>427</v>
      </c>
      <c r="D84" s="66" t="n">
        <v>300000000</v>
      </c>
      <c r="E84" s="38" t="str">
        <f aca="false">IF(D84="","",IF(D84&gt;=1000000000,"1B+",IF(D84&gt;=500000000,"500M+",IF(D84&gt;=100000000,"100M+",IF(D84&gt;=50000000,"50M+",IF(D84&gt;=10000000,"10M+",IF(D84&gt;=5000000,"5M+",IF(D84&gt;=1000000,"1M+","1M 미만"))))))))</f>
        <v>100M+</v>
      </c>
      <c r="F84" s="38" t="s">
        <v>1010</v>
      </c>
      <c r="G84" s="38" t="s">
        <v>1010</v>
      </c>
      <c r="H84" s="36" t="str">
        <f aca="false">IF(AND(ISNUMBER(B84),B84&lt;=$B$2,ISNUMBER(C84),C84&lt;=$B$3),"① 둘 다 높음",IF(AND(ISNUMBER(B84),B84&lt;=$B$2),"② 매출만 높음",IF(AND(ISNUMBER(C84),C84&lt;=$B$3),"③ 다운로드만 높음","④ 둘 다 기준 밖")))</f>
        <v>④ 둘 다 기준 밖</v>
      </c>
      <c r="I84" s="36"/>
    </row>
    <row r="85" customFormat="false" ht="15" hidden="false" customHeight="false" outlineLevel="0" collapsed="false">
      <c r="A85" s="37" t="s">
        <v>291</v>
      </c>
      <c r="B85" s="59" t="n">
        <v>82</v>
      </c>
      <c r="C85" s="59" t="n">
        <v>73</v>
      </c>
      <c r="D85" s="66" t="n">
        <v>5400000</v>
      </c>
      <c r="E85" s="38" t="str">
        <f aca="false">IF(D85="","",IF(D85&gt;=1000000000,"1B+",IF(D85&gt;=500000000,"500M+",IF(D85&gt;=100000000,"100M+",IF(D85&gt;=50000000,"50M+",IF(D85&gt;=10000000,"10M+",IF(D85&gt;=5000000,"5M+",IF(D85&gt;=1000000,"1M+","1M 미만"))))))))</f>
        <v>5M+</v>
      </c>
      <c r="F85" s="38" t="s">
        <v>1010</v>
      </c>
      <c r="G85" s="38" t="s">
        <v>1010</v>
      </c>
      <c r="H85" s="36" t="str">
        <f aca="false">IF(AND(ISNUMBER(B85),B85&lt;=$B$2,ISNUMBER(C85),C85&lt;=$B$3),"① 둘 다 높음",IF(AND(ISNUMBER(B85),B85&lt;=$B$2),"② 매출만 높음",IF(AND(ISNUMBER(C85),C85&lt;=$B$3),"③ 다운로드만 높음","④ 둘 다 기준 밖")))</f>
        <v>④ 둘 다 기준 밖</v>
      </c>
      <c r="I85" s="36"/>
    </row>
    <row r="86" customFormat="false" ht="15" hidden="false" customHeight="false" outlineLevel="0" collapsed="false">
      <c r="A86" s="37" t="s">
        <v>979</v>
      </c>
      <c r="B86" s="59" t="n">
        <v>83</v>
      </c>
      <c r="C86" s="19" t="s">
        <v>427</v>
      </c>
      <c r="D86" s="66" t="n">
        <v>6800000</v>
      </c>
      <c r="E86" s="38" t="str">
        <f aca="false">IF(D86="","",IF(D86&gt;=1000000000,"1B+",IF(D86&gt;=500000000,"500M+",IF(D86&gt;=100000000,"100M+",IF(D86&gt;=50000000,"50M+",IF(D86&gt;=10000000,"10M+",IF(D86&gt;=5000000,"5M+",IF(D86&gt;=1000000,"1M+","1M 미만"))))))))</f>
        <v>5M+</v>
      </c>
      <c r="F86" s="38" t="s">
        <v>1010</v>
      </c>
      <c r="G86" s="38" t="s">
        <v>1010</v>
      </c>
      <c r="H86" s="36" t="str">
        <f aca="false">IF(AND(ISNUMBER(B86),B86&lt;=$B$2,ISNUMBER(C86),C86&lt;=$B$3),"① 둘 다 높음",IF(AND(ISNUMBER(B86),B86&lt;=$B$2),"② 매출만 높음",IF(AND(ISNUMBER(C86),C86&lt;=$B$3),"③ 다운로드만 높음","④ 둘 다 기준 밖")))</f>
        <v>④ 둘 다 기준 밖</v>
      </c>
      <c r="I86" s="36"/>
    </row>
    <row r="87" customFormat="false" ht="15" hidden="false" customHeight="false" outlineLevel="0" collapsed="false">
      <c r="A87" s="37" t="s">
        <v>376</v>
      </c>
      <c r="B87" s="59" t="n">
        <v>84</v>
      </c>
      <c r="C87" s="59" t="n">
        <v>35</v>
      </c>
      <c r="D87" s="66" t="n">
        <v>39000000</v>
      </c>
      <c r="E87" s="38" t="str">
        <f aca="false">IF(D87="","",IF(D87&gt;=1000000000,"1B+",IF(D87&gt;=500000000,"500M+",IF(D87&gt;=100000000,"100M+",IF(D87&gt;=50000000,"50M+",IF(D87&gt;=10000000,"10M+",IF(D87&gt;=5000000,"5M+",IF(D87&gt;=1000000,"1M+","1M 미만"))))))))</f>
        <v>10M+</v>
      </c>
      <c r="F87" s="38" t="s">
        <v>1010</v>
      </c>
      <c r="G87" s="38" t="s">
        <v>1010</v>
      </c>
      <c r="H87" s="36" t="str">
        <f aca="false">IF(AND(ISNUMBER(B87),B87&lt;=$B$2,ISNUMBER(C87),C87&lt;=$B$3),"① 둘 다 높음",IF(AND(ISNUMBER(B87),B87&lt;=$B$2),"② 매출만 높음",IF(AND(ISNUMBER(C87),C87&lt;=$B$3),"③ 다운로드만 높음","④ 둘 다 기준 밖")))</f>
        <v>④ 둘 다 기준 밖</v>
      </c>
      <c r="I87" s="36"/>
    </row>
    <row r="88" customFormat="false" ht="15" hidden="false" customHeight="false" outlineLevel="0" collapsed="false">
      <c r="A88" s="37" t="s">
        <v>981</v>
      </c>
      <c r="B88" s="59" t="n">
        <v>85</v>
      </c>
      <c r="C88" s="19" t="s">
        <v>427</v>
      </c>
      <c r="D88" s="66" t="n">
        <v>75000000</v>
      </c>
      <c r="E88" s="38" t="str">
        <f aca="false">IF(D88="","",IF(D88&gt;=1000000000,"1B+",IF(D88&gt;=500000000,"500M+",IF(D88&gt;=100000000,"100M+",IF(D88&gt;=50000000,"50M+",IF(D88&gt;=10000000,"10M+",IF(D88&gt;=5000000,"5M+",IF(D88&gt;=1000000,"1M+","1M 미만"))))))))</f>
        <v>50M+</v>
      </c>
      <c r="F88" s="38" t="s">
        <v>1010</v>
      </c>
      <c r="G88" s="38" t="s">
        <v>1010</v>
      </c>
      <c r="H88" s="36" t="str">
        <f aca="false">IF(AND(ISNUMBER(B88),B88&lt;=$B$2,ISNUMBER(C88),C88&lt;=$B$3),"① 둘 다 높음",IF(AND(ISNUMBER(B88),B88&lt;=$B$2),"② 매출만 높음",IF(AND(ISNUMBER(C88),C88&lt;=$B$3),"③ 다운로드만 높음","④ 둘 다 기준 밖")))</f>
        <v>④ 둘 다 기준 밖</v>
      </c>
      <c r="I88" s="36"/>
    </row>
    <row r="89" customFormat="false" ht="15" hidden="false" customHeight="false" outlineLevel="0" collapsed="false">
      <c r="A89" s="37" t="s">
        <v>982</v>
      </c>
      <c r="B89" s="59" t="n">
        <v>86</v>
      </c>
      <c r="C89" s="19" t="s">
        <v>427</v>
      </c>
      <c r="D89" s="66" t="n">
        <v>29000000</v>
      </c>
      <c r="E89" s="38" t="str">
        <f aca="false">IF(D89="","",IF(D89&gt;=1000000000,"1B+",IF(D89&gt;=500000000,"500M+",IF(D89&gt;=100000000,"100M+",IF(D89&gt;=50000000,"50M+",IF(D89&gt;=10000000,"10M+",IF(D89&gt;=5000000,"5M+",IF(D89&gt;=1000000,"1M+","1M 미만"))))))))</f>
        <v>10M+</v>
      </c>
      <c r="F89" s="38" t="s">
        <v>1010</v>
      </c>
      <c r="G89" s="38" t="s">
        <v>1010</v>
      </c>
      <c r="H89" s="36" t="str">
        <f aca="false">IF(AND(ISNUMBER(B89),B89&lt;=$B$2,ISNUMBER(C89),C89&lt;=$B$3),"① 둘 다 높음",IF(AND(ISNUMBER(B89),B89&lt;=$B$2),"② 매출만 높음",IF(AND(ISNUMBER(C89),C89&lt;=$B$3),"③ 다운로드만 높음","④ 둘 다 기준 밖")))</f>
        <v>④ 둘 다 기준 밖</v>
      </c>
      <c r="I89" s="36"/>
    </row>
    <row r="90" customFormat="false" ht="15" hidden="false" customHeight="false" outlineLevel="0" collapsed="false">
      <c r="A90" s="37" t="s">
        <v>983</v>
      </c>
      <c r="B90" s="59" t="n">
        <v>87</v>
      </c>
      <c r="C90" s="19" t="s">
        <v>427</v>
      </c>
      <c r="D90" s="66" t="n">
        <v>5400000</v>
      </c>
      <c r="E90" s="38" t="str">
        <f aca="false">IF(D90="","",IF(D90&gt;=1000000000,"1B+",IF(D90&gt;=500000000,"500M+",IF(D90&gt;=100000000,"100M+",IF(D90&gt;=50000000,"50M+",IF(D90&gt;=10000000,"10M+",IF(D90&gt;=5000000,"5M+",IF(D90&gt;=1000000,"1M+","1M 미만"))))))))</f>
        <v>5M+</v>
      </c>
      <c r="F90" s="38" t="s">
        <v>1010</v>
      </c>
      <c r="G90" s="38" t="s">
        <v>1010</v>
      </c>
      <c r="H90" s="36" t="str">
        <f aca="false">IF(AND(ISNUMBER(B90),B90&lt;=$B$2,ISNUMBER(C90),C90&lt;=$B$3),"① 둘 다 높음",IF(AND(ISNUMBER(B90),B90&lt;=$B$2),"② 매출만 높음",IF(AND(ISNUMBER(C90),C90&lt;=$B$3),"③ 다운로드만 높음","④ 둘 다 기준 밖")))</f>
        <v>④ 둘 다 기준 밖</v>
      </c>
      <c r="I90" s="36"/>
    </row>
    <row r="91" customFormat="false" ht="15" hidden="false" customHeight="false" outlineLevel="0" collapsed="false">
      <c r="A91" s="37" t="s">
        <v>985</v>
      </c>
      <c r="B91" s="59" t="n">
        <v>88</v>
      </c>
      <c r="C91" s="19" t="s">
        <v>427</v>
      </c>
      <c r="D91" s="66" t="n">
        <v>23000000</v>
      </c>
      <c r="E91" s="38" t="str">
        <f aca="false">IF(D91="","",IF(D91&gt;=1000000000,"1B+",IF(D91&gt;=500000000,"500M+",IF(D91&gt;=100000000,"100M+",IF(D91&gt;=50000000,"50M+",IF(D91&gt;=10000000,"10M+",IF(D91&gt;=5000000,"5M+",IF(D91&gt;=1000000,"1M+","1M 미만"))))))))</f>
        <v>10M+</v>
      </c>
      <c r="F91" s="38" t="s">
        <v>1010</v>
      </c>
      <c r="G91" s="38" t="s">
        <v>1010</v>
      </c>
      <c r="H91" s="36" t="str">
        <f aca="false">IF(AND(ISNUMBER(B91),B91&lt;=$B$2,ISNUMBER(C91),C91&lt;=$B$3),"① 둘 다 높음",IF(AND(ISNUMBER(B91),B91&lt;=$B$2),"② 매출만 높음",IF(AND(ISNUMBER(C91),C91&lt;=$B$3),"③ 다운로드만 높음","④ 둘 다 기준 밖")))</f>
        <v>④ 둘 다 기준 밖</v>
      </c>
      <c r="I91" s="36"/>
    </row>
    <row r="92" customFormat="false" ht="15" hidden="false" customHeight="false" outlineLevel="0" collapsed="false">
      <c r="A92" s="37" t="s">
        <v>986</v>
      </c>
      <c r="B92" s="59" t="n">
        <v>89</v>
      </c>
      <c r="C92" s="19" t="s">
        <v>427</v>
      </c>
      <c r="D92" s="66" t="n">
        <v>170000000</v>
      </c>
      <c r="E92" s="38" t="str">
        <f aca="false">IF(D92="","",IF(D92&gt;=1000000000,"1B+",IF(D92&gt;=500000000,"500M+",IF(D92&gt;=100000000,"100M+",IF(D92&gt;=50000000,"50M+",IF(D92&gt;=10000000,"10M+",IF(D92&gt;=5000000,"5M+",IF(D92&gt;=1000000,"1M+","1M 미만"))))))))</f>
        <v>100M+</v>
      </c>
      <c r="F92" s="38" t="s">
        <v>1010</v>
      </c>
      <c r="G92" s="38" t="s">
        <v>1010</v>
      </c>
      <c r="H92" s="36" t="str">
        <f aca="false">IF(AND(ISNUMBER(B92),B92&lt;=$B$2,ISNUMBER(C92),C92&lt;=$B$3),"① 둘 다 높음",IF(AND(ISNUMBER(B92),B92&lt;=$B$2),"② 매출만 높음",IF(AND(ISNUMBER(C92),C92&lt;=$B$3),"③ 다운로드만 높음","④ 둘 다 기준 밖")))</f>
        <v>④ 둘 다 기준 밖</v>
      </c>
      <c r="I92" s="36"/>
    </row>
    <row r="93" customFormat="false" ht="15" hidden="false" customHeight="false" outlineLevel="0" collapsed="false">
      <c r="A93" s="37" t="s">
        <v>591</v>
      </c>
      <c r="B93" s="59" t="n">
        <v>90</v>
      </c>
      <c r="C93" s="19" t="s">
        <v>427</v>
      </c>
      <c r="D93" s="66" t="n">
        <v>3600000</v>
      </c>
      <c r="E93" s="38" t="str">
        <f aca="false">IF(D93="","",IF(D93&gt;=1000000000,"1B+",IF(D93&gt;=500000000,"500M+",IF(D93&gt;=100000000,"100M+",IF(D93&gt;=50000000,"50M+",IF(D93&gt;=10000000,"10M+",IF(D93&gt;=5000000,"5M+",IF(D93&gt;=1000000,"1M+","1M 미만"))))))))</f>
        <v>1M+</v>
      </c>
      <c r="F93" s="38" t="s">
        <v>1010</v>
      </c>
      <c r="G93" s="38" t="s">
        <v>1010</v>
      </c>
      <c r="H93" s="36" t="str">
        <f aca="false">IF(AND(ISNUMBER(B93),B93&lt;=$B$2,ISNUMBER(C93),C93&lt;=$B$3),"① 둘 다 높음",IF(AND(ISNUMBER(B93),B93&lt;=$B$2),"② 매출만 높음",IF(AND(ISNUMBER(C93),C93&lt;=$B$3),"③ 다운로드만 높음","④ 둘 다 기준 밖")))</f>
        <v>④ 둘 다 기준 밖</v>
      </c>
      <c r="I93" s="36"/>
    </row>
    <row r="94" customFormat="false" ht="15" hidden="false" customHeight="false" outlineLevel="0" collapsed="false">
      <c r="A94" s="37" t="s">
        <v>141</v>
      </c>
      <c r="B94" s="59" t="n">
        <v>91</v>
      </c>
      <c r="C94" s="19" t="s">
        <v>427</v>
      </c>
      <c r="D94" s="66" t="n">
        <v>25000000</v>
      </c>
      <c r="E94" s="38" t="str">
        <f aca="false">IF(D94="","",IF(D94&gt;=1000000000,"1B+",IF(D94&gt;=500000000,"500M+",IF(D94&gt;=100000000,"100M+",IF(D94&gt;=50000000,"50M+",IF(D94&gt;=10000000,"10M+",IF(D94&gt;=5000000,"5M+",IF(D94&gt;=1000000,"1M+","1M 미만"))))))))</f>
        <v>10M+</v>
      </c>
      <c r="F94" s="38" t="s">
        <v>1010</v>
      </c>
      <c r="G94" s="38" t="s">
        <v>1010</v>
      </c>
      <c r="H94" s="36" t="str">
        <f aca="false">IF(AND(ISNUMBER(B94),B94&lt;=$B$2,ISNUMBER(C94),C94&lt;=$B$3),"① 둘 다 높음",IF(AND(ISNUMBER(B94),B94&lt;=$B$2),"② 매출만 높음",IF(AND(ISNUMBER(C94),C94&lt;=$B$3),"③ 다운로드만 높음","④ 둘 다 기준 밖")))</f>
        <v>④ 둘 다 기준 밖</v>
      </c>
      <c r="I94" s="36"/>
    </row>
    <row r="95" customFormat="false" ht="15" hidden="false" customHeight="false" outlineLevel="0" collapsed="false">
      <c r="A95" s="37" t="s">
        <v>988</v>
      </c>
      <c r="B95" s="59" t="n">
        <v>92</v>
      </c>
      <c r="C95" s="19" t="s">
        <v>427</v>
      </c>
      <c r="D95" s="66" t="n">
        <v>95000000</v>
      </c>
      <c r="E95" s="38" t="str">
        <f aca="false">IF(D95="","",IF(D95&gt;=1000000000,"1B+",IF(D95&gt;=500000000,"500M+",IF(D95&gt;=100000000,"100M+",IF(D95&gt;=50000000,"50M+",IF(D95&gt;=10000000,"10M+",IF(D95&gt;=5000000,"5M+",IF(D95&gt;=1000000,"1M+","1M 미만"))))))))</f>
        <v>50M+</v>
      </c>
      <c r="F95" s="38" t="s">
        <v>1010</v>
      </c>
      <c r="G95" s="38" t="s">
        <v>1010</v>
      </c>
      <c r="H95" s="36" t="str">
        <f aca="false">IF(AND(ISNUMBER(B95),B95&lt;=$B$2,ISNUMBER(C95),C95&lt;=$B$3),"① 둘 다 높음",IF(AND(ISNUMBER(B95),B95&lt;=$B$2),"② 매출만 높음",IF(AND(ISNUMBER(C95),C95&lt;=$B$3),"③ 다운로드만 높음","④ 둘 다 기준 밖")))</f>
        <v>④ 둘 다 기준 밖</v>
      </c>
      <c r="I95" s="36"/>
    </row>
    <row r="96" customFormat="false" ht="15" hidden="false" customHeight="false" outlineLevel="0" collapsed="false">
      <c r="A96" s="37" t="s">
        <v>990</v>
      </c>
      <c r="B96" s="59" t="n">
        <v>93</v>
      </c>
      <c r="C96" s="19" t="s">
        <v>427</v>
      </c>
      <c r="D96" s="66" t="n">
        <v>15000000</v>
      </c>
      <c r="E96" s="38" t="str">
        <f aca="false">IF(D96="","",IF(D96&gt;=1000000000,"1B+",IF(D96&gt;=500000000,"500M+",IF(D96&gt;=100000000,"100M+",IF(D96&gt;=50000000,"50M+",IF(D96&gt;=10000000,"10M+",IF(D96&gt;=5000000,"5M+",IF(D96&gt;=1000000,"1M+","1M 미만"))))))))</f>
        <v>10M+</v>
      </c>
      <c r="F96" s="38" t="s">
        <v>1010</v>
      </c>
      <c r="G96" s="38" t="s">
        <v>1010</v>
      </c>
      <c r="H96" s="36" t="str">
        <f aca="false">IF(AND(ISNUMBER(B96),B96&lt;=$B$2,ISNUMBER(C96),C96&lt;=$B$3),"① 둘 다 높음",IF(AND(ISNUMBER(B96),B96&lt;=$B$2),"② 매출만 높음",IF(AND(ISNUMBER(C96),C96&lt;=$B$3),"③ 다운로드만 높음","④ 둘 다 기준 밖")))</f>
        <v>④ 둘 다 기준 밖</v>
      </c>
      <c r="I96" s="36"/>
    </row>
    <row r="97" customFormat="false" ht="15" hidden="false" customHeight="false" outlineLevel="0" collapsed="false">
      <c r="A97" s="37" t="s">
        <v>171</v>
      </c>
      <c r="B97" s="59" t="n">
        <v>94</v>
      </c>
      <c r="C97" s="19" t="s">
        <v>427</v>
      </c>
      <c r="D97" s="66" t="n">
        <v>35000000</v>
      </c>
      <c r="E97" s="38" t="str">
        <f aca="false">IF(D97="","",IF(D97&gt;=1000000000,"1B+",IF(D97&gt;=500000000,"500M+",IF(D97&gt;=100000000,"100M+",IF(D97&gt;=50000000,"50M+",IF(D97&gt;=10000000,"10M+",IF(D97&gt;=5000000,"5M+",IF(D97&gt;=1000000,"1M+","1M 미만"))))))))</f>
        <v>10M+</v>
      </c>
      <c r="F97" s="38" t="s">
        <v>1010</v>
      </c>
      <c r="G97" s="38" t="s">
        <v>1010</v>
      </c>
      <c r="H97" s="36" t="str">
        <f aca="false">IF(AND(ISNUMBER(B97),B97&lt;=$B$2,ISNUMBER(C97),C97&lt;=$B$3),"① 둘 다 높음",IF(AND(ISNUMBER(B97),B97&lt;=$B$2),"② 매출만 높음",IF(AND(ISNUMBER(C97),C97&lt;=$B$3),"③ 다운로드만 높음","④ 둘 다 기준 밖")))</f>
        <v>④ 둘 다 기준 밖</v>
      </c>
      <c r="I97" s="36"/>
    </row>
    <row r="98" customFormat="false" ht="15" hidden="false" customHeight="false" outlineLevel="0" collapsed="false">
      <c r="A98" s="37" t="s">
        <v>991</v>
      </c>
      <c r="B98" s="59" t="n">
        <v>95</v>
      </c>
      <c r="C98" s="19" t="s">
        <v>427</v>
      </c>
      <c r="D98" s="66" t="n">
        <v>18000000</v>
      </c>
      <c r="E98" s="38" t="str">
        <f aca="false">IF(D98="","",IF(D98&gt;=1000000000,"1B+",IF(D98&gt;=500000000,"500M+",IF(D98&gt;=100000000,"100M+",IF(D98&gt;=50000000,"50M+",IF(D98&gt;=10000000,"10M+",IF(D98&gt;=5000000,"5M+",IF(D98&gt;=1000000,"1M+","1M 미만"))))))))</f>
        <v>10M+</v>
      </c>
      <c r="F98" s="38" t="s">
        <v>1010</v>
      </c>
      <c r="G98" s="38" t="s">
        <v>1010</v>
      </c>
      <c r="H98" s="36" t="str">
        <f aca="false">IF(AND(ISNUMBER(B98),B98&lt;=$B$2,ISNUMBER(C98),C98&lt;=$B$3),"① 둘 다 높음",IF(AND(ISNUMBER(B98),B98&lt;=$B$2),"② 매출만 높음",IF(AND(ISNUMBER(C98),C98&lt;=$B$3),"③ 다운로드만 높음","④ 둘 다 기준 밖")))</f>
        <v>④ 둘 다 기준 밖</v>
      </c>
      <c r="I98" s="36"/>
    </row>
    <row r="99" customFormat="false" ht="15" hidden="false" customHeight="false" outlineLevel="0" collapsed="false">
      <c r="A99" s="37" t="s">
        <v>309</v>
      </c>
      <c r="B99" s="59" t="n">
        <v>96</v>
      </c>
      <c r="C99" s="19" t="s">
        <v>427</v>
      </c>
      <c r="D99" s="66" t="n">
        <v>630000000</v>
      </c>
      <c r="E99" s="38" t="str">
        <f aca="false">IF(D99="","",IF(D99&gt;=1000000000,"1B+",IF(D99&gt;=500000000,"500M+",IF(D99&gt;=100000000,"100M+",IF(D99&gt;=50000000,"50M+",IF(D99&gt;=10000000,"10M+",IF(D99&gt;=5000000,"5M+",IF(D99&gt;=1000000,"1M+","1M 미만"))))))))</f>
        <v>500M+</v>
      </c>
      <c r="F99" s="38" t="s">
        <v>1010</v>
      </c>
      <c r="G99" s="38" t="s">
        <v>1010</v>
      </c>
      <c r="H99" s="36" t="str">
        <f aca="false">IF(AND(ISNUMBER(B99),B99&lt;=$B$2,ISNUMBER(C99),C99&lt;=$B$3),"① 둘 다 높음",IF(AND(ISNUMBER(B99),B99&lt;=$B$2),"② 매출만 높음",IF(AND(ISNUMBER(C99),C99&lt;=$B$3),"③ 다운로드만 높음","④ 둘 다 기준 밖")))</f>
        <v>④ 둘 다 기준 밖</v>
      </c>
      <c r="I99" s="36"/>
    </row>
    <row r="100" customFormat="false" ht="15" hidden="false" customHeight="false" outlineLevel="0" collapsed="false">
      <c r="A100" s="37" t="s">
        <v>371</v>
      </c>
      <c r="B100" s="59" t="n">
        <v>97</v>
      </c>
      <c r="C100" s="59" t="n">
        <v>24</v>
      </c>
      <c r="D100" s="66" t="n">
        <v>5500000</v>
      </c>
      <c r="E100" s="38" t="str">
        <f aca="false">IF(D100="","",IF(D100&gt;=1000000000,"1B+",IF(D100&gt;=500000000,"500M+",IF(D100&gt;=100000000,"100M+",IF(D100&gt;=50000000,"50M+",IF(D100&gt;=10000000,"10M+",IF(D100&gt;=5000000,"5M+",IF(D100&gt;=1000000,"1M+","1M 미만"))))))))</f>
        <v>5M+</v>
      </c>
      <c r="F100" s="38" t="s">
        <v>1010</v>
      </c>
      <c r="G100" s="38" t="s">
        <v>1010</v>
      </c>
      <c r="H100" s="36" t="str">
        <f aca="false">IF(AND(ISNUMBER(B100),B100&lt;=$B$2,ISNUMBER(C100),C100&lt;=$B$3),"① 둘 다 높음",IF(AND(ISNUMBER(B100),B100&lt;=$B$2),"② 매출만 높음",IF(AND(ISNUMBER(C100),C100&lt;=$B$3),"③ 다운로드만 높음","④ 둘 다 기준 밖")))</f>
        <v>③ 다운로드만 높음</v>
      </c>
      <c r="I100" s="36"/>
    </row>
    <row r="101" customFormat="false" ht="15" hidden="false" customHeight="false" outlineLevel="0" collapsed="false">
      <c r="A101" s="37" t="s">
        <v>354</v>
      </c>
      <c r="B101" s="59" t="n">
        <v>98</v>
      </c>
      <c r="C101" s="59" t="n">
        <v>3</v>
      </c>
      <c r="D101" s="66" t="n">
        <v>350000000</v>
      </c>
      <c r="E101" s="38" t="str">
        <f aca="false">IF(D101="","",IF(D101&gt;=1000000000,"1B+",IF(D101&gt;=500000000,"500M+",IF(D101&gt;=100000000,"100M+",IF(D101&gt;=50000000,"50M+",IF(D101&gt;=10000000,"10M+",IF(D101&gt;=5000000,"5M+",IF(D101&gt;=1000000,"1M+","1M 미만"))))))))</f>
        <v>100M+</v>
      </c>
      <c r="F101" s="38" t="s">
        <v>1010</v>
      </c>
      <c r="G101" s="38" t="s">
        <v>1010</v>
      </c>
      <c r="H101" s="36" t="str">
        <f aca="false">IF(AND(ISNUMBER(B101),B101&lt;=$B$2,ISNUMBER(C101),C101&lt;=$B$3),"① 둘 다 높음",IF(AND(ISNUMBER(B101),B101&lt;=$B$2),"② 매출만 높음",IF(AND(ISNUMBER(C101),C101&lt;=$B$3),"③ 다운로드만 높음","④ 둘 다 기준 밖")))</f>
        <v>③ 다운로드만 높음</v>
      </c>
      <c r="I101" s="36"/>
    </row>
    <row r="102" customFormat="false" ht="15" hidden="false" customHeight="false" outlineLevel="0" collapsed="false">
      <c r="A102" s="37" t="s">
        <v>993</v>
      </c>
      <c r="B102" s="59" t="n">
        <v>99</v>
      </c>
      <c r="C102" s="19" t="s">
        <v>427</v>
      </c>
      <c r="D102" s="66" t="n">
        <v>75000000</v>
      </c>
      <c r="E102" s="38" t="str">
        <f aca="false">IF(D102="","",IF(D102&gt;=1000000000,"1B+",IF(D102&gt;=500000000,"500M+",IF(D102&gt;=100000000,"100M+",IF(D102&gt;=50000000,"50M+",IF(D102&gt;=10000000,"10M+",IF(D102&gt;=5000000,"5M+",IF(D102&gt;=1000000,"1M+","1M 미만"))))))))</f>
        <v>50M+</v>
      </c>
      <c r="F102" s="38" t="s">
        <v>1010</v>
      </c>
      <c r="G102" s="38" t="s">
        <v>1010</v>
      </c>
      <c r="H102" s="36" t="str">
        <f aca="false">IF(AND(ISNUMBER(B102),B102&lt;=$B$2,ISNUMBER(C102),C102&lt;=$B$3),"① 둘 다 높음",IF(AND(ISNUMBER(B102),B102&lt;=$B$2),"② 매출만 높음",IF(AND(ISNUMBER(C102),C102&lt;=$B$3),"③ 다운로드만 높음","④ 둘 다 기준 밖")))</f>
        <v>④ 둘 다 기준 밖</v>
      </c>
      <c r="I102" s="36"/>
    </row>
    <row r="103" customFormat="false" ht="15" hidden="false" customHeight="false" outlineLevel="0" collapsed="false">
      <c r="A103" s="37" t="s">
        <v>996</v>
      </c>
      <c r="B103" s="59" t="n">
        <v>100</v>
      </c>
      <c r="C103" s="19" t="s">
        <v>427</v>
      </c>
      <c r="D103" s="66" t="n">
        <v>140000000</v>
      </c>
      <c r="E103" s="38" t="str">
        <f aca="false">IF(D103="","",IF(D103&gt;=1000000000,"1B+",IF(D103&gt;=500000000,"500M+",IF(D103&gt;=100000000,"100M+",IF(D103&gt;=50000000,"50M+",IF(D103&gt;=10000000,"10M+",IF(D103&gt;=5000000,"5M+",IF(D103&gt;=1000000,"1M+","1M 미만"))))))))</f>
        <v>100M+</v>
      </c>
      <c r="F103" s="38" t="s">
        <v>1010</v>
      </c>
      <c r="G103" s="38" t="s">
        <v>1010</v>
      </c>
      <c r="H103" s="36" t="str">
        <f aca="false">IF(AND(ISNUMBER(B103),B103&lt;=$B$2,ISNUMBER(C103),C103&lt;=$B$3),"① 둘 다 높음",IF(AND(ISNUMBER(B103),B103&lt;=$B$2),"② 매출만 높음",IF(AND(ISNUMBER(C103),C103&lt;=$B$3),"③ 다운로드만 높음","④ 둘 다 기준 밖")))</f>
        <v>④ 둘 다 기준 밖</v>
      </c>
      <c r="I103" s="36"/>
    </row>
    <row r="104" customFormat="false" ht="15" hidden="false" customHeight="false" outlineLevel="0" collapsed="false">
      <c r="A104" s="37" t="s">
        <v>111</v>
      </c>
      <c r="B104" s="19" t="s">
        <v>427</v>
      </c>
      <c r="C104" s="59" t="n">
        <v>1</v>
      </c>
      <c r="D104" s="66" t="n">
        <v>1900000</v>
      </c>
      <c r="E104" s="38" t="str">
        <f aca="false">IF(D104="","",IF(D104&gt;=1000000000,"1B+",IF(D104&gt;=500000000,"500M+",IF(D104&gt;=100000000,"100M+",IF(D104&gt;=50000000,"50M+",IF(D104&gt;=10000000,"10M+",IF(D104&gt;=5000000,"5M+",IF(D104&gt;=1000000,"1M+","1M 미만"))))))))</f>
        <v>1M+</v>
      </c>
      <c r="F104" s="38" t="s">
        <v>1010</v>
      </c>
      <c r="G104" s="38" t="s">
        <v>1010</v>
      </c>
      <c r="H104" s="36" t="str">
        <f aca="false">IF(AND(ISNUMBER(B104),B104&lt;=$B$2,ISNUMBER(C104),C104&lt;=$B$3),"① 둘 다 높음",IF(AND(ISNUMBER(B104),B104&lt;=$B$2),"② 매출만 높음",IF(AND(ISNUMBER(C104),C104&lt;=$B$3),"③ 다운로드만 높음","④ 둘 다 기준 밖")))</f>
        <v>③ 다운로드만 높음</v>
      </c>
      <c r="I104" s="36"/>
    </row>
    <row r="105" customFormat="false" ht="15" hidden="false" customHeight="false" outlineLevel="0" collapsed="false">
      <c r="A105" s="37" t="s">
        <v>353</v>
      </c>
      <c r="B105" s="19" t="s">
        <v>427</v>
      </c>
      <c r="C105" s="59" t="n">
        <v>2</v>
      </c>
      <c r="D105" s="66" t="n">
        <v>21000000</v>
      </c>
      <c r="E105" s="38" t="str">
        <f aca="false">IF(D105="","",IF(D105&gt;=1000000000,"1B+",IF(D105&gt;=500000000,"500M+",IF(D105&gt;=100000000,"100M+",IF(D105&gt;=50000000,"50M+",IF(D105&gt;=10000000,"10M+",IF(D105&gt;=5000000,"5M+",IF(D105&gt;=1000000,"1M+","1M 미만"))))))))</f>
        <v>10M+</v>
      </c>
      <c r="F105" s="38" t="s">
        <v>1010</v>
      </c>
      <c r="G105" s="38" t="s">
        <v>1010</v>
      </c>
      <c r="H105" s="36" t="str">
        <f aca="false">IF(AND(ISNUMBER(B105),B105&lt;=$B$2,ISNUMBER(C105),C105&lt;=$B$3),"① 둘 다 높음",IF(AND(ISNUMBER(B105),B105&lt;=$B$2),"② 매출만 높음",IF(AND(ISNUMBER(C105),C105&lt;=$B$3),"③ 다운로드만 높음","④ 둘 다 기준 밖")))</f>
        <v>③ 다운로드만 높음</v>
      </c>
      <c r="I105" s="36"/>
    </row>
    <row r="106" customFormat="false" ht="15" hidden="false" customHeight="false" outlineLevel="0" collapsed="false">
      <c r="A106" s="37" t="s">
        <v>128</v>
      </c>
      <c r="B106" s="19" t="s">
        <v>427</v>
      </c>
      <c r="C106" s="59" t="n">
        <v>5</v>
      </c>
      <c r="D106" s="66" t="n">
        <v>410000000</v>
      </c>
      <c r="E106" s="38" t="str">
        <f aca="false">IF(D106="","",IF(D106&gt;=1000000000,"1B+",IF(D106&gt;=500000000,"500M+",IF(D106&gt;=100000000,"100M+",IF(D106&gt;=50000000,"50M+",IF(D106&gt;=10000000,"10M+",IF(D106&gt;=5000000,"5M+",IF(D106&gt;=1000000,"1M+","1M 미만"))))))))</f>
        <v>100M+</v>
      </c>
      <c r="F106" s="38" t="s">
        <v>1010</v>
      </c>
      <c r="G106" s="38" t="s">
        <v>1010</v>
      </c>
      <c r="H106" s="36" t="str">
        <f aca="false">IF(AND(ISNUMBER(B106),B106&lt;=$B$2,ISNUMBER(C106),C106&lt;=$B$3),"① 둘 다 높음",IF(AND(ISNUMBER(B106),B106&lt;=$B$2),"② 매출만 높음",IF(AND(ISNUMBER(C106),C106&lt;=$B$3),"③ 다운로드만 높음","④ 둘 다 기준 밖")))</f>
        <v>③ 다운로드만 높음</v>
      </c>
      <c r="I106" s="36"/>
    </row>
    <row r="107" customFormat="false" ht="17.15" hidden="false" customHeight="false" outlineLevel="0" collapsed="false">
      <c r="A107" s="37" t="s">
        <v>356</v>
      </c>
      <c r="B107" s="19" t="s">
        <v>427</v>
      </c>
      <c r="C107" s="59" t="n">
        <v>6</v>
      </c>
      <c r="D107" s="66" t="n">
        <v>740000</v>
      </c>
      <c r="E107" s="38" t="str">
        <f aca="false">IF(D107="","",IF(D107&gt;=1000000000,"1B+",IF(D107&gt;=500000000,"500M+",IF(D107&gt;=100000000,"100M+",IF(D107&gt;=50000000,"50M+",IF(D107&gt;=10000000,"10M+",IF(D107&gt;=5000000,"5M+",IF(D107&gt;=1000000,"1M+","1M 미만"))))))))</f>
        <v>1M 미만</v>
      </c>
      <c r="F107" s="38" t="s">
        <v>1010</v>
      </c>
      <c r="G107" s="38" t="s">
        <v>1010</v>
      </c>
      <c r="H107" s="36" t="str">
        <f aca="false">IF(AND(ISNUMBER(B107),B107&lt;=$B$2,ISNUMBER(C107),C107&lt;=$B$3),"① 둘 다 높음",IF(AND(ISNUMBER(B107),B107&lt;=$B$2),"② 매출만 높음",IF(AND(ISNUMBER(C107),C107&lt;=$B$3),"③ 다운로드만 높음","④ 둘 다 기준 밖")))</f>
        <v>③ 다운로드만 높음</v>
      </c>
      <c r="I107" s="36"/>
    </row>
    <row r="108" customFormat="false" ht="15" hidden="false" customHeight="false" outlineLevel="0" collapsed="false">
      <c r="A108" s="37" t="s">
        <v>139</v>
      </c>
      <c r="B108" s="19" t="s">
        <v>427</v>
      </c>
      <c r="C108" s="59" t="n">
        <v>7</v>
      </c>
      <c r="D108" s="66" t="n">
        <v>1100000000</v>
      </c>
      <c r="E108" s="38" t="str">
        <f aca="false">IF(D108="","",IF(D108&gt;=1000000000,"1B+",IF(D108&gt;=500000000,"500M+",IF(D108&gt;=100000000,"100M+",IF(D108&gt;=50000000,"50M+",IF(D108&gt;=10000000,"10M+",IF(D108&gt;=5000000,"5M+",IF(D108&gt;=1000000,"1M+","1M 미만"))))))))</f>
        <v>1B+</v>
      </c>
      <c r="F108" s="38" t="s">
        <v>1010</v>
      </c>
      <c r="G108" s="38" t="s">
        <v>1010</v>
      </c>
      <c r="H108" s="36" t="str">
        <f aca="false">IF(AND(ISNUMBER(B108),B108&lt;=$B$2,ISNUMBER(C108),C108&lt;=$B$3),"① 둘 다 높음",IF(AND(ISNUMBER(B108),B108&lt;=$B$2),"② 매출만 높음",IF(AND(ISNUMBER(C108),C108&lt;=$B$3),"③ 다운로드만 높음","④ 둘 다 기준 밖")))</f>
        <v>③ 다운로드만 높음</v>
      </c>
      <c r="I108" s="36"/>
    </row>
    <row r="109" customFormat="false" ht="15" hidden="false" customHeight="false" outlineLevel="0" collapsed="false">
      <c r="A109" s="37" t="s">
        <v>136</v>
      </c>
      <c r="B109" s="19" t="s">
        <v>427</v>
      </c>
      <c r="C109" s="59" t="n">
        <v>8</v>
      </c>
      <c r="D109" s="66" t="n">
        <v>11000000</v>
      </c>
      <c r="E109" s="38" t="str">
        <f aca="false">IF(D109="","",IF(D109&gt;=1000000000,"1B+",IF(D109&gt;=500000000,"500M+",IF(D109&gt;=100000000,"100M+",IF(D109&gt;=50000000,"50M+",IF(D109&gt;=10000000,"10M+",IF(D109&gt;=5000000,"5M+",IF(D109&gt;=1000000,"1M+","1M 미만"))))))))</f>
        <v>10M+</v>
      </c>
      <c r="F109" s="38" t="s">
        <v>1010</v>
      </c>
      <c r="G109" s="38" t="s">
        <v>1010</v>
      </c>
      <c r="H109" s="36" t="str">
        <f aca="false">IF(AND(ISNUMBER(B109),B109&lt;=$B$2,ISNUMBER(C109),C109&lt;=$B$3),"① 둘 다 높음",IF(AND(ISNUMBER(B109),B109&lt;=$B$2),"② 매출만 높음",IF(AND(ISNUMBER(C109),C109&lt;=$B$3),"③ 다운로드만 높음","④ 둘 다 기준 밖")))</f>
        <v>③ 다운로드만 높음</v>
      </c>
      <c r="I109" s="36"/>
    </row>
    <row r="110" customFormat="false" ht="17.15" hidden="false" customHeight="false" outlineLevel="0" collapsed="false">
      <c r="A110" s="37" t="s">
        <v>357</v>
      </c>
      <c r="B110" s="19" t="s">
        <v>427</v>
      </c>
      <c r="C110" s="59" t="n">
        <v>10</v>
      </c>
      <c r="D110" s="66" t="n">
        <v>290000</v>
      </c>
      <c r="E110" s="38" t="str">
        <f aca="false">IF(D110="","",IF(D110&gt;=1000000000,"1B+",IF(D110&gt;=500000000,"500M+",IF(D110&gt;=100000000,"100M+",IF(D110&gt;=50000000,"50M+",IF(D110&gt;=10000000,"10M+",IF(D110&gt;=5000000,"5M+",IF(D110&gt;=1000000,"1M+","1M 미만"))))))))</f>
        <v>1M 미만</v>
      </c>
      <c r="F110" s="38" t="s">
        <v>1010</v>
      </c>
      <c r="G110" s="38" t="s">
        <v>1010</v>
      </c>
      <c r="H110" s="36" t="str">
        <f aca="false">IF(AND(ISNUMBER(B110),B110&lt;=$B$2,ISNUMBER(C110),C110&lt;=$B$3),"① 둘 다 높음",IF(AND(ISNUMBER(B110),B110&lt;=$B$2),"② 매출만 높음",IF(AND(ISNUMBER(C110),C110&lt;=$B$3),"③ 다운로드만 높음","④ 둘 다 기준 밖")))</f>
        <v>③ 다운로드만 높음</v>
      </c>
      <c r="I110" s="36"/>
    </row>
    <row r="111" customFormat="false" ht="15" hidden="false" customHeight="false" outlineLevel="0" collapsed="false">
      <c r="A111" s="37" t="s">
        <v>131</v>
      </c>
      <c r="B111" s="19" t="s">
        <v>427</v>
      </c>
      <c r="C111" s="59" t="n">
        <v>12</v>
      </c>
      <c r="D111" s="66" t="n">
        <v>22000000</v>
      </c>
      <c r="E111" s="38" t="str">
        <f aca="false">IF(D111="","",IF(D111&gt;=1000000000,"1B+",IF(D111&gt;=500000000,"500M+",IF(D111&gt;=100000000,"100M+",IF(D111&gt;=50000000,"50M+",IF(D111&gt;=10000000,"10M+",IF(D111&gt;=5000000,"5M+",IF(D111&gt;=1000000,"1M+","1M 미만"))))))))</f>
        <v>10M+</v>
      </c>
      <c r="F111" s="38" t="s">
        <v>1010</v>
      </c>
      <c r="G111" s="38" t="s">
        <v>1010</v>
      </c>
      <c r="H111" s="36" t="str">
        <f aca="false">IF(AND(ISNUMBER(B111),B111&lt;=$B$2,ISNUMBER(C111),C111&lt;=$B$3),"① 둘 다 높음",IF(AND(ISNUMBER(B111),B111&lt;=$B$2),"② 매출만 높음",IF(AND(ISNUMBER(C111),C111&lt;=$B$3),"③ 다운로드만 높음","④ 둘 다 기준 밖")))</f>
        <v>③ 다운로드만 높음</v>
      </c>
      <c r="I111" s="36"/>
    </row>
    <row r="112" customFormat="false" ht="15" hidden="false" customHeight="false" outlineLevel="0" collapsed="false">
      <c r="A112" s="37" t="s">
        <v>361</v>
      </c>
      <c r="B112" s="19" t="s">
        <v>427</v>
      </c>
      <c r="C112" s="59" t="n">
        <v>13</v>
      </c>
      <c r="D112" s="66" t="n">
        <v>16000000</v>
      </c>
      <c r="E112" s="38" t="str">
        <f aca="false">IF(D112="","",IF(D112&gt;=1000000000,"1B+",IF(D112&gt;=500000000,"500M+",IF(D112&gt;=100000000,"100M+",IF(D112&gt;=50000000,"50M+",IF(D112&gt;=10000000,"10M+",IF(D112&gt;=5000000,"5M+",IF(D112&gt;=1000000,"1M+","1M 미만"))))))))</f>
        <v>10M+</v>
      </c>
      <c r="F112" s="38" t="s">
        <v>1010</v>
      </c>
      <c r="G112" s="38" t="s">
        <v>1010</v>
      </c>
      <c r="H112" s="36" t="str">
        <f aca="false">IF(AND(ISNUMBER(B112),B112&lt;=$B$2,ISNUMBER(C112),C112&lt;=$B$3),"① 둘 다 높음",IF(AND(ISNUMBER(B112),B112&lt;=$B$2),"② 매출만 높음",IF(AND(ISNUMBER(C112),C112&lt;=$B$3),"③ 다운로드만 높음","④ 둘 다 기준 밖")))</f>
        <v>③ 다운로드만 높음</v>
      </c>
      <c r="I112" s="36"/>
    </row>
    <row r="113" customFormat="false" ht="15" hidden="false" customHeight="false" outlineLevel="0" collapsed="false">
      <c r="A113" s="37" t="s">
        <v>142</v>
      </c>
      <c r="B113" s="19" t="s">
        <v>427</v>
      </c>
      <c r="C113" s="59" t="n">
        <v>14</v>
      </c>
      <c r="D113" s="66" t="n">
        <v>110000000</v>
      </c>
      <c r="E113" s="38" t="str">
        <f aca="false">IF(D113="","",IF(D113&gt;=1000000000,"1B+",IF(D113&gt;=500000000,"500M+",IF(D113&gt;=100000000,"100M+",IF(D113&gt;=50000000,"50M+",IF(D113&gt;=10000000,"10M+",IF(D113&gt;=5000000,"5M+",IF(D113&gt;=1000000,"1M+","1M 미만"))))))))</f>
        <v>100M+</v>
      </c>
      <c r="F113" s="38" t="s">
        <v>1010</v>
      </c>
      <c r="G113" s="38" t="s">
        <v>1010</v>
      </c>
      <c r="H113" s="36" t="str">
        <f aca="false">IF(AND(ISNUMBER(B113),B113&lt;=$B$2,ISNUMBER(C113),C113&lt;=$B$3),"① 둘 다 높음",IF(AND(ISNUMBER(B113),B113&lt;=$B$2),"② 매출만 높음",IF(AND(ISNUMBER(C113),C113&lt;=$B$3),"③ 다운로드만 높음","④ 둘 다 기준 밖")))</f>
        <v>③ 다운로드만 높음</v>
      </c>
      <c r="I113" s="36"/>
    </row>
    <row r="114" customFormat="false" ht="15" hidden="false" customHeight="false" outlineLevel="0" collapsed="false">
      <c r="A114" s="37" t="s">
        <v>362</v>
      </c>
      <c r="B114" s="19" t="s">
        <v>427</v>
      </c>
      <c r="C114" s="59" t="n">
        <v>15</v>
      </c>
      <c r="D114" s="66" t="n">
        <v>580000000</v>
      </c>
      <c r="E114" s="38" t="str">
        <f aca="false">IF(D114="","",IF(D114&gt;=1000000000,"1B+",IF(D114&gt;=500000000,"500M+",IF(D114&gt;=100000000,"100M+",IF(D114&gt;=50000000,"50M+",IF(D114&gt;=10000000,"10M+",IF(D114&gt;=5000000,"5M+",IF(D114&gt;=1000000,"1M+","1M 미만"))))))))</f>
        <v>500M+</v>
      </c>
      <c r="F114" s="38" t="s">
        <v>1010</v>
      </c>
      <c r="G114" s="38" t="s">
        <v>1010</v>
      </c>
      <c r="H114" s="36" t="str">
        <f aca="false">IF(AND(ISNUMBER(B114),B114&lt;=$B$2,ISNUMBER(C114),C114&lt;=$B$3),"① 둘 다 높음",IF(AND(ISNUMBER(B114),B114&lt;=$B$2),"② 매출만 높음",IF(AND(ISNUMBER(C114),C114&lt;=$B$3),"③ 다운로드만 높음","④ 둘 다 기준 밖")))</f>
        <v>③ 다운로드만 높음</v>
      </c>
      <c r="I114" s="36"/>
    </row>
    <row r="115" customFormat="false" ht="15" hidden="false" customHeight="false" outlineLevel="0" collapsed="false">
      <c r="A115" s="37" t="s">
        <v>229</v>
      </c>
      <c r="B115" s="19" t="s">
        <v>427</v>
      </c>
      <c r="C115" s="59" t="n">
        <v>16</v>
      </c>
      <c r="D115" s="66" t="n">
        <v>110000000</v>
      </c>
      <c r="E115" s="38" t="str">
        <f aca="false">IF(D115="","",IF(D115&gt;=1000000000,"1B+",IF(D115&gt;=500000000,"500M+",IF(D115&gt;=100000000,"100M+",IF(D115&gt;=50000000,"50M+",IF(D115&gt;=10000000,"10M+",IF(D115&gt;=5000000,"5M+",IF(D115&gt;=1000000,"1M+","1M 미만"))))))))</f>
        <v>100M+</v>
      </c>
      <c r="F115" s="38" t="s">
        <v>1010</v>
      </c>
      <c r="G115" s="38" t="s">
        <v>1010</v>
      </c>
      <c r="H115" s="36" t="str">
        <f aca="false">IF(AND(ISNUMBER(B115),B115&lt;=$B$2,ISNUMBER(C115),C115&lt;=$B$3),"① 둘 다 높음",IF(AND(ISNUMBER(B115),B115&lt;=$B$2),"② 매출만 높음",IF(AND(ISNUMBER(C115),C115&lt;=$B$3),"③ 다운로드만 높음","④ 둘 다 기준 밖")))</f>
        <v>③ 다운로드만 높음</v>
      </c>
      <c r="I115" s="36"/>
    </row>
    <row r="116" customFormat="false" ht="15" hidden="false" customHeight="false" outlineLevel="0" collapsed="false">
      <c r="A116" s="37" t="s">
        <v>366</v>
      </c>
      <c r="B116" s="19" t="s">
        <v>427</v>
      </c>
      <c r="C116" s="59" t="n">
        <v>18</v>
      </c>
      <c r="D116" s="66" t="n">
        <v>2200000</v>
      </c>
      <c r="E116" s="38" t="str">
        <f aca="false">IF(D116="","",IF(D116&gt;=1000000000,"1B+",IF(D116&gt;=500000000,"500M+",IF(D116&gt;=100000000,"100M+",IF(D116&gt;=50000000,"50M+",IF(D116&gt;=10000000,"10M+",IF(D116&gt;=5000000,"5M+",IF(D116&gt;=1000000,"1M+","1M 미만"))))))))</f>
        <v>1M+</v>
      </c>
      <c r="F116" s="38" t="s">
        <v>1010</v>
      </c>
      <c r="G116" s="38" t="s">
        <v>1010</v>
      </c>
      <c r="H116" s="36" t="str">
        <f aca="false">IF(AND(ISNUMBER(B116),B116&lt;=$B$2,ISNUMBER(C116),C116&lt;=$B$3),"① 둘 다 높음",IF(AND(ISNUMBER(B116),B116&lt;=$B$2),"② 매출만 높음",IF(AND(ISNUMBER(C116),C116&lt;=$B$3),"③ 다운로드만 높음","④ 둘 다 기준 밖")))</f>
        <v>③ 다운로드만 높음</v>
      </c>
      <c r="I116" s="36"/>
    </row>
    <row r="117" customFormat="false" ht="15" hidden="false" customHeight="false" outlineLevel="0" collapsed="false">
      <c r="A117" s="37" t="s">
        <v>156</v>
      </c>
      <c r="B117" s="19" t="s">
        <v>427</v>
      </c>
      <c r="C117" s="59" t="n">
        <v>19</v>
      </c>
      <c r="D117" s="66" t="n">
        <v>94000000</v>
      </c>
      <c r="E117" s="38" t="str">
        <f aca="false">IF(D117="","",IF(D117&gt;=1000000000,"1B+",IF(D117&gt;=500000000,"500M+",IF(D117&gt;=100000000,"100M+",IF(D117&gt;=50000000,"50M+",IF(D117&gt;=10000000,"10M+",IF(D117&gt;=5000000,"5M+",IF(D117&gt;=1000000,"1M+","1M 미만"))))))))</f>
        <v>50M+</v>
      </c>
      <c r="F117" s="38" t="s">
        <v>1010</v>
      </c>
      <c r="G117" s="38" t="s">
        <v>1010</v>
      </c>
      <c r="H117" s="36" t="str">
        <f aca="false">IF(AND(ISNUMBER(B117),B117&lt;=$B$2,ISNUMBER(C117),C117&lt;=$B$3),"① 둘 다 높음",IF(AND(ISNUMBER(B117),B117&lt;=$B$2),"② 매출만 높음",IF(AND(ISNUMBER(C117),C117&lt;=$B$3),"③ 다운로드만 높음","④ 둘 다 기준 밖")))</f>
        <v>③ 다운로드만 높음</v>
      </c>
      <c r="I117" s="36"/>
    </row>
    <row r="118" customFormat="false" ht="15" hidden="false" customHeight="false" outlineLevel="0" collapsed="false">
      <c r="A118" s="37" t="s">
        <v>367</v>
      </c>
      <c r="B118" s="19" t="s">
        <v>427</v>
      </c>
      <c r="C118" s="59" t="n">
        <v>20</v>
      </c>
      <c r="D118" s="66" t="n">
        <v>13000000</v>
      </c>
      <c r="E118" s="38" t="str">
        <f aca="false">IF(D118="","",IF(D118&gt;=1000000000,"1B+",IF(D118&gt;=500000000,"500M+",IF(D118&gt;=100000000,"100M+",IF(D118&gt;=50000000,"50M+",IF(D118&gt;=10000000,"10M+",IF(D118&gt;=5000000,"5M+",IF(D118&gt;=1000000,"1M+","1M 미만"))))))))</f>
        <v>10M+</v>
      </c>
      <c r="F118" s="38" t="s">
        <v>1010</v>
      </c>
      <c r="G118" s="38" t="s">
        <v>1010</v>
      </c>
      <c r="H118" s="36" t="str">
        <f aca="false">IF(AND(ISNUMBER(B118),B118&lt;=$B$2,ISNUMBER(C118),C118&lt;=$B$3),"① 둘 다 높음",IF(AND(ISNUMBER(B118),B118&lt;=$B$2),"② 매출만 높음",IF(AND(ISNUMBER(C118),C118&lt;=$B$3),"③ 다운로드만 높음","④ 둘 다 기준 밖")))</f>
        <v>③ 다운로드만 높음</v>
      </c>
      <c r="I118" s="36"/>
    </row>
    <row r="119" customFormat="false" ht="15" hidden="false" customHeight="false" outlineLevel="0" collapsed="false">
      <c r="A119" s="37" t="s">
        <v>370</v>
      </c>
      <c r="B119" s="19" t="s">
        <v>427</v>
      </c>
      <c r="C119" s="59" t="n">
        <v>23</v>
      </c>
      <c r="D119" s="66" t="n">
        <v>88000000</v>
      </c>
      <c r="E119" s="38" t="str">
        <f aca="false">IF(D119="","",IF(D119&gt;=1000000000,"1B+",IF(D119&gt;=500000000,"500M+",IF(D119&gt;=100000000,"100M+",IF(D119&gt;=50000000,"50M+",IF(D119&gt;=10000000,"10M+",IF(D119&gt;=5000000,"5M+",IF(D119&gt;=1000000,"1M+","1M 미만"))))))))</f>
        <v>50M+</v>
      </c>
      <c r="F119" s="38" t="s">
        <v>1010</v>
      </c>
      <c r="G119" s="38" t="s">
        <v>1010</v>
      </c>
      <c r="H119" s="36" t="str">
        <f aca="false">IF(AND(ISNUMBER(B119),B119&lt;=$B$2,ISNUMBER(C119),C119&lt;=$B$3),"① 둘 다 높음",IF(AND(ISNUMBER(B119),B119&lt;=$B$2),"② 매출만 높음",IF(AND(ISNUMBER(C119),C119&lt;=$B$3),"③ 다운로드만 높음","④ 둘 다 기준 밖")))</f>
        <v>③ 다운로드만 높음</v>
      </c>
      <c r="I119" s="36"/>
    </row>
    <row r="120" customFormat="false" ht="15" hidden="false" customHeight="false" outlineLevel="0" collapsed="false">
      <c r="A120" s="37" t="s">
        <v>149</v>
      </c>
      <c r="B120" s="19" t="s">
        <v>427</v>
      </c>
      <c r="C120" s="59" t="n">
        <v>25</v>
      </c>
      <c r="D120" s="66" t="n">
        <v>37000000</v>
      </c>
      <c r="E120" s="38" t="str">
        <f aca="false">IF(D120="","",IF(D120&gt;=1000000000,"1B+",IF(D120&gt;=500000000,"500M+",IF(D120&gt;=100000000,"100M+",IF(D120&gt;=50000000,"50M+",IF(D120&gt;=10000000,"10M+",IF(D120&gt;=5000000,"5M+",IF(D120&gt;=1000000,"1M+","1M 미만"))))))))</f>
        <v>10M+</v>
      </c>
      <c r="F120" s="38" t="s">
        <v>1010</v>
      </c>
      <c r="G120" s="38" t="s">
        <v>1010</v>
      </c>
      <c r="H120" s="36" t="str">
        <f aca="false">IF(AND(ISNUMBER(B120),B120&lt;=$B$2,ISNUMBER(C120),C120&lt;=$B$3),"① 둘 다 높음",IF(AND(ISNUMBER(B120),B120&lt;=$B$2),"② 매출만 높음",IF(AND(ISNUMBER(C120),C120&lt;=$B$3),"③ 다운로드만 높음","④ 둘 다 기준 밖")))</f>
        <v>③ 다운로드만 높음</v>
      </c>
      <c r="I120" s="36"/>
    </row>
    <row r="121" customFormat="false" ht="15" hidden="false" customHeight="false" outlineLevel="0" collapsed="false">
      <c r="A121" s="37" t="s">
        <v>188</v>
      </c>
      <c r="B121" s="19" t="s">
        <v>427</v>
      </c>
      <c r="C121" s="59" t="n">
        <v>28</v>
      </c>
      <c r="D121" s="66" t="n">
        <v>19000000</v>
      </c>
      <c r="E121" s="38" t="str">
        <f aca="false">IF(D121="","",IF(D121&gt;=1000000000,"1B+",IF(D121&gt;=500000000,"500M+",IF(D121&gt;=100000000,"100M+",IF(D121&gt;=50000000,"50M+",IF(D121&gt;=10000000,"10M+",IF(D121&gt;=5000000,"5M+",IF(D121&gt;=1000000,"1M+","1M 미만"))))))))</f>
        <v>10M+</v>
      </c>
      <c r="F121" s="38" t="s">
        <v>1010</v>
      </c>
      <c r="G121" s="38" t="s">
        <v>1010</v>
      </c>
      <c r="H121" s="36" t="str">
        <f aca="false">IF(AND(ISNUMBER(B121),B121&lt;=$B$2,ISNUMBER(C121),C121&lt;=$B$3),"① 둘 다 높음",IF(AND(ISNUMBER(B121),B121&lt;=$B$2),"② 매출만 높음",IF(AND(ISNUMBER(C121),C121&lt;=$B$3),"③ 다운로드만 높음","④ 둘 다 기준 밖")))</f>
        <v>③ 다운로드만 높음</v>
      </c>
      <c r="I121" s="36"/>
    </row>
    <row r="122" customFormat="false" ht="15" hidden="false" customHeight="false" outlineLevel="0" collapsed="false">
      <c r="A122" s="37" t="s">
        <v>372</v>
      </c>
      <c r="B122" s="19" t="s">
        <v>427</v>
      </c>
      <c r="C122" s="59" t="n">
        <v>29</v>
      </c>
      <c r="D122" s="66" t="n">
        <v>3800000</v>
      </c>
      <c r="E122" s="38" t="str">
        <f aca="false">IF(D122="","",IF(D122&gt;=1000000000,"1B+",IF(D122&gt;=500000000,"500M+",IF(D122&gt;=100000000,"100M+",IF(D122&gt;=50000000,"50M+",IF(D122&gt;=10000000,"10M+",IF(D122&gt;=5000000,"5M+",IF(D122&gt;=1000000,"1M+","1M 미만"))))))))</f>
        <v>1M+</v>
      </c>
      <c r="F122" s="38" t="s">
        <v>1010</v>
      </c>
      <c r="G122" s="38" t="s">
        <v>1010</v>
      </c>
      <c r="H122" s="36" t="str">
        <f aca="false">IF(AND(ISNUMBER(B122),B122&lt;=$B$2,ISNUMBER(C122),C122&lt;=$B$3),"① 둘 다 높음",IF(AND(ISNUMBER(B122),B122&lt;=$B$2),"② 매출만 높음",IF(AND(ISNUMBER(C122),C122&lt;=$B$3),"③ 다운로드만 높음","④ 둘 다 기준 밖")))</f>
        <v>③ 다운로드만 높음</v>
      </c>
      <c r="I122" s="36"/>
    </row>
    <row r="123" customFormat="false" ht="15" hidden="false" customHeight="false" outlineLevel="0" collapsed="false">
      <c r="A123" s="37" t="s">
        <v>248</v>
      </c>
      <c r="B123" s="19" t="s">
        <v>427</v>
      </c>
      <c r="C123" s="59" t="n">
        <v>30</v>
      </c>
      <c r="D123" s="66" t="n">
        <v>290000000</v>
      </c>
      <c r="E123" s="38" t="str">
        <f aca="false">IF(D123="","",IF(D123&gt;=1000000000,"1B+",IF(D123&gt;=500000000,"500M+",IF(D123&gt;=100000000,"100M+",IF(D123&gt;=50000000,"50M+",IF(D123&gt;=10000000,"10M+",IF(D123&gt;=5000000,"5M+",IF(D123&gt;=1000000,"1M+","1M 미만"))))))))</f>
        <v>100M+</v>
      </c>
      <c r="F123" s="38" t="s">
        <v>1010</v>
      </c>
      <c r="G123" s="38" t="s">
        <v>1010</v>
      </c>
      <c r="H123" s="36" t="str">
        <f aca="false">IF(AND(ISNUMBER(B123),B123&lt;=$B$2,ISNUMBER(C123),C123&lt;=$B$3),"① 둘 다 높음",IF(AND(ISNUMBER(B123),B123&lt;=$B$2),"② 매출만 높음",IF(AND(ISNUMBER(C123),C123&lt;=$B$3),"③ 다운로드만 높음","④ 둘 다 기준 밖")))</f>
        <v>③ 다운로드만 높음</v>
      </c>
      <c r="I123" s="36"/>
    </row>
    <row r="124" customFormat="false" ht="15" hidden="false" customHeight="false" outlineLevel="0" collapsed="false">
      <c r="A124" s="37" t="s">
        <v>121</v>
      </c>
      <c r="B124" s="19" t="s">
        <v>427</v>
      </c>
      <c r="C124" s="59" t="n">
        <v>31</v>
      </c>
      <c r="D124" s="66" t="n">
        <v>6400000</v>
      </c>
      <c r="E124" s="38" t="str">
        <f aca="false">IF(D124="","",IF(D124&gt;=1000000000,"1B+",IF(D124&gt;=500000000,"500M+",IF(D124&gt;=100000000,"100M+",IF(D124&gt;=50000000,"50M+",IF(D124&gt;=10000000,"10M+",IF(D124&gt;=5000000,"5M+",IF(D124&gt;=1000000,"1M+","1M 미만"))))))))</f>
        <v>5M+</v>
      </c>
      <c r="F124" s="38" t="s">
        <v>1010</v>
      </c>
      <c r="G124" s="38" t="s">
        <v>1010</v>
      </c>
      <c r="H124" s="36" t="str">
        <f aca="false">IF(AND(ISNUMBER(B124),B124&lt;=$B$2,ISNUMBER(C124),C124&lt;=$B$3),"① 둘 다 높음",IF(AND(ISNUMBER(B124),B124&lt;=$B$2),"② 매출만 높음",IF(AND(ISNUMBER(C124),C124&lt;=$B$3),"③ 다운로드만 높음","④ 둘 다 기준 밖")))</f>
        <v>④ 둘 다 기준 밖</v>
      </c>
      <c r="I124" s="36"/>
    </row>
    <row r="125" customFormat="false" ht="15" hidden="false" customHeight="false" outlineLevel="0" collapsed="false">
      <c r="A125" s="37" t="s">
        <v>217</v>
      </c>
      <c r="B125" s="19" t="s">
        <v>427</v>
      </c>
      <c r="C125" s="59" t="n">
        <v>32</v>
      </c>
      <c r="D125" s="66" t="n">
        <v>480000000</v>
      </c>
      <c r="E125" s="38" t="str">
        <f aca="false">IF(D125="","",IF(D125&gt;=1000000000,"1B+",IF(D125&gt;=500000000,"500M+",IF(D125&gt;=100000000,"100M+",IF(D125&gt;=50000000,"50M+",IF(D125&gt;=10000000,"10M+",IF(D125&gt;=5000000,"5M+",IF(D125&gt;=1000000,"1M+","1M 미만"))))))))</f>
        <v>100M+</v>
      </c>
      <c r="F125" s="38" t="s">
        <v>1010</v>
      </c>
      <c r="G125" s="38" t="s">
        <v>1010</v>
      </c>
      <c r="H125" s="36" t="str">
        <f aca="false">IF(AND(ISNUMBER(B125),B125&lt;=$B$2,ISNUMBER(C125),C125&lt;=$B$3),"① 둘 다 높음",IF(AND(ISNUMBER(B125),B125&lt;=$B$2),"② 매출만 높음",IF(AND(ISNUMBER(C125),C125&lt;=$B$3),"③ 다운로드만 높음","④ 둘 다 기준 밖")))</f>
        <v>④ 둘 다 기준 밖</v>
      </c>
      <c r="I125" s="36"/>
    </row>
    <row r="126" customFormat="false" ht="15" hidden="false" customHeight="false" outlineLevel="0" collapsed="false">
      <c r="A126" s="37" t="s">
        <v>375</v>
      </c>
      <c r="B126" s="19" t="s">
        <v>427</v>
      </c>
      <c r="C126" s="59" t="n">
        <v>33</v>
      </c>
      <c r="D126" s="66" t="n">
        <v>840000000</v>
      </c>
      <c r="E126" s="38" t="str">
        <f aca="false">IF(D126="","",IF(D126&gt;=1000000000,"1B+",IF(D126&gt;=500000000,"500M+",IF(D126&gt;=100000000,"100M+",IF(D126&gt;=50000000,"50M+",IF(D126&gt;=10000000,"10M+",IF(D126&gt;=5000000,"5M+",IF(D126&gt;=1000000,"1M+","1M 미만"))))))))</f>
        <v>500M+</v>
      </c>
      <c r="F126" s="38" t="s">
        <v>1010</v>
      </c>
      <c r="G126" s="38" t="s">
        <v>1010</v>
      </c>
      <c r="H126" s="36" t="str">
        <f aca="false">IF(AND(ISNUMBER(B126),B126&lt;=$B$2,ISNUMBER(C126),C126&lt;=$B$3),"① 둘 다 높음",IF(AND(ISNUMBER(B126),B126&lt;=$B$2),"② 매출만 높음",IF(AND(ISNUMBER(C126),C126&lt;=$B$3),"③ 다운로드만 높음","④ 둘 다 기준 밖")))</f>
        <v>④ 둘 다 기준 밖</v>
      </c>
      <c r="I126" s="36"/>
    </row>
    <row r="127" customFormat="false" ht="15" hidden="false" customHeight="false" outlineLevel="0" collapsed="false">
      <c r="A127" s="37" t="s">
        <v>199</v>
      </c>
      <c r="B127" s="19" t="s">
        <v>427</v>
      </c>
      <c r="C127" s="59" t="n">
        <v>34</v>
      </c>
      <c r="D127" s="66" t="n">
        <v>120000000</v>
      </c>
      <c r="E127" s="38" t="str">
        <f aca="false">IF(D127="","",IF(D127&gt;=1000000000,"1B+",IF(D127&gt;=500000000,"500M+",IF(D127&gt;=100000000,"100M+",IF(D127&gt;=50000000,"50M+",IF(D127&gt;=10000000,"10M+",IF(D127&gt;=5000000,"5M+",IF(D127&gt;=1000000,"1M+","1M 미만"))))))))</f>
        <v>100M+</v>
      </c>
      <c r="F127" s="38" t="s">
        <v>1010</v>
      </c>
      <c r="G127" s="38" t="s">
        <v>1010</v>
      </c>
      <c r="H127" s="36" t="str">
        <f aca="false">IF(AND(ISNUMBER(B127),B127&lt;=$B$2,ISNUMBER(C127),C127&lt;=$B$3),"① 둘 다 높음",IF(AND(ISNUMBER(B127),B127&lt;=$B$2),"② 매출만 높음",IF(AND(ISNUMBER(C127),C127&lt;=$B$3),"③ 다운로드만 높음","④ 둘 다 기준 밖")))</f>
        <v>④ 둘 다 기준 밖</v>
      </c>
      <c r="I127" s="36"/>
    </row>
    <row r="128" customFormat="false" ht="15" hidden="false" customHeight="false" outlineLevel="0" collapsed="false">
      <c r="A128" s="37" t="s">
        <v>242</v>
      </c>
      <c r="B128" s="19" t="s">
        <v>427</v>
      </c>
      <c r="C128" s="59" t="n">
        <v>36</v>
      </c>
      <c r="D128" s="66" t="n">
        <v>1300000000</v>
      </c>
      <c r="E128" s="38" t="str">
        <f aca="false">IF(D128="","",IF(D128&gt;=1000000000,"1B+",IF(D128&gt;=500000000,"500M+",IF(D128&gt;=100000000,"100M+",IF(D128&gt;=50000000,"50M+",IF(D128&gt;=10000000,"10M+",IF(D128&gt;=5000000,"5M+",IF(D128&gt;=1000000,"1M+","1M 미만"))))))))</f>
        <v>1B+</v>
      </c>
      <c r="F128" s="38" t="s">
        <v>1010</v>
      </c>
      <c r="G128" s="38" t="s">
        <v>1010</v>
      </c>
      <c r="H128" s="36" t="str">
        <f aca="false">IF(AND(ISNUMBER(B128),B128&lt;=$B$2,ISNUMBER(C128),C128&lt;=$B$3),"① 둘 다 높음",IF(AND(ISNUMBER(B128),B128&lt;=$B$2),"② 매출만 높음",IF(AND(ISNUMBER(C128),C128&lt;=$B$3),"③ 다운로드만 높음","④ 둘 다 기준 밖")))</f>
        <v>④ 둘 다 기준 밖</v>
      </c>
      <c r="I128" s="36"/>
    </row>
    <row r="129" customFormat="false" ht="15" hidden="false" customHeight="false" outlineLevel="0" collapsed="false">
      <c r="A129" s="37" t="s">
        <v>191</v>
      </c>
      <c r="B129" s="19" t="s">
        <v>427</v>
      </c>
      <c r="C129" s="59" t="n">
        <v>37</v>
      </c>
      <c r="D129" s="66" t="n">
        <v>22000000</v>
      </c>
      <c r="E129" s="38" t="str">
        <f aca="false">IF(D129="","",IF(D129&gt;=1000000000,"1B+",IF(D129&gt;=500000000,"500M+",IF(D129&gt;=100000000,"100M+",IF(D129&gt;=50000000,"50M+",IF(D129&gt;=10000000,"10M+",IF(D129&gt;=5000000,"5M+",IF(D129&gt;=1000000,"1M+","1M 미만"))))))))</f>
        <v>10M+</v>
      </c>
      <c r="F129" s="38" t="s">
        <v>1010</v>
      </c>
      <c r="G129" s="38" t="s">
        <v>1010</v>
      </c>
      <c r="H129" s="36" t="str">
        <f aca="false">IF(AND(ISNUMBER(B129),B129&lt;=$B$2,ISNUMBER(C129),C129&lt;=$B$3),"① 둘 다 높음",IF(AND(ISNUMBER(B129),B129&lt;=$B$2),"② 매출만 높음",IF(AND(ISNUMBER(C129),C129&lt;=$B$3),"③ 다운로드만 높음","④ 둘 다 기준 밖")))</f>
        <v>④ 둘 다 기준 밖</v>
      </c>
      <c r="I129" s="36"/>
    </row>
    <row r="130" customFormat="false" ht="15" hidden="false" customHeight="false" outlineLevel="0" collapsed="false">
      <c r="A130" s="37" t="s">
        <v>311</v>
      </c>
      <c r="B130" s="19" t="s">
        <v>427</v>
      </c>
      <c r="C130" s="59" t="n">
        <v>38</v>
      </c>
      <c r="D130" s="66" t="n">
        <v>17000000</v>
      </c>
      <c r="E130" s="38" t="str">
        <f aca="false">IF(D130="","",IF(D130&gt;=1000000000,"1B+",IF(D130&gt;=500000000,"500M+",IF(D130&gt;=100000000,"100M+",IF(D130&gt;=50000000,"50M+",IF(D130&gt;=10000000,"10M+",IF(D130&gt;=5000000,"5M+",IF(D130&gt;=1000000,"1M+","1M 미만"))))))))</f>
        <v>10M+</v>
      </c>
      <c r="F130" s="38" t="s">
        <v>1010</v>
      </c>
      <c r="G130" s="38" t="s">
        <v>1010</v>
      </c>
      <c r="H130" s="36" t="str">
        <f aca="false">IF(AND(ISNUMBER(B130),B130&lt;=$B$2,ISNUMBER(C130),C130&lt;=$B$3),"① 둘 다 높음",IF(AND(ISNUMBER(B130),B130&lt;=$B$2),"② 매출만 높음",IF(AND(ISNUMBER(C130),C130&lt;=$B$3),"③ 다운로드만 높음","④ 둘 다 기준 밖")))</f>
        <v>④ 둘 다 기준 밖</v>
      </c>
      <c r="I130" s="36"/>
    </row>
    <row r="131" customFormat="false" ht="15" hidden="false" customHeight="false" outlineLevel="0" collapsed="false">
      <c r="A131" s="37" t="s">
        <v>377</v>
      </c>
      <c r="B131" s="19" t="s">
        <v>427</v>
      </c>
      <c r="C131" s="59" t="n">
        <v>39</v>
      </c>
      <c r="D131" s="66" t="n">
        <v>110000000</v>
      </c>
      <c r="E131" s="38" t="str">
        <f aca="false">IF(D131="","",IF(D131&gt;=1000000000,"1B+",IF(D131&gt;=500000000,"500M+",IF(D131&gt;=100000000,"100M+",IF(D131&gt;=50000000,"50M+",IF(D131&gt;=10000000,"10M+",IF(D131&gt;=5000000,"5M+",IF(D131&gt;=1000000,"1M+","1M 미만"))))))))</f>
        <v>100M+</v>
      </c>
      <c r="F131" s="38" t="s">
        <v>1010</v>
      </c>
      <c r="G131" s="38" t="s">
        <v>1010</v>
      </c>
      <c r="H131" s="36" t="str">
        <f aca="false">IF(AND(ISNUMBER(B131),B131&lt;=$B$2,ISNUMBER(C131),C131&lt;=$B$3),"① 둘 다 높음",IF(AND(ISNUMBER(B131),B131&lt;=$B$2),"② 매출만 높음",IF(AND(ISNUMBER(C131),C131&lt;=$B$3),"③ 다운로드만 높음","④ 둘 다 기준 밖")))</f>
        <v>④ 둘 다 기준 밖</v>
      </c>
      <c r="I131" s="36"/>
    </row>
    <row r="132" customFormat="false" ht="15" hidden="false" customHeight="false" outlineLevel="0" collapsed="false">
      <c r="A132" s="37" t="s">
        <v>213</v>
      </c>
      <c r="B132" s="19" t="s">
        <v>427</v>
      </c>
      <c r="C132" s="59" t="n">
        <v>41</v>
      </c>
      <c r="D132" s="66" t="n">
        <v>7100000</v>
      </c>
      <c r="E132" s="38" t="str">
        <f aca="false">IF(D132="","",IF(D132&gt;=1000000000,"1B+",IF(D132&gt;=500000000,"500M+",IF(D132&gt;=100000000,"100M+",IF(D132&gt;=50000000,"50M+",IF(D132&gt;=10000000,"10M+",IF(D132&gt;=5000000,"5M+",IF(D132&gt;=1000000,"1M+","1M 미만"))))))))</f>
        <v>5M+</v>
      </c>
      <c r="F132" s="38" t="s">
        <v>1010</v>
      </c>
      <c r="G132" s="38" t="s">
        <v>1010</v>
      </c>
      <c r="H132" s="36" t="str">
        <f aca="false">IF(AND(ISNUMBER(B132),B132&lt;=$B$2,ISNUMBER(C132),C132&lt;=$B$3),"① 둘 다 높음",IF(AND(ISNUMBER(B132),B132&lt;=$B$2),"② 매출만 높음",IF(AND(ISNUMBER(C132),C132&lt;=$B$3),"③ 다운로드만 높음","④ 둘 다 기준 밖")))</f>
        <v>④ 둘 다 기준 밖</v>
      </c>
      <c r="I132" s="36"/>
    </row>
    <row r="133" customFormat="false" ht="15" hidden="false" customHeight="false" outlineLevel="0" collapsed="false">
      <c r="A133" s="37" t="s">
        <v>380</v>
      </c>
      <c r="B133" s="19" t="s">
        <v>427</v>
      </c>
      <c r="C133" s="59" t="n">
        <v>43</v>
      </c>
      <c r="D133" s="66" t="n">
        <v>70000000</v>
      </c>
      <c r="E133" s="38" t="str">
        <f aca="false">IF(D133="","",IF(D133&gt;=1000000000,"1B+",IF(D133&gt;=500000000,"500M+",IF(D133&gt;=100000000,"100M+",IF(D133&gt;=50000000,"50M+",IF(D133&gt;=10000000,"10M+",IF(D133&gt;=5000000,"5M+",IF(D133&gt;=1000000,"1M+","1M 미만"))))))))</f>
        <v>50M+</v>
      </c>
      <c r="F133" s="38" t="s">
        <v>1010</v>
      </c>
      <c r="G133" s="38" t="s">
        <v>1010</v>
      </c>
      <c r="H133" s="36" t="str">
        <f aca="false">IF(AND(ISNUMBER(B133),B133&lt;=$B$2,ISNUMBER(C133),C133&lt;=$B$3),"① 둘 다 높음",IF(AND(ISNUMBER(B133),B133&lt;=$B$2),"② 매출만 높음",IF(AND(ISNUMBER(C133),C133&lt;=$B$3),"③ 다운로드만 높음","④ 둘 다 기준 밖")))</f>
        <v>④ 둘 다 기준 밖</v>
      </c>
      <c r="I133" s="36"/>
    </row>
    <row r="134" customFormat="false" ht="15" hidden="false" customHeight="false" outlineLevel="0" collapsed="false">
      <c r="A134" s="37" t="s">
        <v>382</v>
      </c>
      <c r="B134" s="19" t="s">
        <v>427</v>
      </c>
      <c r="C134" s="59" t="n">
        <v>44</v>
      </c>
      <c r="D134" s="66" t="n">
        <v>12000000</v>
      </c>
      <c r="E134" s="38" t="str">
        <f aca="false">IF(D134="","",IF(D134&gt;=1000000000,"1B+",IF(D134&gt;=500000000,"500M+",IF(D134&gt;=100000000,"100M+",IF(D134&gt;=50000000,"50M+",IF(D134&gt;=10000000,"10M+",IF(D134&gt;=5000000,"5M+",IF(D134&gt;=1000000,"1M+","1M 미만"))))))))</f>
        <v>10M+</v>
      </c>
      <c r="F134" s="38" t="s">
        <v>1010</v>
      </c>
      <c r="G134" s="38" t="s">
        <v>1010</v>
      </c>
      <c r="H134" s="36" t="str">
        <f aca="false">IF(AND(ISNUMBER(B134),B134&lt;=$B$2,ISNUMBER(C134),C134&lt;=$B$3),"① 둘 다 높음",IF(AND(ISNUMBER(B134),B134&lt;=$B$2),"② 매출만 높음",IF(AND(ISNUMBER(C134),C134&lt;=$B$3),"③ 다운로드만 높음","④ 둘 다 기준 밖")))</f>
        <v>④ 둘 다 기준 밖</v>
      </c>
      <c r="I134" s="36"/>
    </row>
    <row r="135" customFormat="false" ht="17.15" hidden="false" customHeight="false" outlineLevel="0" collapsed="false">
      <c r="A135" s="37" t="s">
        <v>384</v>
      </c>
      <c r="B135" s="19" t="s">
        <v>427</v>
      </c>
      <c r="C135" s="59" t="n">
        <v>45</v>
      </c>
      <c r="D135" s="66" t="n">
        <v>750000</v>
      </c>
      <c r="E135" s="38" t="str">
        <f aca="false">IF(D135="","",IF(D135&gt;=1000000000,"1B+",IF(D135&gt;=500000000,"500M+",IF(D135&gt;=100000000,"100M+",IF(D135&gt;=50000000,"50M+",IF(D135&gt;=10000000,"10M+",IF(D135&gt;=5000000,"5M+",IF(D135&gt;=1000000,"1M+","1M 미만"))))))))</f>
        <v>1M 미만</v>
      </c>
      <c r="F135" s="38" t="s">
        <v>1010</v>
      </c>
      <c r="G135" s="38" t="s">
        <v>1010</v>
      </c>
      <c r="H135" s="36" t="str">
        <f aca="false">IF(AND(ISNUMBER(B135),B135&lt;=$B$2,ISNUMBER(C135),C135&lt;=$B$3),"① 둘 다 높음",IF(AND(ISNUMBER(B135),B135&lt;=$B$2),"② 매출만 높음",IF(AND(ISNUMBER(C135),C135&lt;=$B$3),"③ 다운로드만 높음","④ 둘 다 기준 밖")))</f>
        <v>④ 둘 다 기준 밖</v>
      </c>
      <c r="I135" s="36"/>
    </row>
    <row r="136" customFormat="false" ht="15" hidden="false" customHeight="false" outlineLevel="0" collapsed="false">
      <c r="A136" s="37" t="s">
        <v>386</v>
      </c>
      <c r="B136" s="19" t="s">
        <v>427</v>
      </c>
      <c r="C136" s="59" t="n">
        <v>46</v>
      </c>
      <c r="D136" s="66" t="n">
        <v>79000000</v>
      </c>
      <c r="E136" s="38" t="str">
        <f aca="false">IF(D136="","",IF(D136&gt;=1000000000,"1B+",IF(D136&gt;=500000000,"500M+",IF(D136&gt;=100000000,"100M+",IF(D136&gt;=50000000,"50M+",IF(D136&gt;=10000000,"10M+",IF(D136&gt;=5000000,"5M+",IF(D136&gt;=1000000,"1M+","1M 미만"))))))))</f>
        <v>50M+</v>
      </c>
      <c r="F136" s="38" t="s">
        <v>1010</v>
      </c>
      <c r="G136" s="38" t="s">
        <v>1010</v>
      </c>
      <c r="H136" s="36" t="str">
        <f aca="false">IF(AND(ISNUMBER(B136),B136&lt;=$B$2,ISNUMBER(C136),C136&lt;=$B$3),"① 둘 다 높음",IF(AND(ISNUMBER(B136),B136&lt;=$B$2),"② 매출만 높음",IF(AND(ISNUMBER(C136),C136&lt;=$B$3),"③ 다운로드만 높음","④ 둘 다 기준 밖")))</f>
        <v>④ 둘 다 기준 밖</v>
      </c>
      <c r="I136" s="36"/>
    </row>
    <row r="137" customFormat="false" ht="15" hidden="false" customHeight="false" outlineLevel="0" collapsed="false">
      <c r="A137" s="37" t="s">
        <v>388</v>
      </c>
      <c r="B137" s="19" t="s">
        <v>427</v>
      </c>
      <c r="C137" s="59" t="n">
        <v>50</v>
      </c>
      <c r="D137" s="66" t="n">
        <v>7500000</v>
      </c>
      <c r="E137" s="38" t="str">
        <f aca="false">IF(D137="","",IF(D137&gt;=1000000000,"1B+",IF(D137&gt;=500000000,"500M+",IF(D137&gt;=100000000,"100M+",IF(D137&gt;=50000000,"50M+",IF(D137&gt;=10000000,"10M+",IF(D137&gt;=5000000,"5M+",IF(D137&gt;=1000000,"1M+","1M 미만"))))))))</f>
        <v>5M+</v>
      </c>
      <c r="F137" s="38" t="s">
        <v>1010</v>
      </c>
      <c r="G137" s="38" t="s">
        <v>1010</v>
      </c>
      <c r="H137" s="36" t="str">
        <f aca="false">IF(AND(ISNUMBER(B137),B137&lt;=$B$2,ISNUMBER(C137),C137&lt;=$B$3),"① 둘 다 높음",IF(AND(ISNUMBER(B137),B137&lt;=$B$2),"② 매출만 높음",IF(AND(ISNUMBER(C137),C137&lt;=$B$3),"③ 다운로드만 높음","④ 둘 다 기준 밖")))</f>
        <v>④ 둘 다 기준 밖</v>
      </c>
      <c r="I137" s="36"/>
    </row>
    <row r="138" customFormat="false" ht="15" hidden="false" customHeight="false" outlineLevel="0" collapsed="false">
      <c r="A138" s="37" t="s">
        <v>391</v>
      </c>
      <c r="B138" s="19" t="s">
        <v>427</v>
      </c>
      <c r="C138" s="59" t="n">
        <v>51</v>
      </c>
      <c r="D138" s="66" t="n">
        <v>2800000</v>
      </c>
      <c r="E138" s="38" t="str">
        <f aca="false">IF(D138="","",IF(D138&gt;=1000000000,"1B+",IF(D138&gt;=500000000,"500M+",IF(D138&gt;=100000000,"100M+",IF(D138&gt;=50000000,"50M+",IF(D138&gt;=10000000,"10M+",IF(D138&gt;=5000000,"5M+",IF(D138&gt;=1000000,"1M+","1M 미만"))))))))</f>
        <v>1M+</v>
      </c>
      <c r="F138" s="38" t="s">
        <v>1010</v>
      </c>
      <c r="G138" s="38" t="s">
        <v>1010</v>
      </c>
      <c r="H138" s="36" t="str">
        <f aca="false">IF(AND(ISNUMBER(B138),B138&lt;=$B$2,ISNUMBER(C138),C138&lt;=$B$3),"① 둘 다 높음",IF(AND(ISNUMBER(B138),B138&lt;=$B$2),"② 매출만 높음",IF(AND(ISNUMBER(C138),C138&lt;=$B$3),"③ 다운로드만 높음","④ 둘 다 기준 밖")))</f>
        <v>④ 둘 다 기준 밖</v>
      </c>
      <c r="I138" s="36"/>
    </row>
    <row r="139" customFormat="false" ht="15" hidden="false" customHeight="false" outlineLevel="0" collapsed="false">
      <c r="A139" s="37" t="s">
        <v>185</v>
      </c>
      <c r="B139" s="19" t="s">
        <v>427</v>
      </c>
      <c r="C139" s="59" t="n">
        <v>52</v>
      </c>
      <c r="D139" s="66" t="n">
        <v>2900000000</v>
      </c>
      <c r="E139" s="38" t="str">
        <f aca="false">IF(D139="","",IF(D139&gt;=1000000000,"1B+",IF(D139&gt;=500000000,"500M+",IF(D139&gt;=100000000,"100M+",IF(D139&gt;=50000000,"50M+",IF(D139&gt;=10000000,"10M+",IF(D139&gt;=5000000,"5M+",IF(D139&gt;=1000000,"1M+","1M 미만"))))))))</f>
        <v>1B+</v>
      </c>
      <c r="F139" s="38" t="s">
        <v>1010</v>
      </c>
      <c r="G139" s="38" t="s">
        <v>1010</v>
      </c>
      <c r="H139" s="36" t="str">
        <f aca="false">IF(AND(ISNUMBER(B139),B139&lt;=$B$2,ISNUMBER(C139),C139&lt;=$B$3),"① 둘 다 높음",IF(AND(ISNUMBER(B139),B139&lt;=$B$2),"② 매출만 높음",IF(AND(ISNUMBER(C139),C139&lt;=$B$3),"③ 다운로드만 높음","④ 둘 다 기준 밖")))</f>
        <v>④ 둘 다 기준 밖</v>
      </c>
      <c r="I139" s="36"/>
    </row>
    <row r="140" customFormat="false" ht="17.15" hidden="false" customHeight="false" outlineLevel="0" collapsed="false">
      <c r="A140" s="37" t="s">
        <v>295</v>
      </c>
      <c r="B140" s="19" t="s">
        <v>427</v>
      </c>
      <c r="C140" s="59" t="n">
        <v>53</v>
      </c>
      <c r="D140" s="66" t="n">
        <v>350000</v>
      </c>
      <c r="E140" s="38" t="str">
        <f aca="false">IF(D140="","",IF(D140&gt;=1000000000,"1B+",IF(D140&gt;=500000000,"500M+",IF(D140&gt;=100000000,"100M+",IF(D140&gt;=50000000,"50M+",IF(D140&gt;=10000000,"10M+",IF(D140&gt;=5000000,"5M+",IF(D140&gt;=1000000,"1M+","1M 미만"))))))))</f>
        <v>1M 미만</v>
      </c>
      <c r="F140" s="38" t="s">
        <v>1010</v>
      </c>
      <c r="G140" s="38" t="s">
        <v>1010</v>
      </c>
      <c r="H140" s="36" t="str">
        <f aca="false">IF(AND(ISNUMBER(B140),B140&lt;=$B$2,ISNUMBER(C140),C140&lt;=$B$3),"① 둘 다 높음",IF(AND(ISNUMBER(B140),B140&lt;=$B$2),"② 매출만 높음",IF(AND(ISNUMBER(C140),C140&lt;=$B$3),"③ 다운로드만 높음","④ 둘 다 기준 밖")))</f>
        <v>④ 둘 다 기준 밖</v>
      </c>
      <c r="I140" s="36"/>
    </row>
    <row r="141" customFormat="false" ht="15" hidden="false" customHeight="false" outlineLevel="0" collapsed="false">
      <c r="A141" s="37" t="s">
        <v>331</v>
      </c>
      <c r="B141" s="19" t="s">
        <v>427</v>
      </c>
      <c r="C141" s="59" t="n">
        <v>54</v>
      </c>
      <c r="D141" s="66" t="n">
        <v>620000000</v>
      </c>
      <c r="E141" s="38" t="str">
        <f aca="false">IF(D141="","",IF(D141&gt;=1000000000,"1B+",IF(D141&gt;=500000000,"500M+",IF(D141&gt;=100000000,"100M+",IF(D141&gt;=50000000,"50M+",IF(D141&gt;=10000000,"10M+",IF(D141&gt;=5000000,"5M+",IF(D141&gt;=1000000,"1M+","1M 미만"))))))))</f>
        <v>500M+</v>
      </c>
      <c r="F141" s="38" t="s">
        <v>1010</v>
      </c>
      <c r="G141" s="38" t="s">
        <v>1010</v>
      </c>
      <c r="H141" s="36" t="str">
        <f aca="false">IF(AND(ISNUMBER(B141),B141&lt;=$B$2,ISNUMBER(C141),C141&lt;=$B$3),"① 둘 다 높음",IF(AND(ISNUMBER(B141),B141&lt;=$B$2),"② 매출만 높음",IF(AND(ISNUMBER(C141),C141&lt;=$B$3),"③ 다운로드만 높음","④ 둘 다 기준 밖")))</f>
        <v>④ 둘 다 기준 밖</v>
      </c>
      <c r="I141" s="36"/>
    </row>
    <row r="142" customFormat="false" ht="15" hidden="false" customHeight="false" outlineLevel="0" collapsed="false">
      <c r="A142" s="37" t="s">
        <v>394</v>
      </c>
      <c r="B142" s="19" t="s">
        <v>427</v>
      </c>
      <c r="C142" s="59" t="n">
        <v>55</v>
      </c>
      <c r="D142" s="66" t="n">
        <v>11000000</v>
      </c>
      <c r="E142" s="38" t="str">
        <f aca="false">IF(D142="","",IF(D142&gt;=1000000000,"1B+",IF(D142&gt;=500000000,"500M+",IF(D142&gt;=100000000,"100M+",IF(D142&gt;=50000000,"50M+",IF(D142&gt;=10000000,"10M+",IF(D142&gt;=5000000,"5M+",IF(D142&gt;=1000000,"1M+","1M 미만"))))))))</f>
        <v>10M+</v>
      </c>
      <c r="F142" s="38" t="s">
        <v>1010</v>
      </c>
      <c r="G142" s="38" t="s">
        <v>1010</v>
      </c>
      <c r="H142" s="36" t="str">
        <f aca="false">IF(AND(ISNUMBER(B142),B142&lt;=$B$2,ISNUMBER(C142),C142&lt;=$B$3),"① 둘 다 높음",IF(AND(ISNUMBER(B142),B142&lt;=$B$2),"② 매출만 높음",IF(AND(ISNUMBER(C142),C142&lt;=$B$3),"③ 다운로드만 높음","④ 둘 다 기준 밖")))</f>
        <v>④ 둘 다 기준 밖</v>
      </c>
      <c r="I142" s="36"/>
    </row>
    <row r="143" customFormat="false" ht="15" hidden="false" customHeight="false" outlineLevel="0" collapsed="false">
      <c r="A143" s="37" t="s">
        <v>396</v>
      </c>
      <c r="B143" s="19" t="s">
        <v>427</v>
      </c>
      <c r="C143" s="59" t="n">
        <v>56</v>
      </c>
      <c r="D143" s="66" t="n">
        <v>8900000</v>
      </c>
      <c r="E143" s="38" t="str">
        <f aca="false">IF(D143="","",IF(D143&gt;=1000000000,"1B+",IF(D143&gt;=500000000,"500M+",IF(D143&gt;=100000000,"100M+",IF(D143&gt;=50000000,"50M+",IF(D143&gt;=10000000,"10M+",IF(D143&gt;=5000000,"5M+",IF(D143&gt;=1000000,"1M+","1M 미만"))))))))</f>
        <v>5M+</v>
      </c>
      <c r="F143" s="38" t="s">
        <v>1010</v>
      </c>
      <c r="G143" s="38" t="s">
        <v>1010</v>
      </c>
      <c r="H143" s="36" t="str">
        <f aca="false">IF(AND(ISNUMBER(B143),B143&lt;=$B$2,ISNUMBER(C143),C143&lt;=$B$3),"① 둘 다 높음",IF(AND(ISNUMBER(B143),B143&lt;=$B$2),"② 매출만 높음",IF(AND(ISNUMBER(C143),C143&lt;=$B$3),"③ 다운로드만 높음","④ 둘 다 기준 밖")))</f>
        <v>④ 둘 다 기준 밖</v>
      </c>
      <c r="I143" s="36"/>
    </row>
    <row r="144" customFormat="false" ht="15" hidden="false" customHeight="false" outlineLevel="0" collapsed="false">
      <c r="A144" s="37" t="s">
        <v>398</v>
      </c>
      <c r="B144" s="19" t="s">
        <v>427</v>
      </c>
      <c r="C144" s="59" t="n">
        <v>57</v>
      </c>
      <c r="D144" s="66" t="n">
        <v>350000000</v>
      </c>
      <c r="E144" s="38" t="str">
        <f aca="false">IF(D144="","",IF(D144&gt;=1000000000,"1B+",IF(D144&gt;=500000000,"500M+",IF(D144&gt;=100000000,"100M+",IF(D144&gt;=50000000,"50M+",IF(D144&gt;=10000000,"10M+",IF(D144&gt;=5000000,"5M+",IF(D144&gt;=1000000,"1M+","1M 미만"))))))))</f>
        <v>100M+</v>
      </c>
      <c r="F144" s="38" t="s">
        <v>1010</v>
      </c>
      <c r="G144" s="38" t="s">
        <v>1010</v>
      </c>
      <c r="H144" s="36" t="str">
        <f aca="false">IF(AND(ISNUMBER(B144),B144&lt;=$B$2,ISNUMBER(C144),C144&lt;=$B$3),"① 둘 다 높음",IF(AND(ISNUMBER(B144),B144&lt;=$B$2),"② 매출만 높음",IF(AND(ISNUMBER(C144),C144&lt;=$B$3),"③ 다운로드만 높음","④ 둘 다 기준 밖")))</f>
        <v>④ 둘 다 기준 밖</v>
      </c>
      <c r="I144" s="36"/>
    </row>
    <row r="145" customFormat="false" ht="15" hidden="false" customHeight="false" outlineLevel="0" collapsed="false">
      <c r="A145" s="37" t="s">
        <v>400</v>
      </c>
      <c r="B145" s="19" t="s">
        <v>427</v>
      </c>
      <c r="C145" s="59" t="n">
        <v>58</v>
      </c>
      <c r="D145" s="66" t="n">
        <v>1100000</v>
      </c>
      <c r="E145" s="38" t="str">
        <f aca="false">IF(D145="","",IF(D145&gt;=1000000000,"1B+",IF(D145&gt;=500000000,"500M+",IF(D145&gt;=100000000,"100M+",IF(D145&gt;=50000000,"50M+",IF(D145&gt;=10000000,"10M+",IF(D145&gt;=5000000,"5M+",IF(D145&gt;=1000000,"1M+","1M 미만"))))))))</f>
        <v>1M+</v>
      </c>
      <c r="F145" s="38" t="s">
        <v>1010</v>
      </c>
      <c r="G145" s="38" t="s">
        <v>1010</v>
      </c>
      <c r="H145" s="36" t="str">
        <f aca="false">IF(AND(ISNUMBER(B145),B145&lt;=$B$2,ISNUMBER(C145),C145&lt;=$B$3),"① 둘 다 높음",IF(AND(ISNUMBER(B145),B145&lt;=$B$2),"② 매출만 높음",IF(AND(ISNUMBER(C145),C145&lt;=$B$3),"③ 다운로드만 높음","④ 둘 다 기준 밖")))</f>
        <v>④ 둘 다 기준 밖</v>
      </c>
      <c r="I145" s="36"/>
    </row>
    <row r="146" customFormat="false" ht="15" hidden="false" customHeight="false" outlineLevel="0" collapsed="false">
      <c r="A146" s="37" t="s">
        <v>403</v>
      </c>
      <c r="B146" s="19" t="s">
        <v>427</v>
      </c>
      <c r="C146" s="59" t="n">
        <v>59</v>
      </c>
      <c r="D146" s="66" t="n">
        <v>460000000</v>
      </c>
      <c r="E146" s="38" t="str">
        <f aca="false">IF(D146="","",IF(D146&gt;=1000000000,"1B+",IF(D146&gt;=500000000,"500M+",IF(D146&gt;=100000000,"100M+",IF(D146&gt;=50000000,"50M+",IF(D146&gt;=10000000,"10M+",IF(D146&gt;=5000000,"5M+",IF(D146&gt;=1000000,"1M+","1M 미만"))))))))</f>
        <v>100M+</v>
      </c>
      <c r="F146" s="38" t="s">
        <v>1010</v>
      </c>
      <c r="G146" s="38" t="s">
        <v>1010</v>
      </c>
      <c r="H146" s="36" t="str">
        <f aca="false">IF(AND(ISNUMBER(B146),B146&lt;=$B$2,ISNUMBER(C146),C146&lt;=$B$3),"① 둘 다 높음",IF(AND(ISNUMBER(B146),B146&lt;=$B$2),"② 매출만 높음",IF(AND(ISNUMBER(C146),C146&lt;=$B$3),"③ 다운로드만 높음","④ 둘 다 기준 밖")))</f>
        <v>④ 둘 다 기준 밖</v>
      </c>
      <c r="I146" s="36"/>
    </row>
    <row r="147" customFormat="false" ht="15" hidden="false" customHeight="false" outlineLevel="0" collapsed="false">
      <c r="A147" s="37" t="s">
        <v>406</v>
      </c>
      <c r="B147" s="19" t="s">
        <v>427</v>
      </c>
      <c r="C147" s="59" t="n">
        <v>60</v>
      </c>
      <c r="D147" s="66" t="n">
        <v>800000000</v>
      </c>
      <c r="E147" s="38" t="str">
        <f aca="false">IF(D147="","",IF(D147&gt;=1000000000,"1B+",IF(D147&gt;=500000000,"500M+",IF(D147&gt;=100000000,"100M+",IF(D147&gt;=50000000,"50M+",IF(D147&gt;=10000000,"10M+",IF(D147&gt;=5000000,"5M+",IF(D147&gt;=1000000,"1M+","1M 미만"))))))))</f>
        <v>500M+</v>
      </c>
      <c r="F147" s="38" t="s">
        <v>1010</v>
      </c>
      <c r="G147" s="38" t="s">
        <v>1010</v>
      </c>
      <c r="H147" s="36" t="str">
        <f aca="false">IF(AND(ISNUMBER(B147),B147&lt;=$B$2,ISNUMBER(C147),C147&lt;=$B$3),"① 둘 다 높음",IF(AND(ISNUMBER(B147),B147&lt;=$B$2),"② 매출만 높음",IF(AND(ISNUMBER(C147),C147&lt;=$B$3),"③ 다운로드만 높음","④ 둘 다 기준 밖")))</f>
        <v>④ 둘 다 기준 밖</v>
      </c>
      <c r="I147" s="36"/>
    </row>
    <row r="148" customFormat="false" ht="15" hidden="false" customHeight="false" outlineLevel="0" collapsed="false">
      <c r="A148" s="37" t="s">
        <v>408</v>
      </c>
      <c r="B148" s="19" t="s">
        <v>427</v>
      </c>
      <c r="C148" s="59" t="n">
        <v>61</v>
      </c>
      <c r="D148" s="66" t="n">
        <v>67000000</v>
      </c>
      <c r="E148" s="38" t="str">
        <f aca="false">IF(D148="","",IF(D148&gt;=1000000000,"1B+",IF(D148&gt;=500000000,"500M+",IF(D148&gt;=100000000,"100M+",IF(D148&gt;=50000000,"50M+",IF(D148&gt;=10000000,"10M+",IF(D148&gt;=5000000,"5M+",IF(D148&gt;=1000000,"1M+","1M 미만"))))))))</f>
        <v>50M+</v>
      </c>
      <c r="F148" s="38" t="s">
        <v>1010</v>
      </c>
      <c r="G148" s="38" t="s">
        <v>1010</v>
      </c>
      <c r="H148" s="36" t="str">
        <f aca="false">IF(AND(ISNUMBER(B148),B148&lt;=$B$2,ISNUMBER(C148),C148&lt;=$B$3),"① 둘 다 높음",IF(AND(ISNUMBER(B148),B148&lt;=$B$2),"② 매출만 높음",IF(AND(ISNUMBER(C148),C148&lt;=$B$3),"③ 다운로드만 높음","④ 둘 다 기준 밖")))</f>
        <v>④ 둘 다 기준 밖</v>
      </c>
      <c r="I148" s="36"/>
    </row>
    <row r="149" customFormat="false" ht="15" hidden="false" customHeight="false" outlineLevel="0" collapsed="false">
      <c r="A149" s="37" t="s">
        <v>271</v>
      </c>
      <c r="B149" s="19" t="s">
        <v>427</v>
      </c>
      <c r="C149" s="59" t="n">
        <v>64</v>
      </c>
      <c r="D149" s="66" t="n">
        <v>800000000</v>
      </c>
      <c r="E149" s="38" t="str">
        <f aca="false">IF(D149="","",IF(D149&gt;=1000000000,"1B+",IF(D149&gt;=500000000,"500M+",IF(D149&gt;=100000000,"100M+",IF(D149&gt;=50000000,"50M+",IF(D149&gt;=10000000,"10M+",IF(D149&gt;=5000000,"5M+",IF(D149&gt;=1000000,"1M+","1M 미만"))))))))</f>
        <v>500M+</v>
      </c>
      <c r="F149" s="38" t="s">
        <v>1010</v>
      </c>
      <c r="G149" s="38" t="s">
        <v>1010</v>
      </c>
      <c r="H149" s="36" t="str">
        <f aca="false">IF(AND(ISNUMBER(B149),B149&lt;=$B$2,ISNUMBER(C149),C149&lt;=$B$3),"① 둘 다 높음",IF(AND(ISNUMBER(B149),B149&lt;=$B$2),"② 매출만 높음",IF(AND(ISNUMBER(C149),C149&lt;=$B$3),"③ 다운로드만 높음","④ 둘 다 기준 밖")))</f>
        <v>④ 둘 다 기준 밖</v>
      </c>
      <c r="I149" s="36"/>
    </row>
    <row r="150" customFormat="false" ht="15" hidden="false" customHeight="false" outlineLevel="0" collapsed="false">
      <c r="A150" s="37" t="s">
        <v>409</v>
      </c>
      <c r="B150" s="19" t="s">
        <v>427</v>
      </c>
      <c r="C150" s="59" t="n">
        <v>65</v>
      </c>
      <c r="D150" s="66" t="n">
        <v>11000000</v>
      </c>
      <c r="E150" s="38" t="str">
        <f aca="false">IF(D150="","",IF(D150&gt;=1000000000,"1B+",IF(D150&gt;=500000000,"500M+",IF(D150&gt;=100000000,"100M+",IF(D150&gt;=50000000,"50M+",IF(D150&gt;=10000000,"10M+",IF(D150&gt;=5000000,"5M+",IF(D150&gt;=1000000,"1M+","1M 미만"))))))))</f>
        <v>10M+</v>
      </c>
      <c r="F150" s="38" t="s">
        <v>1010</v>
      </c>
      <c r="G150" s="38" t="s">
        <v>1010</v>
      </c>
      <c r="H150" s="36" t="str">
        <f aca="false">IF(AND(ISNUMBER(B150),B150&lt;=$B$2,ISNUMBER(C150),C150&lt;=$B$3),"① 둘 다 높음",IF(AND(ISNUMBER(B150),B150&lt;=$B$2),"② 매출만 높음",IF(AND(ISNUMBER(C150),C150&lt;=$B$3),"③ 다운로드만 높음","④ 둘 다 기준 밖")))</f>
        <v>④ 둘 다 기준 밖</v>
      </c>
      <c r="I150" s="36"/>
    </row>
    <row r="151" customFormat="false" ht="17.15" hidden="false" customHeight="false" outlineLevel="0" collapsed="false">
      <c r="A151" s="37" t="s">
        <v>341</v>
      </c>
      <c r="B151" s="19" t="s">
        <v>427</v>
      </c>
      <c r="C151" s="59" t="n">
        <v>66</v>
      </c>
      <c r="D151" s="66" t="n">
        <v>0</v>
      </c>
      <c r="E151" s="38" t="str">
        <f aca="false">IF(D151="","",IF(D151&gt;=1000000000,"1B+",IF(D151&gt;=500000000,"500M+",IF(D151&gt;=100000000,"100M+",IF(D151&gt;=50000000,"50M+",IF(D151&gt;=10000000,"10M+",IF(D151&gt;=5000000,"5M+",IF(D151&gt;=1000000,"1M+","1M 미만"))))))))</f>
        <v>1M 미만</v>
      </c>
      <c r="F151" s="38" t="s">
        <v>1010</v>
      </c>
      <c r="G151" s="38" t="s">
        <v>1010</v>
      </c>
      <c r="H151" s="36" t="str">
        <f aca="false">IF(AND(ISNUMBER(B151),B151&lt;=$B$2,ISNUMBER(C151),C151&lt;=$B$3),"① 둘 다 높음",IF(AND(ISNUMBER(B151),B151&lt;=$B$2),"② 매출만 높음",IF(AND(ISNUMBER(C151),C151&lt;=$B$3),"③ 다운로드만 높음","④ 둘 다 기준 밖")))</f>
        <v>④ 둘 다 기준 밖</v>
      </c>
      <c r="I151" s="36"/>
    </row>
    <row r="152" customFormat="false" ht="17.15" hidden="false" customHeight="false" outlineLevel="0" collapsed="false">
      <c r="A152" s="37" t="s">
        <v>416</v>
      </c>
      <c r="B152" s="19" t="s">
        <v>427</v>
      </c>
      <c r="C152" s="59" t="n">
        <v>69</v>
      </c>
      <c r="D152" s="66" t="n">
        <v>99000</v>
      </c>
      <c r="E152" s="38" t="str">
        <f aca="false">IF(D152="","",IF(D152&gt;=1000000000,"1B+",IF(D152&gt;=500000000,"500M+",IF(D152&gt;=100000000,"100M+",IF(D152&gt;=50000000,"50M+",IF(D152&gt;=10000000,"10M+",IF(D152&gt;=5000000,"5M+",IF(D152&gt;=1000000,"1M+","1M 미만"))))))))</f>
        <v>1M 미만</v>
      </c>
      <c r="F152" s="38" t="s">
        <v>1010</v>
      </c>
      <c r="G152" s="38" t="s">
        <v>1010</v>
      </c>
      <c r="H152" s="36" t="str">
        <f aca="false">IF(AND(ISNUMBER(B152),B152&lt;=$B$2,ISNUMBER(C152),C152&lt;=$B$3),"① 둘 다 높음",IF(AND(ISNUMBER(B152),B152&lt;=$B$2),"② 매출만 높음",IF(AND(ISNUMBER(C152),C152&lt;=$B$3),"③ 다운로드만 높음","④ 둘 다 기준 밖")))</f>
        <v>④ 둘 다 기준 밖</v>
      </c>
      <c r="I152" s="36"/>
    </row>
    <row r="153" customFormat="false" ht="15" hidden="false" customHeight="false" outlineLevel="0" collapsed="false">
      <c r="A153" s="37" t="s">
        <v>266</v>
      </c>
      <c r="B153" s="19" t="s">
        <v>427</v>
      </c>
      <c r="C153" s="59" t="n">
        <v>70</v>
      </c>
      <c r="D153" s="66" t="n">
        <v>58000000</v>
      </c>
      <c r="E153" s="38" t="str">
        <f aca="false">IF(D153="","",IF(D153&gt;=1000000000,"1B+",IF(D153&gt;=500000000,"500M+",IF(D153&gt;=100000000,"100M+",IF(D153&gt;=50000000,"50M+",IF(D153&gt;=10000000,"10M+",IF(D153&gt;=5000000,"5M+",IF(D153&gt;=1000000,"1M+","1M 미만"))))))))</f>
        <v>50M+</v>
      </c>
      <c r="F153" s="38" t="s">
        <v>1010</v>
      </c>
      <c r="G153" s="38" t="s">
        <v>1010</v>
      </c>
      <c r="H153" s="36" t="str">
        <f aca="false">IF(AND(ISNUMBER(B153),B153&lt;=$B$2,ISNUMBER(C153),C153&lt;=$B$3),"① 둘 다 높음",IF(AND(ISNUMBER(B153),B153&lt;=$B$2),"② 매출만 높음",IF(AND(ISNUMBER(C153),C153&lt;=$B$3),"③ 다운로드만 높음","④ 둘 다 기준 밖")))</f>
        <v>④ 둘 다 기준 밖</v>
      </c>
      <c r="I153" s="36"/>
    </row>
    <row r="154" customFormat="false" ht="15" hidden="false" customHeight="false" outlineLevel="0" collapsed="false">
      <c r="A154" s="37" t="s">
        <v>417</v>
      </c>
      <c r="B154" s="19" t="s">
        <v>427</v>
      </c>
      <c r="C154" s="59" t="n">
        <v>71</v>
      </c>
      <c r="D154" s="66" t="n">
        <v>1700000</v>
      </c>
      <c r="E154" s="38" t="str">
        <f aca="false">IF(D154="","",IF(D154&gt;=1000000000,"1B+",IF(D154&gt;=500000000,"500M+",IF(D154&gt;=100000000,"100M+",IF(D154&gt;=50000000,"50M+",IF(D154&gt;=10000000,"10M+",IF(D154&gt;=5000000,"5M+",IF(D154&gt;=1000000,"1M+","1M 미만"))))))))</f>
        <v>1M+</v>
      </c>
      <c r="F154" s="38" t="s">
        <v>1010</v>
      </c>
      <c r="G154" s="38" t="s">
        <v>1010</v>
      </c>
      <c r="H154" s="36" t="str">
        <f aca="false">IF(AND(ISNUMBER(B154),B154&lt;=$B$2,ISNUMBER(C154),C154&lt;=$B$3),"① 둘 다 높음",IF(AND(ISNUMBER(B154),B154&lt;=$B$2),"② 매출만 높음",IF(AND(ISNUMBER(C154),C154&lt;=$B$3),"③ 다운로드만 높음","④ 둘 다 기준 밖")))</f>
        <v>④ 둘 다 기준 밖</v>
      </c>
      <c r="I154" s="36"/>
    </row>
    <row r="155" customFormat="false" ht="15" hidden="false" customHeight="false" outlineLevel="0" collapsed="false">
      <c r="A155" s="37" t="s">
        <v>418</v>
      </c>
      <c r="B155" s="19" t="s">
        <v>427</v>
      </c>
      <c r="C155" s="59" t="n">
        <v>72</v>
      </c>
      <c r="D155" s="66" t="n">
        <v>120000000</v>
      </c>
      <c r="E155" s="38" t="str">
        <f aca="false">IF(D155="","",IF(D155&gt;=1000000000,"1B+",IF(D155&gt;=500000000,"500M+",IF(D155&gt;=100000000,"100M+",IF(D155&gt;=50000000,"50M+",IF(D155&gt;=10000000,"10M+",IF(D155&gt;=5000000,"5M+",IF(D155&gt;=1000000,"1M+","1M 미만"))))))))</f>
        <v>100M+</v>
      </c>
      <c r="F155" s="38" t="s">
        <v>1010</v>
      </c>
      <c r="G155" s="38" t="s">
        <v>1010</v>
      </c>
      <c r="H155" s="36" t="str">
        <f aca="false">IF(AND(ISNUMBER(B155),B155&lt;=$B$2,ISNUMBER(C155),C155&lt;=$B$3),"① 둘 다 높음",IF(AND(ISNUMBER(B155),B155&lt;=$B$2),"② 매출만 높음",IF(AND(ISNUMBER(C155),C155&lt;=$B$3),"③ 다운로드만 높음","④ 둘 다 기준 밖")))</f>
        <v>④ 둘 다 기준 밖</v>
      </c>
      <c r="I155" s="36"/>
    </row>
    <row r="156" customFormat="false" ht="15" hidden="false" customHeight="false" outlineLevel="0" collapsed="false">
      <c r="A156" s="37" t="s">
        <v>318</v>
      </c>
      <c r="B156" s="19" t="s">
        <v>427</v>
      </c>
      <c r="C156" s="59" t="n">
        <v>74</v>
      </c>
      <c r="D156" s="66" t="n">
        <v>13000000</v>
      </c>
      <c r="E156" s="38" t="str">
        <f aca="false">IF(D156="","",IF(D156&gt;=1000000000,"1B+",IF(D156&gt;=500000000,"500M+",IF(D156&gt;=100000000,"100M+",IF(D156&gt;=50000000,"50M+",IF(D156&gt;=10000000,"10M+",IF(D156&gt;=5000000,"5M+",IF(D156&gt;=1000000,"1M+","1M 미만"))))))))</f>
        <v>10M+</v>
      </c>
      <c r="F156" s="38" t="s">
        <v>1010</v>
      </c>
      <c r="G156" s="38" t="s">
        <v>1010</v>
      </c>
      <c r="H156" s="36" t="str">
        <f aca="false">IF(AND(ISNUMBER(B156),B156&lt;=$B$2,ISNUMBER(C156),C156&lt;=$B$3),"① 둘 다 높음",IF(AND(ISNUMBER(B156),B156&lt;=$B$2),"② 매출만 높음",IF(AND(ISNUMBER(C156),C156&lt;=$B$3),"③ 다운로드만 높음","④ 둘 다 기준 밖")))</f>
        <v>④ 둘 다 기준 밖</v>
      </c>
      <c r="I156" s="36"/>
    </row>
    <row r="157" customFormat="false" ht="15" hidden="false" customHeight="false" outlineLevel="0" collapsed="false">
      <c r="A157" s="37" t="s">
        <v>231</v>
      </c>
      <c r="B157" s="19" t="s">
        <v>427</v>
      </c>
      <c r="C157" s="59" t="n">
        <v>75</v>
      </c>
      <c r="D157" s="66" t="n">
        <v>38000000</v>
      </c>
      <c r="E157" s="38" t="str">
        <f aca="false">IF(D157="","",IF(D157&gt;=1000000000,"1B+",IF(D157&gt;=500000000,"500M+",IF(D157&gt;=100000000,"100M+",IF(D157&gt;=50000000,"50M+",IF(D157&gt;=10000000,"10M+",IF(D157&gt;=5000000,"5M+",IF(D157&gt;=1000000,"1M+","1M 미만"))))))))</f>
        <v>10M+</v>
      </c>
      <c r="F157" s="38" t="s">
        <v>1010</v>
      </c>
      <c r="G157" s="38" t="s">
        <v>1010</v>
      </c>
      <c r="H157" s="36" t="str">
        <f aca="false">IF(AND(ISNUMBER(B157),B157&lt;=$B$2,ISNUMBER(C157),C157&lt;=$B$3),"① 둘 다 높음",IF(AND(ISNUMBER(B157),B157&lt;=$B$2),"② 매출만 높음",IF(AND(ISNUMBER(C157),C157&lt;=$B$3),"③ 다운로드만 높음","④ 둘 다 기준 밖")))</f>
        <v>④ 둘 다 기준 밖</v>
      </c>
      <c r="I157" s="36"/>
    </row>
    <row r="158" customFormat="false" ht="15" hidden="false" customHeight="false" outlineLevel="0" collapsed="false">
      <c r="A158" s="37" t="s">
        <v>421</v>
      </c>
      <c r="B158" s="19" t="s">
        <v>427</v>
      </c>
      <c r="C158" s="59" t="n">
        <v>76</v>
      </c>
      <c r="D158" s="66" t="n">
        <v>11000000</v>
      </c>
      <c r="E158" s="38" t="str">
        <f aca="false">IF(D158="","",IF(D158&gt;=1000000000,"1B+",IF(D158&gt;=500000000,"500M+",IF(D158&gt;=100000000,"100M+",IF(D158&gt;=50000000,"50M+",IF(D158&gt;=10000000,"10M+",IF(D158&gt;=5000000,"5M+",IF(D158&gt;=1000000,"1M+","1M 미만"))))))))</f>
        <v>10M+</v>
      </c>
      <c r="F158" s="38" t="s">
        <v>1010</v>
      </c>
      <c r="G158" s="38" t="s">
        <v>1010</v>
      </c>
      <c r="H158" s="36" t="str">
        <f aca="false">IF(AND(ISNUMBER(B158),B158&lt;=$B$2,ISNUMBER(C158),C158&lt;=$B$3),"① 둘 다 높음",IF(AND(ISNUMBER(B158),B158&lt;=$B$2),"② 매출만 높음",IF(AND(ISNUMBER(C158),C158&lt;=$B$3),"③ 다운로드만 높음","④ 둘 다 기준 밖")))</f>
        <v>④ 둘 다 기준 밖</v>
      </c>
      <c r="I158" s="36"/>
    </row>
    <row r="159" customFormat="false" ht="15" hidden="false" customHeight="false" outlineLevel="0" collapsed="false">
      <c r="A159" s="37" t="s">
        <v>423</v>
      </c>
      <c r="B159" s="19" t="s">
        <v>427</v>
      </c>
      <c r="C159" s="59" t="n">
        <v>77</v>
      </c>
      <c r="D159" s="66" t="n">
        <v>41000000</v>
      </c>
      <c r="E159" s="38" t="str">
        <f aca="false">IF(D159="","",IF(D159&gt;=1000000000,"1B+",IF(D159&gt;=500000000,"500M+",IF(D159&gt;=100000000,"100M+",IF(D159&gt;=50000000,"50M+",IF(D159&gt;=10000000,"10M+",IF(D159&gt;=5000000,"5M+",IF(D159&gt;=1000000,"1M+","1M 미만"))))))))</f>
        <v>10M+</v>
      </c>
      <c r="F159" s="38" t="s">
        <v>1010</v>
      </c>
      <c r="G159" s="38" t="s">
        <v>1010</v>
      </c>
      <c r="H159" s="36" t="str">
        <f aca="false">IF(AND(ISNUMBER(B159),B159&lt;=$B$2,ISNUMBER(C159),C159&lt;=$B$3),"① 둘 다 높음",IF(AND(ISNUMBER(B159),B159&lt;=$B$2),"② 매출만 높음",IF(AND(ISNUMBER(C159),C159&lt;=$B$3),"③ 다운로드만 높음","④ 둘 다 기준 밖")))</f>
        <v>④ 둘 다 기준 밖</v>
      </c>
      <c r="I159" s="36"/>
    </row>
    <row r="160" customFormat="false" ht="15" hidden="false" customHeight="false" outlineLevel="0" collapsed="false">
      <c r="A160" s="37" t="s">
        <v>182</v>
      </c>
      <c r="B160" s="19" t="s">
        <v>427</v>
      </c>
      <c r="C160" s="59" t="n">
        <v>78</v>
      </c>
      <c r="D160" s="66" t="n">
        <v>3800000</v>
      </c>
      <c r="E160" s="38" t="str">
        <f aca="false">IF(D160="","",IF(D160&gt;=1000000000,"1B+",IF(D160&gt;=500000000,"500M+",IF(D160&gt;=100000000,"100M+",IF(D160&gt;=50000000,"50M+",IF(D160&gt;=10000000,"10M+",IF(D160&gt;=5000000,"5M+",IF(D160&gt;=1000000,"1M+","1M 미만"))))))))</f>
        <v>1M+</v>
      </c>
      <c r="F160" s="38" t="s">
        <v>1010</v>
      </c>
      <c r="G160" s="38" t="s">
        <v>1010</v>
      </c>
      <c r="H160" s="36" t="str">
        <f aca="false">IF(AND(ISNUMBER(B160),B160&lt;=$B$2,ISNUMBER(C160),C160&lt;=$B$3),"① 둘 다 높음",IF(AND(ISNUMBER(B160),B160&lt;=$B$2),"② 매출만 높음",IF(AND(ISNUMBER(C160),C160&lt;=$B$3),"③ 다운로드만 높음","④ 둘 다 기준 밖")))</f>
        <v>④ 둘 다 기준 밖</v>
      </c>
      <c r="I160" s="36"/>
    </row>
    <row r="161" customFormat="false" ht="17.15" hidden="false" customHeight="false" outlineLevel="0" collapsed="false">
      <c r="A161" s="37" t="s">
        <v>426</v>
      </c>
      <c r="B161" s="19" t="s">
        <v>427</v>
      </c>
      <c r="C161" s="59" t="n">
        <v>79</v>
      </c>
      <c r="D161" s="66" t="n">
        <v>680000</v>
      </c>
      <c r="E161" s="38" t="str">
        <f aca="false">IF(D161="","",IF(D161&gt;=1000000000,"1B+",IF(D161&gt;=500000000,"500M+",IF(D161&gt;=100000000,"100M+",IF(D161&gt;=50000000,"50M+",IF(D161&gt;=10000000,"10M+",IF(D161&gt;=5000000,"5M+",IF(D161&gt;=1000000,"1M+","1M 미만"))))))))</f>
        <v>1M 미만</v>
      </c>
      <c r="F161" s="38" t="s">
        <v>1010</v>
      </c>
      <c r="G161" s="38" t="s">
        <v>1010</v>
      </c>
      <c r="H161" s="36" t="str">
        <f aca="false">IF(AND(ISNUMBER(B161),B161&lt;=$B$2,ISNUMBER(C161),C161&lt;=$B$3),"① 둘 다 높음",IF(AND(ISNUMBER(B161),B161&lt;=$B$2),"② 매출만 높음",IF(AND(ISNUMBER(C161),C161&lt;=$B$3),"③ 다운로드만 높음","④ 둘 다 기준 밖")))</f>
        <v>④ 둘 다 기준 밖</v>
      </c>
      <c r="I161" s="36"/>
    </row>
    <row r="162" customFormat="false" ht="15" hidden="false" customHeight="false" outlineLevel="0" collapsed="false">
      <c r="A162" s="37" t="s">
        <v>429</v>
      </c>
      <c r="B162" s="19" t="s">
        <v>427</v>
      </c>
      <c r="C162" s="59" t="n">
        <v>81</v>
      </c>
      <c r="D162" s="66" t="n">
        <v>4300000</v>
      </c>
      <c r="E162" s="38" t="str">
        <f aca="false">IF(D162="","",IF(D162&gt;=1000000000,"1B+",IF(D162&gt;=500000000,"500M+",IF(D162&gt;=100000000,"100M+",IF(D162&gt;=50000000,"50M+",IF(D162&gt;=10000000,"10M+",IF(D162&gt;=5000000,"5M+",IF(D162&gt;=1000000,"1M+","1M 미만"))))))))</f>
        <v>1M+</v>
      </c>
      <c r="F162" s="38" t="s">
        <v>1010</v>
      </c>
      <c r="G162" s="38" t="s">
        <v>1010</v>
      </c>
      <c r="H162" s="36" t="str">
        <f aca="false">IF(AND(ISNUMBER(B162),B162&lt;=$B$2,ISNUMBER(C162),C162&lt;=$B$3),"① 둘 다 높음",IF(AND(ISNUMBER(B162),B162&lt;=$B$2),"② 매출만 높음",IF(AND(ISNUMBER(C162),C162&lt;=$B$3),"③ 다운로드만 높음","④ 둘 다 기준 밖")))</f>
        <v>④ 둘 다 기준 밖</v>
      </c>
      <c r="I162" s="36"/>
    </row>
    <row r="163" customFormat="false" ht="15" hidden="false" customHeight="false" outlineLevel="0" collapsed="false">
      <c r="A163" s="37" t="s">
        <v>431</v>
      </c>
      <c r="B163" s="19" t="s">
        <v>427</v>
      </c>
      <c r="C163" s="59" t="n">
        <v>82</v>
      </c>
      <c r="D163" s="66" t="n">
        <v>3600000</v>
      </c>
      <c r="E163" s="38" t="str">
        <f aca="false">IF(D163="","",IF(D163&gt;=1000000000,"1B+",IF(D163&gt;=500000000,"500M+",IF(D163&gt;=100000000,"100M+",IF(D163&gt;=50000000,"50M+",IF(D163&gt;=10000000,"10M+",IF(D163&gt;=5000000,"5M+",IF(D163&gt;=1000000,"1M+","1M 미만"))))))))</f>
        <v>1M+</v>
      </c>
      <c r="F163" s="38" t="s">
        <v>1010</v>
      </c>
      <c r="G163" s="38" t="s">
        <v>1010</v>
      </c>
      <c r="H163" s="36" t="str">
        <f aca="false">IF(AND(ISNUMBER(B163),B163&lt;=$B$2,ISNUMBER(C163),C163&lt;=$B$3),"① 둘 다 높음",IF(AND(ISNUMBER(B163),B163&lt;=$B$2),"② 매출만 높음",IF(AND(ISNUMBER(C163),C163&lt;=$B$3),"③ 다운로드만 높음","④ 둘 다 기준 밖")))</f>
        <v>④ 둘 다 기준 밖</v>
      </c>
      <c r="I163" s="36"/>
    </row>
    <row r="164" customFormat="false" ht="15" hidden="false" customHeight="false" outlineLevel="0" collapsed="false">
      <c r="A164" s="37" t="s">
        <v>433</v>
      </c>
      <c r="B164" s="19" t="s">
        <v>427</v>
      </c>
      <c r="C164" s="59" t="n">
        <v>84</v>
      </c>
      <c r="D164" s="66" t="n">
        <v>14000000</v>
      </c>
      <c r="E164" s="38" t="str">
        <f aca="false">IF(D164="","",IF(D164&gt;=1000000000,"1B+",IF(D164&gt;=500000000,"500M+",IF(D164&gt;=100000000,"100M+",IF(D164&gt;=50000000,"50M+",IF(D164&gt;=10000000,"10M+",IF(D164&gt;=5000000,"5M+",IF(D164&gt;=1000000,"1M+","1M 미만"))))))))</f>
        <v>10M+</v>
      </c>
      <c r="F164" s="38" t="s">
        <v>1010</v>
      </c>
      <c r="G164" s="38" t="s">
        <v>1010</v>
      </c>
      <c r="H164" s="36" t="str">
        <f aca="false">IF(AND(ISNUMBER(B164),B164&lt;=$B$2,ISNUMBER(C164),C164&lt;=$B$3),"① 둘 다 높음",IF(AND(ISNUMBER(B164),B164&lt;=$B$2),"② 매출만 높음",IF(AND(ISNUMBER(C164),C164&lt;=$B$3),"③ 다운로드만 높음","④ 둘 다 기준 밖")))</f>
        <v>④ 둘 다 기준 밖</v>
      </c>
      <c r="I164" s="36"/>
    </row>
    <row r="165" customFormat="false" ht="15" hidden="false" customHeight="false" outlineLevel="0" collapsed="false">
      <c r="A165" s="37" t="s">
        <v>201</v>
      </c>
      <c r="B165" s="19" t="s">
        <v>427</v>
      </c>
      <c r="C165" s="59" t="n">
        <v>85</v>
      </c>
      <c r="D165" s="66" t="n">
        <v>3800000</v>
      </c>
      <c r="E165" s="38" t="str">
        <f aca="false">IF(D165="","",IF(D165&gt;=1000000000,"1B+",IF(D165&gt;=500000000,"500M+",IF(D165&gt;=100000000,"100M+",IF(D165&gt;=50000000,"50M+",IF(D165&gt;=10000000,"10M+",IF(D165&gt;=5000000,"5M+",IF(D165&gt;=1000000,"1M+","1M 미만"))))))))</f>
        <v>1M+</v>
      </c>
      <c r="F165" s="38" t="s">
        <v>1010</v>
      </c>
      <c r="G165" s="38" t="s">
        <v>1010</v>
      </c>
      <c r="H165" s="36" t="str">
        <f aca="false">IF(AND(ISNUMBER(B165),B165&lt;=$B$2,ISNUMBER(C165),C165&lt;=$B$3),"① 둘 다 높음",IF(AND(ISNUMBER(B165),B165&lt;=$B$2),"② 매출만 높음",IF(AND(ISNUMBER(C165),C165&lt;=$B$3),"③ 다운로드만 높음","④ 둘 다 기준 밖")))</f>
        <v>④ 둘 다 기준 밖</v>
      </c>
      <c r="I165" s="36"/>
    </row>
    <row r="166" customFormat="false" ht="15" hidden="false" customHeight="false" outlineLevel="0" collapsed="false">
      <c r="A166" s="37" t="s">
        <v>350</v>
      </c>
      <c r="B166" s="19" t="s">
        <v>427</v>
      </c>
      <c r="C166" s="59" t="n">
        <v>86</v>
      </c>
      <c r="D166" s="66" t="n">
        <v>210000000</v>
      </c>
      <c r="E166" s="38" t="str">
        <f aca="false">IF(D166="","",IF(D166&gt;=1000000000,"1B+",IF(D166&gt;=500000000,"500M+",IF(D166&gt;=100000000,"100M+",IF(D166&gt;=50000000,"50M+",IF(D166&gt;=10000000,"10M+",IF(D166&gt;=5000000,"5M+",IF(D166&gt;=1000000,"1M+","1M 미만"))))))))</f>
        <v>100M+</v>
      </c>
      <c r="F166" s="38" t="s">
        <v>1010</v>
      </c>
      <c r="G166" s="38" t="s">
        <v>1010</v>
      </c>
      <c r="H166" s="36" t="str">
        <f aca="false">IF(AND(ISNUMBER(B166),B166&lt;=$B$2,ISNUMBER(C166),C166&lt;=$B$3),"① 둘 다 높음",IF(AND(ISNUMBER(B166),B166&lt;=$B$2),"② 매출만 높음",IF(AND(ISNUMBER(C166),C166&lt;=$B$3),"③ 다운로드만 높음","④ 둘 다 기준 밖")))</f>
        <v>④ 둘 다 기준 밖</v>
      </c>
      <c r="I166" s="36"/>
    </row>
    <row r="167" customFormat="false" ht="15" hidden="false" customHeight="false" outlineLevel="0" collapsed="false">
      <c r="A167" s="37" t="s">
        <v>438</v>
      </c>
      <c r="B167" s="19" t="s">
        <v>427</v>
      </c>
      <c r="C167" s="59" t="n">
        <v>88</v>
      </c>
      <c r="D167" s="66" t="n">
        <v>3200000</v>
      </c>
      <c r="E167" s="38" t="str">
        <f aca="false">IF(D167="","",IF(D167&gt;=1000000000,"1B+",IF(D167&gt;=500000000,"500M+",IF(D167&gt;=100000000,"100M+",IF(D167&gt;=50000000,"50M+",IF(D167&gt;=10000000,"10M+",IF(D167&gt;=5000000,"5M+",IF(D167&gt;=1000000,"1M+","1M 미만"))))))))</f>
        <v>1M+</v>
      </c>
      <c r="F167" s="38" t="s">
        <v>1010</v>
      </c>
      <c r="G167" s="38" t="s">
        <v>1010</v>
      </c>
      <c r="H167" s="36" t="str">
        <f aca="false">IF(AND(ISNUMBER(B167),B167&lt;=$B$2,ISNUMBER(C167),C167&lt;=$B$3),"① 둘 다 높음",IF(AND(ISNUMBER(B167),B167&lt;=$B$2),"② 매출만 높음",IF(AND(ISNUMBER(C167),C167&lt;=$B$3),"③ 다운로드만 높음","④ 둘 다 기준 밖")))</f>
        <v>④ 둘 다 기준 밖</v>
      </c>
      <c r="I167" s="36"/>
    </row>
    <row r="168" customFormat="false" ht="17.15" hidden="false" customHeight="false" outlineLevel="0" collapsed="false">
      <c r="A168" s="37" t="s">
        <v>440</v>
      </c>
      <c r="B168" s="19" t="s">
        <v>427</v>
      </c>
      <c r="C168" s="59" t="n">
        <v>89</v>
      </c>
      <c r="D168" s="66" t="n">
        <v>150000</v>
      </c>
      <c r="E168" s="38" t="str">
        <f aca="false">IF(D168="","",IF(D168&gt;=1000000000,"1B+",IF(D168&gt;=500000000,"500M+",IF(D168&gt;=100000000,"100M+",IF(D168&gt;=50000000,"50M+",IF(D168&gt;=10000000,"10M+",IF(D168&gt;=5000000,"5M+",IF(D168&gt;=1000000,"1M+","1M 미만"))))))))</f>
        <v>1M 미만</v>
      </c>
      <c r="F168" s="38" t="s">
        <v>1010</v>
      </c>
      <c r="G168" s="38" t="s">
        <v>1010</v>
      </c>
      <c r="H168" s="36" t="str">
        <f aca="false">IF(AND(ISNUMBER(B168),B168&lt;=$B$2,ISNUMBER(C168),C168&lt;=$B$3),"① 둘 다 높음",IF(AND(ISNUMBER(B168),B168&lt;=$B$2),"② 매출만 높음",IF(AND(ISNUMBER(C168),C168&lt;=$B$3),"③ 다운로드만 높음","④ 둘 다 기준 밖")))</f>
        <v>④ 둘 다 기준 밖</v>
      </c>
      <c r="I168" s="36"/>
    </row>
    <row r="169" customFormat="false" ht="15" hidden="false" customHeight="false" outlineLevel="0" collapsed="false">
      <c r="A169" s="37" t="s">
        <v>442</v>
      </c>
      <c r="B169" s="19" t="s">
        <v>427</v>
      </c>
      <c r="C169" s="59" t="n">
        <v>90</v>
      </c>
      <c r="D169" s="66" t="n">
        <v>34000000</v>
      </c>
      <c r="E169" s="38" t="str">
        <f aca="false">IF(D169="","",IF(D169&gt;=1000000000,"1B+",IF(D169&gt;=500000000,"500M+",IF(D169&gt;=100000000,"100M+",IF(D169&gt;=50000000,"50M+",IF(D169&gt;=10000000,"10M+",IF(D169&gt;=5000000,"5M+",IF(D169&gt;=1000000,"1M+","1M 미만"))))))))</f>
        <v>10M+</v>
      </c>
      <c r="F169" s="38" t="s">
        <v>1010</v>
      </c>
      <c r="G169" s="38" t="s">
        <v>1010</v>
      </c>
      <c r="H169" s="36" t="str">
        <f aca="false">IF(AND(ISNUMBER(B169),B169&lt;=$B$2,ISNUMBER(C169),C169&lt;=$B$3),"① 둘 다 높음",IF(AND(ISNUMBER(B169),B169&lt;=$B$2),"② 매출만 높음",IF(AND(ISNUMBER(C169),C169&lt;=$B$3),"③ 다운로드만 높음","④ 둘 다 기준 밖")))</f>
        <v>④ 둘 다 기준 밖</v>
      </c>
      <c r="I169" s="36"/>
    </row>
    <row r="170" customFormat="false" ht="15" hidden="false" customHeight="false" outlineLevel="0" collapsed="false">
      <c r="A170" s="37" t="s">
        <v>443</v>
      </c>
      <c r="B170" s="19" t="s">
        <v>427</v>
      </c>
      <c r="C170" s="59" t="n">
        <v>91</v>
      </c>
      <c r="D170" s="66" t="n">
        <v>1500000</v>
      </c>
      <c r="E170" s="38" t="str">
        <f aca="false">IF(D170="","",IF(D170&gt;=1000000000,"1B+",IF(D170&gt;=500000000,"500M+",IF(D170&gt;=100000000,"100M+",IF(D170&gt;=50000000,"50M+",IF(D170&gt;=10000000,"10M+",IF(D170&gt;=5000000,"5M+",IF(D170&gt;=1000000,"1M+","1M 미만"))))))))</f>
        <v>1M+</v>
      </c>
      <c r="F170" s="38" t="s">
        <v>1010</v>
      </c>
      <c r="G170" s="38" t="s">
        <v>1010</v>
      </c>
      <c r="H170" s="36" t="str">
        <f aca="false">IF(AND(ISNUMBER(B170),B170&lt;=$B$2,ISNUMBER(C170),C170&lt;=$B$3),"① 둘 다 높음",IF(AND(ISNUMBER(B170),B170&lt;=$B$2),"② 매출만 높음",IF(AND(ISNUMBER(C170),C170&lt;=$B$3),"③ 다운로드만 높음","④ 둘 다 기준 밖")))</f>
        <v>④ 둘 다 기준 밖</v>
      </c>
      <c r="I170" s="36"/>
    </row>
    <row r="171" customFormat="false" ht="15" hidden="false" customHeight="false" outlineLevel="0" collapsed="false">
      <c r="A171" s="37" t="s">
        <v>445</v>
      </c>
      <c r="B171" s="19" t="s">
        <v>427</v>
      </c>
      <c r="C171" s="59" t="n">
        <v>92</v>
      </c>
      <c r="D171" s="66" t="n">
        <v>5200000</v>
      </c>
      <c r="E171" s="38" t="str">
        <f aca="false">IF(D171="","",IF(D171&gt;=1000000000,"1B+",IF(D171&gt;=500000000,"500M+",IF(D171&gt;=100000000,"100M+",IF(D171&gt;=50000000,"50M+",IF(D171&gt;=10000000,"10M+",IF(D171&gt;=5000000,"5M+",IF(D171&gt;=1000000,"1M+","1M 미만"))))))))</f>
        <v>5M+</v>
      </c>
      <c r="F171" s="38" t="s">
        <v>1010</v>
      </c>
      <c r="G171" s="38" t="s">
        <v>1010</v>
      </c>
      <c r="H171" s="36" t="str">
        <f aca="false">IF(AND(ISNUMBER(B171),B171&lt;=$B$2,ISNUMBER(C171),C171&lt;=$B$3),"① 둘 다 높음",IF(AND(ISNUMBER(B171),B171&lt;=$B$2),"② 매출만 높음",IF(AND(ISNUMBER(C171),C171&lt;=$B$3),"③ 다운로드만 높음","④ 둘 다 기준 밖")))</f>
        <v>④ 둘 다 기준 밖</v>
      </c>
      <c r="I171" s="36"/>
    </row>
    <row r="172" customFormat="false" ht="15" hidden="false" customHeight="false" outlineLevel="0" collapsed="false">
      <c r="A172" s="37" t="s">
        <v>447</v>
      </c>
      <c r="B172" s="19" t="s">
        <v>427</v>
      </c>
      <c r="C172" s="59" t="n">
        <v>93</v>
      </c>
      <c r="D172" s="66" t="n">
        <v>250000000</v>
      </c>
      <c r="E172" s="38" t="str">
        <f aca="false">IF(D172="","",IF(D172&gt;=1000000000,"1B+",IF(D172&gt;=500000000,"500M+",IF(D172&gt;=100000000,"100M+",IF(D172&gt;=50000000,"50M+",IF(D172&gt;=10000000,"10M+",IF(D172&gt;=5000000,"5M+",IF(D172&gt;=1000000,"1M+","1M 미만"))))))))</f>
        <v>100M+</v>
      </c>
      <c r="F172" s="38" t="s">
        <v>1010</v>
      </c>
      <c r="G172" s="38" t="s">
        <v>1010</v>
      </c>
      <c r="H172" s="36" t="str">
        <f aca="false">IF(AND(ISNUMBER(B172),B172&lt;=$B$2,ISNUMBER(C172),C172&lt;=$B$3),"① 둘 다 높음",IF(AND(ISNUMBER(B172),B172&lt;=$B$2),"② 매출만 높음",IF(AND(ISNUMBER(C172),C172&lt;=$B$3),"③ 다운로드만 높음","④ 둘 다 기준 밖")))</f>
        <v>④ 둘 다 기준 밖</v>
      </c>
      <c r="I172" s="36"/>
    </row>
    <row r="173" customFormat="false" ht="15" hidden="false" customHeight="false" outlineLevel="0" collapsed="false">
      <c r="A173" s="37" t="s">
        <v>450</v>
      </c>
      <c r="B173" s="19" t="s">
        <v>427</v>
      </c>
      <c r="C173" s="59" t="n">
        <v>94</v>
      </c>
      <c r="D173" s="66" t="n">
        <v>1800000</v>
      </c>
      <c r="E173" s="38" t="str">
        <f aca="false">IF(D173="","",IF(D173&gt;=1000000000,"1B+",IF(D173&gt;=500000000,"500M+",IF(D173&gt;=100000000,"100M+",IF(D173&gt;=50000000,"50M+",IF(D173&gt;=10000000,"10M+",IF(D173&gt;=5000000,"5M+",IF(D173&gt;=1000000,"1M+","1M 미만"))))))))</f>
        <v>1M+</v>
      </c>
      <c r="F173" s="38" t="s">
        <v>1010</v>
      </c>
      <c r="G173" s="38" t="s">
        <v>1010</v>
      </c>
      <c r="H173" s="36" t="str">
        <f aca="false">IF(AND(ISNUMBER(B173),B173&lt;=$B$2,ISNUMBER(C173),C173&lt;=$B$3),"① 둘 다 높음",IF(AND(ISNUMBER(B173),B173&lt;=$B$2),"② 매출만 높음",IF(AND(ISNUMBER(C173),C173&lt;=$B$3),"③ 다운로드만 높음","④ 둘 다 기준 밖")))</f>
        <v>④ 둘 다 기준 밖</v>
      </c>
      <c r="I173" s="36"/>
    </row>
    <row r="174" customFormat="false" ht="15" hidden="false" customHeight="false" outlineLevel="0" collapsed="false">
      <c r="A174" s="37" t="s">
        <v>451</v>
      </c>
      <c r="B174" s="19" t="s">
        <v>427</v>
      </c>
      <c r="C174" s="59" t="n">
        <v>95</v>
      </c>
      <c r="D174" s="66" t="n">
        <v>110000000</v>
      </c>
      <c r="E174" s="38" t="str">
        <f aca="false">IF(D174="","",IF(D174&gt;=1000000000,"1B+",IF(D174&gt;=500000000,"500M+",IF(D174&gt;=100000000,"100M+",IF(D174&gt;=50000000,"50M+",IF(D174&gt;=10000000,"10M+",IF(D174&gt;=5000000,"5M+",IF(D174&gt;=1000000,"1M+","1M 미만"))))))))</f>
        <v>100M+</v>
      </c>
      <c r="F174" s="38" t="s">
        <v>1010</v>
      </c>
      <c r="G174" s="38" t="s">
        <v>1010</v>
      </c>
      <c r="H174" s="36" t="str">
        <f aca="false">IF(AND(ISNUMBER(B174),B174&lt;=$B$2,ISNUMBER(C174),C174&lt;=$B$3),"① 둘 다 높음",IF(AND(ISNUMBER(B174),B174&lt;=$B$2),"② 매출만 높음",IF(AND(ISNUMBER(C174),C174&lt;=$B$3),"③ 다운로드만 높음","④ 둘 다 기준 밖")))</f>
        <v>④ 둘 다 기준 밖</v>
      </c>
      <c r="I174" s="36"/>
    </row>
    <row r="175" customFormat="false" ht="15" hidden="false" customHeight="false" outlineLevel="0" collapsed="false">
      <c r="A175" s="37" t="s">
        <v>454</v>
      </c>
      <c r="B175" s="19" t="s">
        <v>427</v>
      </c>
      <c r="C175" s="59" t="n">
        <v>96</v>
      </c>
      <c r="D175" s="66" t="n">
        <v>4400000</v>
      </c>
      <c r="E175" s="38" t="str">
        <f aca="false">IF(D175="","",IF(D175&gt;=1000000000,"1B+",IF(D175&gt;=500000000,"500M+",IF(D175&gt;=100000000,"100M+",IF(D175&gt;=50000000,"50M+",IF(D175&gt;=10000000,"10M+",IF(D175&gt;=5000000,"5M+",IF(D175&gt;=1000000,"1M+","1M 미만"))))))))</f>
        <v>1M+</v>
      </c>
      <c r="F175" s="38" t="s">
        <v>1010</v>
      </c>
      <c r="G175" s="38" t="s">
        <v>1010</v>
      </c>
      <c r="H175" s="36" t="str">
        <f aca="false">IF(AND(ISNUMBER(B175),B175&lt;=$B$2,ISNUMBER(C175),C175&lt;=$B$3),"① 둘 다 높음",IF(AND(ISNUMBER(B175),B175&lt;=$B$2),"② 매출만 높음",IF(AND(ISNUMBER(C175),C175&lt;=$B$3),"③ 다운로드만 높음","④ 둘 다 기준 밖")))</f>
        <v>④ 둘 다 기준 밖</v>
      </c>
      <c r="I175" s="36"/>
    </row>
    <row r="176" customFormat="false" ht="17.15" hidden="false" customHeight="false" outlineLevel="0" collapsed="false">
      <c r="A176" s="37" t="s">
        <v>458</v>
      </c>
      <c r="B176" s="19" t="s">
        <v>427</v>
      </c>
      <c r="C176" s="59" t="n">
        <v>99</v>
      </c>
      <c r="D176" s="66" t="n">
        <v>77000</v>
      </c>
      <c r="E176" s="38" t="str">
        <f aca="false">IF(D176="","",IF(D176&gt;=1000000000,"1B+",IF(D176&gt;=500000000,"500M+",IF(D176&gt;=100000000,"100M+",IF(D176&gt;=50000000,"50M+",IF(D176&gt;=10000000,"10M+",IF(D176&gt;=5000000,"5M+",IF(D176&gt;=1000000,"1M+","1M 미만"))))))))</f>
        <v>1M 미만</v>
      </c>
      <c r="F176" s="38" t="s">
        <v>1010</v>
      </c>
      <c r="G176" s="38" t="s">
        <v>1010</v>
      </c>
      <c r="H176" s="36" t="str">
        <f aca="false">IF(AND(ISNUMBER(B176),B176&lt;=$B$2,ISNUMBER(C176),C176&lt;=$B$3),"① 둘 다 높음",IF(AND(ISNUMBER(B176),B176&lt;=$B$2),"② 매출만 높음",IF(AND(ISNUMBER(C176),C176&lt;=$B$3),"③ 다운로드만 높음","④ 둘 다 기준 밖")))</f>
        <v>④ 둘 다 기준 밖</v>
      </c>
      <c r="I176" s="36"/>
    </row>
    <row r="177" customFormat="false" ht="17.15" hidden="false" customHeight="false" outlineLevel="0" collapsed="false">
      <c r="A177" s="37" t="s">
        <v>288</v>
      </c>
      <c r="B177" s="19" t="s">
        <v>427</v>
      </c>
      <c r="C177" s="59" t="n">
        <v>100</v>
      </c>
      <c r="D177" s="66" t="n">
        <v>200000</v>
      </c>
      <c r="E177" s="38" t="str">
        <f aca="false">IF(D177="","",IF(D177&gt;=1000000000,"1B+",IF(D177&gt;=500000000,"500M+",IF(D177&gt;=100000000,"100M+",IF(D177&gt;=50000000,"50M+",IF(D177&gt;=10000000,"10M+",IF(D177&gt;=5000000,"5M+",IF(D177&gt;=1000000,"1M+","1M 미만"))))))))</f>
        <v>1M 미만</v>
      </c>
      <c r="F177" s="38" t="s">
        <v>1010</v>
      </c>
      <c r="G177" s="38" t="s">
        <v>1010</v>
      </c>
      <c r="H177" s="36" t="str">
        <f aca="false">IF(AND(ISNUMBER(B177),B177&lt;=$B$2,ISNUMBER(C177),C177&lt;=$B$3),"① 둘 다 높음",IF(AND(ISNUMBER(B177),B177&lt;=$B$2),"② 매출만 높음",IF(AND(ISNUMBER(C177),C177&lt;=$B$3),"③ 다운로드만 높음","④ 둘 다 기준 밖")))</f>
        <v>④ 둘 다 기준 밖</v>
      </c>
      <c r="I177" s="36"/>
    </row>
  </sheetData>
  <autoFilter ref="A5:I1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70"/>
    <col collapsed="false" customWidth="true" hidden="false" outlineLevel="0" max="7" min="7" style="0" width="42"/>
  </cols>
  <sheetData>
    <row r="1" customFormat="false" ht="17.15" hidden="false" customHeight="false" outlineLevel="0" collapsed="false">
      <c r="A1" s="33" t="s">
        <v>643</v>
      </c>
      <c r="B1" s="33" t="s">
        <v>840</v>
      </c>
      <c r="C1" s="33" t="s">
        <v>1028</v>
      </c>
      <c r="D1" s="33" t="s">
        <v>1029</v>
      </c>
      <c r="E1" s="33" t="s">
        <v>1030</v>
      </c>
      <c r="F1" s="33" t="s">
        <v>568</v>
      </c>
      <c r="G1" s="33" t="s">
        <v>6</v>
      </c>
    </row>
    <row r="2" customFormat="false" ht="58.2" hidden="false" customHeight="false" outlineLevel="0" collapsed="false">
      <c r="A2" s="17" t="s">
        <v>1031</v>
      </c>
      <c r="B2" s="32" t="s">
        <v>1032</v>
      </c>
      <c r="C2" s="17" t="s">
        <v>1033</v>
      </c>
      <c r="D2" s="31" t="s">
        <v>1034</v>
      </c>
      <c r="E2" s="32" t="s">
        <v>1035</v>
      </c>
      <c r="F2" s="32" t="s">
        <v>1036</v>
      </c>
      <c r="G2" s="17"/>
    </row>
    <row r="3" customFormat="false" ht="58.2" hidden="false" customHeight="false" outlineLevel="0" collapsed="false">
      <c r="A3" s="17" t="s">
        <v>1031</v>
      </c>
      <c r="B3" s="32" t="s">
        <v>1032</v>
      </c>
      <c r="C3" s="17" t="s">
        <v>1037</v>
      </c>
      <c r="D3" s="34" t="s">
        <v>1038</v>
      </c>
      <c r="E3" s="32" t="s">
        <v>1039</v>
      </c>
      <c r="F3" s="32" t="s">
        <v>1036</v>
      </c>
      <c r="G3" s="17"/>
    </row>
    <row r="4" customFormat="false" ht="58.2" hidden="false" customHeight="false" outlineLevel="0" collapsed="false">
      <c r="A4" s="17" t="s">
        <v>1031</v>
      </c>
      <c r="B4" s="32" t="s">
        <v>1032</v>
      </c>
      <c r="C4" s="17" t="s">
        <v>1040</v>
      </c>
      <c r="D4" s="31" t="s">
        <v>1041</v>
      </c>
      <c r="E4" s="32" t="s">
        <v>1042</v>
      </c>
      <c r="F4" s="32" t="s">
        <v>1036</v>
      </c>
      <c r="G4" s="17"/>
    </row>
    <row r="5" customFormat="false" ht="58.2" hidden="false" customHeight="false" outlineLevel="0" collapsed="false">
      <c r="A5" s="17" t="s">
        <v>1031</v>
      </c>
      <c r="B5" s="32" t="s">
        <v>1032</v>
      </c>
      <c r="C5" s="17" t="s">
        <v>1043</v>
      </c>
      <c r="D5" s="34" t="s">
        <v>1044</v>
      </c>
      <c r="E5" s="32" t="s">
        <v>1045</v>
      </c>
      <c r="F5" s="32" t="s">
        <v>1036</v>
      </c>
      <c r="G5" s="17"/>
    </row>
    <row r="6" customFormat="false" ht="58.2" hidden="false" customHeight="false" outlineLevel="0" collapsed="false">
      <c r="A6" s="17" t="s">
        <v>1031</v>
      </c>
      <c r="B6" s="32" t="s">
        <v>1032</v>
      </c>
      <c r="C6" s="17" t="s">
        <v>1046</v>
      </c>
      <c r="D6" s="31" t="s">
        <v>1047</v>
      </c>
      <c r="E6" s="32" t="s">
        <v>1042</v>
      </c>
      <c r="F6" s="32" t="s">
        <v>1036</v>
      </c>
      <c r="G6" s="17"/>
    </row>
    <row r="7" customFormat="false" ht="58.2" hidden="false" customHeight="false" outlineLevel="0" collapsed="false">
      <c r="A7" s="17" t="s">
        <v>1031</v>
      </c>
      <c r="B7" s="32" t="s">
        <v>1048</v>
      </c>
      <c r="C7" s="17" t="s">
        <v>1033</v>
      </c>
      <c r="D7" s="31" t="s">
        <v>1049</v>
      </c>
      <c r="E7" s="32" t="s">
        <v>1042</v>
      </c>
      <c r="F7" s="32" t="s">
        <v>1036</v>
      </c>
      <c r="G7" s="17"/>
    </row>
    <row r="8" customFormat="false" ht="58.2" hidden="false" customHeight="false" outlineLevel="0" collapsed="false">
      <c r="A8" s="17" t="s">
        <v>1031</v>
      </c>
      <c r="B8" s="32" t="s">
        <v>1048</v>
      </c>
      <c r="C8" s="17" t="s">
        <v>1037</v>
      </c>
      <c r="D8" s="31" t="s">
        <v>1050</v>
      </c>
      <c r="E8" s="32" t="s">
        <v>1042</v>
      </c>
      <c r="F8" s="32" t="s">
        <v>1036</v>
      </c>
      <c r="G8" s="17"/>
    </row>
    <row r="9" customFormat="false" ht="58.2" hidden="false" customHeight="false" outlineLevel="0" collapsed="false">
      <c r="A9" s="17" t="s">
        <v>1031</v>
      </c>
      <c r="B9" s="32" t="s">
        <v>1048</v>
      </c>
      <c r="C9" s="17" t="s">
        <v>1040</v>
      </c>
      <c r="D9" s="31" t="s">
        <v>1051</v>
      </c>
      <c r="E9" s="32" t="s">
        <v>1042</v>
      </c>
      <c r="F9" s="32" t="s">
        <v>1036</v>
      </c>
      <c r="G9" s="17"/>
    </row>
    <row r="10" customFormat="false" ht="58.2" hidden="false" customHeight="false" outlineLevel="0" collapsed="false">
      <c r="A10" s="17" t="s">
        <v>1031</v>
      </c>
      <c r="B10" s="32" t="s">
        <v>1048</v>
      </c>
      <c r="C10" s="17" t="s">
        <v>1043</v>
      </c>
      <c r="D10" s="31" t="s">
        <v>1052</v>
      </c>
      <c r="E10" s="32" t="s">
        <v>1053</v>
      </c>
      <c r="F10" s="32" t="s">
        <v>1036</v>
      </c>
      <c r="G10" s="17"/>
    </row>
    <row r="11" customFormat="false" ht="58.2" hidden="false" customHeight="false" outlineLevel="0" collapsed="false">
      <c r="A11" s="17" t="s">
        <v>1031</v>
      </c>
      <c r="B11" s="32" t="s">
        <v>1048</v>
      </c>
      <c r="C11" s="17" t="s">
        <v>1046</v>
      </c>
      <c r="D11" s="31" t="s">
        <v>1054</v>
      </c>
      <c r="E11" s="32" t="s">
        <v>1042</v>
      </c>
      <c r="F11" s="32" t="s">
        <v>1036</v>
      </c>
      <c r="G11" s="17"/>
    </row>
    <row r="12" customFormat="false" ht="58.2" hidden="false" customHeight="false" outlineLevel="0" collapsed="false">
      <c r="A12" s="17" t="s">
        <v>1031</v>
      </c>
      <c r="B12" s="32" t="s">
        <v>1055</v>
      </c>
      <c r="C12" s="17" t="s">
        <v>1033</v>
      </c>
      <c r="D12" s="31" t="s">
        <v>1056</v>
      </c>
      <c r="E12" s="32" t="s">
        <v>1042</v>
      </c>
      <c r="F12" s="32" t="s">
        <v>1036</v>
      </c>
      <c r="G12" s="17"/>
    </row>
    <row r="13" customFormat="false" ht="58.2" hidden="false" customHeight="false" outlineLevel="0" collapsed="false">
      <c r="A13" s="17" t="s">
        <v>1031</v>
      </c>
      <c r="B13" s="32" t="s">
        <v>1055</v>
      </c>
      <c r="C13" s="17" t="s">
        <v>1037</v>
      </c>
      <c r="D13" s="31" t="s">
        <v>1057</v>
      </c>
      <c r="E13" s="32" t="s">
        <v>1042</v>
      </c>
      <c r="F13" s="32" t="s">
        <v>1036</v>
      </c>
      <c r="G13" s="17"/>
    </row>
    <row r="14" customFormat="false" ht="58.2" hidden="false" customHeight="false" outlineLevel="0" collapsed="false">
      <c r="A14" s="17" t="s">
        <v>1031</v>
      </c>
      <c r="B14" s="32" t="s">
        <v>1055</v>
      </c>
      <c r="C14" s="17" t="s">
        <v>1040</v>
      </c>
      <c r="D14" s="31" t="s">
        <v>1058</v>
      </c>
      <c r="E14" s="32" t="s">
        <v>1042</v>
      </c>
      <c r="F14" s="32" t="s">
        <v>1036</v>
      </c>
      <c r="G14" s="17"/>
    </row>
    <row r="15" customFormat="false" ht="58.2" hidden="false" customHeight="false" outlineLevel="0" collapsed="false">
      <c r="A15" s="35" t="s">
        <v>1031</v>
      </c>
      <c r="B15" s="54" t="s">
        <v>1055</v>
      </c>
      <c r="C15" s="35" t="s">
        <v>1043</v>
      </c>
      <c r="D15" s="67" t="s">
        <v>1059</v>
      </c>
      <c r="E15" s="54" t="s">
        <v>1060</v>
      </c>
      <c r="F15" s="54" t="s">
        <v>1036</v>
      </c>
      <c r="G15" s="35" t="s">
        <v>1061</v>
      </c>
    </row>
    <row r="16" customFormat="false" ht="58.2" hidden="false" customHeight="false" outlineLevel="0" collapsed="false">
      <c r="A16" s="17" t="s">
        <v>1031</v>
      </c>
      <c r="B16" s="32" t="s">
        <v>1055</v>
      </c>
      <c r="C16" s="17" t="s">
        <v>1046</v>
      </c>
      <c r="D16" s="31" t="s">
        <v>1062</v>
      </c>
      <c r="E16" s="32" t="s">
        <v>1042</v>
      </c>
      <c r="F16" s="32" t="s">
        <v>1036</v>
      </c>
      <c r="G16" s="17"/>
    </row>
    <row r="17" customFormat="false" ht="45.5" hidden="false" customHeight="false" outlineLevel="0" collapsed="false">
      <c r="A17" s="17" t="s">
        <v>1063</v>
      </c>
      <c r="B17" s="32" t="s">
        <v>1032</v>
      </c>
      <c r="C17" s="17" t="s">
        <v>1040</v>
      </c>
      <c r="D17" s="31" t="s">
        <v>1064</v>
      </c>
      <c r="E17" s="32" t="s">
        <v>1065</v>
      </c>
      <c r="F17" s="32" t="s">
        <v>1066</v>
      </c>
      <c r="G17" s="32" t="s">
        <v>1067</v>
      </c>
    </row>
    <row r="18" customFormat="false" ht="58.2" hidden="false" customHeight="false" outlineLevel="0" collapsed="false">
      <c r="A18" s="17" t="s">
        <v>1068</v>
      </c>
      <c r="B18" s="17" t="s">
        <v>849</v>
      </c>
      <c r="C18" s="32" t="s">
        <v>1069</v>
      </c>
      <c r="D18" s="34" t="s">
        <v>1070</v>
      </c>
      <c r="E18" s="32" t="s">
        <v>1042</v>
      </c>
      <c r="F18" s="32" t="s">
        <v>1036</v>
      </c>
      <c r="G18" s="17"/>
    </row>
    <row r="19" customFormat="false" ht="58.2" hidden="false" customHeight="false" outlineLevel="0" collapsed="false">
      <c r="A19" s="17" t="s">
        <v>1068</v>
      </c>
      <c r="B19" s="17" t="s">
        <v>852</v>
      </c>
      <c r="C19" s="32" t="s">
        <v>1069</v>
      </c>
      <c r="D19" s="31" t="s">
        <v>1071</v>
      </c>
      <c r="E19" s="32" t="s">
        <v>1042</v>
      </c>
      <c r="F19" s="32" t="s">
        <v>1036</v>
      </c>
      <c r="G19" s="17"/>
    </row>
    <row r="20" customFormat="false" ht="58.2" hidden="false" customHeight="false" outlineLevel="0" collapsed="false">
      <c r="A20" s="17" t="s">
        <v>1068</v>
      </c>
      <c r="B20" s="17" t="s">
        <v>854</v>
      </c>
      <c r="C20" s="32" t="s">
        <v>1072</v>
      </c>
      <c r="D20" s="31" t="s">
        <v>1073</v>
      </c>
      <c r="E20" s="32" t="s">
        <v>1042</v>
      </c>
      <c r="F20" s="32" t="s">
        <v>1036</v>
      </c>
      <c r="G20" s="17"/>
    </row>
    <row r="21" customFormat="false" ht="48.5" hidden="false" customHeight="false" outlineLevel="0" collapsed="false">
      <c r="A21" s="17" t="s">
        <v>1074</v>
      </c>
      <c r="B21" s="17" t="s">
        <v>1075</v>
      </c>
      <c r="C21" s="17" t="s">
        <v>1076</v>
      </c>
      <c r="D21" s="34" t="s">
        <v>1077</v>
      </c>
      <c r="E21" s="32" t="s">
        <v>1065</v>
      </c>
      <c r="F21" s="32" t="s">
        <v>1066</v>
      </c>
      <c r="G21" s="17" t="s">
        <v>1078</v>
      </c>
    </row>
    <row r="22" customFormat="false" ht="45.5" hidden="false" customHeight="false" outlineLevel="0" collapsed="false">
      <c r="A22" s="17" t="s">
        <v>1074</v>
      </c>
      <c r="B22" s="17" t="s">
        <v>854</v>
      </c>
      <c r="C22" s="17" t="s">
        <v>1079</v>
      </c>
      <c r="D22" s="34" t="s">
        <v>1080</v>
      </c>
      <c r="E22" s="32" t="s">
        <v>1065</v>
      </c>
      <c r="F22" s="32" t="s">
        <v>1066</v>
      </c>
      <c r="G22" s="17"/>
    </row>
    <row r="23" customFormat="false" ht="58.2" hidden="false" customHeight="false" outlineLevel="0" collapsed="false">
      <c r="A23" s="35" t="s">
        <v>493</v>
      </c>
      <c r="B23" s="54" t="s">
        <v>1081</v>
      </c>
      <c r="C23" s="54" t="s">
        <v>1060</v>
      </c>
      <c r="D23" s="67" t="s">
        <v>1082</v>
      </c>
      <c r="E23" s="54" t="s">
        <v>1060</v>
      </c>
      <c r="F23" s="54" t="s">
        <v>1036</v>
      </c>
      <c r="G23" s="54" t="s">
        <v>1083</v>
      </c>
    </row>
    <row r="24" customFormat="false" ht="73.85" hidden="false" customHeight="false" outlineLevel="0" collapsed="false">
      <c r="A24" s="17" t="s">
        <v>1084</v>
      </c>
      <c r="B24" s="32" t="s">
        <v>1085</v>
      </c>
      <c r="C24" s="17" t="s">
        <v>1086</v>
      </c>
      <c r="D24" s="31" t="s">
        <v>1087</v>
      </c>
      <c r="E24" s="17" t="s">
        <v>1088</v>
      </c>
      <c r="F24" s="32" t="s">
        <v>1089</v>
      </c>
      <c r="G24" s="17" t="s">
        <v>1090</v>
      </c>
    </row>
    <row r="25" customFormat="false" ht="73.85" hidden="false" customHeight="false" outlineLevel="0" collapsed="false">
      <c r="A25" s="17" t="s">
        <v>1084</v>
      </c>
      <c r="B25" s="32" t="s">
        <v>1091</v>
      </c>
      <c r="C25" s="17" t="s">
        <v>1092</v>
      </c>
      <c r="D25" s="31" t="s">
        <v>1093</v>
      </c>
      <c r="E25" s="17" t="s">
        <v>1094</v>
      </c>
      <c r="F25" s="32" t="s">
        <v>1089</v>
      </c>
      <c r="G25" s="17" t="s">
        <v>1095</v>
      </c>
    </row>
    <row r="26" customFormat="false" ht="73.85" hidden="false" customHeight="false" outlineLevel="0" collapsed="false">
      <c r="A26" s="17" t="s">
        <v>1084</v>
      </c>
      <c r="B26" s="32" t="s">
        <v>1096</v>
      </c>
      <c r="C26" s="17" t="s">
        <v>1086</v>
      </c>
      <c r="D26" s="31" t="s">
        <v>1097</v>
      </c>
      <c r="E26" s="17" t="s">
        <v>1088</v>
      </c>
      <c r="F26" s="32" t="s">
        <v>1089</v>
      </c>
      <c r="G26" s="17"/>
    </row>
    <row r="27" customFormat="false" ht="73.85" hidden="false" customHeight="false" outlineLevel="0" collapsed="false">
      <c r="A27" s="35" t="s">
        <v>1084</v>
      </c>
      <c r="B27" s="35" t="s">
        <v>1098</v>
      </c>
      <c r="C27" s="35" t="s">
        <v>1099</v>
      </c>
      <c r="D27" s="67" t="s">
        <v>1100</v>
      </c>
      <c r="E27" s="54" t="s">
        <v>1101</v>
      </c>
      <c r="F27" s="54" t="s">
        <v>1089</v>
      </c>
      <c r="G27" s="35" t="s">
        <v>1102</v>
      </c>
    </row>
    <row r="28" customFormat="false" ht="73.85" hidden="false" customHeight="false" outlineLevel="0" collapsed="false">
      <c r="A28" s="17" t="s">
        <v>1084</v>
      </c>
      <c r="B28" s="17" t="s">
        <v>1103</v>
      </c>
      <c r="C28" s="17" t="s">
        <v>1086</v>
      </c>
      <c r="D28" s="31" t="s">
        <v>1104</v>
      </c>
      <c r="E28" s="17" t="s">
        <v>1105</v>
      </c>
      <c r="F28" s="32" t="s">
        <v>1089</v>
      </c>
      <c r="G28" s="17"/>
    </row>
    <row r="29" customFormat="false" ht="73.85" hidden="false" customHeight="false" outlineLevel="0" collapsed="false">
      <c r="A29" s="17" t="s">
        <v>1084</v>
      </c>
      <c r="B29" s="32" t="s">
        <v>1106</v>
      </c>
      <c r="C29" s="17" t="s">
        <v>1107</v>
      </c>
      <c r="D29" s="31" t="s">
        <v>1108</v>
      </c>
      <c r="E29" s="17"/>
      <c r="F29" s="32" t="s">
        <v>1089</v>
      </c>
      <c r="G29" s="17"/>
    </row>
    <row r="30" customFormat="false" ht="73.85" hidden="false" customHeight="false" outlineLevel="0" collapsed="false">
      <c r="A30" s="17" t="s">
        <v>1109</v>
      </c>
      <c r="B30" s="17" t="s">
        <v>1110</v>
      </c>
      <c r="C30" s="17" t="s">
        <v>1111</v>
      </c>
      <c r="D30" s="34" t="s">
        <v>1112</v>
      </c>
      <c r="E30" s="17"/>
      <c r="F30" s="32" t="s">
        <v>1089</v>
      </c>
      <c r="G30" s="17"/>
    </row>
    <row r="31" customFormat="false" ht="73.85" hidden="false" customHeight="false" outlineLevel="0" collapsed="false">
      <c r="A31" s="17" t="s">
        <v>1113</v>
      </c>
      <c r="B31" s="17" t="s">
        <v>1114</v>
      </c>
      <c r="C31" s="17" t="s">
        <v>1115</v>
      </c>
      <c r="D31" s="31" t="s">
        <v>1116</v>
      </c>
      <c r="E31" s="17"/>
      <c r="F31" s="32" t="s">
        <v>1089</v>
      </c>
      <c r="G31" s="17"/>
    </row>
    <row r="32" customFormat="false" ht="73.85" hidden="false" customHeight="false" outlineLevel="0" collapsed="false">
      <c r="A32" s="17" t="s">
        <v>1117</v>
      </c>
      <c r="B32" s="32" t="s">
        <v>1118</v>
      </c>
      <c r="C32" s="17" t="s">
        <v>1119</v>
      </c>
      <c r="D32" s="31" t="s">
        <v>1120</v>
      </c>
      <c r="E32" s="17" t="s">
        <v>1121</v>
      </c>
      <c r="F32" s="32" t="s">
        <v>1089</v>
      </c>
      <c r="G32" s="17" t="s">
        <v>1122</v>
      </c>
    </row>
    <row r="33" customFormat="false" ht="39.55" hidden="false" customHeight="false" outlineLevel="0" collapsed="false">
      <c r="A33" s="17" t="s">
        <v>1123</v>
      </c>
      <c r="B33" s="17" t="s">
        <v>1124</v>
      </c>
      <c r="C33" s="17" t="s">
        <v>1125</v>
      </c>
      <c r="D33" s="34" t="s">
        <v>1126</v>
      </c>
      <c r="E33" s="17"/>
      <c r="F33" s="32" t="s">
        <v>1127</v>
      </c>
      <c r="G33" s="17"/>
    </row>
    <row r="34" customFormat="false" ht="39.55" hidden="false" customHeight="false" outlineLevel="0" collapsed="false">
      <c r="A34" s="17" t="s">
        <v>1123</v>
      </c>
      <c r="B34" s="17" t="s">
        <v>1128</v>
      </c>
      <c r="C34" s="32" t="s">
        <v>701</v>
      </c>
      <c r="D34" s="31" t="s">
        <v>1129</v>
      </c>
      <c r="E34" s="17"/>
      <c r="F34" s="32" t="s">
        <v>1127</v>
      </c>
      <c r="G34" s="17"/>
    </row>
    <row r="35" customFormat="false" ht="39.55" hidden="false" customHeight="false" outlineLevel="0" collapsed="false">
      <c r="A35" s="17" t="s">
        <v>1123</v>
      </c>
      <c r="B35" s="17" t="s">
        <v>1130</v>
      </c>
      <c r="C35" s="32" t="s">
        <v>1131</v>
      </c>
      <c r="D35" s="34" t="s">
        <v>1132</v>
      </c>
      <c r="E35" s="17" t="s">
        <v>1133</v>
      </c>
      <c r="F35" s="32" t="s">
        <v>1127</v>
      </c>
      <c r="G35" s="17"/>
    </row>
    <row r="36" customFormat="false" ht="58.2" hidden="false" customHeight="false" outlineLevel="0" collapsed="false">
      <c r="A36" s="35" t="s">
        <v>1134</v>
      </c>
      <c r="B36" s="35" t="s">
        <v>1135</v>
      </c>
      <c r="C36" s="35" t="s">
        <v>1136</v>
      </c>
      <c r="D36" s="68" t="s">
        <v>1137</v>
      </c>
      <c r="E36" s="35" t="s">
        <v>1138</v>
      </c>
      <c r="F36" s="54" t="s">
        <v>1139</v>
      </c>
      <c r="G36" s="54" t="s">
        <v>1140</v>
      </c>
    </row>
    <row r="37" customFormat="false" ht="58.2" hidden="false" customHeight="false" outlineLevel="0" collapsed="false">
      <c r="A37" s="35" t="s">
        <v>1134</v>
      </c>
      <c r="B37" s="35" t="s">
        <v>1141</v>
      </c>
      <c r="C37" s="35" t="s">
        <v>1142</v>
      </c>
      <c r="D37" s="68" t="s">
        <v>1143</v>
      </c>
      <c r="E37" s="35" t="s">
        <v>1138</v>
      </c>
      <c r="F37" s="54" t="s">
        <v>1139</v>
      </c>
      <c r="G37" s="54" t="s">
        <v>1140</v>
      </c>
    </row>
    <row r="38" customFormat="false" ht="58.2" hidden="false" customHeight="false" outlineLevel="0" collapsed="false">
      <c r="A38" s="17" t="s">
        <v>1134</v>
      </c>
      <c r="B38" s="17" t="s">
        <v>1144</v>
      </c>
      <c r="C38" s="17" t="s">
        <v>1145</v>
      </c>
      <c r="D38" s="31" t="s">
        <v>1146</v>
      </c>
      <c r="E38" s="17" t="s">
        <v>1138</v>
      </c>
      <c r="F38" s="32" t="s">
        <v>1139</v>
      </c>
      <c r="G38" s="17"/>
    </row>
    <row r="39" customFormat="false" ht="58.2" hidden="false" customHeight="false" outlineLevel="0" collapsed="false">
      <c r="A39" s="17" t="s">
        <v>1134</v>
      </c>
      <c r="B39" s="17" t="s">
        <v>1144</v>
      </c>
      <c r="C39" s="17" t="s">
        <v>1147</v>
      </c>
      <c r="D39" s="31" t="s">
        <v>1148</v>
      </c>
      <c r="E39" s="17" t="s">
        <v>1138</v>
      </c>
      <c r="F39" s="32" t="s">
        <v>1139</v>
      </c>
      <c r="G39" s="17"/>
    </row>
    <row r="40" customFormat="false" ht="58.2" hidden="false" customHeight="false" outlineLevel="0" collapsed="false">
      <c r="A40" s="17" t="s">
        <v>1134</v>
      </c>
      <c r="B40" s="17" t="s">
        <v>1149</v>
      </c>
      <c r="C40" s="17" t="s">
        <v>1150</v>
      </c>
      <c r="D40" s="31" t="s">
        <v>1151</v>
      </c>
      <c r="E40" s="17" t="s">
        <v>1138</v>
      </c>
      <c r="F40" s="32" t="s">
        <v>1139</v>
      </c>
      <c r="G40" s="17"/>
    </row>
  </sheetData>
  <autoFilter ref="A1:G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60"/>
  </cols>
  <sheetData>
    <row r="1" customFormat="false" ht="29.85" hidden="false" customHeight="false" outlineLevel="0" collapsed="false">
      <c r="A1" s="33" t="s">
        <v>565</v>
      </c>
      <c r="B1" s="33" t="s">
        <v>840</v>
      </c>
      <c r="C1" s="62" t="s">
        <v>1152</v>
      </c>
      <c r="D1" s="62" t="s">
        <v>1153</v>
      </c>
      <c r="E1" s="62" t="s">
        <v>1154</v>
      </c>
      <c r="F1" s="33" t="s">
        <v>841</v>
      </c>
      <c r="G1" s="33" t="s">
        <v>568</v>
      </c>
    </row>
    <row r="2" customFormat="false" ht="17.15" hidden="false" customHeight="false" outlineLevel="0" collapsed="false">
      <c r="A2" s="36" t="s">
        <v>709</v>
      </c>
      <c r="B2" s="37" t="s">
        <v>843</v>
      </c>
      <c r="C2" s="46" t="n">
        <v>0.2328</v>
      </c>
      <c r="D2" s="46" t="n">
        <v>0.369</v>
      </c>
      <c r="E2" s="46" t="n">
        <v>0.5089</v>
      </c>
      <c r="F2" s="37" t="s">
        <v>844</v>
      </c>
      <c r="G2" s="37" t="s">
        <v>1155</v>
      </c>
    </row>
    <row r="3" customFormat="false" ht="17.15" hidden="false" customHeight="false" outlineLevel="0" collapsed="false">
      <c r="A3" s="36" t="s">
        <v>709</v>
      </c>
      <c r="B3" s="37" t="s">
        <v>846</v>
      </c>
      <c r="C3" s="46" t="n">
        <v>0.0497</v>
      </c>
      <c r="D3" s="46" t="n">
        <v>0.1258</v>
      </c>
      <c r="E3" s="46" t="n">
        <v>0.2478</v>
      </c>
      <c r="F3" s="37" t="s">
        <v>844</v>
      </c>
      <c r="G3" s="37" t="s">
        <v>1155</v>
      </c>
    </row>
    <row r="4" customFormat="false" ht="17.15" hidden="false" customHeight="false" outlineLevel="0" collapsed="false">
      <c r="A4" s="36" t="s">
        <v>709</v>
      </c>
      <c r="B4" s="37" t="s">
        <v>1156</v>
      </c>
      <c r="C4" s="46" t="n">
        <v>0.0118</v>
      </c>
      <c r="D4" s="46" t="n">
        <v>0.0478</v>
      </c>
      <c r="E4" s="46" t="n">
        <v>0.1326</v>
      </c>
      <c r="F4" s="37" t="s">
        <v>844</v>
      </c>
      <c r="G4" s="37" t="s">
        <v>1155</v>
      </c>
    </row>
    <row r="5" customFormat="false" ht="17.15" hidden="false" customHeight="false" outlineLevel="0" collapsed="false">
      <c r="A5" s="36" t="s">
        <v>709</v>
      </c>
      <c r="B5" s="36" t="s">
        <v>849</v>
      </c>
      <c r="C5" s="60" t="n">
        <v>14.45</v>
      </c>
      <c r="D5" s="60" t="n">
        <v>45.84</v>
      </c>
      <c r="E5" s="60" t="n">
        <v>89.43</v>
      </c>
      <c r="F5" s="36" t="s">
        <v>850</v>
      </c>
      <c r="G5" s="37" t="s">
        <v>1155</v>
      </c>
    </row>
    <row r="6" customFormat="false" ht="17.15" hidden="false" customHeight="false" outlineLevel="0" collapsed="false">
      <c r="A6" s="36" t="s">
        <v>709</v>
      </c>
      <c r="B6" s="36" t="s">
        <v>852</v>
      </c>
      <c r="C6" s="60" t="n">
        <v>3.64</v>
      </c>
      <c r="D6" s="60" t="n">
        <v>8.5</v>
      </c>
      <c r="E6" s="60" t="n">
        <v>20.22</v>
      </c>
      <c r="F6" s="36" t="s">
        <v>850</v>
      </c>
      <c r="G6" s="37" t="s">
        <v>1155</v>
      </c>
    </row>
    <row r="7" customFormat="false" ht="17.15" hidden="false" customHeight="false" outlineLevel="0" collapsed="false">
      <c r="A7" s="36" t="s">
        <v>709</v>
      </c>
      <c r="B7" s="36" t="s">
        <v>854</v>
      </c>
      <c r="C7" s="60" t="n">
        <v>4.23</v>
      </c>
      <c r="D7" s="60" t="n">
        <v>7.59</v>
      </c>
      <c r="E7" s="60" t="n">
        <v>12.85</v>
      </c>
      <c r="F7" s="36" t="s">
        <v>855</v>
      </c>
      <c r="G7" s="37" t="s">
        <v>1155</v>
      </c>
    </row>
    <row r="8" customFormat="false" ht="17.15" hidden="false" customHeight="false" outlineLevel="0" collapsed="false">
      <c r="A8" s="36" t="s">
        <v>1157</v>
      </c>
      <c r="B8" s="37" t="s">
        <v>843</v>
      </c>
      <c r="C8" s="46" t="n">
        <v>0.2137</v>
      </c>
      <c r="D8" s="46" t="n">
        <v>0.3424</v>
      </c>
      <c r="E8" s="46" t="n">
        <v>0.4683</v>
      </c>
      <c r="F8" s="37" t="s">
        <v>844</v>
      </c>
      <c r="G8" s="37" t="s">
        <v>1155</v>
      </c>
    </row>
    <row r="9" customFormat="false" ht="17.15" hidden="false" customHeight="false" outlineLevel="0" collapsed="false">
      <c r="A9" s="36" t="s">
        <v>1157</v>
      </c>
      <c r="B9" s="37" t="s">
        <v>846</v>
      </c>
      <c r="C9" s="46" t="n">
        <v>0.0371</v>
      </c>
      <c r="D9" s="46" t="n">
        <v>0.096</v>
      </c>
      <c r="E9" s="46" t="n">
        <v>0.1815</v>
      </c>
      <c r="F9" s="37" t="s">
        <v>844</v>
      </c>
      <c r="G9" s="37" t="s">
        <v>1155</v>
      </c>
    </row>
    <row r="10" customFormat="false" ht="17.15" hidden="false" customHeight="false" outlineLevel="0" collapsed="false">
      <c r="A10" s="36" t="s">
        <v>1157</v>
      </c>
      <c r="B10" s="37" t="s">
        <v>1156</v>
      </c>
      <c r="C10" s="46" t="n">
        <v>0.0078</v>
      </c>
      <c r="D10" s="46" t="n">
        <v>0.0285</v>
      </c>
      <c r="E10" s="46" t="n">
        <v>0.081</v>
      </c>
      <c r="F10" s="37" t="s">
        <v>844</v>
      </c>
      <c r="G10" s="37" t="s">
        <v>1155</v>
      </c>
    </row>
    <row r="11" customFormat="false" ht="17.15" hidden="false" customHeight="false" outlineLevel="0" collapsed="false">
      <c r="A11" s="36" t="s">
        <v>1157</v>
      </c>
      <c r="B11" s="36" t="s">
        <v>849</v>
      </c>
      <c r="C11" s="60" t="n">
        <v>12.41</v>
      </c>
      <c r="D11" s="60" t="n">
        <v>36.42</v>
      </c>
      <c r="E11" s="60" t="n">
        <v>66.26</v>
      </c>
      <c r="F11" s="36" t="s">
        <v>850</v>
      </c>
      <c r="G11" s="37" t="s">
        <v>1155</v>
      </c>
    </row>
    <row r="12" customFormat="false" ht="17.15" hidden="false" customHeight="false" outlineLevel="0" collapsed="false">
      <c r="A12" s="36" t="s">
        <v>1157</v>
      </c>
      <c r="B12" s="36" t="s">
        <v>852</v>
      </c>
      <c r="C12" s="60" t="n">
        <v>2.83</v>
      </c>
      <c r="D12" s="60" t="n">
        <v>6.25</v>
      </c>
      <c r="E12" s="60" t="n">
        <v>17.32</v>
      </c>
      <c r="F12" s="36" t="s">
        <v>850</v>
      </c>
      <c r="G12" s="37" t="s">
        <v>1155</v>
      </c>
    </row>
    <row r="13" customFormat="false" ht="17.15" hidden="false" customHeight="false" outlineLevel="0" collapsed="false">
      <c r="A13" s="36" t="s">
        <v>1157</v>
      </c>
      <c r="B13" s="36" t="s">
        <v>854</v>
      </c>
      <c r="C13" s="60" t="n">
        <v>4.9</v>
      </c>
      <c r="D13" s="60" t="n">
        <v>7.62</v>
      </c>
      <c r="E13" s="60" t="n">
        <v>11.06</v>
      </c>
      <c r="F13" s="36" t="s">
        <v>855</v>
      </c>
      <c r="G13" s="37" t="s">
        <v>1155</v>
      </c>
    </row>
    <row r="14" customFormat="false" ht="17.15" hidden="false" customHeight="false" outlineLevel="0" collapsed="false">
      <c r="A14" s="36" t="s">
        <v>574</v>
      </c>
      <c r="B14" s="37" t="s">
        <v>843</v>
      </c>
      <c r="C14" s="46" t="n">
        <v>0.2009</v>
      </c>
      <c r="D14" s="46" t="n">
        <v>0.3406</v>
      </c>
      <c r="E14" s="46" t="n">
        <v>0.4689</v>
      </c>
      <c r="F14" s="37" t="s">
        <v>844</v>
      </c>
      <c r="G14" s="37" t="s">
        <v>1155</v>
      </c>
    </row>
    <row r="15" customFormat="false" ht="17.15" hidden="false" customHeight="false" outlineLevel="0" collapsed="false">
      <c r="A15" s="36" t="s">
        <v>574</v>
      </c>
      <c r="B15" s="37" t="s">
        <v>846</v>
      </c>
      <c r="C15" s="46" t="n">
        <v>0.0325</v>
      </c>
      <c r="D15" s="46" t="n">
        <v>0.0914</v>
      </c>
      <c r="E15" s="46" t="n">
        <v>0.1894</v>
      </c>
      <c r="F15" s="37" t="s">
        <v>844</v>
      </c>
      <c r="G15" s="37" t="s">
        <v>1155</v>
      </c>
    </row>
    <row r="16" customFormat="false" ht="17.15" hidden="false" customHeight="false" outlineLevel="0" collapsed="false">
      <c r="A16" s="36" t="s">
        <v>574</v>
      </c>
      <c r="B16" s="37" t="s">
        <v>1156</v>
      </c>
      <c r="C16" s="46" t="n">
        <v>0.0065</v>
      </c>
      <c r="D16" s="46" t="n">
        <v>0.0254</v>
      </c>
      <c r="E16" s="46" t="n">
        <v>0.0793</v>
      </c>
      <c r="F16" s="37" t="s">
        <v>844</v>
      </c>
      <c r="G16" s="37" t="s">
        <v>1155</v>
      </c>
    </row>
    <row r="17" customFormat="false" ht="17.15" hidden="false" customHeight="false" outlineLevel="0" collapsed="false">
      <c r="A17" s="36" t="s">
        <v>574</v>
      </c>
      <c r="B17" s="36" t="s">
        <v>849</v>
      </c>
      <c r="C17" s="60" t="n">
        <v>11.14</v>
      </c>
      <c r="D17" s="60" t="n">
        <v>35.77</v>
      </c>
      <c r="E17" s="60" t="n">
        <v>67.52</v>
      </c>
      <c r="F17" s="36" t="s">
        <v>850</v>
      </c>
      <c r="G17" s="37" t="s">
        <v>1155</v>
      </c>
    </row>
    <row r="18" customFormat="false" ht="17.15" hidden="false" customHeight="false" outlineLevel="0" collapsed="false">
      <c r="A18" s="36" t="s">
        <v>574</v>
      </c>
      <c r="B18" s="36" t="s">
        <v>852</v>
      </c>
      <c r="C18" s="60" t="n">
        <v>2.77</v>
      </c>
      <c r="D18" s="60" t="n">
        <v>6.44</v>
      </c>
      <c r="E18" s="60" t="n">
        <v>15.62</v>
      </c>
      <c r="F18" s="36" t="s">
        <v>850</v>
      </c>
      <c r="G18" s="37" t="s">
        <v>1155</v>
      </c>
    </row>
    <row r="19" customFormat="false" ht="17.15" hidden="false" customHeight="false" outlineLevel="0" collapsed="false">
      <c r="A19" s="36" t="s">
        <v>574</v>
      </c>
      <c r="B19" s="36" t="s">
        <v>854</v>
      </c>
      <c r="C19" s="60" t="n">
        <v>4.49</v>
      </c>
      <c r="D19" s="60" t="n">
        <v>7.32</v>
      </c>
      <c r="E19" s="60" t="n">
        <v>10.49</v>
      </c>
      <c r="F19" s="36" t="s">
        <v>855</v>
      </c>
      <c r="G19" s="37" t="s">
        <v>1155</v>
      </c>
    </row>
    <row r="20" customFormat="false" ht="17.15" hidden="false" customHeight="false" outlineLevel="0" collapsed="false">
      <c r="A20" s="36" t="s">
        <v>608</v>
      </c>
      <c r="B20" s="37" t="s">
        <v>843</v>
      </c>
      <c r="C20" s="46" t="n">
        <v>0.175</v>
      </c>
      <c r="D20" s="46" t="n">
        <v>0.3277</v>
      </c>
      <c r="E20" s="46" t="n">
        <v>0.4558</v>
      </c>
      <c r="F20" s="37" t="s">
        <v>844</v>
      </c>
      <c r="G20" s="37" t="s">
        <v>1155</v>
      </c>
    </row>
    <row r="21" customFormat="false" ht="17.15" hidden="false" customHeight="false" outlineLevel="0" collapsed="false">
      <c r="A21" s="36" t="s">
        <v>608</v>
      </c>
      <c r="B21" s="37" t="s">
        <v>846</v>
      </c>
      <c r="C21" s="46" t="n">
        <v>0.0268</v>
      </c>
      <c r="D21" s="46" t="n">
        <v>0.0865</v>
      </c>
      <c r="E21" s="46" t="n">
        <v>0.2008</v>
      </c>
      <c r="F21" s="37" t="s">
        <v>844</v>
      </c>
      <c r="G21" s="37" t="s">
        <v>1155</v>
      </c>
    </row>
    <row r="22" customFormat="false" ht="17.15" hidden="false" customHeight="false" outlineLevel="0" collapsed="false">
      <c r="A22" s="36" t="s">
        <v>608</v>
      </c>
      <c r="B22" s="37" t="s">
        <v>1156</v>
      </c>
      <c r="C22" s="46" t="n">
        <v>0.0053</v>
      </c>
      <c r="D22" s="46" t="n">
        <v>0.0259</v>
      </c>
      <c r="E22" s="46" t="n">
        <v>0.1005</v>
      </c>
      <c r="F22" s="37" t="s">
        <v>844</v>
      </c>
      <c r="G22" s="37" t="s">
        <v>1155</v>
      </c>
    </row>
    <row r="23" customFormat="false" ht="17.15" hidden="false" customHeight="false" outlineLevel="0" collapsed="false">
      <c r="A23" s="36" t="s">
        <v>608</v>
      </c>
      <c r="B23" s="36" t="s">
        <v>849</v>
      </c>
      <c r="C23" s="60" t="n">
        <v>11.79</v>
      </c>
      <c r="D23" s="60" t="n">
        <v>40.72</v>
      </c>
      <c r="E23" s="60" t="n">
        <v>92.07</v>
      </c>
      <c r="F23" s="36" t="s">
        <v>850</v>
      </c>
      <c r="G23" s="37" t="s">
        <v>1155</v>
      </c>
    </row>
    <row r="24" customFormat="false" ht="17.15" hidden="false" customHeight="false" outlineLevel="0" collapsed="false">
      <c r="A24" s="36" t="s">
        <v>608</v>
      </c>
      <c r="B24" s="36" t="s">
        <v>852</v>
      </c>
      <c r="C24" s="60" t="n">
        <v>3.12</v>
      </c>
      <c r="D24" s="60" t="n">
        <v>7.15</v>
      </c>
      <c r="E24" s="60" t="n">
        <v>17.69</v>
      </c>
      <c r="F24" s="36" t="s">
        <v>850</v>
      </c>
      <c r="G24" s="37" t="s">
        <v>1155</v>
      </c>
    </row>
    <row r="25" customFormat="false" ht="17.15" hidden="false" customHeight="false" outlineLevel="0" collapsed="false">
      <c r="A25" s="36" t="s">
        <v>608</v>
      </c>
      <c r="B25" s="36" t="s">
        <v>854</v>
      </c>
      <c r="C25" s="60" t="n">
        <v>4.19</v>
      </c>
      <c r="D25" s="60" t="n">
        <v>7.79</v>
      </c>
      <c r="E25" s="60" t="n">
        <v>13.32</v>
      </c>
      <c r="F25" s="36" t="s">
        <v>855</v>
      </c>
      <c r="G25" s="37" t="s">
        <v>1155</v>
      </c>
    </row>
    <row r="27" customFormat="false" ht="17.15" hidden="false" customHeight="false" outlineLevel="0" collapsed="false">
      <c r="A27" s="40" t="s">
        <v>1158</v>
      </c>
    </row>
    <row r="28" customFormat="false" ht="17.15" hidden="false" customHeight="false" outlineLevel="0" collapsed="false">
      <c r="A28" s="40" t="s">
        <v>1159</v>
      </c>
    </row>
  </sheetData>
  <autoFilter ref="A1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S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14" min="3" style="0" width="8.5"/>
    <col collapsed="false" customWidth="true" hidden="false" outlineLevel="0" max="15" min="15" style="0" width="10"/>
    <col collapsed="false" customWidth="true" hidden="false" outlineLevel="0" max="17" min="16" style="0" width="9"/>
    <col collapsed="false" customWidth="true" hidden="false" outlineLevel="0" max="18" min="18" style="0" width="11"/>
    <col collapsed="false" customWidth="true" hidden="false" outlineLevel="0" max="19" min="19" style="0" width="14"/>
  </cols>
  <sheetData>
    <row r="1" customFormat="false" ht="20.1" hidden="false" customHeight="false" outlineLevel="0" collapsed="false">
      <c r="A1" s="69" t="s">
        <v>1160</v>
      </c>
    </row>
    <row r="2" customFormat="false" ht="17.15" hidden="false" customHeight="false" outlineLevel="0" collapsed="false">
      <c r="A2" s="70" t="s">
        <v>1161</v>
      </c>
    </row>
    <row r="3" customFormat="false" ht="17.15" hidden="false" customHeight="false" outlineLevel="0" collapsed="false">
      <c r="A3" s="40" t="s">
        <v>1162</v>
      </c>
    </row>
    <row r="5" customFormat="false" ht="19.4" hidden="false" customHeight="false" outlineLevel="0" collapsed="false">
      <c r="A5" s="71" t="s">
        <v>1163</v>
      </c>
    </row>
    <row r="6" customFormat="false" ht="45.75" hidden="false" customHeight="true" outlineLevel="0" collapsed="false">
      <c r="A6" s="33" t="s">
        <v>1164</v>
      </c>
      <c r="B6" s="33" t="s">
        <v>1165</v>
      </c>
      <c r="C6" s="62" t="s">
        <v>1166</v>
      </c>
      <c r="D6" s="62" t="s">
        <v>1167</v>
      </c>
      <c r="E6" s="62" t="s">
        <v>1168</v>
      </c>
      <c r="F6" s="62" t="s">
        <v>1169</v>
      </c>
      <c r="G6" s="62" t="s">
        <v>1170</v>
      </c>
      <c r="H6" s="62" t="s">
        <v>1171</v>
      </c>
      <c r="I6" s="62" t="s">
        <v>1172</v>
      </c>
      <c r="J6" s="62" t="s">
        <v>1173</v>
      </c>
      <c r="K6" s="62" t="s">
        <v>1174</v>
      </c>
      <c r="L6" s="62" t="s">
        <v>1175</v>
      </c>
      <c r="M6" s="62" t="s">
        <v>1176</v>
      </c>
      <c r="N6" s="62" t="s">
        <v>1177</v>
      </c>
      <c r="O6" s="33" t="s">
        <v>1178</v>
      </c>
      <c r="P6" s="33" t="s">
        <v>1179</v>
      </c>
      <c r="Q6" s="33" t="s">
        <v>1180</v>
      </c>
      <c r="R6" s="33" t="s">
        <v>1181</v>
      </c>
      <c r="S6" s="62" t="s">
        <v>1182</v>
      </c>
    </row>
    <row r="7" customFormat="false" ht="15" hidden="false" customHeight="false" outlineLevel="0" collapsed="false">
      <c r="A7" s="16" t="s">
        <v>1183</v>
      </c>
      <c r="B7" s="21" t="s">
        <v>390</v>
      </c>
      <c r="C7" s="46" t="n">
        <v>0.185</v>
      </c>
      <c r="D7" s="46" t="n">
        <v>0.1851</v>
      </c>
      <c r="E7" s="46" t="n">
        <v>0.1878</v>
      </c>
      <c r="F7" s="46" t="n">
        <v>0.1876</v>
      </c>
      <c r="G7" s="46" t="n">
        <v>0.187</v>
      </c>
      <c r="H7" s="46" t="n">
        <v>0.184</v>
      </c>
      <c r="I7" s="46" t="n">
        <v>0.1806</v>
      </c>
      <c r="J7" s="46" t="n">
        <v>0.1833</v>
      </c>
      <c r="K7" s="46" t="n">
        <v>0.1821</v>
      </c>
      <c r="L7" s="46" t="n">
        <v>0.1827</v>
      </c>
      <c r="M7" s="46" t="n">
        <v>0.18</v>
      </c>
      <c r="N7" s="46" t="n">
        <v>0.1772</v>
      </c>
      <c r="O7" s="72" t="n">
        <f aca="false">AVERAGE(C7:N7)</f>
        <v>0.183533333333333</v>
      </c>
      <c r="P7" s="47" t="n">
        <f aca="false">MIN(C7:N7)</f>
        <v>0.1772</v>
      </c>
      <c r="Q7" s="47" t="n">
        <f aca="false">MAX(C7:N7)</f>
        <v>0.1878</v>
      </c>
      <c r="R7" s="47" t="n">
        <f aca="false">Q7-P7</f>
        <v>0.0106</v>
      </c>
      <c r="S7" s="73" t="n">
        <f aca="false">RANK(O7,$O$7:$O$22)</f>
        <v>10</v>
      </c>
    </row>
    <row r="8" customFormat="false" ht="15" hidden="false" customHeight="false" outlineLevel="0" collapsed="false">
      <c r="A8" s="16" t="s">
        <v>1184</v>
      </c>
      <c r="B8" s="21" t="s">
        <v>1185</v>
      </c>
      <c r="C8" s="46" t="n">
        <v>0.165</v>
      </c>
      <c r="D8" s="46" t="n">
        <v>0.1653</v>
      </c>
      <c r="E8" s="46" t="n">
        <v>0.1664</v>
      </c>
      <c r="F8" s="46" t="n">
        <v>0.1653</v>
      </c>
      <c r="G8" s="46" t="n">
        <v>0.1614</v>
      </c>
      <c r="H8" s="46" t="n">
        <v>0.1566</v>
      </c>
      <c r="I8" s="46" t="n">
        <v>0.1547</v>
      </c>
      <c r="J8" s="46" t="n">
        <v>0.1556</v>
      </c>
      <c r="K8" s="46" t="n">
        <v>0.1607</v>
      </c>
      <c r="L8" s="46" t="n">
        <v>0.1597</v>
      </c>
      <c r="M8" s="46" t="n">
        <v>0.1585</v>
      </c>
      <c r="N8" s="46" t="n">
        <v>0.157</v>
      </c>
      <c r="O8" s="72" t="n">
        <f aca="false">AVERAGE(C8:N8)</f>
        <v>0.160516666666667</v>
      </c>
      <c r="P8" s="47" t="n">
        <f aca="false">MIN(C8:N8)</f>
        <v>0.1547</v>
      </c>
      <c r="Q8" s="47" t="n">
        <f aca="false">MAX(C8:N8)</f>
        <v>0.1664</v>
      </c>
      <c r="R8" s="47" t="n">
        <f aca="false">Q8-P8</f>
        <v>0.0117</v>
      </c>
      <c r="S8" s="73" t="n">
        <f aca="false">RANK(O8,$O$7:$O$22)</f>
        <v>14</v>
      </c>
    </row>
    <row r="9" customFormat="false" ht="15" hidden="false" customHeight="false" outlineLevel="0" collapsed="false">
      <c r="A9" s="16" t="s">
        <v>1186</v>
      </c>
      <c r="B9" s="21" t="s">
        <v>290</v>
      </c>
      <c r="C9" s="46" t="n">
        <v>0.2233</v>
      </c>
      <c r="D9" s="46" t="n">
        <v>0.2164</v>
      </c>
      <c r="E9" s="46" t="n">
        <v>0.2253</v>
      </c>
      <c r="F9" s="46" t="n">
        <v>0.2266</v>
      </c>
      <c r="G9" s="46" t="n">
        <v>0.2263</v>
      </c>
      <c r="H9" s="46" t="n">
        <v>0.2229</v>
      </c>
      <c r="I9" s="46" t="n">
        <v>0.2203</v>
      </c>
      <c r="J9" s="46" t="n">
        <v>0.2214</v>
      </c>
      <c r="K9" s="46" t="n">
        <v>0.2235</v>
      </c>
      <c r="L9" s="46" t="n">
        <v>0.2247</v>
      </c>
      <c r="M9" s="46" t="n">
        <v>0.2206</v>
      </c>
      <c r="N9" s="46" t="n">
        <v>0.2179</v>
      </c>
      <c r="O9" s="72" t="n">
        <f aca="false">AVERAGE(C9:N9)</f>
        <v>0.222433333333333</v>
      </c>
      <c r="P9" s="47" t="n">
        <f aca="false">MIN(C9:N9)</f>
        <v>0.2164</v>
      </c>
      <c r="Q9" s="47" t="n">
        <f aca="false">MAX(C9:N9)</f>
        <v>0.2266</v>
      </c>
      <c r="R9" s="47" t="n">
        <f aca="false">Q9-P9</f>
        <v>0.0102</v>
      </c>
      <c r="S9" s="73" t="n">
        <f aca="false">RANK(O9,$O$7:$O$22)</f>
        <v>1</v>
      </c>
    </row>
    <row r="10" customFormat="false" ht="15" hidden="false" customHeight="false" outlineLevel="0" collapsed="false">
      <c r="A10" s="16" t="s">
        <v>1187</v>
      </c>
      <c r="B10" s="21" t="s">
        <v>1188</v>
      </c>
      <c r="C10" s="46" t="n">
        <v>0.1981</v>
      </c>
      <c r="D10" s="46" t="n">
        <v>0.2006</v>
      </c>
      <c r="E10" s="46" t="n">
        <v>0.1991</v>
      </c>
      <c r="F10" s="46" t="n">
        <v>0.1945</v>
      </c>
      <c r="G10" s="46" t="n">
        <v>0.195</v>
      </c>
      <c r="H10" s="46" t="n">
        <v>0.1894</v>
      </c>
      <c r="I10" s="46" t="n">
        <v>0.1885</v>
      </c>
      <c r="J10" s="46" t="n">
        <v>0.1862</v>
      </c>
      <c r="K10" s="46" t="n">
        <v>0.1867</v>
      </c>
      <c r="L10" s="46" t="n">
        <v>0.1874</v>
      </c>
      <c r="M10" s="46" t="n">
        <v>0.1864</v>
      </c>
      <c r="N10" s="46" t="n">
        <v>0.18</v>
      </c>
      <c r="O10" s="72" t="n">
        <f aca="false">AVERAGE(C10:N10)</f>
        <v>0.190991666666667</v>
      </c>
      <c r="P10" s="47" t="n">
        <f aca="false">MIN(C10:N10)</f>
        <v>0.18</v>
      </c>
      <c r="Q10" s="47" t="n">
        <f aca="false">MAX(C10:N10)</f>
        <v>0.2006</v>
      </c>
      <c r="R10" s="47" t="n">
        <f aca="false">Q10-P10</f>
        <v>0.0206</v>
      </c>
      <c r="S10" s="73" t="n">
        <f aca="false">RANK(O10,$O$7:$O$22)</f>
        <v>7</v>
      </c>
    </row>
    <row r="11" customFormat="false" ht="15" hidden="false" customHeight="false" outlineLevel="0" collapsed="false">
      <c r="A11" s="16" t="s">
        <v>1189</v>
      </c>
      <c r="B11" s="21" t="s">
        <v>1190</v>
      </c>
      <c r="C11" s="46" t="n">
        <v>0.1905</v>
      </c>
      <c r="D11" s="46" t="n">
        <v>0.1939</v>
      </c>
      <c r="E11" s="46" t="n">
        <v>0.1916</v>
      </c>
      <c r="F11" s="46" t="n">
        <v>0.1886</v>
      </c>
      <c r="G11" s="46" t="n">
        <v>0.1934</v>
      </c>
      <c r="H11" s="46" t="n">
        <v>0.1874</v>
      </c>
      <c r="I11" s="46" t="n">
        <v>0.191</v>
      </c>
      <c r="J11" s="46" t="n">
        <v>0.1868</v>
      </c>
      <c r="K11" s="46" t="n">
        <v>0.1843</v>
      </c>
      <c r="L11" s="46" t="n">
        <v>0.1863</v>
      </c>
      <c r="M11" s="46" t="n">
        <v>0.1846</v>
      </c>
      <c r="N11" s="46" t="n">
        <v>0.1822</v>
      </c>
      <c r="O11" s="72" t="n">
        <f aca="false">AVERAGE(C11:N11)</f>
        <v>0.188383333333333</v>
      </c>
      <c r="P11" s="47" t="n">
        <f aca="false">MIN(C11:N11)</f>
        <v>0.1822</v>
      </c>
      <c r="Q11" s="47" t="n">
        <f aca="false">MAX(C11:N11)</f>
        <v>0.1939</v>
      </c>
      <c r="R11" s="47" t="n">
        <f aca="false">Q11-P11</f>
        <v>0.0117</v>
      </c>
      <c r="S11" s="73" t="n">
        <f aca="false">RANK(O11,$O$7:$O$22)</f>
        <v>8</v>
      </c>
    </row>
    <row r="12" customFormat="false" ht="15" hidden="false" customHeight="false" outlineLevel="0" collapsed="false">
      <c r="A12" s="16" t="s">
        <v>1191</v>
      </c>
      <c r="B12" s="21" t="s">
        <v>1099</v>
      </c>
      <c r="C12" s="46" t="n">
        <v>0.1991</v>
      </c>
      <c r="D12" s="46" t="n">
        <v>0.2014</v>
      </c>
      <c r="E12" s="46" t="n">
        <v>0.2038</v>
      </c>
      <c r="F12" s="46" t="n">
        <v>0.1977</v>
      </c>
      <c r="G12" s="46" t="n">
        <v>0.1931</v>
      </c>
      <c r="H12" s="46" t="n">
        <v>0.1883</v>
      </c>
      <c r="I12" s="46" t="n">
        <v>0.1918</v>
      </c>
      <c r="J12" s="46" t="n">
        <v>0.1874</v>
      </c>
      <c r="K12" s="46" t="n">
        <v>0.1872</v>
      </c>
      <c r="L12" s="46" t="n">
        <v>0.1876</v>
      </c>
      <c r="M12" s="46" t="n">
        <v>0.1939</v>
      </c>
      <c r="N12" s="46" t="n">
        <v>0.1946</v>
      </c>
      <c r="O12" s="72" t="n">
        <f aca="false">AVERAGE(C12:N12)</f>
        <v>0.193825</v>
      </c>
      <c r="P12" s="47" t="n">
        <f aca="false">MIN(C12:N12)</f>
        <v>0.1872</v>
      </c>
      <c r="Q12" s="47" t="n">
        <f aca="false">MAX(C12:N12)</f>
        <v>0.2038</v>
      </c>
      <c r="R12" s="47" t="n">
        <f aca="false">Q12-P12</f>
        <v>0.0166</v>
      </c>
      <c r="S12" s="73" t="n">
        <f aca="false">RANK(O12,$O$7:$O$22)</f>
        <v>5</v>
      </c>
    </row>
    <row r="13" customFormat="false" ht="15" hidden="false" customHeight="false" outlineLevel="0" collapsed="false">
      <c r="A13" s="16" t="s">
        <v>1192</v>
      </c>
      <c r="B13" s="21" t="s">
        <v>1193</v>
      </c>
      <c r="C13" s="46" t="n">
        <v>0.2018</v>
      </c>
      <c r="D13" s="46" t="n">
        <v>0.2002</v>
      </c>
      <c r="E13" s="46" t="n">
        <v>0.2091</v>
      </c>
      <c r="F13" s="46" t="n">
        <v>0.2092</v>
      </c>
      <c r="G13" s="46" t="n">
        <v>0.2111</v>
      </c>
      <c r="H13" s="46" t="n">
        <v>0.2098</v>
      </c>
      <c r="I13" s="46" t="n">
        <v>0.2064</v>
      </c>
      <c r="J13" s="46" t="n">
        <v>0.2065</v>
      </c>
      <c r="K13" s="46" t="n">
        <v>0.2102</v>
      </c>
      <c r="L13" s="46" t="n">
        <v>0.2092</v>
      </c>
      <c r="M13" s="46" t="n">
        <v>0.2042</v>
      </c>
      <c r="N13" s="46" t="n">
        <v>0.2003</v>
      </c>
      <c r="O13" s="72" t="n">
        <f aca="false">AVERAGE(C13:N13)</f>
        <v>0.2065</v>
      </c>
      <c r="P13" s="47" t="n">
        <f aca="false">MIN(C13:N13)</f>
        <v>0.2002</v>
      </c>
      <c r="Q13" s="47" t="n">
        <f aca="false">MAX(C13:N13)</f>
        <v>0.2111</v>
      </c>
      <c r="R13" s="47" t="n">
        <f aca="false">Q13-P13</f>
        <v>0.0109</v>
      </c>
      <c r="S13" s="73" t="n">
        <f aca="false">RANK(O13,$O$7:$O$22)</f>
        <v>2</v>
      </c>
    </row>
    <row r="14" customFormat="false" ht="15" hidden="false" customHeight="false" outlineLevel="0" collapsed="false">
      <c r="A14" s="16" t="s">
        <v>1194</v>
      </c>
      <c r="B14" s="21" t="s">
        <v>1195</v>
      </c>
      <c r="C14" s="46" t="n">
        <v>0.128</v>
      </c>
      <c r="D14" s="46" t="n">
        <v>0.1217</v>
      </c>
      <c r="E14" s="46" t="n">
        <v>0.1211</v>
      </c>
      <c r="F14" s="46" t="n">
        <v>0.1147</v>
      </c>
      <c r="G14" s="46" t="n">
        <v>0.1127</v>
      </c>
      <c r="H14" s="46" t="n">
        <v>0.1118</v>
      </c>
      <c r="I14" s="46" t="n">
        <v>0.1107</v>
      </c>
      <c r="J14" s="46" t="n">
        <v>0.1109</v>
      </c>
      <c r="K14" s="46" t="n">
        <v>0.1111</v>
      </c>
      <c r="L14" s="46" t="n">
        <v>0.1122</v>
      </c>
      <c r="M14" s="46" t="n">
        <v>0.1118</v>
      </c>
      <c r="N14" s="46" t="n">
        <v>0.1086</v>
      </c>
      <c r="O14" s="72" t="n">
        <f aca="false">AVERAGE(C14:N14)</f>
        <v>0.114608333333333</v>
      </c>
      <c r="P14" s="47" t="n">
        <f aca="false">MIN(C14:N14)</f>
        <v>0.1086</v>
      </c>
      <c r="Q14" s="47" t="n">
        <f aca="false">MAX(C14:N14)</f>
        <v>0.128</v>
      </c>
      <c r="R14" s="47" t="n">
        <f aca="false">Q14-P14</f>
        <v>0.0194</v>
      </c>
      <c r="S14" s="73" t="n">
        <f aca="false">RANK(O14,$O$7:$O$22)</f>
        <v>16</v>
      </c>
    </row>
    <row r="15" customFormat="false" ht="15" hidden="false" customHeight="false" outlineLevel="0" collapsed="false">
      <c r="A15" s="16" t="s">
        <v>1196</v>
      </c>
      <c r="B15" s="21" t="s">
        <v>105</v>
      </c>
      <c r="C15" s="46" t="n">
        <v>0.2053</v>
      </c>
      <c r="D15" s="46" t="n">
        <v>0.2047</v>
      </c>
      <c r="E15" s="46" t="n">
        <v>0.2074</v>
      </c>
      <c r="F15" s="46" t="n">
        <v>0.2051</v>
      </c>
      <c r="G15" s="46" t="n">
        <v>0.2045</v>
      </c>
      <c r="H15" s="46" t="n">
        <v>0.2028</v>
      </c>
      <c r="I15" s="46" t="n">
        <v>0.199</v>
      </c>
      <c r="J15" s="46" t="n">
        <v>0.2005</v>
      </c>
      <c r="K15" s="46" t="n">
        <v>0.2011</v>
      </c>
      <c r="L15" s="46" t="n">
        <v>0.1999</v>
      </c>
      <c r="M15" s="46" t="n">
        <v>0.1977</v>
      </c>
      <c r="N15" s="46" t="n">
        <v>0.1966</v>
      </c>
      <c r="O15" s="72" t="n">
        <f aca="false">AVERAGE(C15:N15)</f>
        <v>0.20205</v>
      </c>
      <c r="P15" s="47" t="n">
        <f aca="false">MIN(C15:N15)</f>
        <v>0.1966</v>
      </c>
      <c r="Q15" s="47" t="n">
        <f aca="false">MAX(C15:N15)</f>
        <v>0.2074</v>
      </c>
      <c r="R15" s="47" t="n">
        <f aca="false">Q15-P15</f>
        <v>0.0108</v>
      </c>
      <c r="S15" s="73" t="n">
        <f aca="false">RANK(O15,$O$7:$O$22)</f>
        <v>3</v>
      </c>
    </row>
    <row r="16" customFormat="false" ht="15" hidden="false" customHeight="false" outlineLevel="0" collapsed="false">
      <c r="A16" s="16" t="s">
        <v>1197</v>
      </c>
      <c r="B16" s="21" t="s">
        <v>1198</v>
      </c>
      <c r="C16" s="46" t="n">
        <v>0.1792</v>
      </c>
      <c r="D16" s="46" t="n">
        <v>0.18</v>
      </c>
      <c r="E16" s="46" t="n">
        <v>0.1836</v>
      </c>
      <c r="F16" s="46" t="n">
        <v>0.1836</v>
      </c>
      <c r="G16" s="46" t="n">
        <v>0.1821</v>
      </c>
      <c r="H16" s="46" t="n">
        <v>0.1834</v>
      </c>
      <c r="I16" s="46" t="n">
        <v>0.1806</v>
      </c>
      <c r="J16" s="46" t="n">
        <v>0.1819</v>
      </c>
      <c r="K16" s="46" t="n">
        <v>0.1833</v>
      </c>
      <c r="L16" s="46" t="n">
        <v>0.1817</v>
      </c>
      <c r="M16" s="46" t="n">
        <v>0.176</v>
      </c>
      <c r="N16" s="46" t="n">
        <v>0.1765</v>
      </c>
      <c r="O16" s="72" t="n">
        <f aca="false">AVERAGE(C16:N16)</f>
        <v>0.180991666666667</v>
      </c>
      <c r="P16" s="47" t="n">
        <f aca="false">MIN(C16:N16)</f>
        <v>0.176</v>
      </c>
      <c r="Q16" s="47" t="n">
        <f aca="false">MAX(C16:N16)</f>
        <v>0.1836</v>
      </c>
      <c r="R16" s="47" t="n">
        <f aca="false">Q16-P16</f>
        <v>0.00760000000000002</v>
      </c>
      <c r="S16" s="73" t="n">
        <f aca="false">RANK(O16,$O$7:$O$22)</f>
        <v>11</v>
      </c>
    </row>
    <row r="17" customFormat="false" ht="17.15" hidden="false" customHeight="false" outlineLevel="0" collapsed="false">
      <c r="A17" s="16" t="s">
        <v>1199</v>
      </c>
      <c r="B17" s="21" t="s">
        <v>1200</v>
      </c>
      <c r="C17" s="46" t="n">
        <v>0.1527</v>
      </c>
      <c r="D17" s="46" t="n">
        <v>0.1496</v>
      </c>
      <c r="E17" s="46" t="n">
        <v>0.1513</v>
      </c>
      <c r="F17" s="46" t="n">
        <v>0.1532</v>
      </c>
      <c r="G17" s="46" t="n">
        <v>0.1513</v>
      </c>
      <c r="H17" s="46" t="n">
        <v>0.1503</v>
      </c>
      <c r="I17" s="46" t="n">
        <v>0.1469</v>
      </c>
      <c r="J17" s="46" t="n">
        <v>0.1504</v>
      </c>
      <c r="K17" s="46" t="n">
        <v>0.1542</v>
      </c>
      <c r="L17" s="46" t="n">
        <v>0.1526</v>
      </c>
      <c r="M17" s="46" t="n">
        <v>0.1481</v>
      </c>
      <c r="N17" s="46" t="n">
        <v>0.148</v>
      </c>
      <c r="O17" s="72" t="n">
        <f aca="false">AVERAGE(C17:N17)</f>
        <v>0.150716666666667</v>
      </c>
      <c r="P17" s="47" t="n">
        <f aca="false">MIN(C17:N17)</f>
        <v>0.1469</v>
      </c>
      <c r="Q17" s="47" t="n">
        <f aca="false">MAX(C17:N17)</f>
        <v>0.1542</v>
      </c>
      <c r="R17" s="47" t="n">
        <f aca="false">Q17-P17</f>
        <v>0.0073</v>
      </c>
      <c r="S17" s="73" t="n">
        <f aca="false">RANK(O17,$O$7:$O$22)</f>
        <v>15</v>
      </c>
    </row>
    <row r="18" customFormat="false" ht="15" hidden="false" customHeight="false" outlineLevel="0" collapsed="false">
      <c r="A18" s="16" t="s">
        <v>1201</v>
      </c>
      <c r="B18" s="21" t="s">
        <v>147</v>
      </c>
      <c r="C18" s="46" t="n">
        <v>0.1709</v>
      </c>
      <c r="D18" s="46" t="n">
        <v>0.1702</v>
      </c>
      <c r="E18" s="46" t="n">
        <v>0.1728</v>
      </c>
      <c r="F18" s="46" t="n">
        <v>0.1712</v>
      </c>
      <c r="G18" s="46" t="n">
        <v>0.1714</v>
      </c>
      <c r="H18" s="46" t="n">
        <v>0.171</v>
      </c>
      <c r="I18" s="46" t="n">
        <v>0.1677</v>
      </c>
      <c r="J18" s="46" t="n">
        <v>0.1688</v>
      </c>
      <c r="K18" s="46" t="n">
        <v>0.1704</v>
      </c>
      <c r="L18" s="46" t="n">
        <v>0.1724</v>
      </c>
      <c r="M18" s="46" t="n">
        <v>0.1689</v>
      </c>
      <c r="N18" s="46" t="n">
        <v>0.1685</v>
      </c>
      <c r="O18" s="72" t="n">
        <f aca="false">AVERAGE(C18:N18)</f>
        <v>0.17035</v>
      </c>
      <c r="P18" s="47" t="n">
        <f aca="false">MIN(C18:N18)</f>
        <v>0.1677</v>
      </c>
      <c r="Q18" s="47" t="n">
        <f aca="false">MAX(C18:N18)</f>
        <v>0.1728</v>
      </c>
      <c r="R18" s="47" t="n">
        <f aca="false">Q18-P18</f>
        <v>0.00510000000000002</v>
      </c>
      <c r="S18" s="73" t="n">
        <f aca="false">RANK(O18,$O$7:$O$22)</f>
        <v>12</v>
      </c>
    </row>
    <row r="19" customFormat="false" ht="15" hidden="false" customHeight="false" outlineLevel="0" collapsed="false">
      <c r="A19" s="16" t="s">
        <v>1202</v>
      </c>
      <c r="B19" s="21" t="s">
        <v>244</v>
      </c>
      <c r="C19" s="46" t="n">
        <v>0.1947</v>
      </c>
      <c r="D19" s="46" t="n">
        <v>0.1967</v>
      </c>
      <c r="E19" s="46" t="n">
        <v>0.1973</v>
      </c>
      <c r="F19" s="46" t="n">
        <v>0.1936</v>
      </c>
      <c r="G19" s="46" t="n">
        <v>0.1927</v>
      </c>
      <c r="H19" s="46" t="n">
        <v>0.1899</v>
      </c>
      <c r="I19" s="46" t="n">
        <v>0.1882</v>
      </c>
      <c r="J19" s="46" t="n">
        <v>0.1878</v>
      </c>
      <c r="K19" s="46" t="n">
        <v>0.1893</v>
      </c>
      <c r="L19" s="46" t="n">
        <v>0.1951</v>
      </c>
      <c r="M19" s="46" t="n">
        <v>0.1945</v>
      </c>
      <c r="N19" s="46" t="n">
        <v>0.1917</v>
      </c>
      <c r="O19" s="72" t="n">
        <f aca="false">AVERAGE(C19:N19)</f>
        <v>0.192625</v>
      </c>
      <c r="P19" s="47" t="n">
        <f aca="false">MIN(C19:N19)</f>
        <v>0.1878</v>
      </c>
      <c r="Q19" s="47" t="n">
        <f aca="false">MAX(C19:N19)</f>
        <v>0.1973</v>
      </c>
      <c r="R19" s="47" t="n">
        <f aca="false">Q19-P19</f>
        <v>0.00950000000000001</v>
      </c>
      <c r="S19" s="73" t="n">
        <f aca="false">RANK(O19,$O$7:$O$22)</f>
        <v>6</v>
      </c>
    </row>
    <row r="20" customFormat="false" ht="15" hidden="false" customHeight="false" outlineLevel="0" collapsed="false">
      <c r="A20" s="16" t="s">
        <v>1203</v>
      </c>
      <c r="B20" s="21" t="s">
        <v>165</v>
      </c>
      <c r="C20" s="46" t="n">
        <v>0.1985</v>
      </c>
      <c r="D20" s="46" t="n">
        <v>0.1998</v>
      </c>
      <c r="E20" s="46" t="n">
        <v>0.2065</v>
      </c>
      <c r="F20" s="46" t="n">
        <v>0.2039</v>
      </c>
      <c r="G20" s="46" t="n">
        <v>0.2021</v>
      </c>
      <c r="H20" s="46" t="n">
        <v>0.2001</v>
      </c>
      <c r="I20" s="46" t="n">
        <v>0.1982</v>
      </c>
      <c r="J20" s="46" t="n">
        <v>0.2002</v>
      </c>
      <c r="K20" s="46" t="n">
        <v>0.1984</v>
      </c>
      <c r="L20" s="46" t="n">
        <v>0.1979</v>
      </c>
      <c r="M20" s="46" t="n">
        <v>0.19</v>
      </c>
      <c r="N20" s="46" t="n">
        <v>0.1923</v>
      </c>
      <c r="O20" s="72" t="n">
        <f aca="false">AVERAGE(C20:N20)</f>
        <v>0.198991666666667</v>
      </c>
      <c r="P20" s="47" t="n">
        <f aca="false">MIN(C20:N20)</f>
        <v>0.19</v>
      </c>
      <c r="Q20" s="47" t="n">
        <f aca="false">MAX(C20:N20)</f>
        <v>0.2065</v>
      </c>
      <c r="R20" s="47" t="n">
        <f aca="false">Q20-P20</f>
        <v>0.0165</v>
      </c>
      <c r="S20" s="73" t="n">
        <f aca="false">RANK(O20,$O$7:$O$22)</f>
        <v>4</v>
      </c>
    </row>
    <row r="21" customFormat="false" ht="17.15" hidden="false" customHeight="false" outlineLevel="0" collapsed="false">
      <c r="A21" s="16" t="s">
        <v>1204</v>
      </c>
      <c r="B21" s="21" t="s">
        <v>1205</v>
      </c>
      <c r="C21" s="46" t="n">
        <v>0.1745</v>
      </c>
      <c r="D21" s="46" t="n">
        <v>0.1697</v>
      </c>
      <c r="E21" s="46" t="n">
        <v>0.1662</v>
      </c>
      <c r="F21" s="46" t="n">
        <v>0.1665</v>
      </c>
      <c r="G21" s="46" t="n">
        <v>0.1663</v>
      </c>
      <c r="H21" s="46" t="n">
        <v>0.1604</v>
      </c>
      <c r="I21" s="46" t="n">
        <v>0.1604</v>
      </c>
      <c r="J21" s="46" t="n">
        <v>0.1609</v>
      </c>
      <c r="K21" s="46" t="n">
        <v>0.1622</v>
      </c>
      <c r="L21" s="46" t="n">
        <v>0.1603</v>
      </c>
      <c r="M21" s="46" t="n">
        <v>0.1572</v>
      </c>
      <c r="N21" s="46" t="n">
        <v>0.1557</v>
      </c>
      <c r="O21" s="72" t="n">
        <f aca="false">AVERAGE(C21:N21)</f>
        <v>0.163358333333333</v>
      </c>
      <c r="P21" s="47" t="n">
        <f aca="false">MIN(C21:N21)</f>
        <v>0.1557</v>
      </c>
      <c r="Q21" s="47" t="n">
        <f aca="false">MAX(C21:N21)</f>
        <v>0.1745</v>
      </c>
      <c r="R21" s="47" t="n">
        <f aca="false">Q21-P21</f>
        <v>0.0188</v>
      </c>
      <c r="S21" s="73" t="n">
        <f aca="false">RANK(O21,$O$7:$O$22)</f>
        <v>13</v>
      </c>
    </row>
    <row r="22" customFormat="false" ht="15" hidden="false" customHeight="false" outlineLevel="0" collapsed="false">
      <c r="A22" s="16" t="s">
        <v>1206</v>
      </c>
      <c r="B22" s="21" t="s">
        <v>1207</v>
      </c>
      <c r="C22" s="46" t="n">
        <v>0.1973</v>
      </c>
      <c r="D22" s="46" t="n">
        <v>0.1951</v>
      </c>
      <c r="E22" s="46" t="n">
        <v>0.1928</v>
      </c>
      <c r="F22" s="46" t="n">
        <v>0.1858</v>
      </c>
      <c r="G22" s="46" t="n">
        <v>0.1858</v>
      </c>
      <c r="H22" s="46" t="n">
        <v>0.1832</v>
      </c>
      <c r="I22" s="46" t="n">
        <v>0.1844</v>
      </c>
      <c r="J22" s="46" t="n">
        <v>0.1777</v>
      </c>
      <c r="K22" s="46" t="n">
        <v>0.176</v>
      </c>
      <c r="L22" s="46" t="n">
        <v>0.1773</v>
      </c>
      <c r="M22" s="46" t="n">
        <v>0.1767</v>
      </c>
      <c r="N22" s="46" t="n">
        <v>0.1755</v>
      </c>
      <c r="O22" s="72" t="n">
        <f aca="false">AVERAGE(C22:N22)</f>
        <v>0.183966666666667</v>
      </c>
      <c r="P22" s="47" t="n">
        <f aca="false">MIN(C22:N22)</f>
        <v>0.1755</v>
      </c>
      <c r="Q22" s="47" t="n">
        <f aca="false">MAX(C22:N22)</f>
        <v>0.1973</v>
      </c>
      <c r="R22" s="47" t="n">
        <f aca="false">Q22-P22</f>
        <v>0.0218</v>
      </c>
      <c r="S22" s="73" t="n">
        <f aca="false">RANK(O22,$O$7:$O$22)</f>
        <v>9</v>
      </c>
    </row>
    <row r="24" customFormat="false" ht="19.4" hidden="false" customHeight="false" outlineLevel="0" collapsed="false">
      <c r="A24" s="71" t="s">
        <v>1208</v>
      </c>
    </row>
    <row r="25" customFormat="false" ht="45.75" hidden="false" customHeight="true" outlineLevel="0" collapsed="false">
      <c r="A25" s="33" t="s">
        <v>1164</v>
      </c>
      <c r="B25" s="33" t="s">
        <v>1165</v>
      </c>
      <c r="C25" s="62" t="s">
        <v>1166</v>
      </c>
      <c r="D25" s="62" t="s">
        <v>1167</v>
      </c>
      <c r="E25" s="62" t="s">
        <v>1168</v>
      </c>
      <c r="F25" s="62" t="s">
        <v>1169</v>
      </c>
      <c r="G25" s="62" t="s">
        <v>1170</v>
      </c>
      <c r="H25" s="62" t="s">
        <v>1171</v>
      </c>
      <c r="I25" s="62" t="s">
        <v>1172</v>
      </c>
      <c r="J25" s="62" t="s">
        <v>1173</v>
      </c>
      <c r="K25" s="62" t="s">
        <v>1174</v>
      </c>
      <c r="L25" s="62" t="s">
        <v>1175</v>
      </c>
      <c r="M25" s="62" t="s">
        <v>1176</v>
      </c>
      <c r="N25" s="62" t="s">
        <v>1177</v>
      </c>
      <c r="O25" s="33" t="s">
        <v>1178</v>
      </c>
      <c r="P25" s="33" t="s">
        <v>1179</v>
      </c>
      <c r="Q25" s="33" t="s">
        <v>1180</v>
      </c>
      <c r="R25" s="33" t="s">
        <v>1181</v>
      </c>
      <c r="S25" s="62" t="s">
        <v>1182</v>
      </c>
    </row>
    <row r="26" customFormat="false" ht="15" hidden="false" customHeight="false" outlineLevel="0" collapsed="false">
      <c r="A26" s="16" t="s">
        <v>1183</v>
      </c>
      <c r="B26" s="21" t="s">
        <v>390</v>
      </c>
      <c r="C26" s="46" t="n">
        <v>0.0287</v>
      </c>
      <c r="D26" s="46" t="n">
        <v>0.0287</v>
      </c>
      <c r="E26" s="46" t="n">
        <v>0.0306</v>
      </c>
      <c r="F26" s="46" t="n">
        <v>0.0293</v>
      </c>
      <c r="G26" s="46" t="n">
        <v>0.0296</v>
      </c>
      <c r="H26" s="46" t="n">
        <v>0.0285</v>
      </c>
      <c r="I26" s="46" t="n">
        <v>0.0272</v>
      </c>
      <c r="J26" s="46" t="n">
        <v>0.0283</v>
      </c>
      <c r="K26" s="46" t="n">
        <v>0.0298</v>
      </c>
      <c r="L26" s="46" t="n">
        <v>0.0301</v>
      </c>
      <c r="M26" s="46" t="n">
        <v>0.0298</v>
      </c>
      <c r="N26" s="46" t="n">
        <v>0.0289</v>
      </c>
      <c r="O26" s="72" t="n">
        <f aca="false">AVERAGE(C26:N26)</f>
        <v>0.029125</v>
      </c>
      <c r="P26" s="47" t="n">
        <f aca="false">MIN(C26:N26)</f>
        <v>0.0272</v>
      </c>
      <c r="Q26" s="47" t="n">
        <f aca="false">MAX(C26:N26)</f>
        <v>0.0306</v>
      </c>
      <c r="R26" s="47" t="n">
        <f aca="false">Q26-P26</f>
        <v>0.0034</v>
      </c>
      <c r="S26" s="73" t="n">
        <f aca="false">RANK(O26,$O$26:$O$41)</f>
        <v>12</v>
      </c>
    </row>
    <row r="27" customFormat="false" ht="15" hidden="false" customHeight="false" outlineLevel="0" collapsed="false">
      <c r="A27" s="16" t="s">
        <v>1184</v>
      </c>
      <c r="B27" s="21" t="s">
        <v>1185</v>
      </c>
      <c r="C27" s="46" t="n">
        <v>0.0226</v>
      </c>
      <c r="D27" s="46" t="n">
        <v>0.0226</v>
      </c>
      <c r="E27" s="46" t="n">
        <v>0.024</v>
      </c>
      <c r="F27" s="46" t="n">
        <v>0.0229</v>
      </c>
      <c r="G27" s="46" t="n">
        <v>0.0229</v>
      </c>
      <c r="H27" s="46" t="n">
        <v>0.0219</v>
      </c>
      <c r="I27" s="46" t="n">
        <v>0.0209</v>
      </c>
      <c r="J27" s="46" t="n">
        <v>0.0213</v>
      </c>
      <c r="K27" s="46" t="n">
        <v>0.0232</v>
      </c>
      <c r="L27" s="46" t="n">
        <v>0.0242</v>
      </c>
      <c r="M27" s="46" t="n">
        <v>0.0239</v>
      </c>
      <c r="N27" s="46" t="n">
        <v>0.0234</v>
      </c>
      <c r="O27" s="72" t="n">
        <f aca="false">AVERAGE(C27:N27)</f>
        <v>0.0228166666666667</v>
      </c>
      <c r="P27" s="47" t="n">
        <f aca="false">MIN(C27:N27)</f>
        <v>0.0209</v>
      </c>
      <c r="Q27" s="47" t="n">
        <f aca="false">MAX(C27:N27)</f>
        <v>0.0242</v>
      </c>
      <c r="R27" s="47" t="n">
        <f aca="false">Q27-P27</f>
        <v>0.0033</v>
      </c>
      <c r="S27" s="73" t="n">
        <f aca="false">RANK(O27,$O$26:$O$41)</f>
        <v>14</v>
      </c>
    </row>
    <row r="28" customFormat="false" ht="15" hidden="false" customHeight="false" outlineLevel="0" collapsed="false">
      <c r="A28" s="16" t="s">
        <v>1186</v>
      </c>
      <c r="B28" s="21" t="s">
        <v>290</v>
      </c>
      <c r="C28" s="46" t="n">
        <v>0.0407</v>
      </c>
      <c r="D28" s="46" t="n">
        <v>0.0394</v>
      </c>
      <c r="E28" s="46" t="n">
        <v>0.0431</v>
      </c>
      <c r="F28" s="46" t="n">
        <v>0.0417</v>
      </c>
      <c r="G28" s="46" t="n">
        <v>0.0428</v>
      </c>
      <c r="H28" s="46" t="n">
        <v>0.0411</v>
      </c>
      <c r="I28" s="46" t="n">
        <v>0.0393</v>
      </c>
      <c r="J28" s="46" t="n">
        <v>0.0398</v>
      </c>
      <c r="K28" s="46" t="n">
        <v>0.0428</v>
      </c>
      <c r="L28" s="46" t="n">
        <v>0.044</v>
      </c>
      <c r="M28" s="46" t="n">
        <v>0.0438</v>
      </c>
      <c r="N28" s="46" t="n">
        <v>0.0423</v>
      </c>
      <c r="O28" s="72" t="n">
        <f aca="false">AVERAGE(C28:N28)</f>
        <v>0.0417333333333333</v>
      </c>
      <c r="P28" s="47" t="n">
        <f aca="false">MIN(C28:N28)</f>
        <v>0.0393</v>
      </c>
      <c r="Q28" s="47" t="n">
        <f aca="false">MAX(C28:N28)</f>
        <v>0.044</v>
      </c>
      <c r="R28" s="47" t="n">
        <f aca="false">Q28-P28</f>
        <v>0.0047</v>
      </c>
      <c r="S28" s="73" t="n">
        <f aca="false">RANK(O28,$O$26:$O$41)</f>
        <v>6</v>
      </c>
    </row>
    <row r="29" customFormat="false" ht="15" hidden="false" customHeight="false" outlineLevel="0" collapsed="false">
      <c r="A29" s="16" t="s">
        <v>1187</v>
      </c>
      <c r="B29" s="21" t="s">
        <v>1188</v>
      </c>
      <c r="C29" s="46" t="n">
        <v>0.0596</v>
      </c>
      <c r="D29" s="46" t="n">
        <v>0.0616</v>
      </c>
      <c r="E29" s="46" t="n">
        <v>0.0617</v>
      </c>
      <c r="F29" s="46" t="n">
        <v>0.0568</v>
      </c>
      <c r="G29" s="46" t="n">
        <v>0.0584</v>
      </c>
      <c r="H29" s="46" t="n">
        <v>0.0563</v>
      </c>
      <c r="I29" s="46" t="n">
        <v>0.0553</v>
      </c>
      <c r="J29" s="46" t="n">
        <v>0.056</v>
      </c>
      <c r="K29" s="46" t="n">
        <v>0.0585</v>
      </c>
      <c r="L29" s="46" t="n">
        <v>0.0597</v>
      </c>
      <c r="M29" s="46" t="n">
        <v>0.0587</v>
      </c>
      <c r="N29" s="46" t="n">
        <v>0.0568</v>
      </c>
      <c r="O29" s="72" t="n">
        <f aca="false">AVERAGE(C29:N29)</f>
        <v>0.0582833333333333</v>
      </c>
      <c r="P29" s="47" t="n">
        <f aca="false">MIN(C29:N29)</f>
        <v>0.0553</v>
      </c>
      <c r="Q29" s="47" t="n">
        <f aca="false">MAX(C29:N29)</f>
        <v>0.0617</v>
      </c>
      <c r="R29" s="47" t="n">
        <f aca="false">Q29-P29</f>
        <v>0.0064</v>
      </c>
      <c r="S29" s="73" t="n">
        <f aca="false">RANK(O29,$O$26:$O$41)</f>
        <v>2</v>
      </c>
    </row>
    <row r="30" customFormat="false" ht="15" hidden="false" customHeight="false" outlineLevel="0" collapsed="false">
      <c r="A30" s="16" t="s">
        <v>1189</v>
      </c>
      <c r="B30" s="21" t="s">
        <v>1190</v>
      </c>
      <c r="C30" s="46" t="n">
        <v>0.0683</v>
      </c>
      <c r="D30" s="46" t="n">
        <v>0.0714</v>
      </c>
      <c r="E30" s="46" t="n">
        <v>0.0701</v>
      </c>
      <c r="F30" s="46" t="n">
        <v>0.0675</v>
      </c>
      <c r="G30" s="46" t="n">
        <v>0.0692</v>
      </c>
      <c r="H30" s="46" t="n">
        <v>0.0665</v>
      </c>
      <c r="I30" s="46" t="n">
        <v>0.0662</v>
      </c>
      <c r="J30" s="46" t="n">
        <v>0.0654</v>
      </c>
      <c r="K30" s="46" t="n">
        <v>0.0661</v>
      </c>
      <c r="L30" s="46" t="n">
        <v>0.0656</v>
      </c>
      <c r="M30" s="46" t="n">
        <v>0.0656</v>
      </c>
      <c r="N30" s="46" t="n">
        <v>0.0645</v>
      </c>
      <c r="O30" s="72" t="n">
        <f aca="false">AVERAGE(C30:N30)</f>
        <v>0.0672</v>
      </c>
      <c r="P30" s="47" t="n">
        <f aca="false">MIN(C30:N30)</f>
        <v>0.0645</v>
      </c>
      <c r="Q30" s="47" t="n">
        <f aca="false">MAX(C30:N30)</f>
        <v>0.0714</v>
      </c>
      <c r="R30" s="47" t="n">
        <f aca="false">Q30-P30</f>
        <v>0.00689999999999999</v>
      </c>
      <c r="S30" s="73" t="n">
        <f aca="false">RANK(O30,$O$26:$O$41)</f>
        <v>1</v>
      </c>
    </row>
    <row r="31" customFormat="false" ht="15" hidden="false" customHeight="false" outlineLevel="0" collapsed="false">
      <c r="A31" s="16" t="s">
        <v>1191</v>
      </c>
      <c r="B31" s="21" t="s">
        <v>1099</v>
      </c>
      <c r="C31" s="46" t="n">
        <v>0.0553</v>
      </c>
      <c r="D31" s="46" t="n">
        <v>0.0559</v>
      </c>
      <c r="E31" s="46" t="n">
        <v>0.0576</v>
      </c>
      <c r="F31" s="46" t="n">
        <v>0.0545</v>
      </c>
      <c r="G31" s="46" t="n">
        <v>0.0552</v>
      </c>
      <c r="H31" s="46" t="n">
        <v>0.0534</v>
      </c>
      <c r="I31" s="46" t="n">
        <v>0.0538</v>
      </c>
      <c r="J31" s="46" t="n">
        <v>0.0519</v>
      </c>
      <c r="K31" s="46" t="n">
        <v>0.0543</v>
      </c>
      <c r="L31" s="46" t="n">
        <v>0.054</v>
      </c>
      <c r="M31" s="46" t="n">
        <v>0.0571</v>
      </c>
      <c r="N31" s="46" t="n">
        <v>0.0576</v>
      </c>
      <c r="O31" s="72" t="n">
        <f aca="false">AVERAGE(C31:N31)</f>
        <v>0.05505</v>
      </c>
      <c r="P31" s="47" t="n">
        <f aca="false">MIN(C31:N31)</f>
        <v>0.0519</v>
      </c>
      <c r="Q31" s="47" t="n">
        <f aca="false">MAX(C31:N31)</f>
        <v>0.0576</v>
      </c>
      <c r="R31" s="47" t="n">
        <f aca="false">Q31-P31</f>
        <v>0.0057</v>
      </c>
      <c r="S31" s="73" t="n">
        <f aca="false">RANK(O31,$O$26:$O$41)</f>
        <v>3</v>
      </c>
    </row>
    <row r="32" customFormat="false" ht="15" hidden="false" customHeight="false" outlineLevel="0" collapsed="false">
      <c r="A32" s="16" t="s">
        <v>1192</v>
      </c>
      <c r="B32" s="21" t="s">
        <v>1193</v>
      </c>
      <c r="C32" s="46" t="n">
        <v>0.0314</v>
      </c>
      <c r="D32" s="46" t="n">
        <v>0.0318</v>
      </c>
      <c r="E32" s="46" t="n">
        <v>0.0346</v>
      </c>
      <c r="F32" s="46" t="n">
        <v>0.0334</v>
      </c>
      <c r="G32" s="46" t="n">
        <v>0.0344</v>
      </c>
      <c r="H32" s="46" t="n">
        <v>0.0335</v>
      </c>
      <c r="I32" s="46" t="n">
        <v>0.0317</v>
      </c>
      <c r="J32" s="46" t="n">
        <v>0.0319</v>
      </c>
      <c r="K32" s="46" t="n">
        <v>0.0345</v>
      </c>
      <c r="L32" s="46" t="n">
        <v>0.0343</v>
      </c>
      <c r="M32" s="46" t="n">
        <v>0.0341</v>
      </c>
      <c r="N32" s="46" t="n">
        <v>0.0326</v>
      </c>
      <c r="O32" s="72" t="n">
        <f aca="false">AVERAGE(C32:N32)</f>
        <v>0.0331833333333333</v>
      </c>
      <c r="P32" s="47" t="n">
        <f aca="false">MIN(C32:N32)</f>
        <v>0.0314</v>
      </c>
      <c r="Q32" s="47" t="n">
        <f aca="false">MAX(C32:N32)</f>
        <v>0.0346</v>
      </c>
      <c r="R32" s="47" t="n">
        <f aca="false">Q32-P32</f>
        <v>0.0032</v>
      </c>
      <c r="S32" s="73" t="n">
        <f aca="false">RANK(O32,$O$26:$O$41)</f>
        <v>9</v>
      </c>
    </row>
    <row r="33" customFormat="false" ht="15" hidden="false" customHeight="false" outlineLevel="0" collapsed="false">
      <c r="A33" s="16" t="s">
        <v>1194</v>
      </c>
      <c r="B33" s="21" t="s">
        <v>1195</v>
      </c>
      <c r="C33" s="46" t="n">
        <v>0.0187</v>
      </c>
      <c r="D33" s="46" t="n">
        <v>0.0182</v>
      </c>
      <c r="E33" s="46" t="n">
        <v>0.0186</v>
      </c>
      <c r="F33" s="46" t="n">
        <v>0.0172</v>
      </c>
      <c r="G33" s="46" t="n">
        <v>0.0159</v>
      </c>
      <c r="H33" s="46" t="n">
        <v>0.0156</v>
      </c>
      <c r="I33" s="46" t="n">
        <v>0.0147</v>
      </c>
      <c r="J33" s="46" t="n">
        <v>0.0149</v>
      </c>
      <c r="K33" s="46" t="n">
        <v>0.017</v>
      </c>
      <c r="L33" s="46" t="n">
        <v>0.0167</v>
      </c>
      <c r="M33" s="46" t="n">
        <v>0.0169</v>
      </c>
      <c r="N33" s="46" t="n">
        <v>0.0157</v>
      </c>
      <c r="O33" s="72" t="n">
        <f aca="false">AVERAGE(C33:N33)</f>
        <v>0.016675</v>
      </c>
      <c r="P33" s="47" t="n">
        <f aca="false">MIN(C33:N33)</f>
        <v>0.0147</v>
      </c>
      <c r="Q33" s="47" t="n">
        <f aca="false">MAX(C33:N33)</f>
        <v>0.0187</v>
      </c>
      <c r="R33" s="47" t="n">
        <f aca="false">Q33-P33</f>
        <v>0.004</v>
      </c>
      <c r="S33" s="73" t="n">
        <f aca="false">RANK(O33,$O$26:$O$41)</f>
        <v>16</v>
      </c>
    </row>
    <row r="34" customFormat="false" ht="15" hidden="false" customHeight="false" outlineLevel="0" collapsed="false">
      <c r="A34" s="16" t="s">
        <v>1196</v>
      </c>
      <c r="B34" s="21" t="s">
        <v>105</v>
      </c>
      <c r="C34" s="46" t="n">
        <v>0.0451</v>
      </c>
      <c r="D34" s="46" t="n">
        <v>0.0453</v>
      </c>
      <c r="E34" s="46" t="n">
        <v>0.0479</v>
      </c>
      <c r="F34" s="46" t="n">
        <v>0.0454</v>
      </c>
      <c r="G34" s="46" t="n">
        <v>0.0465</v>
      </c>
      <c r="H34" s="46" t="n">
        <v>0.045</v>
      </c>
      <c r="I34" s="46" t="n">
        <v>0.0427</v>
      </c>
      <c r="J34" s="46" t="n">
        <v>0.0434</v>
      </c>
      <c r="K34" s="46" t="n">
        <v>0.0465</v>
      </c>
      <c r="L34" s="46" t="n">
        <v>0.0466</v>
      </c>
      <c r="M34" s="46" t="n">
        <v>0.0456</v>
      </c>
      <c r="N34" s="46" t="n">
        <v>0.0443</v>
      </c>
      <c r="O34" s="72" t="n">
        <f aca="false">AVERAGE(C34:N34)</f>
        <v>0.0453583333333333</v>
      </c>
      <c r="P34" s="47" t="n">
        <f aca="false">MIN(C34:N34)</f>
        <v>0.0427</v>
      </c>
      <c r="Q34" s="47" t="n">
        <f aca="false">MAX(C34:N34)</f>
        <v>0.0479</v>
      </c>
      <c r="R34" s="47" t="n">
        <f aca="false">Q34-P34</f>
        <v>0.00520000000000001</v>
      </c>
      <c r="S34" s="73" t="n">
        <f aca="false">RANK(O34,$O$26:$O$41)</f>
        <v>4</v>
      </c>
    </row>
    <row r="35" customFormat="false" ht="15" hidden="false" customHeight="false" outlineLevel="0" collapsed="false">
      <c r="A35" s="16" t="s">
        <v>1197</v>
      </c>
      <c r="B35" s="21" t="s">
        <v>1198</v>
      </c>
      <c r="C35" s="46" t="n">
        <v>0.0286</v>
      </c>
      <c r="D35" s="46" t="n">
        <v>0.0293</v>
      </c>
      <c r="E35" s="46" t="n">
        <v>0.0313</v>
      </c>
      <c r="F35" s="46" t="n">
        <v>0.0307</v>
      </c>
      <c r="G35" s="46" t="n">
        <v>0.0309</v>
      </c>
      <c r="H35" s="46" t="n">
        <v>0.0298</v>
      </c>
      <c r="I35" s="46" t="n">
        <v>0.0286</v>
      </c>
      <c r="J35" s="46" t="n">
        <v>0.0284</v>
      </c>
      <c r="K35" s="46" t="n">
        <v>0.031</v>
      </c>
      <c r="L35" s="46" t="n">
        <v>0.0319</v>
      </c>
      <c r="M35" s="46" t="n">
        <v>0.0306</v>
      </c>
      <c r="N35" s="46" t="n">
        <v>0.0302</v>
      </c>
      <c r="O35" s="72" t="n">
        <f aca="false">AVERAGE(C35:N35)</f>
        <v>0.0301083333333333</v>
      </c>
      <c r="P35" s="47" t="n">
        <f aca="false">MIN(C35:N35)</f>
        <v>0.0284</v>
      </c>
      <c r="Q35" s="47" t="n">
        <f aca="false">MAX(C35:N35)</f>
        <v>0.0319</v>
      </c>
      <c r="R35" s="47" t="n">
        <f aca="false">Q35-P35</f>
        <v>0.0035</v>
      </c>
      <c r="S35" s="73" t="n">
        <f aca="false">RANK(O35,$O$26:$O$41)</f>
        <v>11</v>
      </c>
    </row>
    <row r="36" customFormat="false" ht="17.15" hidden="false" customHeight="false" outlineLevel="0" collapsed="false">
      <c r="A36" s="16" t="s">
        <v>1199</v>
      </c>
      <c r="B36" s="21" t="s">
        <v>1200</v>
      </c>
      <c r="C36" s="46" t="n">
        <v>0.0205</v>
      </c>
      <c r="D36" s="46" t="n">
        <v>0.0202</v>
      </c>
      <c r="E36" s="46" t="n">
        <v>0.0208</v>
      </c>
      <c r="F36" s="46" t="n">
        <v>0.0201</v>
      </c>
      <c r="G36" s="46" t="n">
        <v>0.0207</v>
      </c>
      <c r="H36" s="46" t="n">
        <v>0.0203</v>
      </c>
      <c r="I36" s="46" t="n">
        <v>0.0196</v>
      </c>
      <c r="J36" s="46" t="n">
        <v>0.02</v>
      </c>
      <c r="K36" s="46" t="n">
        <v>0.0215</v>
      </c>
      <c r="L36" s="46" t="n">
        <v>0.0223</v>
      </c>
      <c r="M36" s="46" t="n">
        <v>0.0215</v>
      </c>
      <c r="N36" s="46" t="n">
        <v>0.0212</v>
      </c>
      <c r="O36" s="72" t="n">
        <f aca="false">AVERAGE(C36:N36)</f>
        <v>0.020725</v>
      </c>
      <c r="P36" s="47" t="n">
        <f aca="false">MIN(C36:N36)</f>
        <v>0.0196</v>
      </c>
      <c r="Q36" s="47" t="n">
        <f aca="false">MAX(C36:N36)</f>
        <v>0.0223</v>
      </c>
      <c r="R36" s="47" t="n">
        <f aca="false">Q36-P36</f>
        <v>0.0027</v>
      </c>
      <c r="S36" s="73" t="n">
        <f aca="false">RANK(O36,$O$26:$O$41)</f>
        <v>15</v>
      </c>
    </row>
    <row r="37" customFormat="false" ht="15" hidden="false" customHeight="false" outlineLevel="0" collapsed="false">
      <c r="A37" s="16" t="s">
        <v>1201</v>
      </c>
      <c r="B37" s="21" t="s">
        <v>147</v>
      </c>
      <c r="C37" s="46" t="n">
        <v>0.023</v>
      </c>
      <c r="D37" s="46" t="n">
        <v>0.0231</v>
      </c>
      <c r="E37" s="46" t="n">
        <v>0.0251</v>
      </c>
      <c r="F37" s="46" t="n">
        <v>0.0237</v>
      </c>
      <c r="G37" s="46" t="n">
        <v>0.024</v>
      </c>
      <c r="H37" s="46" t="n">
        <v>0.0233</v>
      </c>
      <c r="I37" s="46" t="n">
        <v>0.0222</v>
      </c>
      <c r="J37" s="46" t="n">
        <v>0.0227</v>
      </c>
      <c r="K37" s="46" t="n">
        <v>0.0247</v>
      </c>
      <c r="L37" s="46" t="n">
        <v>0.0256</v>
      </c>
      <c r="M37" s="46" t="n">
        <v>0.0248</v>
      </c>
      <c r="N37" s="46" t="n">
        <v>0.0245</v>
      </c>
      <c r="O37" s="72" t="n">
        <f aca="false">AVERAGE(C37:N37)</f>
        <v>0.0238916666666667</v>
      </c>
      <c r="P37" s="47" t="n">
        <f aca="false">MIN(C37:N37)</f>
        <v>0.0222</v>
      </c>
      <c r="Q37" s="47" t="n">
        <f aca="false">MAX(C37:N37)</f>
        <v>0.0256</v>
      </c>
      <c r="R37" s="47" t="n">
        <f aca="false">Q37-P37</f>
        <v>0.0034</v>
      </c>
      <c r="S37" s="73" t="n">
        <f aca="false">RANK(O37,$O$26:$O$41)</f>
        <v>13</v>
      </c>
    </row>
    <row r="38" customFormat="false" ht="15" hidden="false" customHeight="false" outlineLevel="0" collapsed="false">
      <c r="A38" s="16" t="s">
        <v>1202</v>
      </c>
      <c r="B38" s="21" t="s">
        <v>244</v>
      </c>
      <c r="C38" s="46" t="n">
        <v>0.0348</v>
      </c>
      <c r="D38" s="46" t="n">
        <v>0.0347</v>
      </c>
      <c r="E38" s="46" t="n">
        <v>0.0368</v>
      </c>
      <c r="F38" s="46" t="n">
        <v>0.036</v>
      </c>
      <c r="G38" s="46" t="n">
        <v>0.0364</v>
      </c>
      <c r="H38" s="46" t="n">
        <v>0.0346</v>
      </c>
      <c r="I38" s="46" t="n">
        <v>0.0325</v>
      </c>
      <c r="J38" s="46" t="n">
        <v>0.0331</v>
      </c>
      <c r="K38" s="46" t="n">
        <v>0.0365</v>
      </c>
      <c r="L38" s="46" t="n">
        <v>0.0383</v>
      </c>
      <c r="M38" s="46" t="n">
        <v>0.0394</v>
      </c>
      <c r="N38" s="46" t="n">
        <v>0.0368</v>
      </c>
      <c r="O38" s="72" t="n">
        <f aca="false">AVERAGE(C38:N38)</f>
        <v>0.035825</v>
      </c>
      <c r="P38" s="47" t="n">
        <f aca="false">MIN(C38:N38)</f>
        <v>0.0325</v>
      </c>
      <c r="Q38" s="47" t="n">
        <f aca="false">MAX(C38:N38)</f>
        <v>0.0394</v>
      </c>
      <c r="R38" s="47" t="n">
        <f aca="false">Q38-P38</f>
        <v>0.0069</v>
      </c>
      <c r="S38" s="73" t="n">
        <f aca="false">RANK(O38,$O$26:$O$41)</f>
        <v>7</v>
      </c>
    </row>
    <row r="39" customFormat="false" ht="15" hidden="false" customHeight="false" outlineLevel="0" collapsed="false">
      <c r="A39" s="16" t="s">
        <v>1203</v>
      </c>
      <c r="B39" s="21" t="s">
        <v>165</v>
      </c>
      <c r="C39" s="46" t="n">
        <v>0.0318</v>
      </c>
      <c r="D39" s="46" t="n">
        <v>0.0323</v>
      </c>
      <c r="E39" s="46" t="n">
        <v>0.0349</v>
      </c>
      <c r="F39" s="46" t="n">
        <v>0.0334</v>
      </c>
      <c r="G39" s="46" t="n">
        <v>0.0338</v>
      </c>
      <c r="H39" s="46" t="n">
        <v>0.0335</v>
      </c>
      <c r="I39" s="46" t="n">
        <v>0.0328</v>
      </c>
      <c r="J39" s="46" t="n">
        <v>0.0329</v>
      </c>
      <c r="K39" s="46" t="n">
        <v>0.0348</v>
      </c>
      <c r="L39" s="46" t="n">
        <v>0.0358</v>
      </c>
      <c r="M39" s="46" t="n">
        <v>0.034</v>
      </c>
      <c r="N39" s="46" t="n">
        <v>0.0338</v>
      </c>
      <c r="O39" s="72" t="n">
        <f aca="false">AVERAGE(C39:N39)</f>
        <v>0.03365</v>
      </c>
      <c r="P39" s="47" t="n">
        <f aca="false">MIN(C39:N39)</f>
        <v>0.0318</v>
      </c>
      <c r="Q39" s="47" t="n">
        <f aca="false">MAX(C39:N39)</f>
        <v>0.0358</v>
      </c>
      <c r="R39" s="47" t="n">
        <f aca="false">Q39-P39</f>
        <v>0.004</v>
      </c>
      <c r="S39" s="73" t="n">
        <f aca="false">RANK(O39,$O$26:$O$41)</f>
        <v>8</v>
      </c>
    </row>
    <row r="40" customFormat="false" ht="17.15" hidden="false" customHeight="false" outlineLevel="0" collapsed="false">
      <c r="A40" s="16" t="s">
        <v>1204</v>
      </c>
      <c r="B40" s="21" t="s">
        <v>1205</v>
      </c>
      <c r="C40" s="46" t="n">
        <v>0.0356</v>
      </c>
      <c r="D40" s="46" t="n">
        <v>0.0342</v>
      </c>
      <c r="E40" s="46" t="n">
        <v>0.0347</v>
      </c>
      <c r="F40" s="46" t="n">
        <v>0.033</v>
      </c>
      <c r="G40" s="46" t="n">
        <v>0.0337</v>
      </c>
      <c r="H40" s="46" t="n">
        <v>0.0315</v>
      </c>
      <c r="I40" s="46" t="n">
        <v>0.0303</v>
      </c>
      <c r="J40" s="46" t="n">
        <v>0.0308</v>
      </c>
      <c r="K40" s="46" t="n">
        <v>0.0329</v>
      </c>
      <c r="L40" s="46" t="n">
        <v>0.0335</v>
      </c>
      <c r="M40" s="46" t="n">
        <v>0.0322</v>
      </c>
      <c r="N40" s="46" t="n">
        <v>0.0314</v>
      </c>
      <c r="O40" s="72" t="n">
        <f aca="false">AVERAGE(C40:N40)</f>
        <v>0.0328166666666667</v>
      </c>
      <c r="P40" s="47" t="n">
        <f aca="false">MIN(C40:N40)</f>
        <v>0.0303</v>
      </c>
      <c r="Q40" s="47" t="n">
        <f aca="false">MAX(C40:N40)</f>
        <v>0.0356</v>
      </c>
      <c r="R40" s="47" t="n">
        <f aca="false">Q40-P40</f>
        <v>0.0053</v>
      </c>
      <c r="S40" s="73" t="n">
        <f aca="false">RANK(O40,$O$26:$O$41)</f>
        <v>10</v>
      </c>
    </row>
    <row r="41" customFormat="false" ht="15" hidden="false" customHeight="false" outlineLevel="0" collapsed="false">
      <c r="A41" s="16" t="s">
        <v>1206</v>
      </c>
      <c r="B41" s="21" t="s">
        <v>1207</v>
      </c>
      <c r="C41" s="46" t="n">
        <v>0.0467</v>
      </c>
      <c r="D41" s="46" t="n">
        <v>0.0459</v>
      </c>
      <c r="E41" s="46" t="n">
        <v>0.0444</v>
      </c>
      <c r="F41" s="46" t="n">
        <v>0.0404</v>
      </c>
      <c r="G41" s="46" t="n">
        <v>0.041</v>
      </c>
      <c r="H41" s="46" t="n">
        <v>0.0394</v>
      </c>
      <c r="I41" s="46" t="n">
        <v>0.0395</v>
      </c>
      <c r="J41" s="46" t="n">
        <v>0.0377</v>
      </c>
      <c r="K41" s="46" t="n">
        <v>0.041</v>
      </c>
      <c r="L41" s="46" t="n">
        <v>0.0421</v>
      </c>
      <c r="M41" s="46" t="n">
        <v>0.0422</v>
      </c>
      <c r="N41" s="46" t="n">
        <v>0.0417</v>
      </c>
      <c r="O41" s="72" t="n">
        <f aca="false">AVERAGE(C41:N41)</f>
        <v>0.0418333333333333</v>
      </c>
      <c r="P41" s="47" t="n">
        <f aca="false">MIN(C41:N41)</f>
        <v>0.0377</v>
      </c>
      <c r="Q41" s="47" t="n">
        <f aca="false">MAX(C41:N41)</f>
        <v>0.0467</v>
      </c>
      <c r="R41" s="47" t="n">
        <f aca="false">Q41-P41</f>
        <v>0.009</v>
      </c>
      <c r="S41" s="73" t="n">
        <f aca="false">RANK(O41,$O$26:$O$41)</f>
        <v>5</v>
      </c>
    </row>
    <row r="43" customFormat="false" ht="19.4" hidden="false" customHeight="false" outlineLevel="0" collapsed="false">
      <c r="A43" s="71" t="s">
        <v>1209</v>
      </c>
    </row>
    <row r="44" customFormat="false" ht="45.75" hidden="false" customHeight="true" outlineLevel="0" collapsed="false">
      <c r="A44" s="33" t="s">
        <v>1164</v>
      </c>
      <c r="B44" s="33" t="s">
        <v>1165</v>
      </c>
      <c r="C44" s="62" t="s">
        <v>1166</v>
      </c>
      <c r="D44" s="62" t="s">
        <v>1167</v>
      </c>
      <c r="E44" s="62" t="s">
        <v>1168</v>
      </c>
      <c r="F44" s="62" t="s">
        <v>1169</v>
      </c>
      <c r="G44" s="62" t="s">
        <v>1170</v>
      </c>
      <c r="H44" s="62" t="s">
        <v>1171</v>
      </c>
      <c r="I44" s="62" t="s">
        <v>1172</v>
      </c>
      <c r="J44" s="62" t="s">
        <v>1173</v>
      </c>
      <c r="K44" s="62" t="s">
        <v>1174</v>
      </c>
      <c r="L44" s="62" t="s">
        <v>1175</v>
      </c>
      <c r="M44" s="62" t="s">
        <v>1176</v>
      </c>
      <c r="N44" s="62" t="s">
        <v>1177</v>
      </c>
      <c r="O44" s="33" t="s">
        <v>1178</v>
      </c>
      <c r="P44" s="33" t="s">
        <v>1179</v>
      </c>
      <c r="Q44" s="33" t="s">
        <v>1180</v>
      </c>
      <c r="R44" s="33" t="s">
        <v>1181</v>
      </c>
      <c r="S44" s="62" t="s">
        <v>1182</v>
      </c>
    </row>
    <row r="45" customFormat="false" ht="15" hidden="false" customHeight="false" outlineLevel="0" collapsed="false">
      <c r="A45" s="16" t="s">
        <v>1183</v>
      </c>
      <c r="B45" s="21" t="s">
        <v>390</v>
      </c>
      <c r="C45" s="46" t="n">
        <v>0.0061</v>
      </c>
      <c r="D45" s="46" t="n">
        <v>0.0065</v>
      </c>
      <c r="E45" s="46" t="n">
        <v>0.0066</v>
      </c>
      <c r="F45" s="46" t="n">
        <v>0.0064</v>
      </c>
      <c r="G45" s="46" t="n">
        <v>0.0065</v>
      </c>
      <c r="H45" s="46" t="n">
        <v>0.0062</v>
      </c>
      <c r="I45" s="46" t="n">
        <v>0.0059</v>
      </c>
      <c r="J45" s="46" t="n">
        <v>0.0061</v>
      </c>
      <c r="K45" s="46" t="n">
        <v>0.006</v>
      </c>
      <c r="L45" s="46" t="n">
        <v>0.0066</v>
      </c>
      <c r="M45" s="46" t="n">
        <v>0.0066</v>
      </c>
      <c r="N45" s="46" t="n">
        <v>0.0065</v>
      </c>
      <c r="O45" s="72" t="n">
        <f aca="false">AVERAGE(C45:N45)</f>
        <v>0.00633333333333333</v>
      </c>
      <c r="P45" s="47" t="n">
        <f aca="false">MIN(C45:N45)</f>
        <v>0.0059</v>
      </c>
      <c r="Q45" s="47" t="n">
        <f aca="false">MAX(C45:N45)</f>
        <v>0.0066</v>
      </c>
      <c r="R45" s="47" t="n">
        <f aca="false">Q45-P45</f>
        <v>0.0007</v>
      </c>
      <c r="S45" s="73" t="n">
        <f aca="false">RANK(O45,$O$45:$O$60)</f>
        <v>12</v>
      </c>
    </row>
    <row r="46" customFormat="false" ht="15" hidden="false" customHeight="false" outlineLevel="0" collapsed="false">
      <c r="A46" s="16" t="s">
        <v>1184</v>
      </c>
      <c r="B46" s="21" t="s">
        <v>1185</v>
      </c>
      <c r="C46" s="46" t="n">
        <v>0.0047</v>
      </c>
      <c r="D46" s="46" t="n">
        <v>0.0049</v>
      </c>
      <c r="E46" s="46" t="n">
        <v>0.005</v>
      </c>
      <c r="F46" s="46" t="n">
        <v>0.0048</v>
      </c>
      <c r="G46" s="46" t="n">
        <v>0.005</v>
      </c>
      <c r="H46" s="46" t="n">
        <v>0.0046</v>
      </c>
      <c r="I46" s="46" t="n">
        <v>0.0043</v>
      </c>
      <c r="J46" s="46" t="n">
        <v>0.0044</v>
      </c>
      <c r="K46" s="46" t="n">
        <v>0.0046</v>
      </c>
      <c r="L46" s="46" t="n">
        <v>0.0051</v>
      </c>
      <c r="M46" s="46" t="n">
        <v>0.0051</v>
      </c>
      <c r="N46" s="46" t="n">
        <v>0.0053</v>
      </c>
      <c r="O46" s="72" t="n">
        <f aca="false">AVERAGE(C46:N46)</f>
        <v>0.00481666666666667</v>
      </c>
      <c r="P46" s="47" t="n">
        <f aca="false">MIN(C46:N46)</f>
        <v>0.0043</v>
      </c>
      <c r="Q46" s="47" t="n">
        <f aca="false">MAX(C46:N46)</f>
        <v>0.0053</v>
      </c>
      <c r="R46" s="47" t="n">
        <f aca="false">Q46-P46</f>
        <v>0.001</v>
      </c>
      <c r="S46" s="73" t="n">
        <f aca="false">RANK(O46,$O$45:$O$60)</f>
        <v>14</v>
      </c>
    </row>
    <row r="47" customFormat="false" ht="15" hidden="false" customHeight="false" outlineLevel="0" collapsed="false">
      <c r="A47" s="16" t="s">
        <v>1186</v>
      </c>
      <c r="B47" s="21" t="s">
        <v>290</v>
      </c>
      <c r="C47" s="46" t="n">
        <v>0.0093</v>
      </c>
      <c r="D47" s="46" t="n">
        <v>0.0095</v>
      </c>
      <c r="E47" s="46" t="n">
        <v>0.0099</v>
      </c>
      <c r="F47" s="46" t="n">
        <v>0.0096</v>
      </c>
      <c r="G47" s="46" t="n">
        <v>0.0102</v>
      </c>
      <c r="H47" s="46" t="n">
        <v>0.0098</v>
      </c>
      <c r="I47" s="46" t="n">
        <v>0.0089</v>
      </c>
      <c r="J47" s="46" t="n">
        <v>0.0092</v>
      </c>
      <c r="K47" s="46" t="n">
        <v>0.0096</v>
      </c>
      <c r="L47" s="46" t="n">
        <v>0.0103</v>
      </c>
      <c r="M47" s="46" t="n">
        <v>0.0104</v>
      </c>
      <c r="N47" s="46" t="n">
        <v>0.0106</v>
      </c>
      <c r="O47" s="72" t="n">
        <f aca="false">AVERAGE(C47:N47)</f>
        <v>0.009775</v>
      </c>
      <c r="P47" s="47" t="n">
        <f aca="false">MIN(C47:N47)</f>
        <v>0.0089</v>
      </c>
      <c r="Q47" s="47" t="n">
        <f aca="false">MAX(C47:N47)</f>
        <v>0.0106</v>
      </c>
      <c r="R47" s="47" t="n">
        <f aca="false">Q47-P47</f>
        <v>0.0017</v>
      </c>
      <c r="S47" s="73" t="n">
        <f aca="false">RANK(O47,$O$45:$O$60)</f>
        <v>6</v>
      </c>
    </row>
    <row r="48" customFormat="false" ht="15" hidden="false" customHeight="false" outlineLevel="0" collapsed="false">
      <c r="A48" s="16" t="s">
        <v>1187</v>
      </c>
      <c r="B48" s="21" t="s">
        <v>1188</v>
      </c>
      <c r="C48" s="46" t="n">
        <v>0.0223</v>
      </c>
      <c r="D48" s="46" t="n">
        <v>0.023</v>
      </c>
      <c r="E48" s="46" t="n">
        <v>0.0249</v>
      </c>
      <c r="F48" s="46" t="n">
        <v>0.0209</v>
      </c>
      <c r="G48" s="46" t="n">
        <v>0.0211</v>
      </c>
      <c r="H48" s="46" t="n">
        <v>0.0197</v>
      </c>
      <c r="I48" s="46" t="n">
        <v>0.0201</v>
      </c>
      <c r="J48" s="46" t="n">
        <v>0.0216</v>
      </c>
      <c r="K48" s="46" t="n">
        <v>0.0211</v>
      </c>
      <c r="L48" s="46" t="n">
        <v>0.0228</v>
      </c>
      <c r="M48" s="46" t="n">
        <v>0.0213</v>
      </c>
      <c r="N48" s="46" t="n">
        <v>0.0218</v>
      </c>
      <c r="O48" s="72" t="n">
        <f aca="false">AVERAGE(C48:N48)</f>
        <v>0.0217166666666667</v>
      </c>
      <c r="P48" s="47" t="n">
        <f aca="false">MIN(C48:N48)</f>
        <v>0.0197</v>
      </c>
      <c r="Q48" s="47" t="n">
        <f aca="false">MAX(C48:N48)</f>
        <v>0.0249</v>
      </c>
      <c r="R48" s="47" t="n">
        <f aca="false">Q48-P48</f>
        <v>0.0052</v>
      </c>
      <c r="S48" s="73" t="n">
        <f aca="false">RANK(O48,$O$45:$O$60)</f>
        <v>2</v>
      </c>
    </row>
    <row r="49" customFormat="false" ht="15" hidden="false" customHeight="false" outlineLevel="0" collapsed="false">
      <c r="A49" s="16" t="s">
        <v>1189</v>
      </c>
      <c r="B49" s="21" t="s">
        <v>1190</v>
      </c>
      <c r="C49" s="46" t="n">
        <v>0.0285</v>
      </c>
      <c r="D49" s="46" t="n">
        <v>0.0323</v>
      </c>
      <c r="E49" s="46" t="n">
        <v>0.0324</v>
      </c>
      <c r="F49" s="46" t="n">
        <v>0.0295</v>
      </c>
      <c r="G49" s="46" t="n">
        <v>0.0306</v>
      </c>
      <c r="H49" s="46" t="n">
        <v>0.0294</v>
      </c>
      <c r="I49" s="46" t="n">
        <v>0.0285</v>
      </c>
      <c r="J49" s="46" t="n">
        <v>0.0287</v>
      </c>
      <c r="K49" s="46" t="n">
        <v>0.0308</v>
      </c>
      <c r="L49" s="46" t="n">
        <v>0.0306</v>
      </c>
      <c r="M49" s="46" t="n">
        <v>0.0296</v>
      </c>
      <c r="N49" s="46" t="n">
        <v>0.0291</v>
      </c>
      <c r="O49" s="72" t="n">
        <f aca="false">AVERAGE(C49:N49)</f>
        <v>0.03</v>
      </c>
      <c r="P49" s="47" t="n">
        <f aca="false">MIN(C49:N49)</f>
        <v>0.0285</v>
      </c>
      <c r="Q49" s="47" t="n">
        <f aca="false">MAX(C49:N49)</f>
        <v>0.0324</v>
      </c>
      <c r="R49" s="47" t="n">
        <f aca="false">Q49-P49</f>
        <v>0.00390000000000001</v>
      </c>
      <c r="S49" s="73" t="n">
        <f aca="false">RANK(O49,$O$45:$O$60)</f>
        <v>1</v>
      </c>
    </row>
    <row r="50" customFormat="false" ht="15" hidden="false" customHeight="false" outlineLevel="0" collapsed="false">
      <c r="A50" s="16" t="s">
        <v>1191</v>
      </c>
      <c r="B50" s="21" t="s">
        <v>1099</v>
      </c>
      <c r="C50" s="46" t="n">
        <v>0.0195</v>
      </c>
      <c r="D50" s="46" t="n">
        <v>0.0211</v>
      </c>
      <c r="E50" s="46" t="n">
        <v>0.0219</v>
      </c>
      <c r="F50" s="46" t="n">
        <v>0.0191</v>
      </c>
      <c r="G50" s="46" t="n">
        <v>0.0198</v>
      </c>
      <c r="H50" s="46" t="n">
        <v>0.0182</v>
      </c>
      <c r="I50" s="46" t="n">
        <v>0.0174</v>
      </c>
      <c r="J50" s="46" t="n">
        <v>0.0176</v>
      </c>
      <c r="K50" s="46" t="n">
        <v>0.0196</v>
      </c>
      <c r="L50" s="46" t="n">
        <v>0.0179</v>
      </c>
      <c r="M50" s="46" t="n">
        <v>0.019</v>
      </c>
      <c r="N50" s="46" t="n">
        <v>0.0194</v>
      </c>
      <c r="O50" s="72" t="n">
        <f aca="false">AVERAGE(C50:N50)</f>
        <v>0.0192083333333333</v>
      </c>
      <c r="P50" s="47" t="n">
        <f aca="false">MIN(C50:N50)</f>
        <v>0.0174</v>
      </c>
      <c r="Q50" s="47" t="n">
        <f aca="false">MAX(C50:N50)</f>
        <v>0.0219</v>
      </c>
      <c r="R50" s="47" t="n">
        <f aca="false">Q50-P50</f>
        <v>0.0045</v>
      </c>
      <c r="S50" s="73" t="n">
        <f aca="false">RANK(O50,$O$45:$O$60)</f>
        <v>3</v>
      </c>
    </row>
    <row r="51" customFormat="false" ht="15" hidden="false" customHeight="false" outlineLevel="0" collapsed="false">
      <c r="A51" s="16" t="s">
        <v>1192</v>
      </c>
      <c r="B51" s="21" t="s">
        <v>1193</v>
      </c>
      <c r="C51" s="46" t="n">
        <v>0.0065</v>
      </c>
      <c r="D51" s="46" t="n">
        <v>0.0069</v>
      </c>
      <c r="E51" s="46" t="n">
        <v>0.0073</v>
      </c>
      <c r="F51" s="46" t="n">
        <v>0.0071</v>
      </c>
      <c r="G51" s="46" t="n">
        <v>0.0075</v>
      </c>
      <c r="H51" s="46" t="n">
        <v>0.0073</v>
      </c>
      <c r="I51" s="46" t="n">
        <v>0.0067</v>
      </c>
      <c r="J51" s="46" t="n">
        <v>0.0067</v>
      </c>
      <c r="K51" s="46" t="n">
        <v>0.007</v>
      </c>
      <c r="L51" s="46" t="n">
        <v>0.0074</v>
      </c>
      <c r="M51" s="46" t="n">
        <v>0.0073</v>
      </c>
      <c r="N51" s="46" t="n">
        <v>0.0071</v>
      </c>
      <c r="O51" s="72" t="n">
        <f aca="false">AVERAGE(C51:N51)</f>
        <v>0.00706666666666667</v>
      </c>
      <c r="P51" s="47" t="n">
        <f aca="false">MIN(C51:N51)</f>
        <v>0.0065</v>
      </c>
      <c r="Q51" s="47" t="n">
        <f aca="false">MAX(C51:N51)</f>
        <v>0.0075</v>
      </c>
      <c r="R51" s="47" t="n">
        <f aca="false">Q51-P51</f>
        <v>0.000999999999999999</v>
      </c>
      <c r="S51" s="73" t="n">
        <f aca="false">RANK(O51,$O$45:$O$60)</f>
        <v>10</v>
      </c>
    </row>
    <row r="52" customFormat="false" ht="15" hidden="false" customHeight="false" outlineLevel="0" collapsed="false">
      <c r="A52" s="16" t="s">
        <v>1194</v>
      </c>
      <c r="B52" s="21" t="s">
        <v>1195</v>
      </c>
      <c r="C52" s="46" t="n">
        <v>0.0051</v>
      </c>
      <c r="D52" s="46" t="n">
        <v>0.0055</v>
      </c>
      <c r="E52" s="46" t="n">
        <v>0.0052</v>
      </c>
      <c r="F52" s="46" t="n">
        <v>0.0049</v>
      </c>
      <c r="G52" s="46" t="n">
        <v>0.0046</v>
      </c>
      <c r="H52" s="46" t="n">
        <v>0.0045</v>
      </c>
      <c r="I52" s="46" t="n">
        <v>0.0041</v>
      </c>
      <c r="J52" s="46" t="n">
        <v>0.004</v>
      </c>
      <c r="K52" s="46" t="n">
        <v>0.0045</v>
      </c>
      <c r="L52" s="46" t="n">
        <v>0.0048</v>
      </c>
      <c r="M52" s="46" t="n">
        <v>0.0047</v>
      </c>
      <c r="N52" s="46" t="n">
        <v>0.0047</v>
      </c>
      <c r="O52" s="72" t="n">
        <f aca="false">AVERAGE(C52:N52)</f>
        <v>0.00471666666666667</v>
      </c>
      <c r="P52" s="47" t="n">
        <f aca="false">MIN(C52:N52)</f>
        <v>0.004</v>
      </c>
      <c r="Q52" s="47" t="n">
        <f aca="false">MAX(C52:N52)</f>
        <v>0.0055</v>
      </c>
      <c r="R52" s="47" t="n">
        <f aca="false">Q52-P52</f>
        <v>0.0015</v>
      </c>
      <c r="S52" s="73" t="n">
        <f aca="false">RANK(O52,$O$45:$O$60)</f>
        <v>15</v>
      </c>
    </row>
    <row r="53" customFormat="false" ht="15" hidden="false" customHeight="false" outlineLevel="0" collapsed="false">
      <c r="A53" s="16" t="s">
        <v>1196</v>
      </c>
      <c r="B53" s="21" t="s">
        <v>105</v>
      </c>
      <c r="C53" s="46" t="n">
        <v>0.0119</v>
      </c>
      <c r="D53" s="46" t="n">
        <v>0.0121</v>
      </c>
      <c r="E53" s="46" t="n">
        <v>0.0126</v>
      </c>
      <c r="F53" s="46" t="n">
        <v>0.0121</v>
      </c>
      <c r="G53" s="46" t="n">
        <v>0.0126</v>
      </c>
      <c r="H53" s="46" t="n">
        <v>0.0118</v>
      </c>
      <c r="I53" s="46" t="n">
        <v>0.0109</v>
      </c>
      <c r="J53" s="46" t="n">
        <v>0.0111</v>
      </c>
      <c r="K53" s="46" t="n">
        <v>0.0117</v>
      </c>
      <c r="L53" s="46" t="n">
        <v>0.0122</v>
      </c>
      <c r="M53" s="46" t="n">
        <v>0.0119</v>
      </c>
      <c r="N53" s="46" t="n">
        <v>0.0119</v>
      </c>
      <c r="O53" s="72" t="n">
        <f aca="false">AVERAGE(C53:N53)</f>
        <v>0.0119</v>
      </c>
      <c r="P53" s="47" t="n">
        <f aca="false">MIN(C53:N53)</f>
        <v>0.0109</v>
      </c>
      <c r="Q53" s="47" t="n">
        <f aca="false">MAX(C53:N53)</f>
        <v>0.0126</v>
      </c>
      <c r="R53" s="47" t="n">
        <f aca="false">Q53-P53</f>
        <v>0.0017</v>
      </c>
      <c r="S53" s="73" t="n">
        <f aca="false">RANK(O53,$O$45:$O$60)</f>
        <v>4</v>
      </c>
    </row>
    <row r="54" customFormat="false" ht="15" hidden="false" customHeight="false" outlineLevel="0" collapsed="false">
      <c r="A54" s="16" t="s">
        <v>1197</v>
      </c>
      <c r="B54" s="21" t="s">
        <v>1198</v>
      </c>
      <c r="C54" s="46" t="n">
        <v>0.006</v>
      </c>
      <c r="D54" s="46" t="n">
        <v>0.0063</v>
      </c>
      <c r="E54" s="46" t="n">
        <v>0.0065</v>
      </c>
      <c r="F54" s="46" t="n">
        <v>0.0069</v>
      </c>
      <c r="G54" s="46" t="n">
        <v>0.0069</v>
      </c>
      <c r="H54" s="46" t="n">
        <v>0.0065</v>
      </c>
      <c r="I54" s="46" t="n">
        <v>0.0062</v>
      </c>
      <c r="J54" s="46" t="n">
        <v>0.0061</v>
      </c>
      <c r="K54" s="46" t="n">
        <v>0.0064</v>
      </c>
      <c r="L54" s="46" t="n">
        <v>0.0071</v>
      </c>
      <c r="M54" s="46" t="n">
        <v>0.0067</v>
      </c>
      <c r="N54" s="46" t="n">
        <v>0.007</v>
      </c>
      <c r="O54" s="72" t="n">
        <f aca="false">AVERAGE(C54:N54)</f>
        <v>0.00655</v>
      </c>
      <c r="P54" s="47" t="n">
        <f aca="false">MIN(C54:N54)</f>
        <v>0.006</v>
      </c>
      <c r="Q54" s="47" t="n">
        <f aca="false">MAX(C54:N54)</f>
        <v>0.0071</v>
      </c>
      <c r="R54" s="47" t="n">
        <f aca="false">Q54-P54</f>
        <v>0.0011</v>
      </c>
      <c r="S54" s="73" t="n">
        <f aca="false">RANK(O54,$O$45:$O$60)</f>
        <v>11</v>
      </c>
    </row>
    <row r="55" customFormat="false" ht="17.15" hidden="false" customHeight="false" outlineLevel="0" collapsed="false">
      <c r="A55" s="16" t="s">
        <v>1199</v>
      </c>
      <c r="B55" s="21" t="s">
        <v>1200</v>
      </c>
      <c r="C55" s="46" t="n">
        <v>0.0042</v>
      </c>
      <c r="D55" s="46" t="n">
        <v>0.0043</v>
      </c>
      <c r="E55" s="46" t="n">
        <v>0.0044</v>
      </c>
      <c r="F55" s="46" t="n">
        <v>0.0044</v>
      </c>
      <c r="G55" s="46" t="n">
        <v>0.0044</v>
      </c>
      <c r="H55" s="46" t="n">
        <v>0.0042</v>
      </c>
      <c r="I55" s="46" t="n">
        <v>0.0039</v>
      </c>
      <c r="J55" s="46" t="n">
        <v>0.0041</v>
      </c>
      <c r="K55" s="46" t="n">
        <v>0.0043</v>
      </c>
      <c r="L55" s="46" t="n">
        <v>0.0047</v>
      </c>
      <c r="M55" s="46" t="n">
        <v>0.0046</v>
      </c>
      <c r="N55" s="46" t="n">
        <v>0.0044</v>
      </c>
      <c r="O55" s="72" t="n">
        <f aca="false">AVERAGE(C55:N55)</f>
        <v>0.004325</v>
      </c>
      <c r="P55" s="47" t="n">
        <f aca="false">MIN(C55:N55)</f>
        <v>0.0039</v>
      </c>
      <c r="Q55" s="47" t="n">
        <f aca="false">MAX(C55:N55)</f>
        <v>0.0047</v>
      </c>
      <c r="R55" s="47" t="n">
        <f aca="false">Q55-P55</f>
        <v>0.0008</v>
      </c>
      <c r="S55" s="73" t="n">
        <f aca="false">RANK(O55,$O$45:$O$60)</f>
        <v>16</v>
      </c>
    </row>
    <row r="56" customFormat="false" ht="15" hidden="false" customHeight="false" outlineLevel="0" collapsed="false">
      <c r="A56" s="16" t="s">
        <v>1201</v>
      </c>
      <c r="B56" s="21" t="s">
        <v>147</v>
      </c>
      <c r="C56" s="46" t="n">
        <v>0.0047</v>
      </c>
      <c r="D56" s="46" t="n">
        <v>0.005</v>
      </c>
      <c r="E56" s="46" t="n">
        <v>0.0052</v>
      </c>
      <c r="F56" s="46" t="n">
        <v>0.005</v>
      </c>
      <c r="G56" s="46" t="n">
        <v>0.0052</v>
      </c>
      <c r="H56" s="46" t="n">
        <v>0.005</v>
      </c>
      <c r="I56" s="46" t="n">
        <v>0.0045</v>
      </c>
      <c r="J56" s="46" t="n">
        <v>0.0047</v>
      </c>
      <c r="K56" s="46" t="n">
        <v>0.0049</v>
      </c>
      <c r="L56" s="46" t="n">
        <v>0.0053</v>
      </c>
      <c r="M56" s="46" t="n">
        <v>0.0053</v>
      </c>
      <c r="N56" s="46" t="n">
        <v>0.0053</v>
      </c>
      <c r="O56" s="72" t="n">
        <f aca="false">AVERAGE(C56:N56)</f>
        <v>0.00500833333333333</v>
      </c>
      <c r="P56" s="47" t="n">
        <f aca="false">MIN(C56:N56)</f>
        <v>0.0045</v>
      </c>
      <c r="Q56" s="47" t="n">
        <f aca="false">MAX(C56:N56)</f>
        <v>0.0053</v>
      </c>
      <c r="R56" s="47" t="n">
        <f aca="false">Q56-P56</f>
        <v>0.000799999999999999</v>
      </c>
      <c r="S56" s="73" t="n">
        <f aca="false">RANK(O56,$O$45:$O$60)</f>
        <v>13</v>
      </c>
    </row>
    <row r="57" customFormat="false" ht="15" hidden="false" customHeight="false" outlineLevel="0" collapsed="false">
      <c r="A57" s="16" t="s">
        <v>1202</v>
      </c>
      <c r="B57" s="21" t="s">
        <v>244</v>
      </c>
      <c r="C57" s="46" t="n">
        <v>0.0077</v>
      </c>
      <c r="D57" s="46" t="n">
        <v>0.0083</v>
      </c>
      <c r="E57" s="46" t="n">
        <v>0.0083</v>
      </c>
      <c r="F57" s="46" t="n">
        <v>0.0085</v>
      </c>
      <c r="G57" s="46" t="n">
        <v>0.0086</v>
      </c>
      <c r="H57" s="46" t="n">
        <v>0.008</v>
      </c>
      <c r="I57" s="46" t="n">
        <v>0.0072</v>
      </c>
      <c r="J57" s="46" t="n">
        <v>0.0073</v>
      </c>
      <c r="K57" s="46" t="n">
        <v>0.0077</v>
      </c>
      <c r="L57" s="46" t="n">
        <v>0.0085</v>
      </c>
      <c r="M57" s="46" t="n">
        <v>0.0089</v>
      </c>
      <c r="N57" s="46" t="n">
        <v>0.0088</v>
      </c>
      <c r="O57" s="72" t="n">
        <f aca="false">AVERAGE(C57:N57)</f>
        <v>0.00815</v>
      </c>
      <c r="P57" s="47" t="n">
        <f aca="false">MIN(C57:N57)</f>
        <v>0.0072</v>
      </c>
      <c r="Q57" s="47" t="n">
        <f aca="false">MAX(C57:N57)</f>
        <v>0.0089</v>
      </c>
      <c r="R57" s="47" t="n">
        <f aca="false">Q57-P57</f>
        <v>0.0017</v>
      </c>
      <c r="S57" s="73" t="n">
        <f aca="false">RANK(O57,$O$45:$O$60)</f>
        <v>8</v>
      </c>
    </row>
    <row r="58" customFormat="false" ht="15" hidden="false" customHeight="false" outlineLevel="0" collapsed="false">
      <c r="A58" s="16" t="s">
        <v>1203</v>
      </c>
      <c r="B58" s="21" t="s">
        <v>165</v>
      </c>
      <c r="C58" s="46" t="n">
        <v>0.0068</v>
      </c>
      <c r="D58" s="46" t="n">
        <v>0.0068</v>
      </c>
      <c r="E58" s="46" t="n">
        <v>0.0072</v>
      </c>
      <c r="F58" s="46" t="n">
        <v>0.007</v>
      </c>
      <c r="G58" s="46" t="n">
        <v>0.0073</v>
      </c>
      <c r="H58" s="46" t="n">
        <v>0.0071</v>
      </c>
      <c r="I58" s="46" t="n">
        <v>0.0066</v>
      </c>
      <c r="J58" s="46" t="n">
        <v>0.0071</v>
      </c>
      <c r="K58" s="46" t="n">
        <v>0.0073</v>
      </c>
      <c r="L58" s="46" t="n">
        <v>0.0076</v>
      </c>
      <c r="M58" s="46" t="n">
        <v>0.0077</v>
      </c>
      <c r="N58" s="46" t="n">
        <v>0.0072</v>
      </c>
      <c r="O58" s="72" t="n">
        <f aca="false">AVERAGE(C58:N58)</f>
        <v>0.00714166666666667</v>
      </c>
      <c r="P58" s="47" t="n">
        <f aca="false">MIN(C58:N58)</f>
        <v>0.0066</v>
      </c>
      <c r="Q58" s="47" t="n">
        <f aca="false">MAX(C58:N58)</f>
        <v>0.0077</v>
      </c>
      <c r="R58" s="47" t="n">
        <f aca="false">Q58-P58</f>
        <v>0.0011</v>
      </c>
      <c r="S58" s="73" t="n">
        <f aca="false">RANK(O58,$O$45:$O$60)</f>
        <v>9</v>
      </c>
    </row>
    <row r="59" customFormat="false" ht="17.15" hidden="false" customHeight="false" outlineLevel="0" collapsed="false">
      <c r="A59" s="16" t="s">
        <v>1204</v>
      </c>
      <c r="B59" s="21" t="s">
        <v>1205</v>
      </c>
      <c r="C59" s="46" t="n">
        <v>0.0084</v>
      </c>
      <c r="D59" s="46" t="n">
        <v>0.0093</v>
      </c>
      <c r="E59" s="46" t="n">
        <v>0.0089</v>
      </c>
      <c r="F59" s="46" t="n">
        <v>0.0081</v>
      </c>
      <c r="G59" s="46" t="n">
        <v>0.0083</v>
      </c>
      <c r="H59" s="46" t="n">
        <v>0.008</v>
      </c>
      <c r="I59" s="46" t="n">
        <v>0.008</v>
      </c>
      <c r="J59" s="46" t="n">
        <v>0.0074</v>
      </c>
      <c r="K59" s="46" t="n">
        <v>0.0077</v>
      </c>
      <c r="L59" s="46" t="n">
        <v>0.0078</v>
      </c>
      <c r="M59" s="46" t="n">
        <v>0.0082</v>
      </c>
      <c r="N59" s="46" t="n">
        <v>0.0083</v>
      </c>
      <c r="O59" s="72" t="n">
        <f aca="false">AVERAGE(C59:N59)</f>
        <v>0.0082</v>
      </c>
      <c r="P59" s="47" t="n">
        <f aca="false">MIN(C59:N59)</f>
        <v>0.0074</v>
      </c>
      <c r="Q59" s="47" t="n">
        <f aca="false">MAX(C59:N59)</f>
        <v>0.0093</v>
      </c>
      <c r="R59" s="47" t="n">
        <f aca="false">Q59-P59</f>
        <v>0.0019</v>
      </c>
      <c r="S59" s="73" t="n">
        <f aca="false">RANK(O59,$O$45:$O$60)</f>
        <v>7</v>
      </c>
    </row>
    <row r="60" customFormat="false" ht="15" hidden="false" customHeight="false" outlineLevel="0" collapsed="false">
      <c r="A60" s="16" t="s">
        <v>1206</v>
      </c>
      <c r="B60" s="21" t="s">
        <v>1207</v>
      </c>
      <c r="C60" s="46" t="n">
        <v>0.0123</v>
      </c>
      <c r="D60" s="46" t="n">
        <v>0.0128</v>
      </c>
      <c r="E60" s="46" t="n">
        <v>0.0123</v>
      </c>
      <c r="F60" s="46" t="n">
        <v>0.0109</v>
      </c>
      <c r="G60" s="46" t="n">
        <v>0.011</v>
      </c>
      <c r="H60" s="46" t="n">
        <v>0.0104</v>
      </c>
      <c r="I60" s="46" t="n">
        <v>0.0101</v>
      </c>
      <c r="J60" s="46" t="n">
        <v>0.01</v>
      </c>
      <c r="K60" s="46" t="n">
        <v>0.0106</v>
      </c>
      <c r="L60" s="46" t="n">
        <v>0.0107</v>
      </c>
      <c r="M60" s="46" t="n">
        <v>0.0116</v>
      </c>
      <c r="N60" s="46" t="n">
        <v>0.012</v>
      </c>
      <c r="O60" s="72" t="n">
        <f aca="false">AVERAGE(C60:N60)</f>
        <v>0.011225</v>
      </c>
      <c r="P60" s="47" t="n">
        <f aca="false">MIN(C60:N60)</f>
        <v>0.01</v>
      </c>
      <c r="Q60" s="47" t="n">
        <f aca="false">MAX(C60:N60)</f>
        <v>0.0128</v>
      </c>
      <c r="R60" s="47" t="n">
        <f aca="false">Q60-P60</f>
        <v>0.0028</v>
      </c>
      <c r="S60" s="73" t="n">
        <f aca="false">RANK(O60,$O$45:$O$60)</f>
        <v>5</v>
      </c>
    </row>
    <row r="62" customFormat="false" ht="19.4" hidden="false" customHeight="false" outlineLevel="0" collapsed="false">
      <c r="A62" s="74" t="s">
        <v>1210</v>
      </c>
    </row>
    <row r="63" customFormat="false" ht="45.75" hidden="false" customHeight="true" outlineLevel="0" collapsed="false">
      <c r="A63" s="33" t="s">
        <v>1164</v>
      </c>
      <c r="B63" s="33" t="s">
        <v>1165</v>
      </c>
      <c r="C63" s="62" t="s">
        <v>1166</v>
      </c>
      <c r="D63" s="62" t="s">
        <v>1167</v>
      </c>
      <c r="E63" s="62" t="s">
        <v>1168</v>
      </c>
      <c r="F63" s="62" t="s">
        <v>1169</v>
      </c>
      <c r="G63" s="62" t="s">
        <v>1170</v>
      </c>
      <c r="H63" s="62" t="s">
        <v>1171</v>
      </c>
      <c r="I63" s="62" t="s">
        <v>1172</v>
      </c>
      <c r="J63" s="62" t="s">
        <v>1173</v>
      </c>
      <c r="K63" s="62" t="s">
        <v>1174</v>
      </c>
      <c r="L63" s="62" t="s">
        <v>1175</v>
      </c>
      <c r="M63" s="62" t="s">
        <v>1176</v>
      </c>
      <c r="N63" s="62" t="s">
        <v>1177</v>
      </c>
      <c r="O63" s="33" t="s">
        <v>1178</v>
      </c>
      <c r="P63" s="33" t="s">
        <v>1179</v>
      </c>
      <c r="Q63" s="33" t="s">
        <v>1180</v>
      </c>
      <c r="R63" s="33" t="s">
        <v>1181</v>
      </c>
      <c r="S63" s="62" t="s">
        <v>1182</v>
      </c>
    </row>
    <row r="64" customFormat="false" ht="15" hidden="false" customHeight="false" outlineLevel="0" collapsed="false">
      <c r="A64" s="16" t="s">
        <v>1183</v>
      </c>
      <c r="B64" s="21" t="s">
        <v>390</v>
      </c>
      <c r="C64" s="75" t="n">
        <v>14</v>
      </c>
      <c r="D64" s="75" t="n">
        <v>13.9</v>
      </c>
      <c r="E64" s="75" t="n">
        <v>13.7</v>
      </c>
      <c r="F64" s="75" t="n">
        <v>13.8</v>
      </c>
      <c r="G64" s="75" t="n">
        <v>13.9</v>
      </c>
      <c r="H64" s="75" t="n">
        <v>14</v>
      </c>
      <c r="I64" s="75" t="n">
        <v>14.3</v>
      </c>
      <c r="J64" s="75" t="n">
        <v>14.4</v>
      </c>
      <c r="K64" s="75" t="n">
        <v>14.4</v>
      </c>
      <c r="L64" s="75" t="n">
        <v>14.4</v>
      </c>
      <c r="M64" s="75" t="n">
        <v>14.1</v>
      </c>
      <c r="N64" s="75" t="n">
        <v>14.1</v>
      </c>
      <c r="O64" s="76" t="n">
        <f aca="false">AVERAGE(C64:N64)</f>
        <v>14.0833333333333</v>
      </c>
      <c r="P64" s="77" t="n">
        <f aca="false">MIN(C64:N64)</f>
        <v>13.7</v>
      </c>
      <c r="Q64" s="77" t="n">
        <f aca="false">MAX(C64:N64)</f>
        <v>14.4</v>
      </c>
      <c r="R64" s="77" t="n">
        <f aca="false">Q64-P64</f>
        <v>0.700000000000001</v>
      </c>
      <c r="S64" s="73" t="n">
        <f aca="false">RANK(O64,$O$64:$O$79)</f>
        <v>13</v>
      </c>
    </row>
    <row r="65" customFormat="false" ht="15" hidden="false" customHeight="false" outlineLevel="0" collapsed="false">
      <c r="A65" s="16" t="s">
        <v>1184</v>
      </c>
      <c r="B65" s="21" t="s">
        <v>1185</v>
      </c>
      <c r="C65" s="75" t="n">
        <v>16.3</v>
      </c>
      <c r="D65" s="75" t="n">
        <v>15.8</v>
      </c>
      <c r="E65" s="75" t="n">
        <v>15.9</v>
      </c>
      <c r="F65" s="75" t="n">
        <v>16.2</v>
      </c>
      <c r="G65" s="75" t="n">
        <v>16.2</v>
      </c>
      <c r="H65" s="75" t="n">
        <v>16.3</v>
      </c>
      <c r="I65" s="75" t="n">
        <v>16.6</v>
      </c>
      <c r="J65" s="75" t="n">
        <v>16.7</v>
      </c>
      <c r="K65" s="75" t="n">
        <v>16.6</v>
      </c>
      <c r="L65" s="75" t="n">
        <v>16.6</v>
      </c>
      <c r="M65" s="75" t="n">
        <v>16.8</v>
      </c>
      <c r="N65" s="75" t="n">
        <v>16.8</v>
      </c>
      <c r="O65" s="76" t="n">
        <f aca="false">AVERAGE(C65:N65)</f>
        <v>16.4</v>
      </c>
      <c r="P65" s="77" t="n">
        <f aca="false">MIN(C65:N65)</f>
        <v>15.8</v>
      </c>
      <c r="Q65" s="77" t="n">
        <f aca="false">MAX(C65:N65)</f>
        <v>16.8</v>
      </c>
      <c r="R65" s="77" t="n">
        <f aca="false">Q65-P65</f>
        <v>1</v>
      </c>
      <c r="S65" s="73" t="n">
        <f aca="false">RANK(O65,$O$64:$O$79)</f>
        <v>8</v>
      </c>
    </row>
    <row r="66" customFormat="false" ht="15" hidden="false" customHeight="false" outlineLevel="0" collapsed="false">
      <c r="A66" s="16" t="s">
        <v>1186</v>
      </c>
      <c r="B66" s="21" t="s">
        <v>290</v>
      </c>
      <c r="C66" s="75" t="n">
        <v>12.4</v>
      </c>
      <c r="D66" s="75" t="n">
        <v>12.2</v>
      </c>
      <c r="E66" s="75" t="n">
        <v>12.3</v>
      </c>
      <c r="F66" s="75" t="n">
        <v>12.5</v>
      </c>
      <c r="G66" s="75" t="n">
        <v>12.8</v>
      </c>
      <c r="H66" s="75" t="n">
        <v>12.9</v>
      </c>
      <c r="I66" s="75" t="n">
        <v>13.3</v>
      </c>
      <c r="J66" s="75" t="n">
        <v>13.4</v>
      </c>
      <c r="K66" s="75" t="n">
        <v>13.3</v>
      </c>
      <c r="L66" s="75" t="n">
        <v>13.1</v>
      </c>
      <c r="M66" s="75" t="n">
        <v>13</v>
      </c>
      <c r="N66" s="75" t="n">
        <v>12.9</v>
      </c>
      <c r="O66" s="76" t="n">
        <f aca="false">AVERAGE(C66:N66)</f>
        <v>12.8416666666667</v>
      </c>
      <c r="P66" s="77" t="n">
        <f aca="false">MIN(C66:N66)</f>
        <v>12.2</v>
      </c>
      <c r="Q66" s="77" t="n">
        <f aca="false">MAX(C66:N66)</f>
        <v>13.4</v>
      </c>
      <c r="R66" s="77" t="n">
        <f aca="false">Q66-P66</f>
        <v>1.2</v>
      </c>
      <c r="S66" s="73" t="n">
        <f aca="false">RANK(O66,$O$64:$O$79)</f>
        <v>16</v>
      </c>
    </row>
    <row r="67" customFormat="false" ht="15" hidden="false" customHeight="false" outlineLevel="0" collapsed="false">
      <c r="A67" s="16" t="s">
        <v>1187</v>
      </c>
      <c r="B67" s="21" t="s">
        <v>1188</v>
      </c>
      <c r="C67" s="75" t="n">
        <v>40.5</v>
      </c>
      <c r="D67" s="75" t="n">
        <v>40.4</v>
      </c>
      <c r="E67" s="75" t="n">
        <v>40</v>
      </c>
      <c r="F67" s="75" t="n">
        <v>40.4</v>
      </c>
      <c r="G67" s="75" t="n">
        <v>41.6</v>
      </c>
      <c r="H67" s="75" t="n">
        <v>41.4</v>
      </c>
      <c r="I67" s="75" t="n">
        <v>41.5</v>
      </c>
      <c r="J67" s="75" t="n">
        <v>41.7</v>
      </c>
      <c r="K67" s="75" t="n">
        <v>41.8</v>
      </c>
      <c r="L67" s="75" t="n">
        <v>41.4</v>
      </c>
      <c r="M67" s="75" t="n">
        <v>41.2</v>
      </c>
      <c r="N67" s="75" t="n">
        <v>40.8</v>
      </c>
      <c r="O67" s="76" t="n">
        <f aca="false">AVERAGE(C67:N67)</f>
        <v>41.0583333333333</v>
      </c>
      <c r="P67" s="77" t="n">
        <f aca="false">MIN(C67:N67)</f>
        <v>40</v>
      </c>
      <c r="Q67" s="77" t="n">
        <f aca="false">MAX(C67:N67)</f>
        <v>41.8</v>
      </c>
      <c r="R67" s="77" t="n">
        <f aca="false">Q67-P67</f>
        <v>1.8</v>
      </c>
      <c r="S67" s="73" t="n">
        <f aca="false">RANK(O67,$O$64:$O$79)</f>
        <v>2</v>
      </c>
    </row>
    <row r="68" customFormat="false" ht="15" hidden="false" customHeight="false" outlineLevel="0" collapsed="false">
      <c r="A68" s="16" t="s">
        <v>1189</v>
      </c>
      <c r="B68" s="21" t="s">
        <v>1190</v>
      </c>
      <c r="C68" s="75" t="n">
        <v>47.7</v>
      </c>
      <c r="D68" s="75" t="n">
        <v>48.4</v>
      </c>
      <c r="E68" s="75" t="n">
        <v>48.4</v>
      </c>
      <c r="F68" s="75" t="n">
        <v>49</v>
      </c>
      <c r="G68" s="75" t="n">
        <v>48.5</v>
      </c>
      <c r="H68" s="75" t="n">
        <v>48.6</v>
      </c>
      <c r="I68" s="75" t="n">
        <v>48.3</v>
      </c>
      <c r="J68" s="75" t="n">
        <v>48.2</v>
      </c>
      <c r="K68" s="75" t="n">
        <v>48.3</v>
      </c>
      <c r="L68" s="75" t="n">
        <v>48.9</v>
      </c>
      <c r="M68" s="75" t="n">
        <v>49.1</v>
      </c>
      <c r="N68" s="75" t="n">
        <v>48.9</v>
      </c>
      <c r="O68" s="76" t="n">
        <f aca="false">AVERAGE(C68:N68)</f>
        <v>48.525</v>
      </c>
      <c r="P68" s="77" t="n">
        <f aca="false">MIN(C68:N68)</f>
        <v>47.7</v>
      </c>
      <c r="Q68" s="77" t="n">
        <f aca="false">MAX(C68:N68)</f>
        <v>49.1</v>
      </c>
      <c r="R68" s="77" t="n">
        <f aca="false">Q68-P68</f>
        <v>1.4</v>
      </c>
      <c r="S68" s="73" t="n">
        <f aca="false">RANK(O68,$O$64:$O$79)</f>
        <v>1</v>
      </c>
    </row>
    <row r="69" customFormat="false" ht="15" hidden="false" customHeight="false" outlineLevel="0" collapsed="false">
      <c r="A69" s="16" t="s">
        <v>1191</v>
      </c>
      <c r="B69" s="21" t="s">
        <v>1099</v>
      </c>
      <c r="C69" s="75" t="n">
        <v>35.1</v>
      </c>
      <c r="D69" s="75" t="n">
        <v>35.6</v>
      </c>
      <c r="E69" s="75" t="n">
        <v>35.9</v>
      </c>
      <c r="F69" s="75" t="n">
        <v>34.4</v>
      </c>
      <c r="G69" s="75" t="n">
        <v>34.3</v>
      </c>
      <c r="H69" s="75" t="n">
        <v>35.3</v>
      </c>
      <c r="I69" s="75" t="n">
        <v>34.5</v>
      </c>
      <c r="J69" s="75" t="n">
        <v>34.5</v>
      </c>
      <c r="K69" s="75" t="n">
        <v>34.8</v>
      </c>
      <c r="L69" s="75" t="n">
        <v>35.5</v>
      </c>
      <c r="M69" s="75" t="n">
        <v>37.1</v>
      </c>
      <c r="N69" s="75" t="n">
        <v>37.2</v>
      </c>
      <c r="O69" s="76" t="n">
        <f aca="false">AVERAGE(C69:N69)</f>
        <v>35.35</v>
      </c>
      <c r="P69" s="77" t="n">
        <f aca="false">MIN(C69:N69)</f>
        <v>34.3</v>
      </c>
      <c r="Q69" s="77" t="n">
        <f aca="false">MAX(C69:N69)</f>
        <v>37.2</v>
      </c>
      <c r="R69" s="77" t="n">
        <f aca="false">Q69-P69</f>
        <v>2.90000000000001</v>
      </c>
      <c r="S69" s="73" t="n">
        <f aca="false">RANK(O69,$O$64:$O$79)</f>
        <v>3</v>
      </c>
    </row>
    <row r="70" customFormat="false" ht="15" hidden="false" customHeight="false" outlineLevel="0" collapsed="false">
      <c r="A70" s="16" t="s">
        <v>1192</v>
      </c>
      <c r="B70" s="21" t="s">
        <v>1193</v>
      </c>
      <c r="C70" s="75" t="n">
        <v>13</v>
      </c>
      <c r="D70" s="75" t="n">
        <v>12.7</v>
      </c>
      <c r="E70" s="75" t="n">
        <v>13.1</v>
      </c>
      <c r="F70" s="75" t="n">
        <v>13.5</v>
      </c>
      <c r="G70" s="75" t="n">
        <v>13.8</v>
      </c>
      <c r="H70" s="75" t="n">
        <v>13.9</v>
      </c>
      <c r="I70" s="75" t="n">
        <v>14.1</v>
      </c>
      <c r="J70" s="75" t="n">
        <v>14.1</v>
      </c>
      <c r="K70" s="75" t="n">
        <v>14.3</v>
      </c>
      <c r="L70" s="75" t="n">
        <v>14.1</v>
      </c>
      <c r="M70" s="75" t="n">
        <v>13.7</v>
      </c>
      <c r="N70" s="75" t="n">
        <v>13.4</v>
      </c>
      <c r="O70" s="76" t="n">
        <f aca="false">AVERAGE(C70:N70)</f>
        <v>13.6416666666667</v>
      </c>
      <c r="P70" s="77" t="n">
        <f aca="false">MIN(C70:N70)</f>
        <v>12.7</v>
      </c>
      <c r="Q70" s="77" t="n">
        <f aca="false">MAX(C70:N70)</f>
        <v>14.3</v>
      </c>
      <c r="R70" s="77" t="n">
        <f aca="false">Q70-P70</f>
        <v>1.6</v>
      </c>
      <c r="S70" s="73" t="n">
        <f aca="false">RANK(O70,$O$64:$O$79)</f>
        <v>15</v>
      </c>
    </row>
    <row r="71" customFormat="false" ht="15" hidden="false" customHeight="false" outlineLevel="0" collapsed="false">
      <c r="A71" s="16" t="s">
        <v>1194</v>
      </c>
      <c r="B71" s="21" t="s">
        <v>1195</v>
      </c>
      <c r="C71" s="75" t="n">
        <v>25.8</v>
      </c>
      <c r="D71" s="75" t="n">
        <v>25.3</v>
      </c>
      <c r="E71" s="75" t="n">
        <v>25.2</v>
      </c>
      <c r="F71" s="75" t="n">
        <v>24.2</v>
      </c>
      <c r="G71" s="75" t="n">
        <v>22.3</v>
      </c>
      <c r="H71" s="75" t="n">
        <v>22.5</v>
      </c>
      <c r="I71" s="75" t="n">
        <v>22.7</v>
      </c>
      <c r="J71" s="75" t="n">
        <v>22.6</v>
      </c>
      <c r="K71" s="75" t="n">
        <v>24.2</v>
      </c>
      <c r="L71" s="75" t="n">
        <v>24.6</v>
      </c>
      <c r="M71" s="75" t="n">
        <v>25.6</v>
      </c>
      <c r="N71" s="75" t="n">
        <v>25.8</v>
      </c>
      <c r="O71" s="76" t="n">
        <f aca="false">AVERAGE(C71:N71)</f>
        <v>24.2333333333333</v>
      </c>
      <c r="P71" s="77" t="n">
        <f aca="false">MIN(C71:N71)</f>
        <v>22.3</v>
      </c>
      <c r="Q71" s="77" t="n">
        <f aca="false">MAX(C71:N71)</f>
        <v>25.8</v>
      </c>
      <c r="R71" s="77" t="n">
        <f aca="false">Q71-P71</f>
        <v>3.5</v>
      </c>
      <c r="S71" s="73" t="n">
        <f aca="false">RANK(O71,$O$64:$O$79)</f>
        <v>5</v>
      </c>
    </row>
    <row r="72" customFormat="false" ht="15" hidden="false" customHeight="false" outlineLevel="0" collapsed="false">
      <c r="A72" s="16" t="s">
        <v>1196</v>
      </c>
      <c r="B72" s="21" t="s">
        <v>105</v>
      </c>
      <c r="C72" s="75" t="n">
        <v>29.5</v>
      </c>
      <c r="D72" s="75" t="n">
        <v>29.6</v>
      </c>
      <c r="E72" s="75" t="n">
        <v>29.7</v>
      </c>
      <c r="F72" s="75" t="n">
        <v>30.1</v>
      </c>
      <c r="G72" s="75" t="n">
        <v>30.4</v>
      </c>
      <c r="H72" s="75" t="n">
        <v>29.6</v>
      </c>
      <c r="I72" s="75" t="n">
        <v>29.5</v>
      </c>
      <c r="J72" s="75" t="n">
        <v>29.7</v>
      </c>
      <c r="K72" s="75" t="n">
        <v>31.1</v>
      </c>
      <c r="L72" s="75" t="n">
        <v>31.1</v>
      </c>
      <c r="M72" s="75" t="n">
        <v>31.1</v>
      </c>
      <c r="N72" s="75" t="n">
        <v>30.9</v>
      </c>
      <c r="O72" s="76" t="n">
        <f aca="false">AVERAGE(C72:N72)</f>
        <v>30.1916666666667</v>
      </c>
      <c r="P72" s="77" t="n">
        <f aca="false">MIN(C72:N72)</f>
        <v>29.5</v>
      </c>
      <c r="Q72" s="77" t="n">
        <f aca="false">MAX(C72:N72)</f>
        <v>31.1</v>
      </c>
      <c r="R72" s="77" t="n">
        <f aca="false">Q72-P72</f>
        <v>1.6</v>
      </c>
      <c r="S72" s="73" t="n">
        <f aca="false">RANK(O72,$O$64:$O$79)</f>
        <v>4</v>
      </c>
    </row>
    <row r="73" customFormat="false" ht="15" hidden="false" customHeight="false" outlineLevel="0" collapsed="false">
      <c r="A73" s="16" t="s">
        <v>1197</v>
      </c>
      <c r="B73" s="21" t="s">
        <v>1198</v>
      </c>
      <c r="C73" s="75" t="n">
        <v>13.6</v>
      </c>
      <c r="D73" s="75" t="n">
        <v>13.5</v>
      </c>
      <c r="E73" s="75" t="n">
        <v>13.5</v>
      </c>
      <c r="F73" s="75" t="n">
        <v>13.8</v>
      </c>
      <c r="G73" s="75" t="n">
        <v>13.9</v>
      </c>
      <c r="H73" s="75" t="n">
        <v>14</v>
      </c>
      <c r="I73" s="75" t="n">
        <v>14.3</v>
      </c>
      <c r="J73" s="75" t="n">
        <v>14.5</v>
      </c>
      <c r="K73" s="75" t="n">
        <v>14.6</v>
      </c>
      <c r="L73" s="75" t="n">
        <v>14.4</v>
      </c>
      <c r="M73" s="75" t="n">
        <v>14.5</v>
      </c>
      <c r="N73" s="75" t="n">
        <v>14.8</v>
      </c>
      <c r="O73" s="76" t="n">
        <f aca="false">AVERAGE(C73:N73)</f>
        <v>14.1166666666667</v>
      </c>
      <c r="P73" s="77" t="n">
        <f aca="false">MIN(C73:N73)</f>
        <v>13.5</v>
      </c>
      <c r="Q73" s="77" t="n">
        <f aca="false">MAX(C73:N73)</f>
        <v>14.8</v>
      </c>
      <c r="R73" s="77" t="n">
        <f aca="false">Q73-P73</f>
        <v>1.3</v>
      </c>
      <c r="S73" s="73" t="n">
        <f aca="false">RANK(O73,$O$64:$O$79)</f>
        <v>12</v>
      </c>
    </row>
    <row r="74" customFormat="false" ht="17.15" hidden="false" customHeight="false" outlineLevel="0" collapsed="false">
      <c r="A74" s="16" t="s">
        <v>1199</v>
      </c>
      <c r="B74" s="21" t="s">
        <v>1200</v>
      </c>
      <c r="C74" s="75" t="n">
        <v>15.3</v>
      </c>
      <c r="D74" s="75" t="n">
        <v>14.9</v>
      </c>
      <c r="E74" s="75" t="n">
        <v>14.7</v>
      </c>
      <c r="F74" s="75" t="n">
        <v>15</v>
      </c>
      <c r="G74" s="75" t="n">
        <v>15.1</v>
      </c>
      <c r="H74" s="75" t="n">
        <v>15.1</v>
      </c>
      <c r="I74" s="75" t="n">
        <v>15.3</v>
      </c>
      <c r="J74" s="75" t="n">
        <v>15.8</v>
      </c>
      <c r="K74" s="75" t="n">
        <v>16.3</v>
      </c>
      <c r="L74" s="75" t="n">
        <v>16.8</v>
      </c>
      <c r="M74" s="75" t="n">
        <v>16.9</v>
      </c>
      <c r="N74" s="75" t="n">
        <v>16.5</v>
      </c>
      <c r="O74" s="76" t="n">
        <f aca="false">AVERAGE(C74:N74)</f>
        <v>15.6416666666667</v>
      </c>
      <c r="P74" s="77" t="n">
        <f aca="false">MIN(C74:N74)</f>
        <v>14.7</v>
      </c>
      <c r="Q74" s="77" t="n">
        <f aca="false">MAX(C74:N74)</f>
        <v>16.9</v>
      </c>
      <c r="R74" s="77" t="n">
        <f aca="false">Q74-P74</f>
        <v>2.2</v>
      </c>
      <c r="S74" s="73" t="n">
        <f aca="false">RANK(O74,$O$64:$O$79)</f>
        <v>10</v>
      </c>
    </row>
    <row r="75" customFormat="false" ht="15" hidden="false" customHeight="false" outlineLevel="0" collapsed="false">
      <c r="A75" s="16" t="s">
        <v>1201</v>
      </c>
      <c r="B75" s="21" t="s">
        <v>147</v>
      </c>
      <c r="C75" s="75" t="n">
        <v>14.1</v>
      </c>
      <c r="D75" s="75" t="n">
        <v>14.1</v>
      </c>
      <c r="E75" s="75" t="n">
        <v>14.3</v>
      </c>
      <c r="F75" s="75" t="n">
        <v>14.6</v>
      </c>
      <c r="G75" s="75" t="n">
        <v>14.6</v>
      </c>
      <c r="H75" s="75" t="n">
        <v>14.8</v>
      </c>
      <c r="I75" s="75" t="n">
        <v>14.9</v>
      </c>
      <c r="J75" s="75" t="n">
        <v>15</v>
      </c>
      <c r="K75" s="75" t="n">
        <v>15</v>
      </c>
      <c r="L75" s="75" t="n">
        <v>15</v>
      </c>
      <c r="M75" s="75" t="n">
        <v>14.9</v>
      </c>
      <c r="N75" s="75" t="n">
        <v>15</v>
      </c>
      <c r="O75" s="76" t="n">
        <f aca="false">AVERAGE(C75:N75)</f>
        <v>14.6916666666667</v>
      </c>
      <c r="P75" s="77" t="n">
        <f aca="false">MIN(C75:N75)</f>
        <v>14.1</v>
      </c>
      <c r="Q75" s="77" t="n">
        <f aca="false">MAX(C75:N75)</f>
        <v>15</v>
      </c>
      <c r="R75" s="77" t="n">
        <f aca="false">Q75-P75</f>
        <v>0.9</v>
      </c>
      <c r="S75" s="73" t="n">
        <f aca="false">RANK(O75,$O$64:$O$79)</f>
        <v>11</v>
      </c>
    </row>
    <row r="76" customFormat="false" ht="15" hidden="false" customHeight="false" outlineLevel="0" collapsed="false">
      <c r="A76" s="16" t="s">
        <v>1202</v>
      </c>
      <c r="B76" s="21" t="s">
        <v>244</v>
      </c>
      <c r="C76" s="75" t="n">
        <v>15.4</v>
      </c>
      <c r="D76" s="75" t="n">
        <v>15.3</v>
      </c>
      <c r="E76" s="75" t="n">
        <v>15.4</v>
      </c>
      <c r="F76" s="75" t="n">
        <v>15.5</v>
      </c>
      <c r="G76" s="75" t="n">
        <v>15.5</v>
      </c>
      <c r="H76" s="75" t="n">
        <v>15.3</v>
      </c>
      <c r="I76" s="75" t="n">
        <v>15.8</v>
      </c>
      <c r="J76" s="75" t="n">
        <v>16</v>
      </c>
      <c r="K76" s="75" t="n">
        <v>16.2</v>
      </c>
      <c r="L76" s="75" t="n">
        <v>16.1</v>
      </c>
      <c r="M76" s="75" t="n">
        <v>16</v>
      </c>
      <c r="N76" s="75" t="n">
        <v>16</v>
      </c>
      <c r="O76" s="76" t="n">
        <f aca="false">AVERAGE(C76:N76)</f>
        <v>15.7083333333333</v>
      </c>
      <c r="P76" s="77" t="n">
        <f aca="false">MIN(C76:N76)</f>
        <v>15.3</v>
      </c>
      <c r="Q76" s="77" t="n">
        <f aca="false">MAX(C76:N76)</f>
        <v>16.2</v>
      </c>
      <c r="R76" s="77" t="n">
        <f aca="false">Q76-P76</f>
        <v>0.899999999999999</v>
      </c>
      <c r="S76" s="73" t="n">
        <f aca="false">RANK(O76,$O$64:$O$79)</f>
        <v>9</v>
      </c>
    </row>
    <row r="77" customFormat="false" ht="15" hidden="false" customHeight="false" outlineLevel="0" collapsed="false">
      <c r="A77" s="16" t="s">
        <v>1203</v>
      </c>
      <c r="B77" s="21" t="s">
        <v>165</v>
      </c>
      <c r="C77" s="75" t="n">
        <v>22.3</v>
      </c>
      <c r="D77" s="75" t="n">
        <v>22.2</v>
      </c>
      <c r="E77" s="75" t="n">
        <v>22.2</v>
      </c>
      <c r="F77" s="75" t="n">
        <v>22.3</v>
      </c>
      <c r="G77" s="75" t="n">
        <v>23.5</v>
      </c>
      <c r="H77" s="75" t="n">
        <v>23.9</v>
      </c>
      <c r="I77" s="75" t="n">
        <v>24.3</v>
      </c>
      <c r="J77" s="75" t="n">
        <v>24.8</v>
      </c>
      <c r="K77" s="75" t="n">
        <v>24.8</v>
      </c>
      <c r="L77" s="75" t="n">
        <v>24.5</v>
      </c>
      <c r="M77" s="75" t="n">
        <v>23.7</v>
      </c>
      <c r="N77" s="75" t="n">
        <v>23.5</v>
      </c>
      <c r="O77" s="76" t="n">
        <f aca="false">AVERAGE(C77:N77)</f>
        <v>23.5</v>
      </c>
      <c r="P77" s="77" t="n">
        <f aca="false">MIN(C77:N77)</f>
        <v>22.2</v>
      </c>
      <c r="Q77" s="77" t="n">
        <f aca="false">MAX(C77:N77)</f>
        <v>24.8</v>
      </c>
      <c r="R77" s="77" t="n">
        <f aca="false">Q77-P77</f>
        <v>2.6</v>
      </c>
      <c r="S77" s="73" t="n">
        <f aca="false">RANK(O77,$O$64:$O$79)</f>
        <v>7</v>
      </c>
    </row>
    <row r="78" customFormat="false" ht="17.15" hidden="false" customHeight="false" outlineLevel="0" collapsed="false">
      <c r="A78" s="16" t="s">
        <v>1204</v>
      </c>
      <c r="B78" s="21" t="s">
        <v>1205</v>
      </c>
      <c r="C78" s="75" t="n">
        <v>13.7</v>
      </c>
      <c r="D78" s="75" t="n">
        <v>13.9</v>
      </c>
      <c r="E78" s="75" t="n">
        <v>13.8</v>
      </c>
      <c r="F78" s="75" t="n">
        <v>13.7</v>
      </c>
      <c r="G78" s="75" t="n">
        <v>13.8</v>
      </c>
      <c r="H78" s="75" t="n">
        <v>13.9</v>
      </c>
      <c r="I78" s="75" t="n">
        <v>14.3</v>
      </c>
      <c r="J78" s="75" t="n">
        <v>14.2</v>
      </c>
      <c r="K78" s="75" t="n">
        <v>13.7</v>
      </c>
      <c r="L78" s="75" t="n">
        <v>13.7</v>
      </c>
      <c r="M78" s="75" t="n">
        <v>14</v>
      </c>
      <c r="N78" s="75" t="n">
        <v>13.8</v>
      </c>
      <c r="O78" s="76" t="n">
        <f aca="false">AVERAGE(C78:N78)</f>
        <v>13.875</v>
      </c>
      <c r="P78" s="77" t="n">
        <f aca="false">MIN(C78:N78)</f>
        <v>13.7</v>
      </c>
      <c r="Q78" s="77" t="n">
        <f aca="false">MAX(C78:N78)</f>
        <v>14.3</v>
      </c>
      <c r="R78" s="77" t="n">
        <f aca="false">Q78-P78</f>
        <v>0.600000000000001</v>
      </c>
      <c r="S78" s="73" t="n">
        <f aca="false">RANK(O78,$O$64:$O$79)</f>
        <v>14</v>
      </c>
    </row>
    <row r="79" customFormat="false" ht="15" hidden="false" customHeight="false" outlineLevel="0" collapsed="false">
      <c r="A79" s="16" t="s">
        <v>1206</v>
      </c>
      <c r="B79" s="21" t="s">
        <v>1207</v>
      </c>
      <c r="C79" s="75" t="n">
        <v>24.7</v>
      </c>
      <c r="D79" s="75" t="n">
        <v>24.3</v>
      </c>
      <c r="E79" s="75" t="n">
        <v>23.7</v>
      </c>
      <c r="F79" s="75" t="n">
        <v>24</v>
      </c>
      <c r="G79" s="75" t="n">
        <v>23.8</v>
      </c>
      <c r="H79" s="75" t="n">
        <v>23.9</v>
      </c>
      <c r="I79" s="75" t="n">
        <v>23.8</v>
      </c>
      <c r="J79" s="75" t="n">
        <v>23.9</v>
      </c>
      <c r="K79" s="75" t="n">
        <v>23.9</v>
      </c>
      <c r="L79" s="75" t="n">
        <v>23.6</v>
      </c>
      <c r="M79" s="75" t="n">
        <v>23.1</v>
      </c>
      <c r="N79" s="75" t="n">
        <v>23</v>
      </c>
      <c r="O79" s="76" t="n">
        <f aca="false">AVERAGE(C79:N79)</f>
        <v>23.8083333333333</v>
      </c>
      <c r="P79" s="77" t="n">
        <f aca="false">MIN(C79:N79)</f>
        <v>23</v>
      </c>
      <c r="Q79" s="77" t="n">
        <f aca="false">MAX(C79:N79)</f>
        <v>24.7</v>
      </c>
      <c r="R79" s="77" t="n">
        <f aca="false">Q79-P79</f>
        <v>1.7</v>
      </c>
      <c r="S79" s="73" t="n">
        <f aca="false">RANK(O79,$O$64:$O$79)</f>
        <v>6</v>
      </c>
    </row>
    <row r="81" customFormat="false" ht="19.4" hidden="false" customHeight="false" outlineLevel="0" collapsed="false">
      <c r="A81" s="74" t="s">
        <v>1211</v>
      </c>
    </row>
    <row r="82" customFormat="false" ht="45.75" hidden="false" customHeight="true" outlineLevel="0" collapsed="false">
      <c r="A82" s="33" t="s">
        <v>1164</v>
      </c>
      <c r="B82" s="33" t="s">
        <v>1165</v>
      </c>
      <c r="C82" s="62" t="s">
        <v>1166</v>
      </c>
      <c r="D82" s="62" t="s">
        <v>1167</v>
      </c>
      <c r="E82" s="62" t="s">
        <v>1168</v>
      </c>
      <c r="F82" s="62" t="s">
        <v>1169</v>
      </c>
      <c r="G82" s="62" t="s">
        <v>1170</v>
      </c>
      <c r="H82" s="62" t="s">
        <v>1171</v>
      </c>
      <c r="I82" s="62" t="s">
        <v>1172</v>
      </c>
      <c r="J82" s="62" t="s">
        <v>1173</v>
      </c>
      <c r="K82" s="62" t="s">
        <v>1174</v>
      </c>
      <c r="L82" s="62" t="s">
        <v>1175</v>
      </c>
      <c r="M82" s="62" t="s">
        <v>1176</v>
      </c>
      <c r="N82" s="62" t="s">
        <v>1177</v>
      </c>
      <c r="O82" s="33" t="s">
        <v>1178</v>
      </c>
      <c r="P82" s="33" t="s">
        <v>1179</v>
      </c>
      <c r="Q82" s="33" t="s">
        <v>1180</v>
      </c>
      <c r="R82" s="33" t="s">
        <v>1181</v>
      </c>
      <c r="S82" s="62" t="s">
        <v>1182</v>
      </c>
    </row>
    <row r="83" customFormat="false" ht="15" hidden="false" customHeight="false" outlineLevel="0" collapsed="false">
      <c r="A83" s="16" t="s">
        <v>1183</v>
      </c>
      <c r="B83" s="21" t="s">
        <v>390</v>
      </c>
      <c r="C83" s="75" t="n">
        <v>3.8</v>
      </c>
      <c r="D83" s="75" t="n">
        <v>3.8</v>
      </c>
      <c r="E83" s="75" t="n">
        <v>3.8</v>
      </c>
      <c r="F83" s="75" t="n">
        <v>3.7</v>
      </c>
      <c r="G83" s="75" t="n">
        <v>3.8</v>
      </c>
      <c r="H83" s="75" t="n">
        <v>3.8</v>
      </c>
      <c r="I83" s="75" t="n">
        <v>3.9</v>
      </c>
      <c r="J83" s="75" t="n">
        <v>3.9</v>
      </c>
      <c r="K83" s="75" t="n">
        <v>3.9</v>
      </c>
      <c r="L83" s="75" t="n">
        <v>3.9</v>
      </c>
      <c r="M83" s="75" t="n">
        <v>4</v>
      </c>
      <c r="N83" s="75" t="n">
        <v>4</v>
      </c>
      <c r="O83" s="76" t="n">
        <f aca="false">AVERAGE(C83:N83)</f>
        <v>3.85833333333333</v>
      </c>
      <c r="P83" s="77" t="n">
        <f aca="false">MIN(C83:N83)</f>
        <v>3.7</v>
      </c>
      <c r="Q83" s="77" t="n">
        <f aca="false">MAX(C83:N83)</f>
        <v>4</v>
      </c>
      <c r="R83" s="77" t="n">
        <f aca="false">Q83-P83</f>
        <v>0.3</v>
      </c>
      <c r="S83" s="73" t="n">
        <f aca="false">RANK(O83,$O$83:$O$98)</f>
        <v>12</v>
      </c>
    </row>
    <row r="84" customFormat="false" ht="15" hidden="false" customHeight="false" outlineLevel="0" collapsed="false">
      <c r="A84" s="16" t="s">
        <v>1184</v>
      </c>
      <c r="B84" s="21" t="s">
        <v>1185</v>
      </c>
      <c r="C84" s="75" t="n">
        <v>4.4</v>
      </c>
      <c r="D84" s="75" t="n">
        <v>4.3</v>
      </c>
      <c r="E84" s="75" t="n">
        <v>4.5</v>
      </c>
      <c r="F84" s="75" t="n">
        <v>4.5</v>
      </c>
      <c r="G84" s="75" t="n">
        <v>4.5</v>
      </c>
      <c r="H84" s="75" t="n">
        <v>4.4</v>
      </c>
      <c r="I84" s="75" t="n">
        <v>4.6</v>
      </c>
      <c r="J84" s="75" t="n">
        <v>4.7</v>
      </c>
      <c r="K84" s="75" t="n">
        <v>4.8</v>
      </c>
      <c r="L84" s="75" t="n">
        <v>4.8</v>
      </c>
      <c r="M84" s="75" t="n">
        <v>4.9</v>
      </c>
      <c r="N84" s="75" t="n">
        <v>4.9</v>
      </c>
      <c r="O84" s="76" t="n">
        <f aca="false">AVERAGE(C84:N84)</f>
        <v>4.60833333333333</v>
      </c>
      <c r="P84" s="77" t="n">
        <f aca="false">MIN(C84:N84)</f>
        <v>4.3</v>
      </c>
      <c r="Q84" s="77" t="n">
        <f aca="false">MAX(C84:N84)</f>
        <v>4.9</v>
      </c>
      <c r="R84" s="77" t="n">
        <f aca="false">Q84-P84</f>
        <v>0.600000000000001</v>
      </c>
      <c r="S84" s="73" t="n">
        <f aca="false">RANK(O84,$O$83:$O$98)</f>
        <v>8</v>
      </c>
    </row>
    <row r="85" customFormat="false" ht="15" hidden="false" customHeight="false" outlineLevel="0" collapsed="false">
      <c r="A85" s="16" t="s">
        <v>1186</v>
      </c>
      <c r="B85" s="21" t="s">
        <v>290</v>
      </c>
      <c r="C85" s="75" t="n">
        <v>3.2</v>
      </c>
      <c r="D85" s="75" t="n">
        <v>3.3</v>
      </c>
      <c r="E85" s="75" t="n">
        <v>3.3</v>
      </c>
      <c r="F85" s="75" t="n">
        <v>3.3</v>
      </c>
      <c r="G85" s="75" t="n">
        <v>3.2</v>
      </c>
      <c r="H85" s="75" t="n">
        <v>3.3</v>
      </c>
      <c r="I85" s="75" t="n">
        <v>3.4</v>
      </c>
      <c r="J85" s="75" t="n">
        <v>3.4</v>
      </c>
      <c r="K85" s="75" t="n">
        <v>3.3</v>
      </c>
      <c r="L85" s="75" t="n">
        <v>3.3</v>
      </c>
      <c r="M85" s="75" t="n">
        <v>3.4</v>
      </c>
      <c r="N85" s="75" t="n">
        <v>3.4</v>
      </c>
      <c r="O85" s="76" t="n">
        <f aca="false">AVERAGE(C85:N85)</f>
        <v>3.31666666666667</v>
      </c>
      <c r="P85" s="77" t="n">
        <f aca="false">MIN(C85:N85)</f>
        <v>3.2</v>
      </c>
      <c r="Q85" s="77" t="n">
        <f aca="false">MAX(C85:N85)</f>
        <v>3.4</v>
      </c>
      <c r="R85" s="77" t="n">
        <f aca="false">Q85-P85</f>
        <v>0.2</v>
      </c>
      <c r="S85" s="73" t="n">
        <f aca="false">RANK(O85,$O$83:$O$98)</f>
        <v>16</v>
      </c>
    </row>
    <row r="86" customFormat="false" ht="15" hidden="false" customHeight="false" outlineLevel="0" collapsed="false">
      <c r="A86" s="16" t="s">
        <v>1187</v>
      </c>
      <c r="B86" s="21" t="s">
        <v>1188</v>
      </c>
      <c r="C86" s="75" t="n">
        <v>7.3</v>
      </c>
      <c r="D86" s="75" t="n">
        <v>7.2</v>
      </c>
      <c r="E86" s="75" t="n">
        <v>7.2</v>
      </c>
      <c r="F86" s="75" t="n">
        <v>7.2</v>
      </c>
      <c r="G86" s="75" t="n">
        <v>7.4</v>
      </c>
      <c r="H86" s="75" t="n">
        <v>7.2</v>
      </c>
      <c r="I86" s="75" t="n">
        <v>7.3</v>
      </c>
      <c r="J86" s="75" t="n">
        <v>7.3</v>
      </c>
      <c r="K86" s="75" t="n">
        <v>7.3</v>
      </c>
      <c r="L86" s="75" t="n">
        <v>7.4</v>
      </c>
      <c r="M86" s="75" t="n">
        <v>7.4</v>
      </c>
      <c r="N86" s="75" t="n">
        <v>7.3</v>
      </c>
      <c r="O86" s="76" t="n">
        <f aca="false">AVERAGE(C86:N86)</f>
        <v>7.29166666666667</v>
      </c>
      <c r="P86" s="77" t="n">
        <f aca="false">MIN(C86:N86)</f>
        <v>7.2</v>
      </c>
      <c r="Q86" s="77" t="n">
        <f aca="false">MAX(C86:N86)</f>
        <v>7.4</v>
      </c>
      <c r="R86" s="77" t="n">
        <f aca="false">Q86-P86</f>
        <v>0.2</v>
      </c>
      <c r="S86" s="73" t="n">
        <f aca="false">RANK(O86,$O$83:$O$98)</f>
        <v>4</v>
      </c>
    </row>
    <row r="87" customFormat="false" ht="15" hidden="false" customHeight="false" outlineLevel="0" collapsed="false">
      <c r="A87" s="16" t="s">
        <v>1189</v>
      </c>
      <c r="B87" s="21" t="s">
        <v>1190</v>
      </c>
      <c r="C87" s="75" t="n">
        <v>8.2</v>
      </c>
      <c r="D87" s="75" t="n">
        <v>8.2</v>
      </c>
      <c r="E87" s="75" t="n">
        <v>8.2</v>
      </c>
      <c r="F87" s="75" t="n">
        <v>8.3</v>
      </c>
      <c r="G87" s="75" t="n">
        <v>8.3</v>
      </c>
      <c r="H87" s="75" t="n">
        <v>8.2</v>
      </c>
      <c r="I87" s="75" t="n">
        <v>8.2</v>
      </c>
      <c r="J87" s="75" t="n">
        <v>8.2</v>
      </c>
      <c r="K87" s="75" t="n">
        <v>8.4</v>
      </c>
      <c r="L87" s="75" t="n">
        <v>8.5</v>
      </c>
      <c r="M87" s="75" t="n">
        <v>8.5</v>
      </c>
      <c r="N87" s="75" t="n">
        <v>8.5</v>
      </c>
      <c r="O87" s="76" t="n">
        <f aca="false">AVERAGE(C87:N87)</f>
        <v>8.30833333333333</v>
      </c>
      <c r="P87" s="77" t="n">
        <f aca="false">MIN(C87:N87)</f>
        <v>8.2</v>
      </c>
      <c r="Q87" s="77" t="n">
        <f aca="false">MAX(C87:N87)</f>
        <v>8.5</v>
      </c>
      <c r="R87" s="77" t="n">
        <f aca="false">Q87-P87</f>
        <v>0.300000000000001</v>
      </c>
      <c r="S87" s="73" t="n">
        <f aca="false">RANK(O87,$O$83:$O$98)</f>
        <v>2</v>
      </c>
    </row>
    <row r="88" customFormat="false" ht="15" hidden="false" customHeight="false" outlineLevel="0" collapsed="false">
      <c r="A88" s="16" t="s">
        <v>1191</v>
      </c>
      <c r="B88" s="21" t="s">
        <v>1099</v>
      </c>
      <c r="C88" s="75" t="n">
        <v>7.4</v>
      </c>
      <c r="D88" s="75" t="n">
        <v>7.3</v>
      </c>
      <c r="E88" s="75" t="n">
        <v>7.3</v>
      </c>
      <c r="F88" s="75" t="n">
        <v>7.4</v>
      </c>
      <c r="G88" s="75" t="n">
        <v>7.3</v>
      </c>
      <c r="H88" s="75" t="n">
        <v>7.3</v>
      </c>
      <c r="I88" s="75" t="n">
        <v>7.2</v>
      </c>
      <c r="J88" s="75" t="n">
        <v>7.1</v>
      </c>
      <c r="K88" s="75" t="n">
        <v>7.2</v>
      </c>
      <c r="L88" s="75" t="n">
        <v>7.2</v>
      </c>
      <c r="M88" s="75" t="n">
        <v>7.4</v>
      </c>
      <c r="N88" s="75" t="n">
        <v>7.5</v>
      </c>
      <c r="O88" s="76" t="n">
        <f aca="false">AVERAGE(C88:N88)</f>
        <v>7.3</v>
      </c>
      <c r="P88" s="77" t="n">
        <f aca="false">MIN(C88:N88)</f>
        <v>7.1</v>
      </c>
      <c r="Q88" s="77" t="n">
        <f aca="false">MAX(C88:N88)</f>
        <v>7.5</v>
      </c>
      <c r="R88" s="77" t="n">
        <f aca="false">Q88-P88</f>
        <v>0.4</v>
      </c>
      <c r="S88" s="73" t="n">
        <f aca="false">RANK(O88,$O$83:$O$98)</f>
        <v>3</v>
      </c>
    </row>
    <row r="89" customFormat="false" ht="15" hidden="false" customHeight="false" outlineLevel="0" collapsed="false">
      <c r="A89" s="16" t="s">
        <v>1192</v>
      </c>
      <c r="B89" s="21" t="s">
        <v>1193</v>
      </c>
      <c r="C89" s="75" t="n">
        <v>3.5</v>
      </c>
      <c r="D89" s="75" t="n">
        <v>3.5</v>
      </c>
      <c r="E89" s="75" t="n">
        <v>3.5</v>
      </c>
      <c r="F89" s="75" t="n">
        <v>3.6</v>
      </c>
      <c r="G89" s="75" t="n">
        <v>3.6</v>
      </c>
      <c r="H89" s="75" t="n">
        <v>3.6</v>
      </c>
      <c r="I89" s="75" t="n">
        <v>3.7</v>
      </c>
      <c r="J89" s="75" t="n">
        <v>3.7</v>
      </c>
      <c r="K89" s="75" t="n">
        <v>3.7</v>
      </c>
      <c r="L89" s="75" t="n">
        <v>3.8</v>
      </c>
      <c r="M89" s="75" t="n">
        <v>3.9</v>
      </c>
      <c r="N89" s="75" t="n">
        <v>4</v>
      </c>
      <c r="O89" s="76" t="n">
        <f aca="false">AVERAGE(C89:N89)</f>
        <v>3.675</v>
      </c>
      <c r="P89" s="77" t="n">
        <f aca="false">MIN(C89:N89)</f>
        <v>3.5</v>
      </c>
      <c r="Q89" s="77" t="n">
        <f aca="false">MAX(C89:N89)</f>
        <v>4</v>
      </c>
      <c r="R89" s="77" t="n">
        <f aca="false">Q89-P89</f>
        <v>0.5</v>
      </c>
      <c r="S89" s="73" t="n">
        <f aca="false">RANK(O89,$O$83:$O$98)</f>
        <v>14</v>
      </c>
    </row>
    <row r="90" customFormat="false" ht="15" hidden="false" customHeight="false" outlineLevel="0" collapsed="false">
      <c r="A90" s="16" t="s">
        <v>1194</v>
      </c>
      <c r="B90" s="21" t="s">
        <v>1195</v>
      </c>
      <c r="C90" s="75" t="n">
        <v>9.3</v>
      </c>
      <c r="D90" s="75" t="n">
        <v>9.3</v>
      </c>
      <c r="E90" s="75" t="n">
        <v>9.3</v>
      </c>
      <c r="F90" s="75" t="n">
        <v>9.5</v>
      </c>
      <c r="G90" s="75" t="n">
        <v>9.2</v>
      </c>
      <c r="H90" s="75" t="n">
        <v>9.3</v>
      </c>
      <c r="I90" s="75" t="n">
        <v>9.3</v>
      </c>
      <c r="J90" s="75" t="n">
        <v>9.4</v>
      </c>
      <c r="K90" s="75" t="n">
        <v>9.4</v>
      </c>
      <c r="L90" s="75" t="n">
        <v>9.7</v>
      </c>
      <c r="M90" s="75" t="n">
        <v>9.8</v>
      </c>
      <c r="N90" s="75" t="n">
        <v>9.7</v>
      </c>
      <c r="O90" s="76" t="n">
        <f aca="false">AVERAGE(C90:N90)</f>
        <v>9.43333333333333</v>
      </c>
      <c r="P90" s="77" t="n">
        <f aca="false">MIN(C90:N90)</f>
        <v>9.2</v>
      </c>
      <c r="Q90" s="77" t="n">
        <f aca="false">MAX(C90:N90)</f>
        <v>9.8</v>
      </c>
      <c r="R90" s="77" t="n">
        <f aca="false">Q90-P90</f>
        <v>0.600000000000001</v>
      </c>
      <c r="S90" s="73" t="n">
        <f aca="false">RANK(O90,$O$83:$O$98)</f>
        <v>1</v>
      </c>
    </row>
    <row r="91" customFormat="false" ht="15" hidden="false" customHeight="false" outlineLevel="0" collapsed="false">
      <c r="A91" s="16" t="s">
        <v>1196</v>
      </c>
      <c r="B91" s="21" t="s">
        <v>105</v>
      </c>
      <c r="C91" s="75" t="n">
        <v>5.6</v>
      </c>
      <c r="D91" s="75" t="n">
        <v>5.6</v>
      </c>
      <c r="E91" s="75" t="n">
        <v>5.6</v>
      </c>
      <c r="F91" s="75" t="n">
        <v>5.7</v>
      </c>
      <c r="G91" s="75" t="n">
        <v>5.6</v>
      </c>
      <c r="H91" s="75" t="n">
        <v>5.6</v>
      </c>
      <c r="I91" s="75" t="n">
        <v>5.6</v>
      </c>
      <c r="J91" s="75" t="n">
        <v>5.6</v>
      </c>
      <c r="K91" s="75" t="n">
        <v>5.7</v>
      </c>
      <c r="L91" s="75" t="n">
        <v>5.7</v>
      </c>
      <c r="M91" s="75" t="n">
        <v>5.7</v>
      </c>
      <c r="N91" s="75" t="n">
        <v>5.7</v>
      </c>
      <c r="O91" s="76" t="n">
        <f aca="false">AVERAGE(C91:N91)</f>
        <v>5.64166666666667</v>
      </c>
      <c r="P91" s="77" t="n">
        <f aca="false">MIN(C91:N91)</f>
        <v>5.6</v>
      </c>
      <c r="Q91" s="77" t="n">
        <f aca="false">MAX(C91:N91)</f>
        <v>5.7</v>
      </c>
      <c r="R91" s="77" t="n">
        <f aca="false">Q91-P91</f>
        <v>0.100000000000001</v>
      </c>
      <c r="S91" s="73" t="n">
        <f aca="false">RANK(O91,$O$83:$O$98)</f>
        <v>5</v>
      </c>
    </row>
    <row r="92" customFormat="false" ht="15" hidden="false" customHeight="false" outlineLevel="0" collapsed="false">
      <c r="A92" s="16" t="s">
        <v>1197</v>
      </c>
      <c r="B92" s="21" t="s">
        <v>1198</v>
      </c>
      <c r="C92" s="75" t="n">
        <v>3.6</v>
      </c>
      <c r="D92" s="75" t="n">
        <v>3.7</v>
      </c>
      <c r="E92" s="75" t="n">
        <v>3.7</v>
      </c>
      <c r="F92" s="75" t="n">
        <v>3.7</v>
      </c>
      <c r="G92" s="75" t="n">
        <v>3.8</v>
      </c>
      <c r="H92" s="75" t="n">
        <v>3.8</v>
      </c>
      <c r="I92" s="75" t="n">
        <v>3.9</v>
      </c>
      <c r="J92" s="75" t="n">
        <v>3.9</v>
      </c>
      <c r="K92" s="75" t="n">
        <v>3.9</v>
      </c>
      <c r="L92" s="75" t="n">
        <v>3.9</v>
      </c>
      <c r="M92" s="75" t="n">
        <v>3.9</v>
      </c>
      <c r="N92" s="75" t="n">
        <v>4</v>
      </c>
      <c r="O92" s="76" t="n">
        <f aca="false">AVERAGE(C92:N92)</f>
        <v>3.81666666666667</v>
      </c>
      <c r="P92" s="77" t="n">
        <f aca="false">MIN(C92:N92)</f>
        <v>3.6</v>
      </c>
      <c r="Q92" s="77" t="n">
        <f aca="false">MAX(C92:N92)</f>
        <v>4</v>
      </c>
      <c r="R92" s="77" t="n">
        <f aca="false">Q92-P92</f>
        <v>0.4</v>
      </c>
      <c r="S92" s="73" t="n">
        <f aca="false">RANK(O92,$O$83:$O$98)</f>
        <v>13</v>
      </c>
    </row>
    <row r="93" customFormat="false" ht="17.15" hidden="false" customHeight="false" outlineLevel="0" collapsed="false">
      <c r="A93" s="16" t="s">
        <v>1199</v>
      </c>
      <c r="B93" s="21" t="s">
        <v>1200</v>
      </c>
      <c r="C93" s="75" t="n">
        <v>4.2</v>
      </c>
      <c r="D93" s="75" t="n">
        <v>4.2</v>
      </c>
      <c r="E93" s="75" t="n">
        <v>4.1</v>
      </c>
      <c r="F93" s="75" t="n">
        <v>4.1</v>
      </c>
      <c r="G93" s="75" t="n">
        <v>4.1</v>
      </c>
      <c r="H93" s="75" t="n">
        <v>4.1</v>
      </c>
      <c r="I93" s="75" t="n">
        <v>4.3</v>
      </c>
      <c r="J93" s="75" t="n">
        <v>4.5</v>
      </c>
      <c r="K93" s="75" t="n">
        <v>4.7</v>
      </c>
      <c r="L93" s="75" t="n">
        <v>4.7</v>
      </c>
      <c r="M93" s="75" t="n">
        <v>4.8</v>
      </c>
      <c r="N93" s="75" t="n">
        <v>4.7</v>
      </c>
      <c r="O93" s="76" t="n">
        <f aca="false">AVERAGE(C93:N93)</f>
        <v>4.375</v>
      </c>
      <c r="P93" s="77" t="n">
        <f aca="false">MIN(C93:N93)</f>
        <v>4.1</v>
      </c>
      <c r="Q93" s="77" t="n">
        <f aca="false">MAX(C93:N93)</f>
        <v>4.8</v>
      </c>
      <c r="R93" s="77" t="n">
        <f aca="false">Q93-P93</f>
        <v>0.7</v>
      </c>
      <c r="S93" s="73" t="n">
        <f aca="false">RANK(O93,$O$83:$O$98)</f>
        <v>9</v>
      </c>
    </row>
    <row r="94" customFormat="false" ht="15" hidden="false" customHeight="false" outlineLevel="0" collapsed="false">
      <c r="A94" s="16" t="s">
        <v>1201</v>
      </c>
      <c r="B94" s="21" t="s">
        <v>147</v>
      </c>
      <c r="C94" s="75" t="n">
        <v>3.9</v>
      </c>
      <c r="D94" s="75" t="n">
        <v>4</v>
      </c>
      <c r="E94" s="75" t="n">
        <v>4</v>
      </c>
      <c r="F94" s="75" t="n">
        <v>4</v>
      </c>
      <c r="G94" s="75" t="n">
        <v>4.1</v>
      </c>
      <c r="H94" s="75" t="n">
        <v>4.1</v>
      </c>
      <c r="I94" s="75" t="n">
        <v>4.1</v>
      </c>
      <c r="J94" s="75" t="n">
        <v>4.2</v>
      </c>
      <c r="K94" s="75" t="n">
        <v>4.2</v>
      </c>
      <c r="L94" s="75" t="n">
        <v>4.2</v>
      </c>
      <c r="M94" s="75" t="n">
        <v>4.3</v>
      </c>
      <c r="N94" s="75" t="n">
        <v>4.3</v>
      </c>
      <c r="O94" s="76" t="n">
        <f aca="false">AVERAGE(C94:N94)</f>
        <v>4.11666666666667</v>
      </c>
      <c r="P94" s="77" t="n">
        <f aca="false">MIN(C94:N94)</f>
        <v>3.9</v>
      </c>
      <c r="Q94" s="77" t="n">
        <f aca="false">MAX(C94:N94)</f>
        <v>4.3</v>
      </c>
      <c r="R94" s="77" t="n">
        <f aca="false">Q94-P94</f>
        <v>0.4</v>
      </c>
      <c r="S94" s="73" t="n">
        <f aca="false">RANK(O94,$O$83:$O$98)</f>
        <v>11</v>
      </c>
    </row>
    <row r="95" customFormat="false" ht="15" hidden="false" customHeight="false" outlineLevel="0" collapsed="false">
      <c r="A95" s="16" t="s">
        <v>1202</v>
      </c>
      <c r="B95" s="21" t="s">
        <v>244</v>
      </c>
      <c r="C95" s="75" t="n">
        <v>4.2</v>
      </c>
      <c r="D95" s="75" t="n">
        <v>4.2</v>
      </c>
      <c r="E95" s="75" t="n">
        <v>4.2</v>
      </c>
      <c r="F95" s="75" t="n">
        <v>4.3</v>
      </c>
      <c r="G95" s="75" t="n">
        <v>4.3</v>
      </c>
      <c r="H95" s="75" t="n">
        <v>4.3</v>
      </c>
      <c r="I95" s="75" t="n">
        <v>4.3</v>
      </c>
      <c r="J95" s="75" t="n">
        <v>4.3</v>
      </c>
      <c r="K95" s="75" t="n">
        <v>4.4</v>
      </c>
      <c r="L95" s="75" t="n">
        <v>4.4</v>
      </c>
      <c r="M95" s="75" t="n">
        <v>4.5</v>
      </c>
      <c r="N95" s="75" t="n">
        <v>4.4</v>
      </c>
      <c r="O95" s="76" t="n">
        <f aca="false">AVERAGE(C95:N95)</f>
        <v>4.31666666666667</v>
      </c>
      <c r="P95" s="77" t="n">
        <f aca="false">MIN(C95:N95)</f>
        <v>4.2</v>
      </c>
      <c r="Q95" s="77" t="n">
        <f aca="false">MAX(C95:N95)</f>
        <v>4.5</v>
      </c>
      <c r="R95" s="77" t="n">
        <f aca="false">Q95-P95</f>
        <v>0.3</v>
      </c>
      <c r="S95" s="73" t="n">
        <f aca="false">RANK(O95,$O$83:$O$98)</f>
        <v>10</v>
      </c>
    </row>
    <row r="96" customFormat="false" ht="15" hidden="false" customHeight="false" outlineLevel="0" collapsed="false">
      <c r="A96" s="16" t="s">
        <v>1203</v>
      </c>
      <c r="B96" s="21" t="s">
        <v>165</v>
      </c>
      <c r="C96" s="75" t="n">
        <v>5.3</v>
      </c>
      <c r="D96" s="75" t="n">
        <v>5.3</v>
      </c>
      <c r="E96" s="75" t="n">
        <v>5.3</v>
      </c>
      <c r="F96" s="75" t="n">
        <v>5.4</v>
      </c>
      <c r="G96" s="75" t="n">
        <v>5.4</v>
      </c>
      <c r="H96" s="75" t="n">
        <v>5.5</v>
      </c>
      <c r="I96" s="75" t="n">
        <v>5.5</v>
      </c>
      <c r="J96" s="75" t="n">
        <v>5.6</v>
      </c>
      <c r="K96" s="75" t="n">
        <v>5.6</v>
      </c>
      <c r="L96" s="75" t="n">
        <v>5.5</v>
      </c>
      <c r="M96" s="75" t="n">
        <v>5.5</v>
      </c>
      <c r="N96" s="75" t="n">
        <v>5.5</v>
      </c>
      <c r="O96" s="76" t="n">
        <f aca="false">AVERAGE(C96:N96)</f>
        <v>5.45</v>
      </c>
      <c r="P96" s="77" t="n">
        <f aca="false">MIN(C96:N96)</f>
        <v>5.3</v>
      </c>
      <c r="Q96" s="77" t="n">
        <f aca="false">MAX(C96:N96)</f>
        <v>5.6</v>
      </c>
      <c r="R96" s="77" t="n">
        <f aca="false">Q96-P96</f>
        <v>0.3</v>
      </c>
      <c r="S96" s="73" t="n">
        <f aca="false">RANK(O96,$O$83:$O$98)</f>
        <v>6</v>
      </c>
    </row>
    <row r="97" customFormat="false" ht="17.15" hidden="false" customHeight="false" outlineLevel="0" collapsed="false">
      <c r="A97" s="16" t="s">
        <v>1204</v>
      </c>
      <c r="B97" s="21" t="s">
        <v>1205</v>
      </c>
      <c r="C97" s="75" t="n">
        <v>3.5</v>
      </c>
      <c r="D97" s="75" t="n">
        <v>3.6</v>
      </c>
      <c r="E97" s="75" t="n">
        <v>3.6</v>
      </c>
      <c r="F97" s="75" t="n">
        <v>3.6</v>
      </c>
      <c r="G97" s="75" t="n">
        <v>3.7</v>
      </c>
      <c r="H97" s="75" t="n">
        <v>3.7</v>
      </c>
      <c r="I97" s="75" t="n">
        <v>3.8</v>
      </c>
      <c r="J97" s="75" t="n">
        <v>3.7</v>
      </c>
      <c r="K97" s="75" t="n">
        <v>3.6</v>
      </c>
      <c r="L97" s="75" t="n">
        <v>3.6</v>
      </c>
      <c r="M97" s="75" t="n">
        <v>3.7</v>
      </c>
      <c r="N97" s="75" t="n">
        <v>3.7</v>
      </c>
      <c r="O97" s="76" t="n">
        <f aca="false">AVERAGE(C97:N97)</f>
        <v>3.65</v>
      </c>
      <c r="P97" s="77" t="n">
        <f aca="false">MIN(C97:N97)</f>
        <v>3.5</v>
      </c>
      <c r="Q97" s="77" t="n">
        <f aca="false">MAX(C97:N97)</f>
        <v>3.8</v>
      </c>
      <c r="R97" s="77" t="n">
        <f aca="false">Q97-P97</f>
        <v>0.3</v>
      </c>
      <c r="S97" s="73" t="n">
        <f aca="false">RANK(O97,$O$83:$O$98)</f>
        <v>15</v>
      </c>
    </row>
    <row r="98" customFormat="false" ht="15" hidden="false" customHeight="false" outlineLevel="0" collapsed="false">
      <c r="A98" s="16" t="s">
        <v>1206</v>
      </c>
      <c r="B98" s="21" t="s">
        <v>1207</v>
      </c>
      <c r="C98" s="75" t="n">
        <v>5</v>
      </c>
      <c r="D98" s="75" t="n">
        <v>5</v>
      </c>
      <c r="E98" s="75" t="n">
        <v>4.9</v>
      </c>
      <c r="F98" s="75" t="n">
        <v>5</v>
      </c>
      <c r="G98" s="75" t="n">
        <v>5</v>
      </c>
      <c r="H98" s="75" t="n">
        <v>5.1</v>
      </c>
      <c r="I98" s="75" t="n">
        <v>5.1</v>
      </c>
      <c r="J98" s="75" t="n">
        <v>5.1</v>
      </c>
      <c r="K98" s="75" t="n">
        <v>5.1</v>
      </c>
      <c r="L98" s="75" t="n">
        <v>5.3</v>
      </c>
      <c r="M98" s="75" t="n">
        <v>5.2</v>
      </c>
      <c r="N98" s="75" t="n">
        <v>5.2</v>
      </c>
      <c r="O98" s="76" t="n">
        <f aca="false">AVERAGE(C98:N98)</f>
        <v>5.08333333333333</v>
      </c>
      <c r="P98" s="77" t="n">
        <f aca="false">MIN(C98:N98)</f>
        <v>4.9</v>
      </c>
      <c r="Q98" s="77" t="n">
        <f aca="false">MAX(C98:N98)</f>
        <v>5.3</v>
      </c>
      <c r="R98" s="77" t="n">
        <f aca="false">Q98-P98</f>
        <v>0.399999999999999</v>
      </c>
      <c r="S98" s="73" t="n">
        <f aca="false">RANK(O98,$O$83:$O$98)</f>
        <v>7</v>
      </c>
    </row>
    <row r="100" customFormat="false" ht="19.4" hidden="false" customHeight="false" outlineLevel="0" collapsed="false">
      <c r="A100" s="74" t="s">
        <v>1212</v>
      </c>
    </row>
    <row r="101" customFormat="false" ht="45.75" hidden="false" customHeight="true" outlineLevel="0" collapsed="false">
      <c r="A101" s="33" t="s">
        <v>1164</v>
      </c>
      <c r="B101" s="33" t="s">
        <v>1165</v>
      </c>
      <c r="C101" s="62" t="s">
        <v>1166</v>
      </c>
      <c r="D101" s="62" t="s">
        <v>1167</v>
      </c>
      <c r="E101" s="62" t="s">
        <v>1168</v>
      </c>
      <c r="F101" s="62" t="s">
        <v>1169</v>
      </c>
      <c r="G101" s="62" t="s">
        <v>1170</v>
      </c>
      <c r="H101" s="62" t="s">
        <v>1171</v>
      </c>
      <c r="I101" s="62" t="s">
        <v>1172</v>
      </c>
      <c r="J101" s="62" t="s">
        <v>1173</v>
      </c>
      <c r="K101" s="62" t="s">
        <v>1174</v>
      </c>
      <c r="L101" s="62" t="s">
        <v>1175</v>
      </c>
      <c r="M101" s="62" t="s">
        <v>1176</v>
      </c>
      <c r="N101" s="62" t="s">
        <v>1177</v>
      </c>
      <c r="O101" s="33" t="s">
        <v>1178</v>
      </c>
      <c r="P101" s="33" t="s">
        <v>1179</v>
      </c>
      <c r="Q101" s="33" t="s">
        <v>1180</v>
      </c>
      <c r="R101" s="33" t="s">
        <v>1181</v>
      </c>
      <c r="S101" s="62" t="s">
        <v>1182</v>
      </c>
    </row>
    <row r="102" customFormat="false" ht="15" hidden="false" customHeight="false" outlineLevel="0" collapsed="false">
      <c r="A102" s="16" t="s">
        <v>1183</v>
      </c>
      <c r="B102" s="21" t="s">
        <v>390</v>
      </c>
      <c r="C102" s="60" t="n">
        <v>3.54</v>
      </c>
      <c r="D102" s="60" t="n">
        <v>3.56</v>
      </c>
      <c r="E102" s="60" t="n">
        <v>3.55</v>
      </c>
      <c r="F102" s="60" t="n">
        <v>3.59</v>
      </c>
      <c r="G102" s="60" t="n">
        <v>3.58</v>
      </c>
      <c r="H102" s="60" t="n">
        <v>3.58</v>
      </c>
      <c r="I102" s="60" t="n">
        <v>3.59</v>
      </c>
      <c r="J102" s="60" t="n">
        <v>3.63</v>
      </c>
      <c r="K102" s="60" t="n">
        <v>3.6</v>
      </c>
      <c r="L102" s="60" t="n">
        <v>3.55</v>
      </c>
      <c r="M102" s="60" t="n">
        <v>3.47</v>
      </c>
      <c r="N102" s="60" t="n">
        <v>3.47</v>
      </c>
      <c r="O102" s="78" t="n">
        <f aca="false">AVERAGE(C102:N102)</f>
        <v>3.55916666666667</v>
      </c>
      <c r="P102" s="79" t="n">
        <f aca="false">MIN(C102:N102)</f>
        <v>3.47</v>
      </c>
      <c r="Q102" s="79" t="n">
        <f aca="false">MAX(C102:N102)</f>
        <v>3.63</v>
      </c>
      <c r="R102" s="79" t="n">
        <f aca="false">Q102-P102</f>
        <v>0.16</v>
      </c>
      <c r="S102" s="73" t="n">
        <f aca="false">RANK(O102,$O$102:$O$117)</f>
        <v>15</v>
      </c>
    </row>
    <row r="103" customFormat="false" ht="15" hidden="false" customHeight="false" outlineLevel="0" collapsed="false">
      <c r="A103" s="16" t="s">
        <v>1184</v>
      </c>
      <c r="B103" s="21" t="s">
        <v>1185</v>
      </c>
      <c r="C103" s="60" t="n">
        <v>3.65</v>
      </c>
      <c r="D103" s="60" t="n">
        <v>3.68</v>
      </c>
      <c r="E103" s="60" t="n">
        <v>3.67</v>
      </c>
      <c r="F103" s="60" t="n">
        <v>3.76</v>
      </c>
      <c r="G103" s="60" t="n">
        <v>3.76</v>
      </c>
      <c r="H103" s="60" t="n">
        <v>3.76</v>
      </c>
      <c r="I103" s="60" t="n">
        <v>3.75</v>
      </c>
      <c r="J103" s="60" t="n">
        <v>3.73</v>
      </c>
      <c r="K103" s="60" t="n">
        <v>3.74</v>
      </c>
      <c r="L103" s="60" t="n">
        <v>3.66</v>
      </c>
      <c r="M103" s="60" t="n">
        <v>3.6</v>
      </c>
      <c r="N103" s="60" t="n">
        <v>3.62</v>
      </c>
      <c r="O103" s="78" t="n">
        <f aca="false">AVERAGE(C103:N103)</f>
        <v>3.69833333333333</v>
      </c>
      <c r="P103" s="79" t="n">
        <f aca="false">MIN(C103:N103)</f>
        <v>3.6</v>
      </c>
      <c r="Q103" s="79" t="n">
        <f aca="false">MAX(C103:N103)</f>
        <v>3.76</v>
      </c>
      <c r="R103" s="79" t="n">
        <f aca="false">Q103-P103</f>
        <v>0.16</v>
      </c>
      <c r="S103" s="73" t="n">
        <f aca="false">RANK(O103,$O$102:$O$117)</f>
        <v>13</v>
      </c>
    </row>
    <row r="104" customFormat="false" ht="15" hidden="false" customHeight="false" outlineLevel="0" collapsed="false">
      <c r="A104" s="16" t="s">
        <v>1186</v>
      </c>
      <c r="B104" s="21" t="s">
        <v>290</v>
      </c>
      <c r="C104" s="60" t="n">
        <v>3.82</v>
      </c>
      <c r="D104" s="60" t="n">
        <v>3.78</v>
      </c>
      <c r="E104" s="60" t="n">
        <v>3.86</v>
      </c>
      <c r="F104" s="60" t="n">
        <v>3.97</v>
      </c>
      <c r="G104" s="60" t="n">
        <v>4.09</v>
      </c>
      <c r="H104" s="60" t="n">
        <v>4.1</v>
      </c>
      <c r="I104" s="60" t="n">
        <v>4.1</v>
      </c>
      <c r="J104" s="60" t="n">
        <v>4.08</v>
      </c>
      <c r="K104" s="60" t="n">
        <v>4.14</v>
      </c>
      <c r="L104" s="60" t="n">
        <v>4.08</v>
      </c>
      <c r="M104" s="60" t="n">
        <v>3.97</v>
      </c>
      <c r="N104" s="60" t="n">
        <v>3.95</v>
      </c>
      <c r="O104" s="78" t="n">
        <f aca="false">AVERAGE(C104:N104)</f>
        <v>3.995</v>
      </c>
      <c r="P104" s="79" t="n">
        <f aca="false">MIN(C104:N104)</f>
        <v>3.78</v>
      </c>
      <c r="Q104" s="79" t="n">
        <f aca="false">MAX(C104:N104)</f>
        <v>4.14</v>
      </c>
      <c r="R104" s="79" t="n">
        <f aca="false">Q104-P104</f>
        <v>0.36</v>
      </c>
      <c r="S104" s="73" t="n">
        <f aca="false">RANK(O104,$O$102:$O$117)</f>
        <v>9</v>
      </c>
    </row>
    <row r="105" customFormat="false" ht="15" hidden="false" customHeight="false" outlineLevel="0" collapsed="false">
      <c r="A105" s="16" t="s">
        <v>1187</v>
      </c>
      <c r="B105" s="21" t="s">
        <v>1188</v>
      </c>
      <c r="C105" s="60" t="n">
        <v>5.08</v>
      </c>
      <c r="D105" s="60" t="n">
        <v>5.07</v>
      </c>
      <c r="E105" s="60" t="n">
        <v>5</v>
      </c>
      <c r="F105" s="60" t="n">
        <v>5.02</v>
      </c>
      <c r="G105" s="60" t="n">
        <v>5.11</v>
      </c>
      <c r="H105" s="60" t="n">
        <v>5.08</v>
      </c>
      <c r="I105" s="60" t="n">
        <v>5.05</v>
      </c>
      <c r="J105" s="60" t="n">
        <v>5.1</v>
      </c>
      <c r="K105" s="60" t="n">
        <v>5.16</v>
      </c>
      <c r="L105" s="60" t="n">
        <v>5.17</v>
      </c>
      <c r="M105" s="60" t="n">
        <v>5.14</v>
      </c>
      <c r="N105" s="60" t="n">
        <v>5.08</v>
      </c>
      <c r="O105" s="78" t="n">
        <f aca="false">AVERAGE(C105:N105)</f>
        <v>5.08833333333333</v>
      </c>
      <c r="P105" s="79" t="n">
        <f aca="false">MIN(C105:N105)</f>
        <v>5</v>
      </c>
      <c r="Q105" s="79" t="n">
        <f aca="false">MAX(C105:N105)</f>
        <v>5.17</v>
      </c>
      <c r="R105" s="79" t="n">
        <f aca="false">Q105-P105</f>
        <v>0.17</v>
      </c>
      <c r="S105" s="73" t="n">
        <f aca="false">RANK(O105,$O$102:$O$117)</f>
        <v>1</v>
      </c>
    </row>
    <row r="106" customFormat="false" ht="15" hidden="false" customHeight="false" outlineLevel="0" collapsed="false">
      <c r="A106" s="16" t="s">
        <v>1189</v>
      </c>
      <c r="B106" s="21" t="s">
        <v>1190</v>
      </c>
      <c r="C106" s="60" t="n">
        <v>4.78</v>
      </c>
      <c r="D106" s="60" t="n">
        <v>4.89</v>
      </c>
      <c r="E106" s="60" t="n">
        <v>4.86</v>
      </c>
      <c r="F106" s="60" t="n">
        <v>4.83</v>
      </c>
      <c r="G106" s="60" t="n">
        <v>4.83</v>
      </c>
      <c r="H106" s="60" t="n">
        <v>4.83</v>
      </c>
      <c r="I106" s="60" t="n">
        <v>4.87</v>
      </c>
      <c r="J106" s="60" t="n">
        <v>4.89</v>
      </c>
      <c r="K106" s="60" t="n">
        <v>4.88</v>
      </c>
      <c r="L106" s="60" t="n">
        <v>4.9</v>
      </c>
      <c r="M106" s="60" t="n">
        <v>4.85</v>
      </c>
      <c r="N106" s="60" t="n">
        <v>4.91</v>
      </c>
      <c r="O106" s="78" t="n">
        <f aca="false">AVERAGE(C106:N106)</f>
        <v>4.86</v>
      </c>
      <c r="P106" s="79" t="n">
        <f aca="false">MIN(C106:N106)</f>
        <v>4.78</v>
      </c>
      <c r="Q106" s="79" t="n">
        <f aca="false">MAX(C106:N106)</f>
        <v>4.91</v>
      </c>
      <c r="R106" s="79" t="n">
        <f aca="false">Q106-P106</f>
        <v>0.13</v>
      </c>
      <c r="S106" s="73" t="n">
        <f aca="false">RANK(O106,$O$102:$O$117)</f>
        <v>2</v>
      </c>
    </row>
    <row r="107" customFormat="false" ht="15" hidden="false" customHeight="false" outlineLevel="0" collapsed="false">
      <c r="A107" s="16" t="s">
        <v>1191</v>
      </c>
      <c r="B107" s="21" t="s">
        <v>1099</v>
      </c>
      <c r="C107" s="60" t="n">
        <v>4.09</v>
      </c>
      <c r="D107" s="60" t="n">
        <v>4.2</v>
      </c>
      <c r="E107" s="60" t="n">
        <v>4.28</v>
      </c>
      <c r="F107" s="60" t="n">
        <v>4.35</v>
      </c>
      <c r="G107" s="60" t="n">
        <v>4.26</v>
      </c>
      <c r="H107" s="60" t="n">
        <v>4.3</v>
      </c>
      <c r="I107" s="60" t="n">
        <v>4.35</v>
      </c>
      <c r="J107" s="60" t="n">
        <v>4.37</v>
      </c>
      <c r="K107" s="60" t="n">
        <v>4.26</v>
      </c>
      <c r="L107" s="60" t="n">
        <v>4.34</v>
      </c>
      <c r="M107" s="60" t="n">
        <v>4.24</v>
      </c>
      <c r="N107" s="60" t="n">
        <v>4.23</v>
      </c>
      <c r="O107" s="78" t="n">
        <f aca="false">AVERAGE(C107:N107)</f>
        <v>4.2725</v>
      </c>
      <c r="P107" s="79" t="n">
        <f aca="false">MIN(C107:N107)</f>
        <v>4.09</v>
      </c>
      <c r="Q107" s="79" t="n">
        <f aca="false">MAX(C107:N107)</f>
        <v>4.37</v>
      </c>
      <c r="R107" s="79" t="n">
        <f aca="false">Q107-P107</f>
        <v>0.28</v>
      </c>
      <c r="S107" s="73" t="n">
        <f aca="false">RANK(O107,$O$102:$O$117)</f>
        <v>6</v>
      </c>
    </row>
    <row r="108" customFormat="false" ht="15" hidden="false" customHeight="false" outlineLevel="0" collapsed="false">
      <c r="A108" s="16" t="s">
        <v>1192</v>
      </c>
      <c r="B108" s="21" t="s">
        <v>1193</v>
      </c>
      <c r="C108" s="60" t="n">
        <v>3.87</v>
      </c>
      <c r="D108" s="60" t="n">
        <v>3.86</v>
      </c>
      <c r="E108" s="60" t="n">
        <v>3.95</v>
      </c>
      <c r="F108" s="60" t="n">
        <v>4.06</v>
      </c>
      <c r="G108" s="60" t="n">
        <v>4.11</v>
      </c>
      <c r="H108" s="60" t="n">
        <v>4.1</v>
      </c>
      <c r="I108" s="60" t="n">
        <v>4.07</v>
      </c>
      <c r="J108" s="60" t="n">
        <v>4.04</v>
      </c>
      <c r="K108" s="60" t="n">
        <v>4.13</v>
      </c>
      <c r="L108" s="60" t="n">
        <v>4.01</v>
      </c>
      <c r="M108" s="60" t="n">
        <v>3.89</v>
      </c>
      <c r="N108" s="60" t="n">
        <v>3.87</v>
      </c>
      <c r="O108" s="78" t="n">
        <f aca="false">AVERAGE(C108:N108)</f>
        <v>3.99666666666667</v>
      </c>
      <c r="P108" s="79" t="n">
        <f aca="false">MIN(C108:N108)</f>
        <v>3.86</v>
      </c>
      <c r="Q108" s="79" t="n">
        <f aca="false">MAX(C108:N108)</f>
        <v>4.13</v>
      </c>
      <c r="R108" s="79" t="n">
        <f aca="false">Q108-P108</f>
        <v>0.27</v>
      </c>
      <c r="S108" s="73" t="n">
        <f aca="false">RANK(O108,$O$102:$O$117)</f>
        <v>8</v>
      </c>
    </row>
    <row r="109" customFormat="false" ht="15" hidden="false" customHeight="false" outlineLevel="0" collapsed="false">
      <c r="A109" s="16" t="s">
        <v>1194</v>
      </c>
      <c r="B109" s="21" t="s">
        <v>1195</v>
      </c>
      <c r="C109" s="60" t="n">
        <v>2.36</v>
      </c>
      <c r="D109" s="60" t="n">
        <v>2.38</v>
      </c>
      <c r="E109" s="60" t="n">
        <v>2.41</v>
      </c>
      <c r="F109" s="60" t="n">
        <v>2.35</v>
      </c>
      <c r="G109" s="60" t="n">
        <v>2.26</v>
      </c>
      <c r="H109" s="60" t="n">
        <v>2.31</v>
      </c>
      <c r="I109" s="60" t="n">
        <v>2.3</v>
      </c>
      <c r="J109" s="60" t="n">
        <v>2.29</v>
      </c>
      <c r="K109" s="60" t="n">
        <v>2.33</v>
      </c>
      <c r="L109" s="60" t="n">
        <v>2.28</v>
      </c>
      <c r="M109" s="60" t="n">
        <v>2.31</v>
      </c>
      <c r="N109" s="60" t="n">
        <v>2.26</v>
      </c>
      <c r="O109" s="78" t="n">
        <f aca="false">AVERAGE(C109:N109)</f>
        <v>2.32</v>
      </c>
      <c r="P109" s="79" t="n">
        <f aca="false">MIN(C109:N109)</f>
        <v>2.26</v>
      </c>
      <c r="Q109" s="79" t="n">
        <f aca="false">MAX(C109:N109)</f>
        <v>2.41</v>
      </c>
      <c r="R109" s="79" t="n">
        <f aca="false">Q109-P109</f>
        <v>0.15</v>
      </c>
      <c r="S109" s="73" t="n">
        <f aca="false">RANK(O109,$O$102:$O$117)</f>
        <v>16</v>
      </c>
    </row>
    <row r="110" customFormat="false" ht="15" hidden="false" customHeight="false" outlineLevel="0" collapsed="false">
      <c r="A110" s="16" t="s">
        <v>1196</v>
      </c>
      <c r="B110" s="21" t="s">
        <v>105</v>
      </c>
      <c r="C110" s="60" t="n">
        <v>4.59</v>
      </c>
      <c r="D110" s="60" t="n">
        <v>4.69</v>
      </c>
      <c r="E110" s="60" t="n">
        <v>4.74</v>
      </c>
      <c r="F110" s="60" t="n">
        <v>4.78</v>
      </c>
      <c r="G110" s="60" t="n">
        <v>4.82</v>
      </c>
      <c r="H110" s="60" t="n">
        <v>4.77</v>
      </c>
      <c r="I110" s="60" t="n">
        <v>4.76</v>
      </c>
      <c r="J110" s="60" t="n">
        <v>4.77</v>
      </c>
      <c r="K110" s="60" t="n">
        <v>4.9</v>
      </c>
      <c r="L110" s="60" t="n">
        <v>4.9</v>
      </c>
      <c r="M110" s="60" t="n">
        <v>4.79</v>
      </c>
      <c r="N110" s="60" t="n">
        <v>4.8</v>
      </c>
      <c r="O110" s="78" t="n">
        <f aca="false">AVERAGE(C110:N110)</f>
        <v>4.77583333333333</v>
      </c>
      <c r="P110" s="79" t="n">
        <f aca="false">MIN(C110:N110)</f>
        <v>4.59</v>
      </c>
      <c r="Q110" s="79" t="n">
        <f aca="false">MAX(C110:N110)</f>
        <v>4.9</v>
      </c>
      <c r="R110" s="79" t="n">
        <f aca="false">Q110-P110</f>
        <v>0.310000000000001</v>
      </c>
      <c r="S110" s="73" t="n">
        <f aca="false">RANK(O110,$O$102:$O$117)</f>
        <v>3</v>
      </c>
    </row>
    <row r="111" customFormat="false" ht="15" hidden="false" customHeight="false" outlineLevel="0" collapsed="false">
      <c r="A111" s="16" t="s">
        <v>1197</v>
      </c>
      <c r="B111" s="21" t="s">
        <v>1198</v>
      </c>
      <c r="C111" s="60" t="n">
        <v>3.84</v>
      </c>
      <c r="D111" s="60" t="n">
        <v>3.85</v>
      </c>
      <c r="E111" s="60" t="n">
        <v>3.89</v>
      </c>
      <c r="F111" s="60" t="n">
        <v>3.99</v>
      </c>
      <c r="G111" s="60" t="n">
        <v>3.99</v>
      </c>
      <c r="H111" s="60" t="n">
        <v>3.94</v>
      </c>
      <c r="I111" s="60" t="n">
        <v>3.96</v>
      </c>
      <c r="J111" s="60" t="n">
        <v>4.01</v>
      </c>
      <c r="K111" s="60" t="n">
        <v>4.02</v>
      </c>
      <c r="L111" s="60" t="n">
        <v>3.95</v>
      </c>
      <c r="M111" s="60" t="n">
        <v>3.9</v>
      </c>
      <c r="N111" s="60" t="n">
        <v>3.97</v>
      </c>
      <c r="O111" s="78" t="n">
        <f aca="false">AVERAGE(C111:N111)</f>
        <v>3.9425</v>
      </c>
      <c r="P111" s="79" t="n">
        <f aca="false">MIN(C111:N111)</f>
        <v>3.84</v>
      </c>
      <c r="Q111" s="79" t="n">
        <f aca="false">MAX(C111:N111)</f>
        <v>4.02</v>
      </c>
      <c r="R111" s="79" t="n">
        <f aca="false">Q111-P111</f>
        <v>0.18</v>
      </c>
      <c r="S111" s="73" t="n">
        <f aca="false">RANK(O111,$O$102:$O$117)</f>
        <v>10</v>
      </c>
    </row>
    <row r="112" customFormat="false" ht="17.15" hidden="false" customHeight="false" outlineLevel="0" collapsed="false">
      <c r="A112" s="16" t="s">
        <v>1199</v>
      </c>
      <c r="B112" s="21" t="s">
        <v>1200</v>
      </c>
      <c r="C112" s="60" t="n">
        <v>3.97</v>
      </c>
      <c r="D112" s="60" t="n">
        <v>3.97</v>
      </c>
      <c r="E112" s="60" t="n">
        <v>4.02</v>
      </c>
      <c r="F112" s="60" t="n">
        <v>4.09</v>
      </c>
      <c r="G112" s="60" t="n">
        <v>4.06</v>
      </c>
      <c r="H112" s="60" t="n">
        <v>4.08</v>
      </c>
      <c r="I112" s="60" t="n">
        <v>3.99</v>
      </c>
      <c r="J112" s="60" t="n">
        <v>3.99</v>
      </c>
      <c r="K112" s="60" t="n">
        <v>4.04</v>
      </c>
      <c r="L112" s="60" t="n">
        <v>4.02</v>
      </c>
      <c r="M112" s="60" t="n">
        <v>3.95</v>
      </c>
      <c r="N112" s="60" t="n">
        <v>4</v>
      </c>
      <c r="O112" s="78" t="n">
        <f aca="false">AVERAGE(C112:N112)</f>
        <v>4.015</v>
      </c>
      <c r="P112" s="79" t="n">
        <f aca="false">MIN(C112:N112)</f>
        <v>3.95</v>
      </c>
      <c r="Q112" s="79" t="n">
        <f aca="false">MAX(C112:N112)</f>
        <v>4.09</v>
      </c>
      <c r="R112" s="79" t="n">
        <f aca="false">Q112-P112</f>
        <v>0.14</v>
      </c>
      <c r="S112" s="73" t="n">
        <f aca="false">RANK(O112,$O$102:$O$117)</f>
        <v>7</v>
      </c>
    </row>
    <row r="113" customFormat="false" ht="15" hidden="false" customHeight="false" outlineLevel="0" collapsed="false">
      <c r="A113" s="16" t="s">
        <v>1201</v>
      </c>
      <c r="B113" s="21" t="s">
        <v>147</v>
      </c>
      <c r="C113" s="60" t="n">
        <v>3.58</v>
      </c>
      <c r="D113" s="60" t="n">
        <v>3.61</v>
      </c>
      <c r="E113" s="60" t="n">
        <v>3.67</v>
      </c>
      <c r="F113" s="60" t="n">
        <v>3.73</v>
      </c>
      <c r="G113" s="60" t="n">
        <v>3.72</v>
      </c>
      <c r="H113" s="60" t="n">
        <v>3.73</v>
      </c>
      <c r="I113" s="60" t="n">
        <v>3.7</v>
      </c>
      <c r="J113" s="60" t="n">
        <v>3.71</v>
      </c>
      <c r="K113" s="60" t="n">
        <v>3.72</v>
      </c>
      <c r="L113" s="60" t="n">
        <v>3.68</v>
      </c>
      <c r="M113" s="60" t="n">
        <v>3.62</v>
      </c>
      <c r="N113" s="60" t="n">
        <v>3.64</v>
      </c>
      <c r="O113" s="78" t="n">
        <f aca="false">AVERAGE(C113:N113)</f>
        <v>3.67583333333333</v>
      </c>
      <c r="P113" s="79" t="n">
        <f aca="false">MIN(C113:N113)</f>
        <v>3.58</v>
      </c>
      <c r="Q113" s="79" t="n">
        <f aca="false">MAX(C113:N113)</f>
        <v>3.73</v>
      </c>
      <c r="R113" s="79" t="n">
        <f aca="false">Q113-P113</f>
        <v>0.15</v>
      </c>
      <c r="S113" s="73" t="n">
        <f aca="false">RANK(O113,$O$102:$O$117)</f>
        <v>14</v>
      </c>
    </row>
    <row r="114" customFormat="false" ht="15" hidden="false" customHeight="false" outlineLevel="0" collapsed="false">
      <c r="A114" s="16" t="s">
        <v>1202</v>
      </c>
      <c r="B114" s="21" t="s">
        <v>244</v>
      </c>
      <c r="C114" s="60" t="n">
        <v>3.79</v>
      </c>
      <c r="D114" s="60" t="n">
        <v>3.79</v>
      </c>
      <c r="E114" s="60" t="n">
        <v>3.81</v>
      </c>
      <c r="F114" s="60" t="n">
        <v>3.84</v>
      </c>
      <c r="G114" s="60" t="n">
        <v>3.79</v>
      </c>
      <c r="H114" s="60" t="n">
        <v>3.77</v>
      </c>
      <c r="I114" s="60" t="n">
        <v>3.85</v>
      </c>
      <c r="J114" s="60" t="n">
        <v>3.85</v>
      </c>
      <c r="K114" s="60" t="n">
        <v>3.86</v>
      </c>
      <c r="L114" s="60" t="n">
        <v>3.83</v>
      </c>
      <c r="M114" s="60" t="n">
        <v>3.74</v>
      </c>
      <c r="N114" s="60" t="n">
        <v>3.78</v>
      </c>
      <c r="O114" s="78" t="n">
        <f aca="false">AVERAGE(C114:N114)</f>
        <v>3.80833333333333</v>
      </c>
      <c r="P114" s="79" t="n">
        <f aca="false">MIN(C114:N114)</f>
        <v>3.74</v>
      </c>
      <c r="Q114" s="79" t="n">
        <f aca="false">MAX(C114:N114)</f>
        <v>3.86</v>
      </c>
      <c r="R114" s="79" t="n">
        <f aca="false">Q114-P114</f>
        <v>0.12</v>
      </c>
      <c r="S114" s="73" t="n">
        <f aca="false">RANK(O114,$O$102:$O$117)</f>
        <v>12</v>
      </c>
    </row>
    <row r="115" customFormat="false" ht="15" hidden="false" customHeight="false" outlineLevel="0" collapsed="false">
      <c r="A115" s="16" t="s">
        <v>1203</v>
      </c>
      <c r="B115" s="21" t="s">
        <v>165</v>
      </c>
      <c r="C115" s="60" t="n">
        <v>4.24</v>
      </c>
      <c r="D115" s="60" t="n">
        <v>4.21</v>
      </c>
      <c r="E115" s="60" t="n">
        <v>4.23</v>
      </c>
      <c r="F115" s="60" t="n">
        <v>4.27</v>
      </c>
      <c r="G115" s="60" t="n">
        <v>4.32</v>
      </c>
      <c r="H115" s="60" t="n">
        <v>4.3</v>
      </c>
      <c r="I115" s="60" t="n">
        <v>4.31</v>
      </c>
      <c r="J115" s="60" t="n">
        <v>4.35</v>
      </c>
      <c r="K115" s="60" t="n">
        <v>4.34</v>
      </c>
      <c r="L115" s="60" t="n">
        <v>4.35</v>
      </c>
      <c r="M115" s="60" t="n">
        <v>4.28</v>
      </c>
      <c r="N115" s="60" t="n">
        <v>4.36</v>
      </c>
      <c r="O115" s="78" t="n">
        <f aca="false">AVERAGE(C115:N115)</f>
        <v>4.29666666666667</v>
      </c>
      <c r="P115" s="79" t="n">
        <f aca="false">MIN(C115:N115)</f>
        <v>4.21</v>
      </c>
      <c r="Q115" s="79" t="n">
        <f aca="false">MAX(C115:N115)</f>
        <v>4.36</v>
      </c>
      <c r="R115" s="79" t="n">
        <f aca="false">Q115-P115</f>
        <v>0.15</v>
      </c>
      <c r="S115" s="73" t="n">
        <f aca="false">RANK(O115,$O$102:$O$117)</f>
        <v>5</v>
      </c>
    </row>
    <row r="116" customFormat="false" ht="17.15" hidden="false" customHeight="false" outlineLevel="0" collapsed="false">
      <c r="A116" s="16" t="s">
        <v>1204</v>
      </c>
      <c r="B116" s="21" t="s">
        <v>1205</v>
      </c>
      <c r="C116" s="60" t="n">
        <v>3.78</v>
      </c>
      <c r="D116" s="60" t="n">
        <v>3.79</v>
      </c>
      <c r="E116" s="60" t="n">
        <v>3.72</v>
      </c>
      <c r="F116" s="60" t="n">
        <v>3.8</v>
      </c>
      <c r="G116" s="60" t="n">
        <v>3.8</v>
      </c>
      <c r="H116" s="60" t="n">
        <v>3.81</v>
      </c>
      <c r="I116" s="60" t="n">
        <v>3.92</v>
      </c>
      <c r="J116" s="60" t="n">
        <v>3.94</v>
      </c>
      <c r="K116" s="60" t="n">
        <v>3.93</v>
      </c>
      <c r="L116" s="60" t="n">
        <v>3.9</v>
      </c>
      <c r="M116" s="60" t="n">
        <v>3.84</v>
      </c>
      <c r="N116" s="60" t="n">
        <v>3.86</v>
      </c>
      <c r="O116" s="78" t="n">
        <f aca="false">AVERAGE(C116:N116)</f>
        <v>3.84083333333333</v>
      </c>
      <c r="P116" s="79" t="n">
        <f aca="false">MIN(C116:N116)</f>
        <v>3.72</v>
      </c>
      <c r="Q116" s="79" t="n">
        <f aca="false">MAX(C116:N116)</f>
        <v>3.94</v>
      </c>
      <c r="R116" s="79" t="n">
        <f aca="false">Q116-P116</f>
        <v>0.22</v>
      </c>
      <c r="S116" s="73" t="n">
        <f aca="false">RANK(O116,$O$102:$O$117)</f>
        <v>11</v>
      </c>
    </row>
    <row r="117" customFormat="false" ht="15" hidden="false" customHeight="false" outlineLevel="0" collapsed="false">
      <c r="A117" s="16" t="s">
        <v>1206</v>
      </c>
      <c r="B117" s="21" t="s">
        <v>1207</v>
      </c>
      <c r="C117" s="60" t="n">
        <v>4.36</v>
      </c>
      <c r="D117" s="60" t="n">
        <v>4.36</v>
      </c>
      <c r="E117" s="60" t="n">
        <v>4.38</v>
      </c>
      <c r="F117" s="60" t="n">
        <v>4.42</v>
      </c>
      <c r="G117" s="60" t="n">
        <v>4.37</v>
      </c>
      <c r="H117" s="60" t="n">
        <v>4.35</v>
      </c>
      <c r="I117" s="60" t="n">
        <v>4.31</v>
      </c>
      <c r="J117" s="60" t="n">
        <v>4.22</v>
      </c>
      <c r="K117" s="60" t="n">
        <v>4.26</v>
      </c>
      <c r="L117" s="60" t="n">
        <v>4.24</v>
      </c>
      <c r="M117" s="60" t="n">
        <v>4.27</v>
      </c>
      <c r="N117" s="60" t="n">
        <v>4.33</v>
      </c>
      <c r="O117" s="78" t="n">
        <f aca="false">AVERAGE(C117:N117)</f>
        <v>4.3225</v>
      </c>
      <c r="P117" s="79" t="n">
        <f aca="false">MIN(C117:N117)</f>
        <v>4.22</v>
      </c>
      <c r="Q117" s="79" t="n">
        <f aca="false">MAX(C117:N117)</f>
        <v>4.42</v>
      </c>
      <c r="R117" s="79" t="n">
        <f aca="false">Q117-P117</f>
        <v>0.2</v>
      </c>
      <c r="S117" s="73" t="n">
        <f aca="false">RANK(O117,$O$102:$O$117)</f>
        <v>4</v>
      </c>
    </row>
    <row r="119" customFormat="false" ht="17.15" hidden="false" customHeight="false" outlineLevel="0" collapsed="false">
      <c r="A119" s="41" t="s">
        <v>1213</v>
      </c>
    </row>
    <row r="120" customFormat="false" ht="17.15" hidden="false" customHeight="false" outlineLevel="0" collapsed="false">
      <c r="A120" s="40" t="s">
        <v>1214</v>
      </c>
    </row>
    <row r="121" customFormat="false" ht="17.15" hidden="false" customHeight="false" outlineLevel="0" collapsed="false">
      <c r="A121" s="40" t="s">
        <v>1215</v>
      </c>
    </row>
    <row r="122" customFormat="false" ht="17.15" hidden="false" customHeight="false" outlineLevel="0" collapsed="false">
      <c r="A122" s="41" t="s">
        <v>1216</v>
      </c>
    </row>
    <row r="123" customFormat="false" ht="17.15" hidden="false" customHeight="false" outlineLevel="0" collapsed="false">
      <c r="A123" s="40" t="s">
        <v>1217</v>
      </c>
    </row>
  </sheetData>
  <conditionalFormatting sqref="C7:N22">
    <cfRule type="colorScale" priority="2">
      <colorScale>
        <cfvo type="min" val="0"/>
        <cfvo type="max" val="0"/>
        <color rgb="FFF2F2F2"/>
        <color rgb="FF8EA9DB"/>
      </colorScale>
    </cfRule>
  </conditionalFormatting>
  <conditionalFormatting sqref="O7:O22">
    <cfRule type="colorScale" priority="3">
      <colorScale>
        <cfvo type="min" val="0"/>
        <cfvo type="max" val="0"/>
        <color rgb="FFF2F2F2"/>
        <color rgb="FF8EA9DB"/>
      </colorScale>
    </cfRule>
  </conditionalFormatting>
  <conditionalFormatting sqref="C26:N41">
    <cfRule type="colorScale" priority="4">
      <colorScale>
        <cfvo type="min" val="0"/>
        <cfvo type="max" val="0"/>
        <color rgb="FFF2F2F2"/>
        <color rgb="FF8EA9DB"/>
      </colorScale>
    </cfRule>
  </conditionalFormatting>
  <conditionalFormatting sqref="O26:O41">
    <cfRule type="colorScale" priority="5">
      <colorScale>
        <cfvo type="min" val="0"/>
        <cfvo type="max" val="0"/>
        <color rgb="FFF2F2F2"/>
        <color rgb="FF8EA9DB"/>
      </colorScale>
    </cfRule>
  </conditionalFormatting>
  <conditionalFormatting sqref="C45:N60">
    <cfRule type="colorScale" priority="6">
      <colorScale>
        <cfvo type="min" val="0"/>
        <cfvo type="max" val="0"/>
        <color rgb="FFF2F2F2"/>
        <color rgb="FF8EA9DB"/>
      </colorScale>
    </cfRule>
  </conditionalFormatting>
  <conditionalFormatting sqref="O45:O60">
    <cfRule type="colorScale" priority="7">
      <colorScale>
        <cfvo type="min" val="0"/>
        <cfvo type="max" val="0"/>
        <color rgb="FFF2F2F2"/>
        <color rgb="FF8EA9DB"/>
      </colorScale>
    </cfRule>
  </conditionalFormatting>
  <conditionalFormatting sqref="C64:N79">
    <cfRule type="colorScale" priority="8">
      <colorScale>
        <cfvo type="min" val="0"/>
        <cfvo type="max" val="0"/>
        <color rgb="FFF2F2F2"/>
        <color rgb="FF8EA9DB"/>
      </colorScale>
    </cfRule>
  </conditionalFormatting>
  <conditionalFormatting sqref="O64:O79">
    <cfRule type="colorScale" priority="9">
      <colorScale>
        <cfvo type="min" val="0"/>
        <cfvo type="max" val="0"/>
        <color rgb="FFF2F2F2"/>
        <color rgb="FF8EA9DB"/>
      </colorScale>
    </cfRule>
  </conditionalFormatting>
  <conditionalFormatting sqref="C83:N98">
    <cfRule type="colorScale" priority="10">
      <colorScale>
        <cfvo type="min" val="0"/>
        <cfvo type="max" val="0"/>
        <color rgb="FFF2F2F2"/>
        <color rgb="FF8EA9DB"/>
      </colorScale>
    </cfRule>
  </conditionalFormatting>
  <conditionalFormatting sqref="O83:O98">
    <cfRule type="colorScale" priority="11">
      <colorScale>
        <cfvo type="min" val="0"/>
        <cfvo type="max" val="0"/>
        <color rgb="FFF2F2F2"/>
        <color rgb="FF8EA9DB"/>
      </colorScale>
    </cfRule>
  </conditionalFormatting>
  <conditionalFormatting sqref="C102:N117">
    <cfRule type="colorScale" priority="12">
      <colorScale>
        <cfvo type="min" val="0"/>
        <cfvo type="max" val="0"/>
        <color rgb="FFF2F2F2"/>
        <color rgb="FF8EA9DB"/>
      </colorScale>
    </cfRule>
  </conditionalFormatting>
  <conditionalFormatting sqref="O102:O117">
    <cfRule type="colorScale" priority="13">
      <colorScale>
        <cfvo type="min" val="0"/>
        <cfvo type="max" val="0"/>
        <color rgb="FFF2F2F2"/>
        <color rgb="FF8EA9D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0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2" min="12" style="0" width="6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52"/>
    <col collapsed="false" customWidth="true" hidden="false" outlineLevel="0" max="16" min="16" style="0" width="44"/>
  </cols>
  <sheetData>
    <row r="1" customFormat="false" ht="20.1" hidden="false" customHeight="false" outlineLevel="0" collapsed="false">
      <c r="A1" s="80" t="s">
        <v>1218</v>
      </c>
    </row>
    <row r="2" customFormat="false" ht="17.15" hidden="false" customHeight="false" outlineLevel="0" collapsed="false">
      <c r="A2" s="70" t="s">
        <v>1219</v>
      </c>
    </row>
    <row r="4" customFormat="false" ht="36" hidden="false" customHeight="true" outlineLevel="0" collapsed="false">
      <c r="A4" s="33" t="s">
        <v>493</v>
      </c>
      <c r="B4" s="33" t="s">
        <v>1165</v>
      </c>
      <c r="C4" s="62" t="s">
        <v>1220</v>
      </c>
      <c r="D4" s="33" t="s">
        <v>98</v>
      </c>
      <c r="E4" s="62" t="s">
        <v>1221</v>
      </c>
      <c r="F4" s="33" t="s">
        <v>98</v>
      </c>
      <c r="G4" s="62" t="s">
        <v>1222</v>
      </c>
      <c r="H4" s="33" t="s">
        <v>98</v>
      </c>
      <c r="I4" s="33" t="s">
        <v>1223</v>
      </c>
      <c r="J4" s="33" t="s">
        <v>98</v>
      </c>
      <c r="K4" s="33" t="s">
        <v>1224</v>
      </c>
      <c r="L4" s="33" t="s">
        <v>98</v>
      </c>
      <c r="M4" s="33" t="s">
        <v>854</v>
      </c>
      <c r="N4" s="33" t="s">
        <v>98</v>
      </c>
      <c r="O4" s="33" t="s">
        <v>1225</v>
      </c>
      <c r="P4" s="33" t="s">
        <v>1226</v>
      </c>
    </row>
    <row r="5" customFormat="false" ht="17.15" hidden="false" customHeight="false" outlineLevel="0" collapsed="false">
      <c r="A5" s="16" t="s">
        <v>1183</v>
      </c>
      <c r="B5" s="21" t="s">
        <v>390</v>
      </c>
      <c r="C5" s="47" t="n">
        <f aca="false">'4-3 장르 차트 판독값'!O7</f>
        <v>0.183533333333333</v>
      </c>
      <c r="D5" s="73" t="n">
        <f aca="false">'4-3 장르 차트 판독값'!S7</f>
        <v>10</v>
      </c>
      <c r="E5" s="47" t="n">
        <f aca="false">'4-3 장르 차트 판독값'!O26</f>
        <v>0.029125</v>
      </c>
      <c r="F5" s="73" t="n">
        <f aca="false">'4-3 장르 차트 판독값'!S26</f>
        <v>12</v>
      </c>
      <c r="G5" s="47" t="n">
        <f aca="false">'4-3 장르 차트 판독값'!O45</f>
        <v>0.00633333333333333</v>
      </c>
      <c r="H5" s="73" t="n">
        <f aca="false">'4-3 장르 차트 판독값'!S45</f>
        <v>12</v>
      </c>
      <c r="I5" s="77" t="n">
        <f aca="false">'4-3 장르 차트 판독값'!O64</f>
        <v>14.0833333333333</v>
      </c>
      <c r="J5" s="73" t="n">
        <f aca="false">'4-3 장르 차트 판독값'!S64</f>
        <v>13</v>
      </c>
      <c r="K5" s="77" t="n">
        <f aca="false">'4-3 장르 차트 판독값'!O83</f>
        <v>3.85833333333333</v>
      </c>
      <c r="L5" s="73" t="n">
        <f aca="false">'4-3 장르 차트 판독값'!S83</f>
        <v>12</v>
      </c>
      <c r="M5" s="79" t="n">
        <f aca="false">'4-3 장르 차트 판독값'!O102</f>
        <v>3.55916666666667</v>
      </c>
      <c r="N5" s="73" t="n">
        <f aca="false">'4-3 장르 차트 판독값'!S102</f>
        <v>15</v>
      </c>
      <c r="O5" s="21" t="str">
        <f aca="false">"다음날 "&amp;TEXT(C5*100,"0.0")&amp;"명 → 1주 뒤 "&amp;TEXT(E5*100,"0.0")&amp;"명 → 4주 뒤 "&amp;TEXT(G5*100,"0.0")&amp;"명이 다시 옴"</f>
        <v>다음날 18.4명 → 1주 뒤 2.9명 → 4주 뒤 0.6명이 다시 옴</v>
      </c>
      <c r="P5" s="21" t="str">
        <f aca="false">"하루 "&amp;TEXT(M5,"0.0")&amp;"번 켜고, 한 번에 "&amp;TEXT(K5,"0.0")&amp;"분, 하루 합계 약 "&amp;TEXT(I5,"0")&amp;"분"</f>
        <v>하루 3.6번 켜고, 한 번에 3.9분, 하루 합계 약 14분</v>
      </c>
    </row>
    <row r="6" customFormat="false" ht="17.15" hidden="false" customHeight="false" outlineLevel="0" collapsed="false">
      <c r="A6" s="16" t="s">
        <v>1184</v>
      </c>
      <c r="B6" s="21" t="s">
        <v>1185</v>
      </c>
      <c r="C6" s="47" t="n">
        <f aca="false">'4-3 장르 차트 판독값'!O8</f>
        <v>0.160516666666667</v>
      </c>
      <c r="D6" s="73" t="n">
        <f aca="false">'4-3 장르 차트 판독값'!S8</f>
        <v>14</v>
      </c>
      <c r="E6" s="47" t="n">
        <f aca="false">'4-3 장르 차트 판독값'!O27</f>
        <v>0.0228166666666667</v>
      </c>
      <c r="F6" s="73" t="n">
        <f aca="false">'4-3 장르 차트 판독값'!S27</f>
        <v>14</v>
      </c>
      <c r="G6" s="47" t="n">
        <f aca="false">'4-3 장르 차트 판독값'!O46</f>
        <v>0.00481666666666667</v>
      </c>
      <c r="H6" s="73" t="n">
        <f aca="false">'4-3 장르 차트 판독값'!S46</f>
        <v>14</v>
      </c>
      <c r="I6" s="77" t="n">
        <f aca="false">'4-3 장르 차트 판독값'!O65</f>
        <v>16.4</v>
      </c>
      <c r="J6" s="73" t="n">
        <f aca="false">'4-3 장르 차트 판독값'!S65</f>
        <v>8</v>
      </c>
      <c r="K6" s="77" t="n">
        <f aca="false">'4-3 장르 차트 판독값'!O84</f>
        <v>4.60833333333333</v>
      </c>
      <c r="L6" s="73" t="n">
        <f aca="false">'4-3 장르 차트 판독값'!S84</f>
        <v>8</v>
      </c>
      <c r="M6" s="79" t="n">
        <f aca="false">'4-3 장르 차트 판독값'!O103</f>
        <v>3.69833333333333</v>
      </c>
      <c r="N6" s="73" t="n">
        <f aca="false">'4-3 장르 차트 판독값'!S103</f>
        <v>13</v>
      </c>
      <c r="O6" s="21" t="str">
        <f aca="false">"다음날 "&amp;TEXT(C6*100,"0.0")&amp;"명 → 1주 뒤 "&amp;TEXT(E6*100,"0.0")&amp;"명 → 4주 뒤 "&amp;TEXT(G6*100,"0.0")&amp;"명이 다시 옴"</f>
        <v>다음날 16.1명 → 1주 뒤 2.3명 → 4주 뒤 0.5명이 다시 옴</v>
      </c>
      <c r="P6" s="21" t="str">
        <f aca="false">"하루 "&amp;TEXT(M6,"0.0")&amp;"번 켜고, 한 번에 "&amp;TEXT(K6,"0.0")&amp;"분, 하루 합계 약 "&amp;TEXT(I6,"0")&amp;"분"</f>
        <v>하루 3.7번 켜고, 한 번에 4.6분, 하루 합계 약 16분</v>
      </c>
    </row>
    <row r="7" customFormat="false" ht="17.15" hidden="false" customHeight="false" outlineLevel="0" collapsed="false">
      <c r="A7" s="16" t="s">
        <v>1186</v>
      </c>
      <c r="B7" s="21" t="s">
        <v>290</v>
      </c>
      <c r="C7" s="47" t="n">
        <f aca="false">'4-3 장르 차트 판독값'!O9</f>
        <v>0.222433333333333</v>
      </c>
      <c r="D7" s="73" t="n">
        <f aca="false">'4-3 장르 차트 판독값'!S9</f>
        <v>1</v>
      </c>
      <c r="E7" s="47" t="n">
        <f aca="false">'4-3 장르 차트 판독값'!O28</f>
        <v>0.0417333333333333</v>
      </c>
      <c r="F7" s="73" t="n">
        <f aca="false">'4-3 장르 차트 판독값'!S28</f>
        <v>6</v>
      </c>
      <c r="G7" s="47" t="n">
        <f aca="false">'4-3 장르 차트 판독값'!O47</f>
        <v>0.009775</v>
      </c>
      <c r="H7" s="73" t="n">
        <f aca="false">'4-3 장르 차트 판독값'!S47</f>
        <v>6</v>
      </c>
      <c r="I7" s="77" t="n">
        <f aca="false">'4-3 장르 차트 판독값'!O66</f>
        <v>12.8416666666667</v>
      </c>
      <c r="J7" s="73" t="n">
        <f aca="false">'4-3 장르 차트 판독값'!S66</f>
        <v>16</v>
      </c>
      <c r="K7" s="77" t="n">
        <f aca="false">'4-3 장르 차트 판독값'!O85</f>
        <v>3.31666666666667</v>
      </c>
      <c r="L7" s="73" t="n">
        <f aca="false">'4-3 장르 차트 판독값'!S85</f>
        <v>16</v>
      </c>
      <c r="M7" s="79" t="n">
        <f aca="false">'4-3 장르 차트 판독값'!O104</f>
        <v>3.995</v>
      </c>
      <c r="N7" s="73" t="n">
        <f aca="false">'4-3 장르 차트 판독값'!S104</f>
        <v>9</v>
      </c>
      <c r="O7" s="21" t="str">
        <f aca="false">"다음날 "&amp;TEXT(C7*100,"0.0")&amp;"명 → 1주 뒤 "&amp;TEXT(E7*100,"0.0")&amp;"명 → 4주 뒤 "&amp;TEXT(G7*100,"0.0")&amp;"명이 다시 옴"</f>
        <v>다음날 22.2명 → 1주 뒤 4.2명 → 4주 뒤 1.0명이 다시 옴</v>
      </c>
      <c r="P7" s="21" t="str">
        <f aca="false">"하루 "&amp;TEXT(M7,"0.0")&amp;"번 켜고, 한 번에 "&amp;TEXT(K7,"0.0")&amp;"분, 하루 합계 약 "&amp;TEXT(I7,"0")&amp;"분"</f>
        <v>하루 4.0번 켜고, 한 번에 3.3분, 하루 합계 약 13분</v>
      </c>
    </row>
    <row r="8" customFormat="false" ht="17.15" hidden="false" customHeight="false" outlineLevel="0" collapsed="false">
      <c r="A8" s="16" t="s">
        <v>1187</v>
      </c>
      <c r="B8" s="21" t="s">
        <v>1188</v>
      </c>
      <c r="C8" s="47" t="n">
        <f aca="false">'4-3 장르 차트 판독값'!O10</f>
        <v>0.190991666666667</v>
      </c>
      <c r="D8" s="73" t="n">
        <f aca="false">'4-3 장르 차트 판독값'!S10</f>
        <v>7</v>
      </c>
      <c r="E8" s="47" t="n">
        <f aca="false">'4-3 장르 차트 판독값'!O29</f>
        <v>0.0582833333333333</v>
      </c>
      <c r="F8" s="73" t="n">
        <f aca="false">'4-3 장르 차트 판독값'!S29</f>
        <v>2</v>
      </c>
      <c r="G8" s="47" t="n">
        <f aca="false">'4-3 장르 차트 판독값'!O48</f>
        <v>0.0217166666666667</v>
      </c>
      <c r="H8" s="73" t="n">
        <f aca="false">'4-3 장르 차트 판독값'!S48</f>
        <v>2</v>
      </c>
      <c r="I8" s="77" t="n">
        <f aca="false">'4-3 장르 차트 판독값'!O67</f>
        <v>41.0583333333333</v>
      </c>
      <c r="J8" s="73" t="n">
        <f aca="false">'4-3 장르 차트 판독값'!S67</f>
        <v>2</v>
      </c>
      <c r="K8" s="77" t="n">
        <f aca="false">'4-3 장르 차트 판독값'!O86</f>
        <v>7.29166666666667</v>
      </c>
      <c r="L8" s="73" t="n">
        <f aca="false">'4-3 장르 차트 판독값'!S86</f>
        <v>4</v>
      </c>
      <c r="M8" s="79" t="n">
        <f aca="false">'4-3 장르 차트 판독값'!O105</f>
        <v>5.08833333333333</v>
      </c>
      <c r="N8" s="73" t="n">
        <f aca="false">'4-3 장르 차트 판독값'!S105</f>
        <v>1</v>
      </c>
      <c r="O8" s="21" t="str">
        <f aca="false">"다음날 "&amp;TEXT(C8*100,"0.0")&amp;"명 → 1주 뒤 "&amp;TEXT(E8*100,"0.0")&amp;"명 → 4주 뒤 "&amp;TEXT(G8*100,"0.0")&amp;"명이 다시 옴"</f>
        <v>다음날 19.1명 → 1주 뒤 5.8명 → 4주 뒤 2.2명이 다시 옴</v>
      </c>
      <c r="P8" s="21" t="str">
        <f aca="false">"하루 "&amp;TEXT(M8,"0.0")&amp;"번 켜고, 한 번에 "&amp;TEXT(K8,"0.0")&amp;"분, 하루 합계 약 "&amp;TEXT(I8,"0")&amp;"분"</f>
        <v>하루 5.1번 켜고, 한 번에 7.3분, 하루 합계 약 41분</v>
      </c>
    </row>
    <row r="9" customFormat="false" ht="17.15" hidden="false" customHeight="false" outlineLevel="0" collapsed="false">
      <c r="A9" s="16" t="s">
        <v>1189</v>
      </c>
      <c r="B9" s="21" t="s">
        <v>1190</v>
      </c>
      <c r="C9" s="47" t="n">
        <f aca="false">'4-3 장르 차트 판독값'!O11</f>
        <v>0.188383333333333</v>
      </c>
      <c r="D9" s="73" t="n">
        <f aca="false">'4-3 장르 차트 판독값'!S11</f>
        <v>8</v>
      </c>
      <c r="E9" s="47" t="n">
        <f aca="false">'4-3 장르 차트 판독값'!O30</f>
        <v>0.0672</v>
      </c>
      <c r="F9" s="73" t="n">
        <f aca="false">'4-3 장르 차트 판독값'!S30</f>
        <v>1</v>
      </c>
      <c r="G9" s="47" t="n">
        <f aca="false">'4-3 장르 차트 판독값'!O49</f>
        <v>0.03</v>
      </c>
      <c r="H9" s="73" t="n">
        <f aca="false">'4-3 장르 차트 판독값'!S49</f>
        <v>1</v>
      </c>
      <c r="I9" s="77" t="n">
        <f aca="false">'4-3 장르 차트 판독값'!O68</f>
        <v>48.525</v>
      </c>
      <c r="J9" s="73" t="n">
        <f aca="false">'4-3 장르 차트 판독값'!S68</f>
        <v>1</v>
      </c>
      <c r="K9" s="77" t="n">
        <f aca="false">'4-3 장르 차트 판독값'!O87</f>
        <v>8.30833333333333</v>
      </c>
      <c r="L9" s="73" t="n">
        <f aca="false">'4-3 장르 차트 판독값'!S87</f>
        <v>2</v>
      </c>
      <c r="M9" s="79" t="n">
        <f aca="false">'4-3 장르 차트 판독값'!O106</f>
        <v>4.86</v>
      </c>
      <c r="N9" s="73" t="n">
        <f aca="false">'4-3 장르 차트 판독값'!S106</f>
        <v>2</v>
      </c>
      <c r="O9" s="21" t="str">
        <f aca="false">"다음날 "&amp;TEXT(C9*100,"0.0")&amp;"명 → 1주 뒤 "&amp;TEXT(E9*100,"0.0")&amp;"명 → 4주 뒤 "&amp;TEXT(G9*100,"0.0")&amp;"명이 다시 옴"</f>
        <v>다음날 18.8명 → 1주 뒤 6.7명 → 4주 뒤 3.0명이 다시 옴</v>
      </c>
      <c r="P9" s="21" t="str">
        <f aca="false">"하루 "&amp;TEXT(M9,"0.0")&amp;"번 켜고, 한 번에 "&amp;TEXT(K9,"0.0")&amp;"분, 하루 합계 약 "&amp;TEXT(I9,"0")&amp;"분"</f>
        <v>하루 4.9번 켜고, 한 번에 8.3분, 하루 합계 약 49분</v>
      </c>
    </row>
    <row r="10" customFormat="false" ht="17.15" hidden="false" customHeight="false" outlineLevel="0" collapsed="false">
      <c r="A10" s="16" t="s">
        <v>1191</v>
      </c>
      <c r="B10" s="21" t="s">
        <v>1099</v>
      </c>
      <c r="C10" s="47" t="n">
        <f aca="false">'4-3 장르 차트 판독값'!O12</f>
        <v>0.193825</v>
      </c>
      <c r="D10" s="73" t="n">
        <f aca="false">'4-3 장르 차트 판독값'!S12</f>
        <v>5</v>
      </c>
      <c r="E10" s="47" t="n">
        <f aca="false">'4-3 장르 차트 판독값'!O31</f>
        <v>0.05505</v>
      </c>
      <c r="F10" s="73" t="n">
        <f aca="false">'4-3 장르 차트 판독값'!S31</f>
        <v>3</v>
      </c>
      <c r="G10" s="47" t="n">
        <f aca="false">'4-3 장르 차트 판독값'!O50</f>
        <v>0.0192083333333333</v>
      </c>
      <c r="H10" s="73" t="n">
        <f aca="false">'4-3 장르 차트 판독값'!S50</f>
        <v>3</v>
      </c>
      <c r="I10" s="77" t="n">
        <f aca="false">'4-3 장르 차트 판독값'!O69</f>
        <v>35.35</v>
      </c>
      <c r="J10" s="73" t="n">
        <f aca="false">'4-3 장르 차트 판독값'!S69</f>
        <v>3</v>
      </c>
      <c r="K10" s="77" t="n">
        <f aca="false">'4-3 장르 차트 판독값'!O88</f>
        <v>7.3</v>
      </c>
      <c r="L10" s="73" t="n">
        <f aca="false">'4-3 장르 차트 판독값'!S88</f>
        <v>3</v>
      </c>
      <c r="M10" s="79" t="n">
        <f aca="false">'4-3 장르 차트 판독값'!O107</f>
        <v>4.2725</v>
      </c>
      <c r="N10" s="73" t="n">
        <f aca="false">'4-3 장르 차트 판독값'!S107</f>
        <v>6</v>
      </c>
      <c r="O10" s="21" t="str">
        <f aca="false">"다음날 "&amp;TEXT(C10*100,"0.0")&amp;"명 → 1주 뒤 "&amp;TEXT(E10*100,"0.0")&amp;"명 → 4주 뒤 "&amp;TEXT(G10*100,"0.0")&amp;"명이 다시 옴"</f>
        <v>다음날 19.4명 → 1주 뒤 5.5명 → 4주 뒤 1.9명이 다시 옴</v>
      </c>
      <c r="P10" s="21" t="str">
        <f aca="false">"하루 "&amp;TEXT(M10,"0.0")&amp;"번 켜고, 한 번에 "&amp;TEXT(K10,"0.0")&amp;"분, 하루 합계 약 "&amp;TEXT(I10,"0")&amp;"분"</f>
        <v>하루 4.3번 켜고, 한 번에 7.3분, 하루 합계 약 35분</v>
      </c>
    </row>
    <row r="11" customFormat="false" ht="17.15" hidden="false" customHeight="false" outlineLevel="0" collapsed="false">
      <c r="A11" s="16" t="s">
        <v>1192</v>
      </c>
      <c r="B11" s="21" t="s">
        <v>1193</v>
      </c>
      <c r="C11" s="47" t="n">
        <f aca="false">'4-3 장르 차트 판독값'!O13</f>
        <v>0.2065</v>
      </c>
      <c r="D11" s="73" t="n">
        <f aca="false">'4-3 장르 차트 판독값'!S13</f>
        <v>2</v>
      </c>
      <c r="E11" s="47" t="n">
        <f aca="false">'4-3 장르 차트 판독값'!O32</f>
        <v>0.0331833333333333</v>
      </c>
      <c r="F11" s="73" t="n">
        <f aca="false">'4-3 장르 차트 판독값'!S32</f>
        <v>9</v>
      </c>
      <c r="G11" s="47" t="n">
        <f aca="false">'4-3 장르 차트 판독값'!O51</f>
        <v>0.00706666666666667</v>
      </c>
      <c r="H11" s="73" t="n">
        <f aca="false">'4-3 장르 차트 판독값'!S51</f>
        <v>10</v>
      </c>
      <c r="I11" s="77" t="n">
        <f aca="false">'4-3 장르 차트 판독값'!O70</f>
        <v>13.6416666666667</v>
      </c>
      <c r="J11" s="73" t="n">
        <f aca="false">'4-3 장르 차트 판독값'!S70</f>
        <v>15</v>
      </c>
      <c r="K11" s="77" t="n">
        <f aca="false">'4-3 장르 차트 판독값'!O89</f>
        <v>3.675</v>
      </c>
      <c r="L11" s="73" t="n">
        <f aca="false">'4-3 장르 차트 판독값'!S89</f>
        <v>14</v>
      </c>
      <c r="M11" s="79" t="n">
        <f aca="false">'4-3 장르 차트 판독값'!O108</f>
        <v>3.99666666666667</v>
      </c>
      <c r="N11" s="73" t="n">
        <f aca="false">'4-3 장르 차트 판독값'!S108</f>
        <v>8</v>
      </c>
      <c r="O11" s="21" t="str">
        <f aca="false">"다음날 "&amp;TEXT(C11*100,"0.0")&amp;"명 → 1주 뒤 "&amp;TEXT(E11*100,"0.0")&amp;"명 → 4주 뒤 "&amp;TEXT(G11*100,"0.0")&amp;"명이 다시 옴"</f>
        <v>다음날 20.7명 → 1주 뒤 3.3명 → 4주 뒤 0.7명이 다시 옴</v>
      </c>
      <c r="P11" s="21" t="str">
        <f aca="false">"하루 "&amp;TEXT(M11,"0.0")&amp;"번 켜고, 한 번에 "&amp;TEXT(K11,"0.0")&amp;"분, 하루 합계 약 "&amp;TEXT(I11,"0")&amp;"분"</f>
        <v>하루 4.0번 켜고, 한 번에 3.7분, 하루 합계 약 14분</v>
      </c>
    </row>
    <row r="12" customFormat="false" ht="17.15" hidden="false" customHeight="false" outlineLevel="0" collapsed="false">
      <c r="A12" s="16" t="s">
        <v>1194</v>
      </c>
      <c r="B12" s="21" t="s">
        <v>1195</v>
      </c>
      <c r="C12" s="47" t="n">
        <f aca="false">'4-3 장르 차트 판독값'!O14</f>
        <v>0.114608333333333</v>
      </c>
      <c r="D12" s="73" t="n">
        <f aca="false">'4-3 장르 차트 판독값'!S14</f>
        <v>16</v>
      </c>
      <c r="E12" s="47" t="n">
        <f aca="false">'4-3 장르 차트 판독값'!O33</f>
        <v>0.016675</v>
      </c>
      <c r="F12" s="73" t="n">
        <f aca="false">'4-3 장르 차트 판독값'!S33</f>
        <v>16</v>
      </c>
      <c r="G12" s="47" t="n">
        <f aca="false">'4-3 장르 차트 판독값'!O52</f>
        <v>0.00471666666666667</v>
      </c>
      <c r="H12" s="73" t="n">
        <f aca="false">'4-3 장르 차트 판독값'!S52</f>
        <v>15</v>
      </c>
      <c r="I12" s="77" t="n">
        <f aca="false">'4-3 장르 차트 판독값'!O71</f>
        <v>24.2333333333333</v>
      </c>
      <c r="J12" s="73" t="n">
        <f aca="false">'4-3 장르 차트 판독값'!S71</f>
        <v>5</v>
      </c>
      <c r="K12" s="77" t="n">
        <f aca="false">'4-3 장르 차트 판독값'!O90</f>
        <v>9.43333333333333</v>
      </c>
      <c r="L12" s="73" t="n">
        <f aca="false">'4-3 장르 차트 판독값'!S90</f>
        <v>1</v>
      </c>
      <c r="M12" s="79" t="n">
        <f aca="false">'4-3 장르 차트 판독값'!O109</f>
        <v>2.32</v>
      </c>
      <c r="N12" s="73" t="n">
        <f aca="false">'4-3 장르 차트 판독값'!S109</f>
        <v>16</v>
      </c>
      <c r="O12" s="21" t="str">
        <f aca="false">"다음날 "&amp;TEXT(C12*100,"0.0")&amp;"명 → 1주 뒤 "&amp;TEXT(E12*100,"0.0")&amp;"명 → 4주 뒤 "&amp;TEXT(G12*100,"0.0")&amp;"명이 다시 옴"</f>
        <v>다음날 11.5명 → 1주 뒤 1.7명 → 4주 뒤 0.5명이 다시 옴</v>
      </c>
      <c r="P12" s="21" t="str">
        <f aca="false">"하루 "&amp;TEXT(M12,"0.0")&amp;"번 켜고, 한 번에 "&amp;TEXT(K12,"0.0")&amp;"분, 하루 합계 약 "&amp;TEXT(I12,"0")&amp;"분"</f>
        <v>하루 2.3번 켜고, 한 번에 9.4분, 하루 합계 약 24분</v>
      </c>
    </row>
    <row r="13" customFormat="false" ht="17.15" hidden="false" customHeight="false" outlineLevel="0" collapsed="false">
      <c r="A13" s="16" t="s">
        <v>1196</v>
      </c>
      <c r="B13" s="21" t="s">
        <v>105</v>
      </c>
      <c r="C13" s="47" t="n">
        <f aca="false">'4-3 장르 차트 판독값'!O15</f>
        <v>0.20205</v>
      </c>
      <c r="D13" s="73" t="n">
        <f aca="false">'4-3 장르 차트 판독값'!S15</f>
        <v>3</v>
      </c>
      <c r="E13" s="47" t="n">
        <f aca="false">'4-3 장르 차트 판독값'!O34</f>
        <v>0.0453583333333333</v>
      </c>
      <c r="F13" s="73" t="n">
        <f aca="false">'4-3 장르 차트 판독값'!S34</f>
        <v>4</v>
      </c>
      <c r="G13" s="47" t="n">
        <f aca="false">'4-3 장르 차트 판독값'!O53</f>
        <v>0.0119</v>
      </c>
      <c r="H13" s="73" t="n">
        <f aca="false">'4-3 장르 차트 판독값'!S53</f>
        <v>4</v>
      </c>
      <c r="I13" s="77" t="n">
        <f aca="false">'4-3 장르 차트 판독값'!O72</f>
        <v>30.1916666666667</v>
      </c>
      <c r="J13" s="73" t="n">
        <f aca="false">'4-3 장르 차트 판독값'!S72</f>
        <v>4</v>
      </c>
      <c r="K13" s="77" t="n">
        <f aca="false">'4-3 장르 차트 판독값'!O91</f>
        <v>5.64166666666667</v>
      </c>
      <c r="L13" s="73" t="n">
        <f aca="false">'4-3 장르 차트 판독값'!S91</f>
        <v>5</v>
      </c>
      <c r="M13" s="79" t="n">
        <f aca="false">'4-3 장르 차트 판독값'!O110</f>
        <v>4.77583333333333</v>
      </c>
      <c r="N13" s="73" t="n">
        <f aca="false">'4-3 장르 차트 판독값'!S110</f>
        <v>3</v>
      </c>
      <c r="O13" s="21" t="str">
        <f aca="false">"다음날 "&amp;TEXT(C13*100,"0.0")&amp;"명 → 1주 뒤 "&amp;TEXT(E13*100,"0.0")&amp;"명 → 4주 뒤 "&amp;TEXT(G13*100,"0.0")&amp;"명이 다시 옴"</f>
        <v>다음날 20.2명 → 1주 뒤 4.5명 → 4주 뒤 1.2명이 다시 옴</v>
      </c>
      <c r="P13" s="21" t="str">
        <f aca="false">"하루 "&amp;TEXT(M13,"0.0")&amp;"번 켜고, 한 번에 "&amp;TEXT(K13,"0.0")&amp;"분, 하루 합계 약 "&amp;TEXT(I13,"0")&amp;"분"</f>
        <v>하루 4.8번 켜고, 한 번에 5.6분, 하루 합계 약 30분</v>
      </c>
    </row>
    <row r="14" customFormat="false" ht="17.15" hidden="false" customHeight="false" outlineLevel="0" collapsed="false">
      <c r="A14" s="16" t="s">
        <v>1197</v>
      </c>
      <c r="B14" s="21" t="s">
        <v>1198</v>
      </c>
      <c r="C14" s="47" t="n">
        <f aca="false">'4-3 장르 차트 판독값'!O16</f>
        <v>0.180991666666667</v>
      </c>
      <c r="D14" s="73" t="n">
        <f aca="false">'4-3 장르 차트 판독값'!S16</f>
        <v>11</v>
      </c>
      <c r="E14" s="47" t="n">
        <f aca="false">'4-3 장르 차트 판독값'!O35</f>
        <v>0.0301083333333333</v>
      </c>
      <c r="F14" s="73" t="n">
        <f aca="false">'4-3 장르 차트 판독값'!S35</f>
        <v>11</v>
      </c>
      <c r="G14" s="47" t="n">
        <f aca="false">'4-3 장르 차트 판독값'!O54</f>
        <v>0.00655</v>
      </c>
      <c r="H14" s="73" t="n">
        <f aca="false">'4-3 장르 차트 판독값'!S54</f>
        <v>11</v>
      </c>
      <c r="I14" s="77" t="n">
        <f aca="false">'4-3 장르 차트 판독값'!O73</f>
        <v>14.1166666666667</v>
      </c>
      <c r="J14" s="73" t="n">
        <f aca="false">'4-3 장르 차트 판독값'!S73</f>
        <v>12</v>
      </c>
      <c r="K14" s="77" t="n">
        <f aca="false">'4-3 장르 차트 판독값'!O92</f>
        <v>3.81666666666667</v>
      </c>
      <c r="L14" s="73" t="n">
        <f aca="false">'4-3 장르 차트 판독값'!S92</f>
        <v>13</v>
      </c>
      <c r="M14" s="79" t="n">
        <f aca="false">'4-3 장르 차트 판독값'!O111</f>
        <v>3.9425</v>
      </c>
      <c r="N14" s="73" t="n">
        <f aca="false">'4-3 장르 차트 판독값'!S111</f>
        <v>10</v>
      </c>
      <c r="O14" s="21" t="str">
        <f aca="false">"다음날 "&amp;TEXT(C14*100,"0.0")&amp;"명 → 1주 뒤 "&amp;TEXT(E14*100,"0.0")&amp;"명 → 4주 뒤 "&amp;TEXT(G14*100,"0.0")&amp;"명이 다시 옴"</f>
        <v>다음날 18.1명 → 1주 뒤 3.0명 → 4주 뒤 0.7명이 다시 옴</v>
      </c>
      <c r="P14" s="21" t="str">
        <f aca="false">"하루 "&amp;TEXT(M14,"0.0")&amp;"번 켜고, 한 번에 "&amp;TEXT(K14,"0.0")&amp;"분, 하루 합계 약 "&amp;TEXT(I14,"0")&amp;"분"</f>
        <v>하루 3.9번 켜고, 한 번에 3.8분, 하루 합계 약 14분</v>
      </c>
    </row>
    <row r="15" customFormat="false" ht="17.15" hidden="false" customHeight="false" outlineLevel="0" collapsed="false">
      <c r="A15" s="16" t="s">
        <v>1199</v>
      </c>
      <c r="B15" s="21" t="s">
        <v>1200</v>
      </c>
      <c r="C15" s="47" t="n">
        <f aca="false">'4-3 장르 차트 판독값'!O17</f>
        <v>0.150716666666667</v>
      </c>
      <c r="D15" s="73" t="n">
        <f aca="false">'4-3 장르 차트 판독값'!S17</f>
        <v>15</v>
      </c>
      <c r="E15" s="47" t="n">
        <f aca="false">'4-3 장르 차트 판독값'!O36</f>
        <v>0.020725</v>
      </c>
      <c r="F15" s="73" t="n">
        <f aca="false">'4-3 장르 차트 판독값'!S36</f>
        <v>15</v>
      </c>
      <c r="G15" s="47" t="n">
        <f aca="false">'4-3 장르 차트 판독값'!O55</f>
        <v>0.004325</v>
      </c>
      <c r="H15" s="73" t="n">
        <f aca="false">'4-3 장르 차트 판독값'!S55</f>
        <v>16</v>
      </c>
      <c r="I15" s="77" t="n">
        <f aca="false">'4-3 장르 차트 판독값'!O74</f>
        <v>15.6416666666667</v>
      </c>
      <c r="J15" s="73" t="n">
        <f aca="false">'4-3 장르 차트 판독값'!S74</f>
        <v>10</v>
      </c>
      <c r="K15" s="77" t="n">
        <f aca="false">'4-3 장르 차트 판독값'!O93</f>
        <v>4.375</v>
      </c>
      <c r="L15" s="73" t="n">
        <f aca="false">'4-3 장르 차트 판독값'!S93</f>
        <v>9</v>
      </c>
      <c r="M15" s="79" t="n">
        <f aca="false">'4-3 장르 차트 판독값'!O112</f>
        <v>4.015</v>
      </c>
      <c r="N15" s="73" t="n">
        <f aca="false">'4-3 장르 차트 판독값'!S112</f>
        <v>7</v>
      </c>
      <c r="O15" s="21" t="str">
        <f aca="false">"다음날 "&amp;TEXT(C15*100,"0.0")&amp;"명 → 1주 뒤 "&amp;TEXT(E15*100,"0.0")&amp;"명 → 4주 뒤 "&amp;TEXT(G15*100,"0.0")&amp;"명이 다시 옴"</f>
        <v>다음날 15.1명 → 1주 뒤 2.1명 → 4주 뒤 0.4명이 다시 옴</v>
      </c>
      <c r="P15" s="21" t="str">
        <f aca="false">"하루 "&amp;TEXT(M15,"0.0")&amp;"번 켜고, 한 번에 "&amp;TEXT(K15,"0.0")&amp;"분, 하루 합계 약 "&amp;TEXT(I15,"0")&amp;"분"</f>
        <v>하루 4.0번 켜고, 한 번에 4.4분, 하루 합계 약 16분</v>
      </c>
    </row>
    <row r="16" customFormat="false" ht="17.15" hidden="false" customHeight="false" outlineLevel="0" collapsed="false">
      <c r="A16" s="16" t="s">
        <v>1201</v>
      </c>
      <c r="B16" s="21" t="s">
        <v>147</v>
      </c>
      <c r="C16" s="47" t="n">
        <f aca="false">'4-3 장르 차트 판독값'!O18</f>
        <v>0.17035</v>
      </c>
      <c r="D16" s="73" t="n">
        <f aca="false">'4-3 장르 차트 판독값'!S18</f>
        <v>12</v>
      </c>
      <c r="E16" s="47" t="n">
        <f aca="false">'4-3 장르 차트 판독값'!O37</f>
        <v>0.0238916666666667</v>
      </c>
      <c r="F16" s="73" t="n">
        <f aca="false">'4-3 장르 차트 판독값'!S37</f>
        <v>13</v>
      </c>
      <c r="G16" s="47" t="n">
        <f aca="false">'4-3 장르 차트 판독값'!O56</f>
        <v>0.00500833333333333</v>
      </c>
      <c r="H16" s="73" t="n">
        <f aca="false">'4-3 장르 차트 판독값'!S56</f>
        <v>13</v>
      </c>
      <c r="I16" s="77" t="n">
        <f aca="false">'4-3 장르 차트 판독값'!O75</f>
        <v>14.6916666666667</v>
      </c>
      <c r="J16" s="73" t="n">
        <f aca="false">'4-3 장르 차트 판독값'!S75</f>
        <v>11</v>
      </c>
      <c r="K16" s="77" t="n">
        <f aca="false">'4-3 장르 차트 판독값'!O94</f>
        <v>4.11666666666667</v>
      </c>
      <c r="L16" s="73" t="n">
        <f aca="false">'4-3 장르 차트 판독값'!S94</f>
        <v>11</v>
      </c>
      <c r="M16" s="79" t="n">
        <f aca="false">'4-3 장르 차트 판독값'!O113</f>
        <v>3.67583333333333</v>
      </c>
      <c r="N16" s="73" t="n">
        <f aca="false">'4-3 장르 차트 판독값'!S113</f>
        <v>14</v>
      </c>
      <c r="O16" s="21" t="str">
        <f aca="false">"다음날 "&amp;TEXT(C16*100,"0.0")&amp;"명 → 1주 뒤 "&amp;TEXT(E16*100,"0.0")&amp;"명 → 4주 뒤 "&amp;TEXT(G16*100,"0.0")&amp;"명이 다시 옴"</f>
        <v>다음날 17.0명 → 1주 뒤 2.4명 → 4주 뒤 0.5명이 다시 옴</v>
      </c>
      <c r="P16" s="21" t="str">
        <f aca="false">"하루 "&amp;TEXT(M16,"0.0")&amp;"번 켜고, 한 번에 "&amp;TEXT(K16,"0.0")&amp;"분, 하루 합계 약 "&amp;TEXT(I16,"0")&amp;"분"</f>
        <v>하루 3.7번 켜고, 한 번에 4.1분, 하루 합계 약 15분</v>
      </c>
    </row>
    <row r="17" customFormat="false" ht="17.15" hidden="false" customHeight="false" outlineLevel="0" collapsed="false">
      <c r="A17" s="16" t="s">
        <v>1202</v>
      </c>
      <c r="B17" s="21" t="s">
        <v>244</v>
      </c>
      <c r="C17" s="47" t="n">
        <f aca="false">'4-3 장르 차트 판독값'!O19</f>
        <v>0.192625</v>
      </c>
      <c r="D17" s="73" t="n">
        <f aca="false">'4-3 장르 차트 판독값'!S19</f>
        <v>6</v>
      </c>
      <c r="E17" s="47" t="n">
        <f aca="false">'4-3 장르 차트 판독값'!O38</f>
        <v>0.035825</v>
      </c>
      <c r="F17" s="73" t="n">
        <f aca="false">'4-3 장르 차트 판독값'!S38</f>
        <v>7</v>
      </c>
      <c r="G17" s="47" t="n">
        <f aca="false">'4-3 장르 차트 판독값'!O57</f>
        <v>0.00815</v>
      </c>
      <c r="H17" s="73" t="n">
        <f aca="false">'4-3 장르 차트 판독값'!S57</f>
        <v>8</v>
      </c>
      <c r="I17" s="77" t="n">
        <f aca="false">'4-3 장르 차트 판독값'!O76</f>
        <v>15.7083333333333</v>
      </c>
      <c r="J17" s="73" t="n">
        <f aca="false">'4-3 장르 차트 판독값'!S76</f>
        <v>9</v>
      </c>
      <c r="K17" s="77" t="n">
        <f aca="false">'4-3 장르 차트 판독값'!O95</f>
        <v>4.31666666666667</v>
      </c>
      <c r="L17" s="73" t="n">
        <f aca="false">'4-3 장르 차트 판독값'!S95</f>
        <v>10</v>
      </c>
      <c r="M17" s="79" t="n">
        <f aca="false">'4-3 장르 차트 판독값'!O114</f>
        <v>3.80833333333333</v>
      </c>
      <c r="N17" s="73" t="n">
        <f aca="false">'4-3 장르 차트 판독값'!S114</f>
        <v>12</v>
      </c>
      <c r="O17" s="21" t="str">
        <f aca="false">"다음날 "&amp;TEXT(C17*100,"0.0")&amp;"명 → 1주 뒤 "&amp;TEXT(E17*100,"0.0")&amp;"명 → 4주 뒤 "&amp;TEXT(G17*100,"0.0")&amp;"명이 다시 옴"</f>
        <v>다음날 19.3명 → 1주 뒤 3.6명 → 4주 뒤 0.8명이 다시 옴</v>
      </c>
      <c r="P17" s="21" t="str">
        <f aca="false">"하루 "&amp;TEXT(M17,"0.0")&amp;"번 켜고, 한 번에 "&amp;TEXT(K17,"0.0")&amp;"분, 하루 합계 약 "&amp;TEXT(I17,"0")&amp;"분"</f>
        <v>하루 3.8번 켜고, 한 번에 4.3분, 하루 합계 약 16분</v>
      </c>
    </row>
    <row r="18" customFormat="false" ht="17.15" hidden="false" customHeight="false" outlineLevel="0" collapsed="false">
      <c r="A18" s="16" t="s">
        <v>1203</v>
      </c>
      <c r="B18" s="21" t="s">
        <v>165</v>
      </c>
      <c r="C18" s="47" t="n">
        <f aca="false">'4-3 장르 차트 판독값'!O20</f>
        <v>0.198991666666667</v>
      </c>
      <c r="D18" s="73" t="n">
        <f aca="false">'4-3 장르 차트 판독값'!S20</f>
        <v>4</v>
      </c>
      <c r="E18" s="47" t="n">
        <f aca="false">'4-3 장르 차트 판독값'!O39</f>
        <v>0.03365</v>
      </c>
      <c r="F18" s="73" t="n">
        <f aca="false">'4-3 장르 차트 판독값'!S39</f>
        <v>8</v>
      </c>
      <c r="G18" s="47" t="n">
        <f aca="false">'4-3 장르 차트 판독값'!O58</f>
        <v>0.00714166666666667</v>
      </c>
      <c r="H18" s="73" t="n">
        <f aca="false">'4-3 장르 차트 판독값'!S58</f>
        <v>9</v>
      </c>
      <c r="I18" s="77" t="n">
        <f aca="false">'4-3 장르 차트 판독값'!O77</f>
        <v>23.5</v>
      </c>
      <c r="J18" s="73" t="n">
        <f aca="false">'4-3 장르 차트 판독값'!S77</f>
        <v>7</v>
      </c>
      <c r="K18" s="77" t="n">
        <f aca="false">'4-3 장르 차트 판독값'!O96</f>
        <v>5.45</v>
      </c>
      <c r="L18" s="73" t="n">
        <f aca="false">'4-3 장르 차트 판독값'!S96</f>
        <v>6</v>
      </c>
      <c r="M18" s="79" t="n">
        <f aca="false">'4-3 장르 차트 판독값'!O115</f>
        <v>4.29666666666667</v>
      </c>
      <c r="N18" s="73" t="n">
        <f aca="false">'4-3 장르 차트 판독값'!S115</f>
        <v>5</v>
      </c>
      <c r="O18" s="21" t="str">
        <f aca="false">"다음날 "&amp;TEXT(C18*100,"0.0")&amp;"명 → 1주 뒤 "&amp;TEXT(E18*100,"0.0")&amp;"명 → 4주 뒤 "&amp;TEXT(G18*100,"0.0")&amp;"명이 다시 옴"</f>
        <v>다음날 19.9명 → 1주 뒤 3.4명 → 4주 뒤 0.7명이 다시 옴</v>
      </c>
      <c r="P18" s="21" t="str">
        <f aca="false">"하루 "&amp;TEXT(M18,"0.0")&amp;"번 켜고, 한 번에 "&amp;TEXT(K18,"0.0")&amp;"분, 하루 합계 약 "&amp;TEXT(I18,"0")&amp;"분"</f>
        <v>하루 4.3번 켜고, 한 번에 5.5분, 하루 합계 약 24분</v>
      </c>
    </row>
    <row r="19" customFormat="false" ht="17.15" hidden="false" customHeight="false" outlineLevel="0" collapsed="false">
      <c r="A19" s="16" t="s">
        <v>1204</v>
      </c>
      <c r="B19" s="21" t="s">
        <v>1205</v>
      </c>
      <c r="C19" s="47" t="n">
        <f aca="false">'4-3 장르 차트 판독값'!O21</f>
        <v>0.163358333333333</v>
      </c>
      <c r="D19" s="73" t="n">
        <f aca="false">'4-3 장르 차트 판독값'!S21</f>
        <v>13</v>
      </c>
      <c r="E19" s="47" t="n">
        <f aca="false">'4-3 장르 차트 판독값'!O40</f>
        <v>0.0328166666666667</v>
      </c>
      <c r="F19" s="73" t="n">
        <f aca="false">'4-3 장르 차트 판독값'!S40</f>
        <v>10</v>
      </c>
      <c r="G19" s="47" t="n">
        <f aca="false">'4-3 장르 차트 판독값'!O59</f>
        <v>0.0082</v>
      </c>
      <c r="H19" s="73" t="n">
        <f aca="false">'4-3 장르 차트 판독값'!S59</f>
        <v>7</v>
      </c>
      <c r="I19" s="77" t="n">
        <f aca="false">'4-3 장르 차트 판독값'!O78</f>
        <v>13.875</v>
      </c>
      <c r="J19" s="73" t="n">
        <f aca="false">'4-3 장르 차트 판독값'!S78</f>
        <v>14</v>
      </c>
      <c r="K19" s="77" t="n">
        <f aca="false">'4-3 장르 차트 판독값'!O97</f>
        <v>3.65</v>
      </c>
      <c r="L19" s="73" t="n">
        <f aca="false">'4-3 장르 차트 판독값'!S97</f>
        <v>15</v>
      </c>
      <c r="M19" s="79" t="n">
        <f aca="false">'4-3 장르 차트 판독값'!O116</f>
        <v>3.84083333333333</v>
      </c>
      <c r="N19" s="73" t="n">
        <f aca="false">'4-3 장르 차트 판독값'!S116</f>
        <v>11</v>
      </c>
      <c r="O19" s="21" t="str">
        <f aca="false">"다음날 "&amp;TEXT(C19*100,"0.0")&amp;"명 → 1주 뒤 "&amp;TEXT(E19*100,"0.0")&amp;"명 → 4주 뒤 "&amp;TEXT(G19*100,"0.0")&amp;"명이 다시 옴"</f>
        <v>다음날 16.3명 → 1주 뒤 3.3명 → 4주 뒤 0.8명이 다시 옴</v>
      </c>
      <c r="P19" s="21" t="str">
        <f aca="false">"하루 "&amp;TEXT(M19,"0.0")&amp;"번 켜고, 한 번에 "&amp;TEXT(K19,"0.0")&amp;"분, 하루 합계 약 "&amp;TEXT(I19,"0")&amp;"분"</f>
        <v>하루 3.8번 켜고, 한 번에 3.7분, 하루 합계 약 14분</v>
      </c>
    </row>
    <row r="20" customFormat="false" ht="17.15" hidden="false" customHeight="false" outlineLevel="0" collapsed="false">
      <c r="A20" s="16" t="s">
        <v>1206</v>
      </c>
      <c r="B20" s="21" t="s">
        <v>1207</v>
      </c>
      <c r="C20" s="47" t="n">
        <f aca="false">'4-3 장르 차트 판독값'!O22</f>
        <v>0.183966666666667</v>
      </c>
      <c r="D20" s="73" t="n">
        <f aca="false">'4-3 장르 차트 판독값'!S22</f>
        <v>9</v>
      </c>
      <c r="E20" s="47" t="n">
        <f aca="false">'4-3 장르 차트 판독값'!O41</f>
        <v>0.0418333333333333</v>
      </c>
      <c r="F20" s="73" t="n">
        <f aca="false">'4-3 장르 차트 판독값'!S41</f>
        <v>5</v>
      </c>
      <c r="G20" s="47" t="n">
        <f aca="false">'4-3 장르 차트 판독값'!O60</f>
        <v>0.011225</v>
      </c>
      <c r="H20" s="73" t="n">
        <f aca="false">'4-3 장르 차트 판독값'!S60</f>
        <v>5</v>
      </c>
      <c r="I20" s="77" t="n">
        <f aca="false">'4-3 장르 차트 판독값'!O79</f>
        <v>23.8083333333333</v>
      </c>
      <c r="J20" s="73" t="n">
        <f aca="false">'4-3 장르 차트 판독값'!S79</f>
        <v>6</v>
      </c>
      <c r="K20" s="77" t="n">
        <f aca="false">'4-3 장르 차트 판독값'!O98</f>
        <v>5.08333333333333</v>
      </c>
      <c r="L20" s="73" t="n">
        <f aca="false">'4-3 장르 차트 판독값'!S98</f>
        <v>7</v>
      </c>
      <c r="M20" s="79" t="n">
        <f aca="false">'4-3 장르 차트 판독값'!O117</f>
        <v>4.3225</v>
      </c>
      <c r="N20" s="73" t="n">
        <f aca="false">'4-3 장르 차트 판독값'!S117</f>
        <v>4</v>
      </c>
      <c r="O20" s="21" t="str">
        <f aca="false">"다음날 "&amp;TEXT(C20*100,"0.0")&amp;"명 → 1주 뒤 "&amp;TEXT(E20*100,"0.0")&amp;"명 → 4주 뒤 "&amp;TEXT(G20*100,"0.0")&amp;"명이 다시 옴"</f>
        <v>다음날 18.4명 → 1주 뒤 4.2명 → 4주 뒤 1.1명이 다시 옴</v>
      </c>
      <c r="P20" s="21" t="str">
        <f aca="false">"하루 "&amp;TEXT(M20,"0.0")&amp;"번 켜고, 한 번에 "&amp;TEXT(K20,"0.0")&amp;"분, 하루 합계 약 "&amp;TEXT(I20,"0")&amp;"분"</f>
        <v>하루 4.3번 켜고, 한 번에 5.1분, 하루 합계 약 24분</v>
      </c>
    </row>
    <row r="23" customFormat="false" ht="19.4" hidden="false" customHeight="false" outlineLevel="0" collapsed="false">
      <c r="A23" s="43" t="s">
        <v>1227</v>
      </c>
    </row>
    <row r="24" customFormat="false" ht="17.15" hidden="false" customHeight="false" outlineLevel="0" collapsed="false">
      <c r="A24" s="81" t="s">
        <v>1228</v>
      </c>
      <c r="B24" s="81"/>
      <c r="C24" s="81"/>
      <c r="D24" s="81"/>
      <c r="E24" s="81"/>
      <c r="F24" s="81"/>
      <c r="G24" s="81"/>
      <c r="H24" s="81"/>
      <c r="I24" s="81" t="s">
        <v>1229</v>
      </c>
      <c r="J24" s="81"/>
      <c r="K24" s="81"/>
      <c r="L24" s="81"/>
      <c r="M24" s="81"/>
      <c r="N24" s="81"/>
      <c r="O24" s="18" t="s">
        <v>1230</v>
      </c>
    </row>
    <row r="25" customFormat="false" ht="49.5" hidden="false" customHeight="true" outlineLevel="0" collapsed="false">
      <c r="A25" s="82" t="s">
        <v>1231</v>
      </c>
      <c r="B25" s="82"/>
      <c r="C25" s="82"/>
      <c r="D25" s="82"/>
      <c r="E25" s="82"/>
      <c r="F25" s="82"/>
      <c r="G25" s="82"/>
      <c r="H25" s="82"/>
      <c r="I25" s="83" t="str">
        <f aca="false">"D1 1위: "&amp;INDEX($A$5:$A$20,MATCH(MAX($C$5:$C$20),$C$5:$C$20,0))&amp;" ("&amp;TEXT(MAX($C$5:$C$20),"0.00%")&amp;")"</f>
        <v>D1 1위: Arcade (22.24%)</v>
      </c>
      <c r="J25" s="83"/>
      <c r="K25" s="83"/>
      <c r="L25" s="83"/>
      <c r="M25" s="83"/>
      <c r="N25" s="83"/>
      <c r="O25" s="34" t="str">
        <f aca="false">IF(INDEX($A$5:$A$20,MATCH(MAX($C$5:$C$20),$C$5:$C$20,0))="Arcade","일치","다름")</f>
        <v>일치</v>
      </c>
    </row>
    <row r="26" customFormat="false" ht="49.5" hidden="false" customHeight="true" outlineLevel="0" collapsed="false">
      <c r="A26" s="82" t="s">
        <v>1232</v>
      </c>
      <c r="B26" s="82"/>
      <c r="C26" s="82"/>
      <c r="D26" s="82"/>
      <c r="E26" s="82"/>
      <c r="F26" s="82"/>
      <c r="G26" s="82"/>
      <c r="H26" s="82"/>
      <c r="I26" s="83" t="str">
        <f aca="false">"Arcade 순위: D1 "&amp;INDEX($D$5:$D$20,MATCH("Arcade",$A$5:$A$20,0))&amp;"위 → D7 "&amp;INDEX($F$5:$F$20,MATCH("Arcade",$A$5:$A$20,0))&amp;"위 → D28 "&amp;INDEX($H$5:$H$20,MATCH("Arcade",$A$5:$A$20,0))&amp;"위"</f>
        <v>Arcade 순위: D1 1위 → D7 6위 → D28 6위</v>
      </c>
      <c r="J26" s="83"/>
      <c r="K26" s="83"/>
      <c r="L26" s="83"/>
      <c r="M26" s="83"/>
      <c r="N26" s="83"/>
      <c r="O26" s="34" t="str">
        <f aca="false">IF(INDEX($H$5:$H$20,MATCH("Arcade",$A$5:$A$20,0))&gt;INDEX($D$5:$D$20,MATCH("Arcade",$A$5:$A$20,0)),"일치 (뒤로 갈수록 순위 하락)","다름")</f>
        <v>일치 (뒤로 갈수록 순위 하락)</v>
      </c>
    </row>
    <row r="27" customFormat="false" ht="49.5" hidden="false" customHeight="true" outlineLevel="0" collapsed="false">
      <c r="A27" s="82" t="s">
        <v>1233</v>
      </c>
      <c r="B27" s="82"/>
      <c r="C27" s="82"/>
      <c r="D27" s="82"/>
      <c r="E27" s="82"/>
      <c r="F27" s="82"/>
      <c r="G27" s="82"/>
      <c r="H27" s="82"/>
      <c r="I27" s="83" t="str">
        <f aca="false">"D7 순위 보드 "&amp;INDEX($F$5:$F$20,MATCH("Board",$A$5:$A$20,0))&amp;"·카드 "&amp;INDEX($F$5:$F$20,MATCH("Card",$A$5:$A$20,0))&amp;"·퍼즐 "&amp;INDEX($F$5:$F$20,MATCH("Puzzle",$A$5:$A$20,0))&amp;"·카지노 "&amp;INDEX($F$5:$F$20,MATCH("Casino",$A$5:$A$20,0))&amp;" / D28 순위 "&amp;INDEX($H$5:$H$20,MATCH("Board",$A$5:$A$20,0))&amp;"·"&amp;INDEX($H$5:$H$20,MATCH("Card",$A$5:$A$20,0))&amp;"·"&amp;INDEX($H$5:$H$20,MATCH("Puzzle",$A$5:$A$20,0))&amp;"·"&amp;INDEX($H$5:$H$20,MATCH("Casino",$A$5:$A$20,0))</f>
        <v>D7 순위 보드 2·카드 1·퍼즐 4·카지노 3 / D28 순위 2·1·4·3</v>
      </c>
      <c r="J27" s="83"/>
      <c r="K27" s="83"/>
      <c r="L27" s="83"/>
      <c r="M27" s="83"/>
      <c r="N27" s="83"/>
      <c r="O27" s="34" t="str">
        <f aca="false">IF(MAX(INDEX($F$5:$F$20,MATCH("Board",$A$5:$A$20,0)),INDEX($F$5:$F$20,MATCH("Card",$A$5:$A$20,0)),INDEX($F$5:$F$20,MATCH("Puzzle",$A$5:$A$20,0)),INDEX($F$5:$F$20,MATCH("Casino",$A$5:$A$20,0)),INDEX($H$5:$H$20,MATCH("Board",$A$5:$A$20,0)),INDEX($H$5:$H$20,MATCH("Card",$A$5:$A$20,0)),INDEX($H$5:$H$20,MATCH("Puzzle",$A$5:$A$20,0)),INDEX($H$5:$H$20,MATCH("Casino",$A$5:$A$20,0)))&lt;=5,"일치 (모두 5위 안)","부분 일치")</f>
        <v>일치 (모두 5위 안)</v>
      </c>
    </row>
    <row r="28" customFormat="false" ht="49.5" hidden="false" customHeight="true" outlineLevel="0" collapsed="false">
      <c r="A28" s="82" t="s">
        <v>1234</v>
      </c>
      <c r="B28" s="82"/>
      <c r="C28" s="82"/>
      <c r="D28" s="82"/>
      <c r="E28" s="82"/>
      <c r="F28" s="82"/>
      <c r="G28" s="82"/>
      <c r="H28" s="82"/>
      <c r="I28" s="83" t="str">
        <f aca="false">"D1 순위 보드 "&amp;INDEX($D$5:$D$20,MATCH("Board",$A$5:$A$20,0))&amp;"·카드 "&amp;INDEX($D$5:$D$20,MATCH("Card",$A$5:$A$20,0))&amp;"·퍼즐 "&amp;INDEX($D$5:$D$20,MATCH("Puzzle",$A$5:$A$20,0))&amp;"·카지노 "&amp;INDEX($D$5:$D$20,MATCH("Casino",$A$5:$A$20,0))</f>
        <v>D1 순위 보드 7·카드 8·퍼즐 3·카지노 5</v>
      </c>
      <c r="J28" s="83"/>
      <c r="K28" s="83"/>
      <c r="L28" s="83"/>
      <c r="M28" s="83"/>
      <c r="N28" s="83"/>
      <c r="O28" s="34" t="str">
        <f aca="false">IF(MAX(INDEX($D$5:$D$20,MATCH("Board",$A$5:$A$20,0)),INDEX($D$5:$D$20,MATCH("Card",$A$5:$A$20,0)),INDEX($D$5:$D$20,MATCH("Puzzle",$A$5:$A$20,0)),INDEX($D$5:$D$20,MATCH("Casino",$A$5:$A$20,0)))&lt;=5,"일치 (모두 5위 안)","부분 일치 (D1은 중간권 포함)")</f>
        <v>부분 일치 (D1은 중간권 포함)</v>
      </c>
    </row>
    <row r="29" customFormat="false" ht="49.5" hidden="false" customHeight="true" outlineLevel="0" collapsed="false">
      <c r="A29" s="82" t="s">
        <v>1235</v>
      </c>
      <c r="B29" s="82"/>
      <c r="C29" s="82"/>
      <c r="D29" s="82"/>
      <c r="E29" s="82"/>
      <c r="F29" s="82"/>
      <c r="G29" s="82"/>
      <c r="H29" s="82"/>
      <c r="I29" s="83" t="str">
        <f aca="false">"최저 장르: D1 "&amp;INDEX($A$5:$A$20,MATCH(MIN($C$5:$C$20),$C$5:$C$20,0))&amp;" / D7 "&amp;INDEX($A$5:$A$20,MATCH(MIN($E$5:$E$20),$E$5:$E$20,0))&amp;" / D28 "&amp;INDEX($A$5:$A$20,MATCH(MIN($G$5:$G$20),$G$5:$G$20,0))</f>
        <v>최저 장르: D1 Multiplayer / D7 Multiplayer / D28 Role Playing</v>
      </c>
      <c r="J29" s="83"/>
      <c r="K29" s="83"/>
      <c r="L29" s="83"/>
      <c r="M29" s="83"/>
      <c r="N29" s="83"/>
      <c r="O29" s="34" t="str">
        <f aca="false">IF(AND(INDEX($A$5:$A$20,MATCH(MIN($C$5:$C$20),$C$5:$C$20,0))="Multiplayer",INDEX($A$5:$A$20,MATCH(MIN($E$5:$E$20),$E$5:$E$20,0))="Multiplayer",INDEX($A$5:$A$20,MATCH(MIN($G$5:$G$20),$G$5:$G$20,0))="Multiplayer"),"일치","부분 일치 (D28 최저는 다른 장르)")</f>
        <v>부분 일치 (D28 최저는 다른 장르)</v>
      </c>
    </row>
    <row r="30" customFormat="false" ht="49.5" hidden="false" customHeight="true" outlineLevel="0" collapsed="false">
      <c r="A30" s="82" t="s">
        <v>1236</v>
      </c>
      <c r="B30" s="82"/>
      <c r="C30" s="82"/>
      <c r="D30" s="82"/>
      <c r="E30" s="82"/>
      <c r="F30" s="82"/>
      <c r="G30" s="82"/>
      <c r="H30" s="82"/>
      <c r="I30" s="83" t="str">
        <f aca="false">"세션 길이 1위: "&amp;INDEX($A$5:$A$20,MATCH(MAX($K$5:$K$20),$K$5:$K$20,0))&amp;" ("&amp;TEXT(MAX($K$5:$K$20),"0.0")&amp;"분)"</f>
        <v>세션 길이 1위: Multiplayer (9.4분)</v>
      </c>
      <c r="J30" s="83"/>
      <c r="K30" s="83"/>
      <c r="L30" s="83"/>
      <c r="M30" s="83"/>
      <c r="N30" s="83"/>
      <c r="O30" s="34" t="str">
        <f aca="false">IF(INDEX($A$5:$A$20,MATCH(MAX($K$5:$K$20),$K$5:$K$20,0))="Multiplayer","일치","다름")</f>
        <v>일치</v>
      </c>
    </row>
    <row r="31" customFormat="false" ht="49.5" hidden="false" customHeight="true" outlineLevel="0" collapsed="false">
      <c r="A31" s="82" t="s">
        <v>1237</v>
      </c>
      <c r="B31" s="82"/>
      <c r="C31" s="82"/>
      <c r="D31" s="82"/>
      <c r="E31" s="82"/>
      <c r="F31" s="82"/>
      <c r="G31" s="82"/>
      <c r="H31" s="82"/>
      <c r="I31" s="83" t="str">
        <f aca="false">"플레이 시간 순위 "&amp;INDEX($J$5:$J$20,MATCH("Board",$A$5:$A$20,0))&amp;"·"&amp;INDEX($J$5:$J$20,MATCH("Card",$A$5:$A$20,0))&amp;"·"&amp;INDEX($J$5:$J$20,MATCH("Puzzle",$A$5:$A$20,0))&amp;"·"&amp;INDEX($J$5:$J$20,MATCH("Casino",$A$5:$A$20,0))&amp;" / 세션 수 순위 "&amp;INDEX($N$5:$N$20,MATCH("Board",$A$5:$A$20,0))&amp;"·"&amp;INDEX($N$5:$N$20,MATCH("Card",$A$5:$A$20,0))&amp;"·"&amp;INDEX($N$5:$N$20,MATCH("Puzzle",$A$5:$A$20,0))&amp;"·"&amp;INDEX($N$5:$N$20,MATCH("Casino",$A$5:$A$20,0))&amp;" (보드·카드·퍼즐·카지노 순)"</f>
        <v>플레이 시간 순위 2·1·4·3 / 세션 수 순위 1·2·3·6 (보드·카드·퍼즐·카지노 순)</v>
      </c>
      <c r="J31" s="83"/>
      <c r="K31" s="83"/>
      <c r="L31" s="83"/>
      <c r="M31" s="83"/>
      <c r="N31" s="83"/>
      <c r="O31" s="34" t="str">
        <f aca="false">IF(MAX(INDEX($J$5:$J$20,MATCH("Board",$A$5:$A$20,0)),INDEX($J$5:$J$20,MATCH("Card",$A$5:$A$20,0)),INDEX($J$5:$J$20,MATCH("Puzzle",$A$5:$A$20,0)),INDEX($J$5:$J$20,MATCH("Casino",$A$5:$A$20,0)),INDEX($N$5:$N$20,MATCH("Board",$A$5:$A$20,0)),INDEX($N$5:$N$20,MATCH("Card",$A$5:$A$20,0)),INDEX($N$5:$N$20,MATCH("Puzzle",$A$5:$A$20,0)),INDEX($N$5:$N$20,MATCH("Casino",$A$5:$A$20,0)))&lt;=4,"일치 (모두 4위 안)","부분 일치")</f>
        <v>부분 일치</v>
      </c>
    </row>
    <row r="32" customFormat="false" ht="49.5" hidden="false" customHeight="true" outlineLevel="0" collapsed="false">
      <c r="A32" s="82" t="s">
        <v>1238</v>
      </c>
      <c r="B32" s="82"/>
      <c r="C32" s="82"/>
      <c r="D32" s="82"/>
      <c r="E32" s="82"/>
      <c r="F32" s="82"/>
      <c r="G32" s="82"/>
      <c r="H32" s="82"/>
      <c r="I32" s="83" t="str">
        <f aca="false">"16개 장르 중 하루 세션 수 최고: "&amp;INDEX($A$5:$A$20,MATCH(MAX($M$5:$M$20),$M$5:$M$20,0))&amp;" "&amp;TEXT(MAX($M$5:$M$20),"0.00")&amp;"회"</f>
        <v>16개 장르 중 하루 세션 수 최고: Board 5.09회</v>
      </c>
      <c r="J32" s="83"/>
      <c r="K32" s="83"/>
      <c r="L32" s="83"/>
      <c r="M32" s="83"/>
      <c r="N32" s="83"/>
      <c r="O32" s="34" t="str">
        <f aca="false">IF(MAX($M$5:$M$20)&gt;=6,"일치","판독값으로는 확인 안 됨 (분류 기준이 다를 가능성, 추정)")</f>
        <v>판독값으로는 확인 안 됨 (분류 기준이 다를 가능성, 추정)</v>
      </c>
    </row>
    <row r="34" customFormat="false" ht="17.15" hidden="false" customHeight="false" outlineLevel="0" collapsed="false">
      <c r="A34" s="40" t="s">
        <v>1239</v>
      </c>
    </row>
    <row r="35" customFormat="false" ht="17.15" hidden="false" customHeight="false" outlineLevel="0" collapsed="false">
      <c r="A35" s="41" t="s">
        <v>1240</v>
      </c>
    </row>
    <row r="36" customFormat="false" ht="17.15" hidden="false" customHeight="false" outlineLevel="0" collapsed="false">
      <c r="A36" s="40" t="s">
        <v>1241</v>
      </c>
    </row>
  </sheetData>
  <mergeCells count="18">
    <mergeCell ref="A24:H24"/>
    <mergeCell ref="I24:N24"/>
    <mergeCell ref="A25:H25"/>
    <mergeCell ref="I25:N25"/>
    <mergeCell ref="A26:H26"/>
    <mergeCell ref="I26:N26"/>
    <mergeCell ref="A27:H27"/>
    <mergeCell ref="I27:N27"/>
    <mergeCell ref="A28:H28"/>
    <mergeCell ref="I28:N28"/>
    <mergeCell ref="A29:H29"/>
    <mergeCell ref="I29:N29"/>
    <mergeCell ref="A30:H30"/>
    <mergeCell ref="I30:N30"/>
    <mergeCell ref="A31:H31"/>
    <mergeCell ref="I31:N31"/>
    <mergeCell ref="A32:H32"/>
    <mergeCell ref="I32:N32"/>
  </mergeCells>
  <conditionalFormatting sqref="C5:C20">
    <cfRule type="colorScale" priority="2">
      <colorScale>
        <cfvo type="min" val="0"/>
        <cfvo type="max" val="0"/>
        <color rgb="FFF2F2F2"/>
        <color rgb="FF8EA9DB"/>
      </colorScale>
    </cfRule>
  </conditionalFormatting>
  <conditionalFormatting sqref="E5:E20">
    <cfRule type="colorScale" priority="3">
      <colorScale>
        <cfvo type="min" val="0"/>
        <cfvo type="max" val="0"/>
        <color rgb="FFF2F2F2"/>
        <color rgb="FF8EA9DB"/>
      </colorScale>
    </cfRule>
  </conditionalFormatting>
  <conditionalFormatting sqref="G5:G20">
    <cfRule type="colorScale" priority="4">
      <colorScale>
        <cfvo type="min" val="0"/>
        <cfvo type="max" val="0"/>
        <color rgb="FFF2F2F2"/>
        <color rgb="FF8EA9DB"/>
      </colorScale>
    </cfRule>
  </conditionalFormatting>
  <conditionalFormatting sqref="I5:I20">
    <cfRule type="colorScale" priority="5">
      <colorScale>
        <cfvo type="min" val="0"/>
        <cfvo type="max" val="0"/>
        <color rgb="FFF2F2F2"/>
        <color rgb="FF8EA9DB"/>
      </colorScale>
    </cfRule>
  </conditionalFormatting>
  <conditionalFormatting sqref="K5:K20">
    <cfRule type="colorScale" priority="6">
      <colorScale>
        <cfvo type="min" val="0"/>
        <cfvo type="max" val="0"/>
        <color rgb="FFF2F2F2"/>
        <color rgb="FF8EA9DB"/>
      </colorScale>
    </cfRule>
  </conditionalFormatting>
  <conditionalFormatting sqref="M5:M20">
    <cfRule type="colorScale" priority="7">
      <colorScale>
        <cfvo type="min" val="0"/>
        <cfvo type="max" val="0"/>
        <color rgb="FFF2F2F2"/>
        <color rgb="FF8EA9D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33" t="s">
        <v>1242</v>
      </c>
      <c r="B1" s="33" t="s">
        <v>1243</v>
      </c>
      <c r="C1" s="33" t="s">
        <v>1244</v>
      </c>
    </row>
    <row r="2" customFormat="false" ht="32.8" hidden="false" customHeight="false" outlineLevel="0" collapsed="false">
      <c r="A2" s="17" t="s">
        <v>1245</v>
      </c>
      <c r="B2" s="32" t="s">
        <v>1246</v>
      </c>
      <c r="C2" s="32" t="s">
        <v>1247</v>
      </c>
    </row>
    <row r="3" customFormat="false" ht="32.8" hidden="false" customHeight="false" outlineLevel="0" collapsed="false">
      <c r="A3" s="17" t="s">
        <v>1248</v>
      </c>
      <c r="B3" s="32" t="s">
        <v>1249</v>
      </c>
      <c r="C3" s="32" t="s">
        <v>1250</v>
      </c>
    </row>
    <row r="4" customFormat="false" ht="17.15" hidden="false" customHeight="false" outlineLevel="0" collapsed="false">
      <c r="A4" s="17" t="s">
        <v>1251</v>
      </c>
      <c r="B4" s="17" t="s">
        <v>1252</v>
      </c>
      <c r="C4" s="17" t="s">
        <v>1253</v>
      </c>
    </row>
    <row r="5" customFormat="false" ht="32.8" hidden="false" customHeight="false" outlineLevel="0" collapsed="false">
      <c r="A5" s="17" t="s">
        <v>1254</v>
      </c>
      <c r="B5" s="17" t="s">
        <v>1255</v>
      </c>
      <c r="C5" s="17" t="s">
        <v>1256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2026-10-05T09:30:46Z</dcterms:created>
  <dc:creator>openpyxl</dc:creator>
  <dc:description/>
  <dc:language>en-US</dc:language>
  <cp:lastModifiedBy/>
  <dcterms:modified xsi:type="dcterms:W3CDTF">2026-10-05T09:30:50Z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